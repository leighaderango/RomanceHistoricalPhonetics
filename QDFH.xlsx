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mc:AlternateContent xmlns:mc="http://schemas.openxmlformats.org/markup-compatibility/2006">
    <mc:Choice Requires="x15">
      <x15ac:absPath xmlns:x15ac="http://schemas.microsoft.com/office/spreadsheetml/2010/11/ac" url="https://loyolauniversitychicago-my.sharepoint.com/personal/tbertucci_luc_edu/Documents/Spring 2025/DIGH 501 – Digital Humanities Project/"/>
    </mc:Choice>
  </mc:AlternateContent>
  <xr:revisionPtr revIDLastSave="0" documentId="8_{59B2CF73-55E7-41AC-A51A-C4EA1D8B2E4E}" xr6:coauthVersionLast="47" xr6:coauthVersionMax="47" xr10:uidLastSave="{00000000-0000-0000-0000-000000000000}"/>
  <bookViews>
    <workbookView xWindow="5830" yWindow="0" windowWidth="13370" windowHeight="10200" tabRatio="662" firstSheet="68" activeTab="47" xr2:uid="{00000000-000D-0000-FFFF-FFFF00000000}"/>
  </bookViews>
  <sheets>
    <sheet name="Languages Overview" sheetId="1" r:id="rId1"/>
    <sheet name="001 B-" sheetId="2" r:id="rId2"/>
    <sheet name="002 B-" sheetId="4" r:id="rId3"/>
    <sheet name="003 T-" sheetId="7" r:id="rId4"/>
    <sheet name="004 T-" sheetId="13" r:id="rId5"/>
    <sheet name="005 D-" sheetId="10" r:id="rId6"/>
    <sheet name="006 D-" sheetId="6" r:id="rId7"/>
    <sheet name="007 C-" sheetId="9" r:id="rId8"/>
    <sheet name="008 C-" sheetId="8" r:id="rId9"/>
    <sheet name="009 C-" sheetId="12" r:id="rId10"/>
    <sheet name="010 C-" sheetId="11" r:id="rId11"/>
    <sheet name="011 G-" sheetId="5" r:id="rId12"/>
    <sheet name="012 G-" sheetId="14" r:id="rId13"/>
    <sheet name="013 G-" sheetId="19" r:id="rId14"/>
    <sheet name="014 G-" sheetId="18" r:id="rId15"/>
    <sheet name="015 N-" sheetId="20" r:id="rId16"/>
    <sheet name="016 N-" sheetId="21" r:id="rId17"/>
    <sheet name="016.5 M-" sheetId="113" r:id="rId18"/>
    <sheet name="017 F-" sheetId="22" r:id="rId19"/>
    <sheet name="018 F-" sheetId="23" r:id="rId20"/>
    <sheet name="019 V-" sheetId="24" r:id="rId21"/>
    <sheet name="020 V-" sheetId="25" r:id="rId22"/>
    <sheet name="021 S-" sheetId="27" r:id="rId23"/>
    <sheet name="022 S-" sheetId="26" r:id="rId24"/>
    <sheet name="023 S-" sheetId="28" r:id="rId25"/>
    <sheet name="024 H-" sheetId="29" r:id="rId26"/>
    <sheet name="025 R-" sheetId="30" r:id="rId27"/>
    <sheet name="026 L-" sheetId="31" r:id="rId28"/>
    <sheet name="027 L-" sheetId="32" r:id="rId29"/>
    <sheet name="028 J-" sheetId="33" r:id="rId30"/>
    <sheet name="029 J-" sheetId="34" r:id="rId31"/>
    <sheet name="030 J-" sheetId="35" r:id="rId32"/>
    <sheet name="031a W-" sheetId="37" r:id="rId33"/>
    <sheet name="031b W-" sheetId="38" r:id="rId34"/>
    <sheet name="032 PL-" sheetId="40" r:id="rId35"/>
    <sheet name="033 BR-" sheetId="41" r:id="rId36"/>
    <sheet name="034 BL-" sheetId="42" r:id="rId37"/>
    <sheet name="035 TR-" sheetId="43" r:id="rId38"/>
    <sheet name="036 DR-" sheetId="44" r:id="rId39"/>
    <sheet name="037 CR-" sheetId="45" r:id="rId40"/>
    <sheet name="038 CL-" sheetId="46" r:id="rId41"/>
    <sheet name="039 QU-" sheetId="47" r:id="rId42"/>
    <sheet name="040 QU-" sheetId="48" r:id="rId43"/>
    <sheet name="041 QU-" sheetId="49" r:id="rId44"/>
    <sheet name="042 QU-" sheetId="50" r:id="rId45"/>
    <sheet name="043 GL-" sheetId="51" r:id="rId46"/>
    <sheet name="044 FR-" sheetId="52" r:id="rId47"/>
    <sheet name="045 FL-" sheetId="53" r:id="rId48"/>
    <sheet name="046 SP-" sheetId="55" r:id="rId49"/>
    <sheet name="047 ST-" sheetId="56" r:id="rId50"/>
    <sheet name="048 ST-" sheetId="57" r:id="rId51"/>
    <sheet name="049a SC-" sheetId="66" r:id="rId52"/>
    <sheet name="049b SC-" sheetId="58" r:id="rId53"/>
    <sheet name="050 SC-" sheetId="59" r:id="rId54"/>
    <sheet name="051 STR-" sheetId="54" r:id="rId55"/>
    <sheet name="052 SCR-" sheetId="60" r:id="rId56"/>
    <sheet name="053 -P-" sheetId="62" r:id="rId57"/>
    <sheet name="054 -B-" sheetId="63" r:id="rId58"/>
    <sheet name="055 -T-" sheetId="64" r:id="rId59"/>
    <sheet name="056 -T-" sheetId="65" r:id="rId60"/>
    <sheet name="057 -D-" sheetId="67" r:id="rId61"/>
    <sheet name="058 -D-" sheetId="68" r:id="rId62"/>
    <sheet name="059 -C-" sheetId="69" r:id="rId63"/>
    <sheet name="060 -C-" sheetId="71" r:id="rId64"/>
    <sheet name="061 -C-" sheetId="70" r:id="rId65"/>
    <sheet name="062 -G-" sheetId="72" r:id="rId66"/>
    <sheet name="063 -G-" sheetId="74" r:id="rId67"/>
    <sheet name="064 -G-" sheetId="73" r:id="rId68"/>
    <sheet name="065 -M-" sheetId="75" r:id="rId69"/>
    <sheet name="066 -N-" sheetId="76" r:id="rId70"/>
    <sheet name="067 -F-" sheetId="77" r:id="rId71"/>
    <sheet name="068 -V-" sheetId="78" r:id="rId72"/>
    <sheet name="069 -S-" sheetId="79" r:id="rId73"/>
    <sheet name="070 -S-" sheetId="80" r:id="rId74"/>
    <sheet name="071 -R-" sheetId="81" r:id="rId75"/>
    <sheet name="072 -L-" sheetId="82" r:id="rId76"/>
    <sheet name="073 -J-" sheetId="83" r:id="rId77"/>
    <sheet name="074 -J-" sheetId="84" r:id="rId78"/>
    <sheet name="075 -PJ-" sheetId="85" r:id="rId79"/>
    <sheet name="076 -BJ-" sheetId="86" r:id="rId80"/>
    <sheet name="077 -TJ-" sheetId="96" r:id="rId81"/>
    <sheet name="078 -TJ-" sheetId="95" r:id="rId82"/>
    <sheet name="079 -DJ-" sheetId="94" r:id="rId83"/>
    <sheet name="080 -CJ-" sheetId="93" r:id="rId84"/>
    <sheet name="081 -CJ-" sheetId="92" r:id="rId85"/>
    <sheet name="082 -GJ-" sheetId="91" r:id="rId86"/>
    <sheet name="083 -VJ-" sheetId="90" r:id="rId87"/>
    <sheet name="083.5 -FJ-" sheetId="97" r:id="rId88"/>
    <sheet name="084 -SJ-" sheetId="89" r:id="rId89"/>
    <sheet name="085 -MJ-" sheetId="88" r:id="rId90"/>
    <sheet name="086 -NJ-" sheetId="87" r:id="rId91"/>
    <sheet name="087 -RJ-" sheetId="98" r:id="rId92"/>
    <sheet name="088 -LJ-" sheetId="99" r:id="rId93"/>
    <sheet name="089 -LJ-" sheetId="100" r:id="rId94"/>
    <sheet name="090 -PP-" sheetId="102" r:id="rId95"/>
    <sheet name="091 -BB-" sheetId="101" r:id="rId96"/>
    <sheet name="092 -TT-" sheetId="106" r:id="rId97"/>
    <sheet name="093 -DD-" sheetId="105" r:id="rId98"/>
    <sheet name="094 -CC-" sheetId="107" r:id="rId99"/>
    <sheet name="095 -CC-" sheetId="104" r:id="rId100"/>
    <sheet name="096 -CC-" sheetId="108" r:id="rId101"/>
    <sheet name="097 -GG-" sheetId="110" r:id="rId102"/>
    <sheet name="098 -MM-" sheetId="111" r:id="rId103"/>
    <sheet name="099 -NN-" sheetId="109" r:id="rId104"/>
    <sheet name="100 -FF-" sheetId="112" r:id="rId105"/>
    <sheet name="101 -SS-" sheetId="114" r:id="rId106"/>
    <sheet name="102 -SS-" sheetId="115" r:id="rId107"/>
    <sheet name="103 -RR-" sheetId="116" r:id="rId108"/>
    <sheet name="104 -LL-" sheetId="103" r:id="rId109"/>
    <sheet name="twoCons.s" sheetId="39" r:id="rId110"/>
    <sheet name="threeCons.s" sheetId="61" r:id="rId111"/>
    <sheet name="250 Ī" sheetId="17" r:id="rId112"/>
    <sheet name="000V" sheetId="16" r:id="rId1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73" l="1"/>
  <c r="AZ16" i="73"/>
  <c r="Z18" i="73"/>
  <c r="AW18" i="73"/>
  <c r="AW16" i="73"/>
  <c r="Y18" i="73"/>
  <c r="X18" i="73"/>
  <c r="AV18" i="73"/>
  <c r="AV16" i="73"/>
  <c r="W16" i="19"/>
  <c r="W18" i="19"/>
  <c r="V18" i="19"/>
  <c r="V16" i="19"/>
  <c r="BD16" i="73"/>
  <c r="AD18" i="73"/>
  <c r="AC18" i="73"/>
  <c r="AB18" i="73"/>
  <c r="AF18" i="73"/>
  <c r="AG18" i="73"/>
  <c r="BE16" i="73"/>
  <c r="AH18" i="73"/>
  <c r="AU18" i="73"/>
  <c r="AU16" i="73"/>
  <c r="U16" i="35"/>
  <c r="U16" i="34"/>
  <c r="U16" i="33"/>
  <c r="U16" i="14"/>
  <c r="U16" i="5"/>
  <c r="AT18" i="73"/>
  <c r="AE18" i="73"/>
  <c r="W18" i="73"/>
  <c r="V18" i="73"/>
  <c r="U18" i="73"/>
  <c r="T18" i="73"/>
  <c r="J18" i="73"/>
  <c r="S18" i="73"/>
  <c r="R18" i="73"/>
  <c r="AA18" i="73"/>
  <c r="O18" i="73"/>
  <c r="N18" i="73"/>
  <c r="M18" i="73"/>
  <c r="L18" i="73"/>
  <c r="K18" i="73"/>
  <c r="F18" i="73"/>
  <c r="Q18" i="73"/>
  <c r="P18" i="73"/>
  <c r="I18" i="73"/>
  <c r="H18" i="73"/>
  <c r="G18" i="73"/>
  <c r="E18" i="73"/>
  <c r="D18" i="73"/>
  <c r="C18" i="73"/>
  <c r="K16" i="71"/>
  <c r="L16" i="71"/>
  <c r="M16" i="71"/>
  <c r="L16" i="68"/>
  <c r="M16" i="68"/>
  <c r="K16" i="68"/>
  <c r="E16" i="71"/>
  <c r="C16" i="71"/>
  <c r="E16" i="74"/>
  <c r="E18" i="74"/>
  <c r="E16" i="72"/>
  <c r="E18" i="72"/>
  <c r="E16" i="70"/>
  <c r="E18" i="70"/>
  <c r="E16" i="69"/>
  <c r="E18" i="69"/>
  <c r="E16" i="19"/>
  <c r="E18" i="19"/>
  <c r="E18" i="18"/>
  <c r="E16" i="18"/>
  <c r="J18" i="74"/>
  <c r="J18" i="72"/>
  <c r="J18" i="70"/>
  <c r="J18" i="69"/>
  <c r="AL16" i="68"/>
  <c r="AM16" i="68"/>
  <c r="J18" i="68"/>
  <c r="J16" i="68"/>
  <c r="J18" i="65"/>
  <c r="J16" i="65"/>
  <c r="J18" i="64"/>
  <c r="J16" i="64"/>
  <c r="F16" i="68"/>
  <c r="AR16" i="68"/>
  <c r="E16" i="68"/>
  <c r="J18" i="67"/>
  <c r="F18" i="67"/>
  <c r="L18" i="67"/>
  <c r="M18" i="67"/>
  <c r="K18" i="67"/>
  <c r="Q16" i="68"/>
  <c r="Q16" i="64"/>
  <c r="P16" i="64"/>
  <c r="Q16" i="65"/>
  <c r="Q16" i="67"/>
  <c r="P16" i="67"/>
  <c r="I16" i="67"/>
  <c r="H16" i="67"/>
  <c r="G16" i="67"/>
  <c r="E16" i="67"/>
  <c r="I16" i="68"/>
  <c r="H16" i="68"/>
  <c r="G16" i="68"/>
  <c r="I16" i="65"/>
  <c r="H16" i="65"/>
  <c r="G16" i="65"/>
  <c r="F16" i="65"/>
  <c r="E16" i="65"/>
  <c r="I16" i="64"/>
  <c r="H16" i="64"/>
  <c r="F16" i="64"/>
  <c r="E16" i="64"/>
  <c r="AM31" i="59"/>
  <c r="AM45" i="59"/>
  <c r="AM43" i="59"/>
  <c r="AP31" i="59"/>
  <c r="AP45" i="59"/>
  <c r="AP43" i="59"/>
  <c r="AN45" i="59"/>
  <c r="AN43" i="59"/>
  <c r="AJ45" i="59"/>
  <c r="AJ43" i="59"/>
  <c r="AO19" i="58"/>
  <c r="AL31" i="58"/>
  <c r="AW31" i="58"/>
  <c r="AG31" i="58"/>
  <c r="Q43" i="58"/>
  <c r="P43" i="58"/>
  <c r="H43" i="58"/>
  <c r="E43" i="58"/>
  <c r="S45" i="66"/>
  <c r="S43" i="66"/>
  <c r="S16" i="8"/>
  <c r="R43" i="66"/>
  <c r="R31" i="66"/>
  <c r="R45" i="66"/>
  <c r="AJ43" i="56"/>
  <c r="AH43" i="54"/>
  <c r="AG43" i="54"/>
  <c r="AF43" i="54"/>
  <c r="AD43" i="54"/>
  <c r="AC43" i="54"/>
  <c r="AB43" i="54"/>
  <c r="AA43" i="54"/>
  <c r="Z43" i="54"/>
  <c r="Y43" i="54"/>
  <c r="X43" i="54"/>
  <c r="W43" i="54"/>
  <c r="V43" i="54"/>
  <c r="U43" i="54"/>
  <c r="T43" i="54"/>
  <c r="S43" i="54"/>
  <c r="R43" i="54"/>
  <c r="Q43" i="54"/>
  <c r="P43" i="54"/>
  <c r="O43" i="54"/>
  <c r="N43" i="54"/>
  <c r="M43" i="54"/>
  <c r="L43" i="54"/>
  <c r="K43" i="54"/>
  <c r="J43" i="54"/>
  <c r="I43" i="54"/>
  <c r="H43" i="54"/>
  <c r="G43" i="54"/>
  <c r="F43" i="54"/>
  <c r="E43" i="54"/>
  <c r="D43" i="54"/>
  <c r="C43" i="54"/>
  <c r="B43" i="54"/>
  <c r="AH43" i="57"/>
  <c r="AG43" i="57"/>
  <c r="AF43" i="57"/>
  <c r="AE43" i="57"/>
  <c r="AD43" i="57"/>
  <c r="AC43" i="57"/>
  <c r="AB43" i="57"/>
  <c r="AA43" i="57"/>
  <c r="Z43" i="57"/>
  <c r="Y43" i="57"/>
  <c r="X43" i="57"/>
  <c r="W43" i="57"/>
  <c r="V43" i="57"/>
  <c r="U43" i="57"/>
  <c r="T43" i="57"/>
  <c r="S43" i="57"/>
  <c r="R43" i="57"/>
  <c r="Q43" i="57"/>
  <c r="P43" i="57"/>
  <c r="O43" i="57"/>
  <c r="N43" i="57"/>
  <c r="M43" i="57"/>
  <c r="L43" i="57"/>
  <c r="K43" i="57"/>
  <c r="J43" i="57"/>
  <c r="I43" i="57"/>
  <c r="H43" i="57"/>
  <c r="G43" i="57"/>
  <c r="F43" i="57"/>
  <c r="E43" i="57"/>
  <c r="D43" i="57"/>
  <c r="C43" i="57"/>
  <c r="B43" i="57"/>
  <c r="AH43" i="56"/>
  <c r="AG43" i="56"/>
  <c r="AF43" i="56"/>
  <c r="AE43" i="56"/>
  <c r="AD43" i="56"/>
  <c r="AC43" i="56"/>
  <c r="AB43" i="56"/>
  <c r="AA43" i="56"/>
  <c r="Z43" i="56"/>
  <c r="Y43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C43" i="56"/>
  <c r="B43" i="56"/>
  <c r="AH16" i="13"/>
  <c r="AD16" i="13"/>
  <c r="AC16" i="13"/>
  <c r="AB16" i="13"/>
  <c r="AA16" i="13"/>
  <c r="T16" i="13"/>
  <c r="H19" i="60"/>
  <c r="H19" i="54"/>
  <c r="H19" i="59"/>
  <c r="H19" i="66"/>
  <c r="H19" i="57"/>
  <c r="H19" i="56"/>
  <c r="AH31" i="60"/>
  <c r="AG31" i="60"/>
  <c r="AE31" i="60"/>
  <c r="Y31" i="60"/>
  <c r="W31" i="60"/>
  <c r="T31" i="60"/>
  <c r="R31" i="60"/>
  <c r="E31" i="60"/>
  <c r="AH31" i="54"/>
  <c r="AG31" i="54"/>
  <c r="AE31" i="54"/>
  <c r="Y31" i="54"/>
  <c r="W31" i="54"/>
  <c r="T31" i="54"/>
  <c r="R31" i="54"/>
  <c r="E31" i="54"/>
  <c r="AH31" i="59"/>
  <c r="AG31" i="59"/>
  <c r="AE31" i="59"/>
  <c r="Y31" i="59"/>
  <c r="W31" i="59"/>
  <c r="T31" i="59"/>
  <c r="R31" i="59"/>
  <c r="E31" i="59"/>
  <c r="AH31" i="58"/>
  <c r="AE31" i="66"/>
  <c r="Y31" i="66"/>
  <c r="W31" i="66"/>
  <c r="T31" i="66"/>
  <c r="E31" i="66"/>
  <c r="AH31" i="57"/>
  <c r="AG31" i="57"/>
  <c r="AE31" i="57"/>
  <c r="Y31" i="57"/>
  <c r="W31" i="57"/>
  <c r="T31" i="57"/>
  <c r="R31" i="57"/>
  <c r="E31" i="57"/>
  <c r="AH31" i="56"/>
  <c r="AG31" i="56"/>
  <c r="AE31" i="56"/>
  <c r="Y31" i="56"/>
  <c r="W31" i="56"/>
  <c r="T31" i="56"/>
  <c r="R31" i="56"/>
  <c r="E31" i="56"/>
  <c r="W31" i="55"/>
  <c r="W16" i="28"/>
  <c r="W16" i="26"/>
  <c r="W16" i="27"/>
  <c r="AE31" i="55"/>
  <c r="AG31" i="55"/>
  <c r="T31" i="55"/>
  <c r="Y31" i="55"/>
  <c r="R31" i="55"/>
  <c r="E31" i="55"/>
  <c r="AE16" i="53"/>
  <c r="S16" i="53"/>
  <c r="AJ16" i="82"/>
  <c r="AJ28" i="53"/>
  <c r="AO28" i="51"/>
  <c r="AB30" i="51"/>
  <c r="AB28" i="51"/>
  <c r="AC30" i="51"/>
  <c r="AC28" i="51"/>
  <c r="AE18" i="51"/>
  <c r="AE28" i="51"/>
  <c r="AE30" i="51"/>
  <c r="S18" i="51"/>
  <c r="S30" i="51"/>
  <c r="S28" i="51"/>
  <c r="J28" i="51"/>
  <c r="C28" i="51"/>
  <c r="F30" i="51"/>
  <c r="F28" i="51"/>
  <c r="AH30" i="51"/>
  <c r="V16" i="50"/>
  <c r="V18" i="50"/>
  <c r="W18" i="8"/>
  <c r="W16" i="8"/>
  <c r="V30" i="48"/>
  <c r="AN30" i="48"/>
  <c r="AE30" i="50"/>
  <c r="AG16" i="50"/>
  <c r="R30" i="50"/>
  <c r="AM30" i="48"/>
  <c r="R30" i="47"/>
  <c r="M16" i="50"/>
  <c r="E30" i="47"/>
  <c r="AH30" i="46"/>
  <c r="S30" i="46"/>
  <c r="S28" i="46"/>
  <c r="S16" i="46"/>
  <c r="F30" i="46"/>
  <c r="F28" i="46"/>
  <c r="L28" i="46"/>
  <c r="J28" i="46"/>
  <c r="AD16" i="44"/>
  <c r="AC16" i="44"/>
  <c r="AB16" i="44"/>
  <c r="Y16" i="44"/>
  <c r="X16" i="44"/>
  <c r="W16" i="44"/>
  <c r="V16" i="44"/>
  <c r="U16" i="44"/>
  <c r="T16" i="44"/>
  <c r="S16" i="44"/>
  <c r="R16" i="44"/>
  <c r="AG16" i="44"/>
  <c r="AF16" i="44"/>
  <c r="Q16" i="44"/>
  <c r="O16" i="44"/>
  <c r="N16" i="44"/>
  <c r="J16" i="44"/>
  <c r="AD16" i="43"/>
  <c r="AC16" i="43"/>
  <c r="AB16" i="43"/>
  <c r="Z16" i="13"/>
  <c r="AF16" i="43"/>
  <c r="AG16" i="43"/>
  <c r="J16" i="43"/>
  <c r="Y16" i="43"/>
  <c r="X16" i="43"/>
  <c r="W16" i="43"/>
  <c r="V16" i="43"/>
  <c r="U16" i="43"/>
  <c r="T16" i="43"/>
  <c r="S16" i="43"/>
  <c r="R16" i="43"/>
  <c r="Q16" i="43"/>
  <c r="O16" i="43"/>
  <c r="N16" i="43"/>
  <c r="F16" i="44"/>
  <c r="E16" i="44"/>
  <c r="Z16" i="44"/>
  <c r="Z30" i="44"/>
  <c r="Z28" i="44"/>
  <c r="Z30" i="43"/>
  <c r="Z28" i="43"/>
  <c r="Z16" i="43"/>
  <c r="AL28" i="42"/>
  <c r="S30" i="42"/>
  <c r="S28" i="42"/>
  <c r="L28" i="42"/>
  <c r="J28" i="42"/>
  <c r="AE57" i="54"/>
  <c r="S57" i="54"/>
  <c r="Q57" i="54"/>
  <c r="P57" i="54"/>
  <c r="N57" i="54"/>
  <c r="S55" i="54"/>
  <c r="N55" i="54"/>
  <c r="S57" i="60"/>
  <c r="Q57" i="60"/>
  <c r="P57" i="60"/>
  <c r="N57" i="60"/>
  <c r="S55" i="60"/>
  <c r="N55" i="60"/>
  <c r="S30" i="52"/>
  <c r="Q30" i="52"/>
  <c r="P30" i="52"/>
  <c r="N30" i="52"/>
  <c r="S28" i="52"/>
  <c r="N28" i="52"/>
  <c r="S30" i="45"/>
  <c r="Q30" i="45"/>
  <c r="P30" i="45"/>
  <c r="N30" i="45"/>
  <c r="S28" i="45"/>
  <c r="N28" i="45"/>
  <c r="S30" i="44"/>
  <c r="Q30" i="44"/>
  <c r="P30" i="44"/>
  <c r="N30" i="44"/>
  <c r="S28" i="44"/>
  <c r="N28" i="44"/>
  <c r="S30" i="43"/>
  <c r="Q30" i="43"/>
  <c r="P30" i="43"/>
  <c r="N30" i="43"/>
  <c r="S28" i="43"/>
  <c r="N28" i="43"/>
  <c r="S30" i="41"/>
  <c r="N30" i="41"/>
  <c r="Q30" i="41"/>
  <c r="P30" i="41"/>
  <c r="S28" i="41"/>
  <c r="N28" i="41"/>
  <c r="Q18" i="30"/>
  <c r="P18" i="30"/>
  <c r="S30" i="53"/>
  <c r="F30" i="53"/>
  <c r="S28" i="53"/>
  <c r="L28" i="53"/>
  <c r="J28" i="53"/>
  <c r="F28" i="53"/>
  <c r="F30" i="40"/>
  <c r="F28" i="40"/>
  <c r="S28" i="40"/>
  <c r="S30" i="40"/>
  <c r="J28" i="40"/>
  <c r="L28" i="40"/>
  <c r="B16" i="82"/>
  <c r="B28" i="53"/>
  <c r="B28" i="51"/>
  <c r="AJ28" i="42"/>
  <c r="B28" i="46"/>
  <c r="AK28" i="46"/>
  <c r="AJ28" i="40"/>
  <c r="AJ16" i="31"/>
  <c r="B28" i="42"/>
  <c r="B28" i="40"/>
  <c r="B16" i="32"/>
  <c r="B16" i="31"/>
  <c r="AF30" i="37"/>
  <c r="AC30" i="37"/>
  <c r="AF28" i="37"/>
  <c r="AC28" i="37"/>
  <c r="AF18" i="37"/>
  <c r="AC18" i="37"/>
  <c r="AC30" i="38"/>
  <c r="AC28" i="38"/>
  <c r="AC18" i="38"/>
  <c r="X30" i="37"/>
  <c r="X30" i="38"/>
  <c r="O18" i="38"/>
  <c r="O30" i="38"/>
  <c r="W18" i="38"/>
  <c r="W18" i="37"/>
  <c r="AF18" i="38"/>
  <c r="AF30" i="38"/>
  <c r="AF28" i="38"/>
  <c r="V30" i="38"/>
  <c r="V30" i="37"/>
  <c r="S28" i="38"/>
  <c r="S30" i="38"/>
  <c r="E30" i="38"/>
  <c r="U18" i="35"/>
  <c r="T18" i="35"/>
  <c r="U18" i="34"/>
  <c r="T18" i="34"/>
  <c r="U18" i="33"/>
  <c r="T18" i="33"/>
  <c r="T18" i="14"/>
  <c r="T18" i="5"/>
  <c r="S18" i="35"/>
  <c r="S16" i="35"/>
  <c r="S18" i="34"/>
  <c r="S16" i="34"/>
  <c r="S18" i="33"/>
  <c r="S16" i="33"/>
  <c r="S18" i="19"/>
  <c r="S16" i="19"/>
  <c r="S18" i="14"/>
  <c r="S16" i="14"/>
  <c r="S16" i="5"/>
  <c r="V16" i="30"/>
  <c r="V18" i="30"/>
  <c r="AF18" i="32"/>
  <c r="AF16" i="32"/>
  <c r="AF18" i="31"/>
  <c r="AF16" i="31"/>
  <c r="J16" i="32"/>
  <c r="J16" i="31"/>
  <c r="F18" i="32"/>
  <c r="F16" i="32"/>
  <c r="F18" i="31"/>
  <c r="F16" i="31"/>
  <c r="C16" i="32"/>
  <c r="C16" i="31"/>
  <c r="W16" i="6"/>
  <c r="V16" i="6"/>
  <c r="W16" i="10"/>
  <c r="V16" i="10"/>
  <c r="W16" i="13"/>
  <c r="V16" i="13"/>
  <c r="W16" i="7"/>
  <c r="V16" i="7"/>
  <c r="AG16" i="30"/>
  <c r="AE18" i="30"/>
  <c r="AE16" i="30"/>
  <c r="AH16" i="81"/>
  <c r="S18" i="81"/>
  <c r="S16" i="81"/>
  <c r="S16" i="30"/>
  <c r="N16" i="30"/>
  <c r="AH16" i="30"/>
  <c r="AH16" i="116"/>
  <c r="J18" i="116"/>
  <c r="F18" i="116"/>
  <c r="S18" i="116"/>
  <c r="S16" i="116"/>
  <c r="Y18" i="116"/>
  <c r="X18" i="116"/>
  <c r="C18" i="116"/>
  <c r="C16" i="116"/>
  <c r="N16" i="116"/>
  <c r="N18" i="116"/>
  <c r="O18" i="116"/>
  <c r="F16" i="20"/>
  <c r="D16" i="30"/>
  <c r="C16" i="30"/>
  <c r="C18" i="30"/>
  <c r="AH16" i="27"/>
  <c r="AG16" i="27"/>
  <c r="Y16" i="27"/>
  <c r="AH16" i="26"/>
  <c r="AG16" i="26"/>
  <c r="Y16" i="26"/>
  <c r="AG16" i="28"/>
  <c r="Y16" i="28"/>
  <c r="R16" i="28"/>
  <c r="Q16" i="28"/>
  <c r="P16" i="28"/>
  <c r="H16" i="28"/>
  <c r="E16" i="28"/>
  <c r="C16" i="28"/>
  <c r="R16" i="26"/>
  <c r="Q16" i="26"/>
  <c r="P16" i="26"/>
  <c r="H16" i="26"/>
  <c r="E16" i="26"/>
  <c r="C16" i="26"/>
  <c r="R16" i="27"/>
  <c r="Q16" i="27"/>
  <c r="E16" i="27"/>
  <c r="E16" i="9"/>
  <c r="C16" i="27"/>
  <c r="N18" i="25"/>
  <c r="N16" i="25"/>
  <c r="N18" i="24"/>
  <c r="N16" i="24"/>
  <c r="F16" i="23"/>
  <c r="F16" i="22"/>
  <c r="F16" i="21"/>
  <c r="AE18" i="18"/>
  <c r="AE16" i="18"/>
  <c r="AE16" i="19"/>
  <c r="AE18" i="19"/>
  <c r="N18" i="19"/>
  <c r="N16" i="19"/>
  <c r="AE18" i="14"/>
  <c r="AC18" i="14"/>
  <c r="AG16" i="14"/>
  <c r="AF16" i="14"/>
  <c r="AG16" i="5"/>
  <c r="AF16" i="5"/>
  <c r="AC18" i="5"/>
  <c r="AE18" i="5"/>
  <c r="U18" i="14"/>
  <c r="U18" i="5"/>
  <c r="S18" i="5"/>
  <c r="N16" i="8"/>
  <c r="N18" i="8"/>
  <c r="S18" i="8"/>
  <c r="AF16" i="9"/>
  <c r="AG16" i="9"/>
  <c r="U16" i="9"/>
  <c r="S16" i="9"/>
  <c r="R16" i="9"/>
  <c r="Q16" i="9"/>
  <c r="AJ16" i="6"/>
  <c r="AD16" i="10"/>
  <c r="AB16" i="10"/>
  <c r="AD16" i="6"/>
  <c r="AB16" i="6"/>
  <c r="AA16" i="6"/>
  <c r="AH16" i="6"/>
  <c r="AG16" i="6"/>
  <c r="AF16" i="6"/>
  <c r="AE18" i="6"/>
  <c r="AE16" i="6"/>
  <c r="AC18" i="6"/>
  <c r="AC16" i="6"/>
  <c r="Y16" i="6"/>
  <c r="X16" i="6"/>
  <c r="U16" i="6"/>
  <c r="S16" i="6"/>
  <c r="R16" i="6"/>
  <c r="Q16" i="6"/>
  <c r="P16" i="6"/>
  <c r="M16" i="6"/>
  <c r="L16" i="6"/>
  <c r="K16" i="6"/>
  <c r="O16" i="6"/>
  <c r="N16" i="6"/>
  <c r="J16" i="6"/>
  <c r="AC18" i="10"/>
  <c r="AC16" i="10"/>
  <c r="AE18" i="10"/>
  <c r="AE16" i="10"/>
  <c r="AG16" i="10"/>
  <c r="AF16" i="10"/>
  <c r="Y16" i="10"/>
  <c r="X16" i="10"/>
  <c r="U16" i="10"/>
  <c r="S16" i="10"/>
  <c r="R16" i="10"/>
  <c r="Q16" i="10"/>
  <c r="AQ16" i="10"/>
  <c r="AG16" i="13"/>
  <c r="AF16" i="13"/>
  <c r="AE16" i="13"/>
  <c r="S16" i="13"/>
  <c r="U16" i="13"/>
  <c r="R16" i="13"/>
  <c r="AF16" i="7"/>
  <c r="AE16" i="7"/>
  <c r="AC16" i="7"/>
  <c r="U16" i="7"/>
  <c r="S16" i="7"/>
  <c r="R16" i="7"/>
  <c r="G3" i="1"/>
  <c r="G6" i="1"/>
  <c r="G5" i="1"/>
  <c r="G4" i="1"/>
  <c r="F3" i="1"/>
  <c r="E3" i="1"/>
  <c r="F6" i="1"/>
  <c r="E6" i="1"/>
  <c r="F5" i="1"/>
  <c r="E5" i="1"/>
  <c r="F4" i="1"/>
  <c r="E4" i="1"/>
  <c r="G2" i="1"/>
  <c r="F2" i="1"/>
  <c r="E2" i="1"/>
  <c r="D2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AJ16" i="13"/>
  <c r="Y16" i="13"/>
  <c r="X16" i="13"/>
  <c r="O16" i="13"/>
  <c r="N16" i="13"/>
  <c r="Q16" i="13"/>
  <c r="Y16" i="7"/>
  <c r="X16" i="7"/>
  <c r="Z16" i="7"/>
  <c r="AN16" i="7"/>
  <c r="Q16" i="7"/>
  <c r="AA18" i="110"/>
  <c r="AH16" i="65"/>
  <c r="AA16" i="65"/>
  <c r="AH18" i="63"/>
  <c r="AH16" i="63"/>
  <c r="AA16" i="44"/>
  <c r="AH16" i="44"/>
  <c r="F16" i="43"/>
  <c r="E16" i="43"/>
  <c r="P16" i="9"/>
  <c r="F16" i="6"/>
  <c r="E16" i="6"/>
  <c r="I16" i="6"/>
  <c r="H16" i="6"/>
  <c r="G16" i="6"/>
  <c r="D16" i="6"/>
  <c r="C16" i="6"/>
  <c r="B16" i="6"/>
  <c r="O16" i="10"/>
  <c r="N16" i="10"/>
  <c r="AK16" i="10"/>
  <c r="AJ16" i="10"/>
  <c r="AH16" i="10"/>
  <c r="O16" i="7"/>
  <c r="N16" i="7"/>
  <c r="AA16" i="10"/>
  <c r="P16" i="10"/>
  <c r="M16" i="10"/>
  <c r="L16" i="10"/>
  <c r="K16" i="10"/>
  <c r="J16" i="10"/>
  <c r="F16" i="10"/>
  <c r="E16" i="10"/>
  <c r="I16" i="10"/>
  <c r="H16" i="10"/>
  <c r="G16" i="10"/>
  <c r="D16" i="10"/>
  <c r="C16" i="10"/>
  <c r="B16" i="10"/>
  <c r="F16" i="7"/>
  <c r="E16" i="7"/>
  <c r="J16" i="7"/>
  <c r="J16" i="13"/>
  <c r="P16" i="13"/>
  <c r="M16" i="13"/>
  <c r="L16" i="13"/>
  <c r="K16" i="13"/>
  <c r="F16" i="13"/>
  <c r="E16" i="13"/>
  <c r="I16" i="13"/>
  <c r="H16" i="13"/>
  <c r="G16" i="13"/>
  <c r="D16" i="13"/>
  <c r="C16" i="13"/>
  <c r="B16" i="13"/>
  <c r="AK16" i="7"/>
  <c r="AJ16" i="7"/>
  <c r="AH16" i="7"/>
  <c r="AG16" i="7"/>
  <c r="AA16" i="7"/>
  <c r="P16" i="7"/>
  <c r="M16" i="7"/>
  <c r="L16" i="7"/>
  <c r="K16" i="7"/>
  <c r="I16" i="7"/>
  <c r="H16" i="7"/>
  <c r="G16" i="7"/>
  <c r="D16" i="7"/>
  <c r="C16" i="7"/>
  <c r="B16" i="7"/>
  <c r="B29" i="39"/>
  <c r="G18" i="103"/>
  <c r="AA18" i="103"/>
  <c r="B16" i="103"/>
  <c r="E18" i="116"/>
  <c r="AE18" i="116"/>
  <c r="AE16" i="116"/>
  <c r="B18" i="116"/>
  <c r="I18" i="116"/>
  <c r="H18" i="116"/>
  <c r="G18" i="116"/>
  <c r="M18" i="116"/>
  <c r="L18" i="116"/>
  <c r="K18" i="116"/>
  <c r="AA18" i="116"/>
  <c r="AH16" i="115"/>
  <c r="AG16" i="115"/>
  <c r="AA16" i="115"/>
  <c r="P16" i="115"/>
  <c r="H16" i="115"/>
  <c r="AV16" i="114"/>
  <c r="AW16" i="114"/>
  <c r="AU16" i="114"/>
  <c r="P16" i="114"/>
  <c r="AO16" i="114"/>
  <c r="J16" i="109"/>
  <c r="M16" i="109"/>
  <c r="L16" i="109"/>
  <c r="K16" i="109"/>
  <c r="F16" i="109"/>
  <c r="I16" i="109"/>
  <c r="H16" i="109"/>
  <c r="G16" i="109"/>
  <c r="M18" i="108"/>
  <c r="L18" i="108"/>
  <c r="K18" i="108"/>
  <c r="P16" i="108"/>
  <c r="H16" i="108"/>
  <c r="C16" i="108"/>
  <c r="AG16" i="108"/>
  <c r="M16" i="104"/>
  <c r="C16" i="95"/>
  <c r="AJ16" i="95"/>
  <c r="C16" i="96"/>
  <c r="AJ16" i="96"/>
  <c r="D16" i="105"/>
  <c r="G16" i="105"/>
  <c r="H16" i="105"/>
  <c r="I16" i="105"/>
  <c r="K16" i="105"/>
  <c r="L16" i="105"/>
  <c r="M16" i="105"/>
  <c r="K18" i="105"/>
  <c r="L18" i="105"/>
  <c r="M18" i="105"/>
  <c r="AH16" i="105"/>
  <c r="AA16" i="105"/>
  <c r="P16" i="105"/>
  <c r="P16" i="106"/>
  <c r="M16" i="106"/>
  <c r="L16" i="106"/>
  <c r="K16" i="106"/>
  <c r="I16" i="106"/>
  <c r="H16" i="106"/>
  <c r="G16" i="106"/>
  <c r="D16" i="106"/>
  <c r="C16" i="106"/>
  <c r="AA16" i="106"/>
  <c r="AH16" i="106"/>
  <c r="B16" i="105"/>
  <c r="B16" i="106"/>
  <c r="AA18" i="101"/>
  <c r="M18" i="101"/>
  <c r="L18" i="101"/>
  <c r="K18" i="101"/>
  <c r="AA18" i="100"/>
  <c r="AH30" i="99"/>
  <c r="AA18" i="99"/>
  <c r="AH30" i="87"/>
  <c r="AA18" i="87"/>
  <c r="AA16" i="87"/>
  <c r="AJ18" i="87"/>
  <c r="AJ16" i="87"/>
  <c r="I16" i="87"/>
  <c r="H16" i="87"/>
  <c r="G16" i="87"/>
  <c r="M16" i="87"/>
  <c r="L16" i="87"/>
  <c r="K16" i="87"/>
  <c r="D30" i="87"/>
  <c r="D18" i="87"/>
  <c r="D16" i="87"/>
  <c r="AA18" i="88"/>
  <c r="M30" i="88"/>
  <c r="L30" i="88"/>
  <c r="K30" i="88"/>
  <c r="D18" i="88"/>
  <c r="C18" i="88"/>
  <c r="D18" i="90"/>
  <c r="C18" i="90"/>
  <c r="P18" i="88"/>
  <c r="P16" i="88"/>
  <c r="M30" i="97"/>
  <c r="L30" i="97"/>
  <c r="K30" i="97"/>
  <c r="P28" i="89"/>
  <c r="G28" i="89"/>
  <c r="H28" i="89"/>
  <c r="L16" i="90"/>
  <c r="M16" i="90"/>
  <c r="K18" i="90"/>
  <c r="L18" i="90"/>
  <c r="K30" i="90"/>
  <c r="L30" i="90"/>
  <c r="M30" i="90"/>
  <c r="C28" i="90"/>
  <c r="AH30" i="91"/>
  <c r="AA16" i="91"/>
  <c r="AH16" i="92"/>
  <c r="P16" i="93"/>
  <c r="P16" i="92"/>
  <c r="H16" i="92"/>
  <c r="H16" i="93"/>
  <c r="AA16" i="94"/>
  <c r="D18" i="94"/>
  <c r="D16" i="94"/>
  <c r="C16" i="94"/>
  <c r="C18" i="94"/>
  <c r="AH16" i="94"/>
  <c r="AH16" i="96"/>
  <c r="AA18" i="96"/>
  <c r="AA16" i="96"/>
  <c r="P16" i="95"/>
  <c r="P16" i="96"/>
  <c r="H16" i="95"/>
  <c r="H16" i="96"/>
  <c r="AQ30" i="86"/>
  <c r="AP30" i="86"/>
  <c r="AO30" i="86"/>
  <c r="L18" i="86"/>
  <c r="L16" i="86"/>
  <c r="M16" i="86"/>
  <c r="M30" i="86"/>
  <c r="L30" i="86"/>
  <c r="K30" i="86"/>
  <c r="K18" i="86"/>
  <c r="C28" i="86"/>
  <c r="AK30" i="85"/>
  <c r="B16" i="95"/>
  <c r="B16" i="96"/>
  <c r="B16" i="94"/>
  <c r="B18" i="90"/>
  <c r="B16" i="90"/>
  <c r="AH18" i="83"/>
  <c r="D18" i="83"/>
  <c r="C18" i="83"/>
  <c r="D16" i="82"/>
  <c r="C16" i="82"/>
  <c r="AH16" i="80"/>
  <c r="AA16" i="80"/>
  <c r="P16" i="80"/>
  <c r="H16" i="80"/>
  <c r="AA16" i="79"/>
  <c r="P16" i="79"/>
  <c r="H16" i="79"/>
  <c r="AH18" i="78"/>
  <c r="AH16" i="78"/>
  <c r="L18" i="78"/>
  <c r="K18" i="78"/>
  <c r="L16" i="78"/>
  <c r="P18" i="77"/>
  <c r="L18" i="77"/>
  <c r="K18" i="77"/>
  <c r="L16" i="77"/>
  <c r="I18" i="77"/>
  <c r="H18" i="77"/>
  <c r="G18" i="77"/>
  <c r="D18" i="76"/>
  <c r="C18" i="76"/>
  <c r="D16" i="76"/>
  <c r="C16" i="76"/>
  <c r="P18" i="74"/>
  <c r="P16" i="74"/>
  <c r="M18" i="72"/>
  <c r="L18" i="72"/>
  <c r="K18" i="72"/>
  <c r="M18" i="74"/>
  <c r="L18" i="74"/>
  <c r="K18" i="74"/>
  <c r="P16" i="71"/>
  <c r="H16" i="71"/>
  <c r="P18" i="70"/>
  <c r="P16" i="70"/>
  <c r="M18" i="70"/>
  <c r="L18" i="70"/>
  <c r="K18" i="70"/>
  <c r="M18" i="69"/>
  <c r="L18" i="69"/>
  <c r="K18" i="69"/>
  <c r="AK16" i="67"/>
  <c r="AJ16" i="67"/>
  <c r="AA16" i="67"/>
  <c r="AH16" i="67"/>
  <c r="D16" i="67"/>
  <c r="C16" i="67"/>
  <c r="AH16" i="68"/>
  <c r="AA16" i="68"/>
  <c r="AP18" i="68"/>
  <c r="AO18" i="68"/>
  <c r="AN18" i="68"/>
  <c r="AO16" i="68"/>
  <c r="AN16" i="68"/>
  <c r="AP16" i="68"/>
  <c r="D16" i="68"/>
  <c r="C16" i="68"/>
  <c r="P16" i="68"/>
  <c r="B16" i="68"/>
  <c r="AH16" i="64"/>
  <c r="AK16" i="64"/>
  <c r="AV31" i="58"/>
  <c r="AY43" i="58"/>
  <c r="G16" i="64"/>
  <c r="M18" i="64"/>
  <c r="L18" i="64"/>
  <c r="K18" i="64"/>
  <c r="M16" i="64"/>
  <c r="L16" i="64"/>
  <c r="K16" i="64"/>
  <c r="P16" i="65"/>
  <c r="M16" i="65"/>
  <c r="L16" i="65"/>
  <c r="K16" i="65"/>
  <c r="M18" i="65"/>
  <c r="L18" i="65"/>
  <c r="K18" i="65"/>
  <c r="D16" i="64"/>
  <c r="D16" i="65"/>
  <c r="B16" i="67"/>
  <c r="AA16" i="64"/>
  <c r="B16" i="65"/>
  <c r="B16" i="64"/>
  <c r="L16" i="63"/>
  <c r="L18" i="63"/>
  <c r="K18" i="63"/>
  <c r="K18" i="62"/>
  <c r="L18" i="62"/>
  <c r="M18" i="62"/>
  <c r="AK43" i="56"/>
  <c r="AH31" i="55"/>
  <c r="H19" i="55"/>
  <c r="P16" i="44"/>
  <c r="M16" i="44"/>
  <c r="L16" i="44"/>
  <c r="K16" i="44"/>
  <c r="I16" i="44"/>
  <c r="H16" i="44"/>
  <c r="G16" i="44"/>
  <c r="D16" i="44"/>
  <c r="C16" i="44"/>
  <c r="B16" i="44"/>
  <c r="AH16" i="43"/>
  <c r="AA16" i="43"/>
  <c r="P16" i="43"/>
  <c r="M16" i="43"/>
  <c r="L16" i="43"/>
  <c r="K16" i="43"/>
  <c r="I16" i="43"/>
  <c r="H16" i="43"/>
  <c r="G16" i="43"/>
  <c r="D16" i="43"/>
  <c r="C16" i="43"/>
  <c r="B16" i="43"/>
  <c r="AH16" i="28"/>
  <c r="H16" i="27"/>
  <c r="P16" i="27"/>
  <c r="H16" i="9"/>
</calcChain>
</file>

<file path=xl/sharedStrings.xml><?xml version="1.0" encoding="utf-8"?>
<sst xmlns="http://schemas.openxmlformats.org/spreadsheetml/2006/main" count="37306" uniqueCount="1362">
  <si>
    <t>Priority</t>
  </si>
  <si>
    <t>Language</t>
  </si>
  <si>
    <t>3a</t>
  </si>
  <si>
    <t>3b</t>
  </si>
  <si>
    <t>3c</t>
  </si>
  <si>
    <t>LATĪNUM</t>
  </si>
  <si>
    <t>LAT</t>
  </si>
  <si>
    <t>*</t>
  </si>
  <si>
    <t>português europeu</t>
  </si>
  <si>
    <t>Portuguese</t>
  </si>
  <si>
    <t>português brasileiro</t>
  </si>
  <si>
    <t>Brazilian Portuguese</t>
  </si>
  <si>
    <t>galego</t>
  </si>
  <si>
    <t>Galician</t>
  </si>
  <si>
    <t>asturlleonés</t>
  </si>
  <si>
    <t>Astur-Leonese</t>
  </si>
  <si>
    <t>castellano</t>
  </si>
  <si>
    <t>Castilian Spanish</t>
  </si>
  <si>
    <t>='002 B-'!10</t>
  </si>
  <si>
    <t>='003 T-'!10</t>
  </si>
  <si>
    <t>andaluz</t>
  </si>
  <si>
    <t>Andalusian Spanish</t>
  </si>
  <si>
    <t>español de América</t>
  </si>
  <si>
    <t>American Spanish</t>
  </si>
  <si>
    <t>aragonés</t>
  </si>
  <si>
    <t>Aragonese</t>
  </si>
  <si>
    <t>català</t>
  </si>
  <si>
    <t>Catalan</t>
  </si>
  <si>
    <t>valencià</t>
  </si>
  <si>
    <t>Valencian</t>
  </si>
  <si>
    <t>balear</t>
  </si>
  <si>
    <t>Balearic</t>
  </si>
  <si>
    <t>occitan</t>
  </si>
  <si>
    <t>Occitan</t>
  </si>
  <si>
    <t>gascon</t>
  </si>
  <si>
    <t>Gascon</t>
  </si>
  <si>
    <t>walon</t>
  </si>
  <si>
    <t>Walloon</t>
  </si>
  <si>
    <t>français européen</t>
  </si>
  <si>
    <t>French</t>
  </si>
  <si>
    <t>français québécois</t>
  </si>
  <si>
    <t>Québécois French</t>
  </si>
  <si>
    <t>arpetan</t>
  </si>
  <si>
    <t>Arpitan</t>
  </si>
  <si>
    <t>lìgure</t>
  </si>
  <si>
    <t>Ligurian</t>
  </si>
  <si>
    <t>lombard</t>
  </si>
  <si>
    <t>Lombard</t>
  </si>
  <si>
    <t>rumantsch</t>
  </si>
  <si>
    <t>Romansh</t>
  </si>
  <si>
    <t>furlan</t>
  </si>
  <si>
    <t>Friulian</t>
  </si>
  <si>
    <t>sardu logudoresu</t>
  </si>
  <si>
    <t>Logudorese Sardinian</t>
  </si>
  <si>
    <t>sardu campidanesu</t>
  </si>
  <si>
    <t>Campidanese Sardinian</t>
  </si>
  <si>
    <t>corsu</t>
  </si>
  <si>
    <t>Corsican</t>
  </si>
  <si>
    <t>italiano</t>
  </si>
  <si>
    <t>Italian</t>
  </si>
  <si>
    <t>abbruzzese</t>
  </si>
  <si>
    <t>Abruzzese</t>
  </si>
  <si>
    <t>campane-molisane</t>
  </si>
  <si>
    <t>Campano-Molisan</t>
  </si>
  <si>
    <t>pugghiese</t>
  </si>
  <si>
    <t>Pugliese</t>
  </si>
  <si>
    <t>sicilianu</t>
  </si>
  <si>
    <t>Sicilian</t>
  </si>
  <si>
    <t>vèneto</t>
  </si>
  <si>
    <t>Venetan</t>
  </si>
  <si>
    <t>armãneashti</t>
  </si>
  <si>
    <t>Aromanian</t>
  </si>
  <si>
    <t>română</t>
  </si>
  <si>
    <t>Romanian</t>
  </si>
  <si>
    <t>A - Consonantism</t>
  </si>
  <si>
    <t>1. Initial Position</t>
  </si>
  <si>
    <t>1.1 Simple consonants</t>
  </si>
  <si>
    <t>Number</t>
  </si>
  <si>
    <t>Latin Reference Words</t>
  </si>
  <si>
    <t>Treatment</t>
  </si>
  <si>
    <t>B-</t>
  </si>
  <si>
    <t>BASSU, BĀSIU, BŎVE, BOLĒTU, BŬCCA, BŬXU</t>
  </si>
  <si>
    <t>Environment</t>
  </si>
  <si>
    <t>#_{a,O}</t>
  </si>
  <si>
    <t>Languages</t>
  </si>
  <si>
    <t>EU
POR</t>
  </si>
  <si>
    <t>BR
POR</t>
  </si>
  <si>
    <t>GAL</t>
  </si>
  <si>
    <t>ASL</t>
  </si>
  <si>
    <t>CAS
ESP</t>
  </si>
  <si>
    <t>AND
ESP</t>
  </si>
  <si>
    <t>AMR
ESP</t>
  </si>
  <si>
    <t>ARG</t>
  </si>
  <si>
    <t>CAT</t>
  </si>
  <si>
    <t>VAL</t>
  </si>
  <si>
    <t>BAL</t>
  </si>
  <si>
    <t>OCC</t>
  </si>
  <si>
    <t>GAS
OCC</t>
  </si>
  <si>
    <t>EU
FRA</t>
  </si>
  <si>
    <t>QBC
FRA</t>
  </si>
  <si>
    <t>WAL</t>
  </si>
  <si>
    <t>ARP</t>
  </si>
  <si>
    <t>LIG</t>
  </si>
  <si>
    <t>LMO</t>
  </si>
  <si>
    <t>RMH</t>
  </si>
  <si>
    <t>FUR</t>
  </si>
  <si>
    <t>LOG
SRD</t>
  </si>
  <si>
    <t>CPN
SRD</t>
  </si>
  <si>
    <t>COR</t>
  </si>
  <si>
    <t>ITA</t>
  </si>
  <si>
    <t>ABR</t>
  </si>
  <si>
    <t>CAM</t>
  </si>
  <si>
    <t>PGL</t>
  </si>
  <si>
    <t>SCN</t>
  </si>
  <si>
    <t>VEN</t>
  </si>
  <si>
    <t>ARO</t>
  </si>
  <si>
    <t>ROM</t>
  </si>
  <si>
    <t>Grapheme</t>
  </si>
  <si>
    <t>B</t>
  </si>
  <si>
    <t>b</t>
  </si>
  <si>
    <t>v?</t>
  </si>
  <si>
    <t>IPA</t>
  </si>
  <si>
    <t>IPA key</t>
  </si>
  <si>
    <t>Consonantal +/−</t>
  </si>
  <si>
    <t>+</t>
  </si>
  <si>
    <t>Voice +/−</t>
  </si>
  <si>
    <t>Sibilant +/−</t>
  </si>
  <si>
    <t>−</t>
  </si>
  <si>
    <t>Lateral +/−</t>
  </si>
  <si>
    <t>Place of articulation</t>
  </si>
  <si>
    <t>Place value</t>
  </si>
  <si>
    <t>Manner of articulation</t>
  </si>
  <si>
    <t>P</t>
  </si>
  <si>
    <t>Sonority value</t>
  </si>
  <si>
    <t>Overview of common sound changes</t>
  </si>
  <si>
    <t>b // #_{a,O}</t>
  </si>
  <si>
    <t>typically /b/</t>
  </si>
  <si>
    <t>BĔLLU, BĔNE, BĬBĔRE, BILĂNCIA, BITTŪME, BĪSTIA</t>
  </si>
  <si>
    <t>#_E</t>
  </si>
  <si>
    <t>b // #_E</t>
  </si>
  <si>
    <t>T-</t>
  </si>
  <si>
    <t>003a) TĒ, TĒGULA, TĬNGERE; 003b) TENĒRE, TĔRRA, TĔRTIU, TĔSTA, TĔXERE; 003c) TĪTIŌNE</t>
  </si>
  <si>
    <t>T</t>
  </si>
  <si>
    <t>t</t>
  </si>
  <si>
    <t>ts</t>
  </si>
  <si>
    <t>ț</t>
  </si>
  <si>
    <t>t̪</t>
  </si>
  <si>
    <t>t͡s̪</t>
  </si>
  <si>
    <t>t̠͡ʃ</t>
  </si>
  <si>
    <t>D</t>
  </si>
  <si>
    <t>Ɉ</t>
  </si>
  <si>
    <t>P͡F</t>
  </si>
  <si>
    <t>003a,b</t>
  </si>
  <si>
    <t>003a</t>
  </si>
  <si>
    <t>003b,c</t>
  </si>
  <si>
    <t>003c</t>
  </si>
  <si>
    <t>003a: t // #_{ĕNC,ē,ĭ}</t>
  </si>
  <si>
    <t>typically /t/</t>
  </si>
  <si>
    <t>003b: t / ? / #_{ĕ²}</t>
  </si>
  <si>
    <t>/t͡s/ in ARO,ROM</t>
  </si>
  <si>
    <t>003c: t / ? / #_ī</t>
  </si>
  <si>
    <t>/t͡ʃ/ in BR.POR</t>
  </si>
  <si>
    <t>Romanian: t͡s̪</t>
  </si>
  <si>
    <r>
      <rPr>
        <sz val="12"/>
        <color rgb="FF000000"/>
        <rFont val="Tahoma"/>
      </rPr>
      <t xml:space="preserve">1) ē; ĭ; stressed /ĕ/~/æ/ followed by a cluster /NC/ (&gt; ERom. /e/)
2) stressed /ĕ/~/æ/ </t>
    </r>
    <r>
      <rPr>
        <i/>
        <sz val="12"/>
        <color rgb="FF000000"/>
        <rFont val="Tahoma"/>
      </rPr>
      <t>*not*</t>
    </r>
    <r>
      <rPr>
        <sz val="12"/>
        <color rgb="FF000000"/>
        <rFont val="Tahoma"/>
      </rPr>
      <t xml:space="preserve"> followed by a cluster /NC/ (&gt; ERom. /je/)
3) i + vowel (consonantal /i/) (&gt; ERom. /j/)
4) long /i:/ (&gt; ERom. /i/), if not elided</t>
    </r>
  </si>
  <si>
    <t>TĀBŬLA, TĂNGERE, TĂXU/TAXŎNE, TOCCĀRE, TŎRCULU, TŬRRE, TŪ</t>
  </si>
  <si>
    <t>004a</t>
  </si>
  <si>
    <t>004b</t>
  </si>
  <si>
    <t>004a: t // #_{a,o,ŭ}</t>
  </si>
  <si>
    <t>004b: t // #_ū</t>
  </si>
  <si>
    <t>D-</t>
  </si>
  <si>
    <t>005a) DĒ, DĒBĒRE, DĔNTE, DĬGĬTU;
005b) DĔCE, DĪCERE, DĪĒ/DĪA, DĪĀNA</t>
  </si>
  <si>
    <t>d</t>
  </si>
  <si>
    <t>dz</t>
  </si>
  <si>
    <t>z</t>
  </si>
  <si>
    <t>d̪</t>
  </si>
  <si>
    <t>d̪~ɾ</t>
  </si>
  <si>
    <t>d͡z̪</t>
  </si>
  <si>
    <t>z̪</t>
  </si>
  <si>
    <t>d̠͡ʒ</t>
  </si>
  <si>
    <t>P~L</t>
  </si>
  <si>
    <t>F</t>
  </si>
  <si>
    <t>005a,b</t>
  </si>
  <si>
    <t>005a</t>
  </si>
  <si>
    <t>005b,c</t>
  </si>
  <si>
    <t>005c</t>
  </si>
  <si>
    <t>005a: d // #_{ĕNC,ē,ĭ}</t>
  </si>
  <si>
    <t>typically /d/</t>
  </si>
  <si>
    <t>005b: d /? / #_{ĕ³}</t>
  </si>
  <si>
    <t>/d͡z/ in ARO, /z/ in ROM</t>
  </si>
  <si>
    <t>005c: d / ? / #_ī</t>
  </si>
  <si>
    <t>/d͡ʒ/ in BR.POR</t>
  </si>
  <si>
    <t>/d͡z/ in ARO, QBC.FRA, /z/ in ROM</t>
  </si>
  <si>
    <t>DĂMNU, DĂRE, DŎMĬNA, DORMĪRE, DŬLCE, DŬO(S)</t>
  </si>
  <si>
    <t>006a</t>
  </si>
  <si>
    <t>006b</t>
  </si>
  <si>
    <t>006a: d // #_{a,o,ŭ}</t>
  </si>
  <si>
    <t>006b: d // #_ū</t>
  </si>
  <si>
    <t>C-</t>
  </si>
  <si>
    <t>007a: CĬNĔRE, CÆLU, CĔRĔBĔLLU, CĔNTU, CĔRĔSĔA, CĒPA, CĬCĔRU, CĬLĬU; 007b: CĪNCTU, CĪMĬCE, CĪVĬTĀTE, CĪCCU</t>
  </si>
  <si>
    <t>C</t>
  </si>
  <si>
    <t>c</t>
  </si>
  <si>
    <t>sc</t>
  </si>
  <si>
    <t>tsch</t>
  </si>
  <si>
    <t>ch</t>
  </si>
  <si>
    <t>s/th</t>
  </si>
  <si>
    <t>k</t>
  </si>
  <si>
    <t>s</t>
  </si>
  <si>
    <t>θ (s)</t>
  </si>
  <si>
    <t>θ</t>
  </si>
  <si>
    <t>s̟</t>
  </si>
  <si>
    <t>s̠</t>
  </si>
  <si>
    <t>s̪</t>
  </si>
  <si>
    <t>ʃ~s̠</t>
  </si>
  <si>
    <t>t̠͡ʃ~s̠?</t>
  </si>
  <si>
    <t>s̠~θ</t>
  </si>
  <si>
    <t>+/−</t>
  </si>
  <si>
    <t>K</t>
  </si>
  <si>
    <t>Ɉ~D</t>
  </si>
  <si>
    <t>007a: k / ? / #_{e,ĭ}</t>
  </si>
  <si>
    <t>/k/ in LOG.SRD, DAL</t>
  </si>
  <si>
    <t>/t͡ʃ/ in ITA, ROM</t>
  </si>
  <si>
    <t>/s/ in POR, AND.ESP, AMR.ESP, CVB, FRA</t>
  </si>
  <si>
    <t>/θ/ in CAS.ESP</t>
  </si>
  <si>
    <t>007b: k / ? / #_ī</t>
  </si>
  <si>
    <t>/k/ in LOG.SRD</t>
  </si>
  <si>
    <t>008a: CĂPRA, CĂRBŌNE, CĂNTĀRE;
008b: CĂTTU, CĂRY̆ŎPHY̆LLU</t>
  </si>
  <si>
    <t>#_a</t>
  </si>
  <si>
    <r>
      <rPr>
        <sz val="12"/>
        <color rgb="FF000000"/>
        <rFont val="Tahoma"/>
      </rPr>
      <t>c</t>
    </r>
    <r>
      <rPr>
        <sz val="9"/>
        <color rgb="FF000000"/>
        <rFont val="Tahoma"/>
      </rPr>
      <t xml:space="preserve"> (ch)</t>
    </r>
  </si>
  <si>
    <t>tch</t>
  </si>
  <si>
    <t>cj</t>
  </si>
  <si>
    <r>
      <rPr>
        <sz val="12"/>
        <color rgb="FF000000"/>
        <rFont val="Tahoma"/>
      </rPr>
      <t>k</t>
    </r>
    <r>
      <rPr>
        <sz val="9"/>
        <color rgb="FF000000"/>
        <rFont val="Tahoma"/>
      </rPr>
      <t xml:space="preserve"> (t͡s)</t>
    </r>
  </si>
  <si>
    <t>ʃ</t>
  </si>
  <si>
    <t>t̠͡ʃ~θ</t>
  </si>
  <si>
    <t>k~c</t>
  </si>
  <si>
    <t>c~t̠͡ʃ</t>
  </si>
  <si>
    <t>−/+</t>
  </si>
  <si>
    <r>
      <rPr>
        <sz val="12"/>
        <color rgb="FF000000"/>
        <rFont val="Tahoma"/>
      </rPr>
      <t>+</t>
    </r>
    <r>
      <rPr>
        <sz val="9"/>
        <color rgb="FF000000"/>
        <rFont val="Tahoma"/>
      </rPr>
      <t xml:space="preserve"> (−)</t>
    </r>
  </si>
  <si>
    <r>
      <rPr>
        <sz val="12"/>
        <color rgb="FF000000"/>
        <rFont val="Tahoma"/>
      </rPr>
      <t>K</t>
    </r>
    <r>
      <rPr>
        <sz val="9"/>
        <color rgb="FF000000"/>
        <rFont val="Tahoma"/>
      </rPr>
      <t xml:space="preserve"> (Ɉ)</t>
    </r>
  </si>
  <si>
    <t>K~Ɉ</t>
  </si>
  <si>
    <r>
      <rPr>
        <sz val="12"/>
        <color rgb="FF000000"/>
        <rFont val="Tahoma"/>
      </rPr>
      <t>P</t>
    </r>
    <r>
      <rPr>
        <sz val="9"/>
        <color rgb="FF000000"/>
        <rFont val="Tahoma"/>
      </rPr>
      <t xml:space="preserve"> (P͡F)</t>
    </r>
  </si>
  <si>
    <t>P͡F~F</t>
  </si>
  <si>
    <t>P~P͡F</t>
  </si>
  <si>
    <t>008a: k / ? / #_a</t>
  </si>
  <si>
    <t>typically /k/</t>
  </si>
  <si>
    <t>palatalized to /(t)ʃ/ in Gallo-Romance</t>
  </si>
  <si>
    <t>008b: k / ɡ / #_a</t>
  </si>
  <si>
    <t>typically /ɡ/</t>
  </si>
  <si>
    <t>palatalized to /(d)ʒ/ in Gallo-Romance</t>
  </si>
  <si>
    <t>009a) CŎCERE, CŎLLU, CŎLŌRE, CŬM, CŬNĪCŬLU; 009b) CŬBĬTU</t>
  </si>
  <si>
    <t>#_{o,ŭ}</t>
  </si>
  <si>
    <t>g</t>
  </si>
  <si>
    <t>ɡ</t>
  </si>
  <si>
    <t>009a</t>
  </si>
  <si>
    <t>009b</t>
  </si>
  <si>
    <t>009a: k // #_{o,ŭ}</t>
  </si>
  <si>
    <t>009b: k / ɡ / #_{o,ŭ}</t>
  </si>
  <si>
    <t>CŪLU, CŪRA, CŪNA</t>
  </si>
  <si>
    <t>#_ū</t>
  </si>
  <si>
    <t>k // #_ū</t>
  </si>
  <si>
    <t>G-</t>
  </si>
  <si>
    <t>GĔNĔRU, GĔLU, GY̆PSU</t>
  </si>
  <si>
    <t>ˈ#_E</t>
  </si>
  <si>
    <t>G</t>
  </si>
  <si>
    <t>x</t>
  </si>
  <si>
    <t>y</t>
  </si>
  <si>
    <t>dj</t>
  </si>
  <si>
    <t>sg</t>
  </si>
  <si>
    <t>sch</t>
  </si>
  <si>
    <t>ghj</t>
  </si>
  <si>
    <t>j</t>
  </si>
  <si>
    <t>z/dh</t>
  </si>
  <si>
    <t>ʒ</t>
  </si>
  <si>
    <t>ɟ͡ʝ</t>
  </si>
  <si>
    <t>d͡z~ð</t>
  </si>
  <si>
    <r>
      <rPr>
        <sz val="12"/>
        <color rgb="FF000000"/>
        <rFont val="Tahoma"/>
      </rPr>
      <t>z</t>
    </r>
    <r>
      <rPr>
        <sz val="10"/>
        <color rgb="FF000000"/>
        <rFont val="Tahoma"/>
      </rPr>
      <t xml:space="preserve"> (d͡z)</t>
    </r>
  </si>
  <si>
    <t>d̠͡ʒ~z</t>
  </si>
  <si>
    <t>d̠͡ʒ~ʃ</t>
  </si>
  <si>
    <t>ɟ</t>
  </si>
  <si>
    <t>z̠~ð</t>
  </si>
  <si>
    <r>
      <rPr>
        <sz val="12"/>
        <color rgb="FF000000"/>
        <rFont val="Tahoma"/>
      </rPr>
      <t>F</t>
    </r>
    <r>
      <rPr>
        <sz val="10.5"/>
        <color rgb="FF000000"/>
        <rFont val="Tahoma"/>
      </rPr>
      <t xml:space="preserve"> (P͡F)</t>
    </r>
  </si>
  <si>
    <t>W</t>
  </si>
  <si>
    <t>ɡ / ? / ˈ#_E</t>
  </si>
  <si>
    <t>typically palatalized to /(d̠͡)ʒ/</t>
  </si>
  <si>
    <t>/ɟ͡ʝ/ in ESP</t>
  </si>
  <si>
    <t>GĔLĀRE, GENŬCŬLU, GENĔSTA, GĬNGĪVA</t>
  </si>
  <si>
    <t>#_E.ˈ</t>
  </si>
  <si>
    <t>h/∅</t>
  </si>
  <si>
    <t>∅</t>
  </si>
  <si>
    <t>g / ? / #_E.ˈ</t>
  </si>
  <si>
    <t>∅ in ESP</t>
  </si>
  <si>
    <t>GĂLLU, GĂLLĪNA, GĂLBĬNU, GĂUDĬU, GĂLLA</t>
  </si>
  <si>
    <r>
      <rPr>
        <sz val="12"/>
        <color rgb="FF000000"/>
        <rFont val="Tahoma"/>
      </rPr>
      <t>g</t>
    </r>
    <r>
      <rPr>
        <sz val="9"/>
        <color rgb="FF000000"/>
        <rFont val="Tahoma"/>
      </rPr>
      <t xml:space="preserve"> (gh)</t>
    </r>
  </si>
  <si>
    <r>
      <rPr>
        <sz val="12"/>
        <color rgb="FF000000"/>
        <rFont val="Tahoma"/>
      </rPr>
      <t>g</t>
    </r>
    <r>
      <rPr>
        <sz val="9"/>
        <color rgb="FF000000"/>
        <rFont val="Tahoma"/>
      </rPr>
      <t xml:space="preserve"> (j)</t>
    </r>
  </si>
  <si>
    <t>j/g</t>
  </si>
  <si>
    <t>gi</t>
  </si>
  <si>
    <t>gj</t>
  </si>
  <si>
    <t>g/j</t>
  </si>
  <si>
    <t>ɡ (ħ)</t>
  </si>
  <si>
    <r>
      <rPr>
        <sz val="12"/>
        <color rgb="FF000000"/>
        <rFont val="Tahoma"/>
      </rPr>
      <t>ɡ</t>
    </r>
    <r>
      <rPr>
        <sz val="9"/>
        <color rgb="FF000000"/>
        <rFont val="Tahoma"/>
      </rPr>
      <t xml:space="preserve"> (d͡z)</t>
    </r>
  </si>
  <si>
    <t>ɟ~d̠͡ʒ</t>
  </si>
  <si>
    <t>ɡ~j</t>
  </si>
  <si>
    <t>+ (−)</t>
  </si>
  <si>
    <t>K (H)</t>
  </si>
  <si>
    <t>P (F)</t>
  </si>
  <si>
    <t>P~W</t>
  </si>
  <si>
    <t>ɡ / ? / #_a</t>
  </si>
  <si>
    <t>palatalized to /(d̠͡)ʒ/ in Gallo-Romance</t>
  </si>
  <si>
    <t>GŬBĔRNĀRE, GŬLA, GŬRGU, GŬSTĀRE, GŬTTA</t>
  </si>
  <si>
    <t>#_O</t>
  </si>
  <si>
    <t>ɡ // #_O</t>
  </si>
  <si>
    <t>N-</t>
  </si>
  <si>
    <t>NĬVE/NĔVE, NEPŌTE</t>
  </si>
  <si>
    <t>N</t>
  </si>
  <si>
    <t>n</t>
  </si>
  <si>
    <t>n/ñ</t>
  </si>
  <si>
    <t>n~ɲ</t>
  </si>
  <si>
    <t>D~Ɉ</t>
  </si>
  <si>
    <t>n // #_E</t>
  </si>
  <si>
    <t>typically /n/</t>
  </si>
  <si>
    <t>NŬRA/NŎRA, NŌMEN/NŌMĬNE, NĀSU, NATĀRE</t>
  </si>
  <si>
    <t>n // #_{a,O}</t>
  </si>
  <si>
    <t>M-</t>
  </si>
  <si>
    <t>MĂNU, MĒ, MĬLLE, MŎLLE, MŬLTU</t>
  </si>
  <si>
    <t>#_</t>
  </si>
  <si>
    <t>M</t>
  </si>
  <si>
    <t>m</t>
  </si>
  <si>
    <t>m // #_</t>
  </si>
  <si>
    <t>typically /m/</t>
  </si>
  <si>
    <t>F-</t>
  </si>
  <si>
    <t>FŎCU, FĔRA, FĔBRE, FŎNTE, FŎRĪS; FŎSSA</t>
  </si>
  <si>
    <t>ˈ#_{ĕ,ŏ}</t>
  </si>
  <si>
    <t>f</t>
  </si>
  <si>
    <r>
      <rPr>
        <sz val="12"/>
        <color rgb="FF000000"/>
        <rFont val="Tahoma"/>
      </rPr>
      <t>f</t>
    </r>
    <r>
      <rPr>
        <sz val="9"/>
        <color rgb="FF000000"/>
        <rFont val="Tahoma"/>
      </rPr>
      <t xml:space="preserve"> (ḥ)</t>
    </r>
  </si>
  <si>
    <t>ɸ~f</t>
  </si>
  <si>
    <r>
      <rPr>
        <sz val="12"/>
        <color rgb="FF000000"/>
        <rFont val="Tahoma"/>
      </rPr>
      <t>f</t>
    </r>
    <r>
      <rPr>
        <sz val="9"/>
        <color rgb="FF000000"/>
        <rFont val="Tahoma"/>
      </rPr>
      <t xml:space="preserve"> (h)</t>
    </r>
  </si>
  <si>
    <r>
      <rPr>
        <sz val="12"/>
        <color rgb="FF000000"/>
        <rFont val="Tahoma"/>
      </rPr>
      <t>B</t>
    </r>
    <r>
      <rPr>
        <sz val="9"/>
        <color rgb="FF000000"/>
        <rFont val="Tahoma"/>
      </rPr>
      <t xml:space="preserve"> (H)</t>
    </r>
  </si>
  <si>
    <t>f / ? / ˈ#_{ĕ,ŏ}</t>
  </si>
  <si>
    <t>typically /f/</t>
  </si>
  <si>
    <r>
      <rPr>
        <sz val="12"/>
        <color rgb="FF000000"/>
        <rFont val="Tahoma"/>
      </rPr>
      <t xml:space="preserve">17b: FŎSSA &gt; Spanish </t>
    </r>
    <r>
      <rPr>
        <i/>
        <sz val="12"/>
        <color rgb="FF000000"/>
        <rFont val="Tahoma"/>
      </rPr>
      <t>huesa</t>
    </r>
    <r>
      <rPr>
        <sz val="12"/>
        <color rgb="FF000000"/>
        <rFont val="Tahoma"/>
      </rPr>
      <t xml:space="preserve">, against expected /f/ (cf. also </t>
    </r>
    <r>
      <rPr>
        <i/>
        <sz val="12"/>
        <color rgb="FF000000"/>
        <rFont val="Tahoma"/>
      </rPr>
      <t>fosa</t>
    </r>
    <r>
      <rPr>
        <sz val="12"/>
        <color rgb="FF000000"/>
        <rFont val="Tahoma"/>
      </rPr>
      <t>)</t>
    </r>
  </si>
  <si>
    <t>FĂRĪNA, FÆNU/FĒNU, FĒMINA, FŬRNU, FŬRCA, FŪMU, FĂBA</t>
  </si>
  <si>
    <t>#_{a,ē,i,ō,u}</t>
  </si>
  <si>
    <t>h</t>
  </si>
  <si>
    <t>h~∅</t>
  </si>
  <si>
    <t>H</t>
  </si>
  <si>
    <t>F~∅</t>
  </si>
  <si>
    <t>f / ? / #_{a,ē,i,ō,u}</t>
  </si>
  <si>
    <t>V-</t>
  </si>
  <si>
    <t>VĪNEA, VĬTĔLLU, VĪCĪNU/*VECĪNU, *VĬRDE, VĔSPA, *VESSĪCA</t>
  </si>
  <si>
    <t>V</t>
  </si>
  <si>
    <t>v</t>
  </si>
  <si>
    <t>w</t>
  </si>
  <si>
    <t>b~v</t>
  </si>
  <si>
    <t>BK</t>
  </si>
  <si>
    <t>P~F</t>
  </si>
  <si>
    <t>w // #_E</t>
  </si>
  <si>
    <t>typically /v/</t>
  </si>
  <si>
    <t>020a) VĂCCA, VŬLPĔ, VOLĒRĔ, VŎLŬTA, VŬLTŬRĔ; 020b) VŎLVĔRĔ</t>
  </si>
  <si>
    <t>020a: w // #_{a,O}</t>
  </si>
  <si>
    <t>020b: w / ? / #_{a,O}</t>
  </si>
  <si>
    <t>/h/ in ROM</t>
  </si>
  <si>
    <t>S-</t>
  </si>
  <si>
    <t>021a) SĬCCU, SĒBU, SĬTĬ, SĬGNU;
021b) SĔRVU, SĔPTĔ, SĪMĬU/SĪMĬA, SĪC</t>
  </si>
  <si>
    <t>S</t>
  </si>
  <si>
    <t>ș</t>
  </si>
  <si>
    <r>
      <rPr>
        <sz val="12"/>
        <color rgb="FF000000"/>
        <rFont val="Tahoma"/>
      </rPr>
      <t>s</t>
    </r>
    <r>
      <rPr>
        <sz val="10.5"/>
        <color rgb="FF000000"/>
        <rFont val="Tahoma"/>
      </rPr>
      <t xml:space="preserve"> (s̠)</t>
    </r>
  </si>
  <si>
    <t>s̠~s</t>
  </si>
  <si>
    <t>021a</t>
  </si>
  <si>
    <t>021b,c</t>
  </si>
  <si>
    <t>021a: s // ˈ#_{ĕNC,ē,ĭ}</t>
  </si>
  <si>
    <t>typically /s/</t>
  </si>
  <si>
    <t>021b: s / ? / ˈ#_{ĕ³,ī}</t>
  </si>
  <si>
    <t>/ʃ/ in ROM</t>
  </si>
  <si>
    <t>Romanian:</t>
  </si>
  <si>
    <t>1) long /i:/ (&gt; ERom. /i/), if not elided.
2) i + vowel (consonantal /i/) (&gt; ERom. /j/)
3) stressed short /e/ ~ /ae/ *not* followed by a nasal cluster /NC/ (&gt; ERom. /je/)</t>
  </si>
  <si>
    <t>022a) SĬGĔLLU/SĬGĬLLU, SĬCCĀRE, SĔNTĪRE, SĒMINĀRE; 022b) SĔCĀRE, SÆTĂCĬU</t>
  </si>
  <si>
    <t>#_Eˈ</t>
  </si>
  <si>
    <t>022a</t>
  </si>
  <si>
    <t>022b,c</t>
  </si>
  <si>
    <t>022a: s // #_{ĕNC,ē,ĭ}ˈ</t>
  </si>
  <si>
    <t>022b: s / ? / #_{ĕ³,ī}ˈ</t>
  </si>
  <si>
    <t>SŎNU, SĀNU, SAPĒRE, SĀL[E], SŬBTU/-A</t>
  </si>
  <si>
    <t>s / ? / #_{a,O}</t>
  </si>
  <si>
    <t>H-</t>
  </si>
  <si>
    <t>024a) *HĂPPIA, *HĂGGIA, HĂRPA, *HERIWALD, *HĂSPA, HĒNRĪCUS; 024b) HĔRBA, HŎMŌ/HŎMĬNĔ</t>
  </si>
  <si>
    <r>
      <rPr>
        <sz val="12"/>
        <color rgb="FF000000"/>
        <rFont val="Tahoma"/>
      </rPr>
      <t>H</t>
    </r>
    <r>
      <rPr>
        <sz val="10.5"/>
        <color rgb="FF000000"/>
        <rFont val="Tahoma"/>
      </rPr>
      <t xml:space="preserve"> (∅)</t>
    </r>
  </si>
  <si>
    <t>∅/h</t>
  </si>
  <si>
    <t>024a</t>
  </si>
  <si>
    <t>024b</t>
  </si>
  <si>
    <t>h / ∅ / #_</t>
  </si>
  <si>
    <t>almost always silent</t>
  </si>
  <si>
    <t>(024a: Germanic-derived words)</t>
  </si>
  <si>
    <t>(024b: native Latin-derived words)</t>
  </si>
  <si>
    <t>R-</t>
  </si>
  <si>
    <t>RĪPA, RŎTA, RĀNA</t>
  </si>
  <si>
    <t>R</t>
  </si>
  <si>
    <t>r</t>
  </si>
  <si>
    <r>
      <rPr>
        <sz val="10.5"/>
        <color rgb="FF000000"/>
        <rFont val="Tahoma"/>
      </rPr>
      <t>ʁ</t>
    </r>
    <r>
      <rPr>
        <sz val="10"/>
        <color rgb="FF000000"/>
        <rFont val="Tahoma"/>
      </rPr>
      <t>~</t>
    </r>
    <r>
      <rPr>
        <sz val="10.5"/>
        <color rgb="FF000000"/>
        <rFont val="Tahoma"/>
      </rPr>
      <t>ʀ</t>
    </r>
    <r>
      <rPr>
        <sz val="8.5"/>
        <color rgb="FF000000"/>
        <rFont val="Tahoma"/>
      </rPr>
      <t xml:space="preserve"> (r)</t>
    </r>
  </si>
  <si>
    <t>x~h</t>
  </si>
  <si>
    <t>r̠</t>
  </si>
  <si>
    <r>
      <rPr>
        <sz val="12"/>
        <color rgb="FF000000"/>
        <rFont val="Tahoma"/>
      </rPr>
      <t>r</t>
    </r>
    <r>
      <rPr>
        <sz val="10.5"/>
        <color rgb="FF000000"/>
        <rFont val="Tahoma"/>
      </rPr>
      <t xml:space="preserve"> (ʀ)</t>
    </r>
  </si>
  <si>
    <r>
      <rPr>
        <sz val="12"/>
        <color rgb="FF000000"/>
        <rFont val="Tahoma"/>
      </rPr>
      <t>ʁ</t>
    </r>
    <r>
      <rPr>
        <sz val="10"/>
        <color rgb="FF000000"/>
        <rFont val="Tahoma"/>
      </rPr>
      <t xml:space="preserve"> (ʀ)</t>
    </r>
  </si>
  <si>
    <t>ʀ</t>
  </si>
  <si>
    <r>
      <rPr>
        <sz val="12"/>
        <color rgb="FF000000"/>
        <rFont val="Tahoma"/>
      </rPr>
      <t>r</t>
    </r>
    <r>
      <rPr>
        <sz val="10.5"/>
        <color rgb="FF000000"/>
        <rFont val="Tahoma"/>
      </rPr>
      <t xml:space="preserve"> (ʁ)</t>
    </r>
  </si>
  <si>
    <t>ʐː~rː</t>
  </si>
  <si>
    <t>r̪</t>
  </si>
  <si>
    <r>
      <rPr>
        <sz val="12"/>
        <color rgb="FF000000"/>
        <rFont val="Tahoma"/>
      </rPr>
      <t>Q</t>
    </r>
    <r>
      <rPr>
        <sz val="11"/>
        <color rgb="FF000000"/>
        <rFont val="Tahoma"/>
      </rPr>
      <t xml:space="preserve"> (D)</t>
    </r>
  </si>
  <si>
    <t>K~H</t>
  </si>
  <si>
    <r>
      <rPr>
        <sz val="12"/>
        <color rgb="FF000000"/>
        <rFont val="Tahoma"/>
      </rPr>
      <t>D</t>
    </r>
    <r>
      <rPr>
        <sz val="10.5"/>
        <color rgb="FF000000"/>
        <rFont val="Tahoma"/>
      </rPr>
      <t xml:space="preserve"> (Q)</t>
    </r>
  </si>
  <si>
    <t>Q</t>
  </si>
  <si>
    <t>L</t>
  </si>
  <si>
    <r>
      <rPr>
        <sz val="12"/>
        <color rgb="FF000000"/>
        <rFont val="Tahoma"/>
      </rPr>
      <t>L</t>
    </r>
    <r>
      <rPr>
        <sz val="11"/>
        <color rgb="FF000000"/>
        <rFont val="Tahoma"/>
      </rPr>
      <t xml:space="preserve"> (F)</t>
    </r>
  </si>
  <si>
    <r>
      <rPr>
        <sz val="12"/>
        <color rgb="FF000000"/>
        <rFont val="Tahoma"/>
      </rPr>
      <t>F</t>
    </r>
    <r>
      <rPr>
        <sz val="10"/>
        <color rgb="FF000000"/>
        <rFont val="Tahoma"/>
      </rPr>
      <t xml:space="preserve"> (L)</t>
    </r>
  </si>
  <si>
    <t>FF~LL</t>
  </si>
  <si>
    <t>r / ? / #_</t>
  </si>
  <si>
    <t>typically /r/</t>
  </si>
  <si>
    <t>/ʁ~ʀ/ in EU.POR, FRA</t>
  </si>
  <si>
    <t>/x~h/ in BR.POR</t>
  </si>
  <si>
    <t>L-</t>
  </si>
  <si>
    <t>LĪNU, LĔCTU, LĔPORE, LĬGĀRE</t>
  </si>
  <si>
    <t>l</t>
  </si>
  <si>
    <r>
      <rPr>
        <sz val="12"/>
        <color rgb="FF000000"/>
        <rFont val="Tahoma"/>
      </rPr>
      <t>ll</t>
    </r>
    <r>
      <rPr>
        <sz val="10.5"/>
        <color rgb="FF000000"/>
        <rFont val="Tahoma"/>
      </rPr>
      <t xml:space="preserve"> (ḷḷ)</t>
    </r>
  </si>
  <si>
    <r>
      <rPr>
        <sz val="12"/>
        <color rgb="FF000000"/>
        <rFont val="Tahoma"/>
      </rPr>
      <t>l</t>
    </r>
    <r>
      <rPr>
        <sz val="11"/>
        <color rgb="FF000000"/>
        <rFont val="Tahoma"/>
      </rPr>
      <t xml:space="preserve"> (ll)</t>
    </r>
  </si>
  <si>
    <t>ll</t>
  </si>
  <si>
    <t>ł</t>
  </si>
  <si>
    <t>gl</t>
  </si>
  <si>
    <t>ɫ̪</t>
  </si>
  <si>
    <r>
      <rPr>
        <sz val="10.5"/>
        <color rgb="FF000000"/>
        <rFont val="Tahoma"/>
      </rPr>
      <t>ȴ</t>
    </r>
    <r>
      <rPr>
        <sz val="8"/>
        <color rgb="FF000000"/>
        <rFont val="Tahoma"/>
      </rPr>
      <t>[ʎ̟] (ʈ͡ʂ)</t>
    </r>
  </si>
  <si>
    <r>
      <rPr>
        <sz val="12"/>
        <color rgb="FF000000"/>
        <rFont val="Tahoma"/>
      </rPr>
      <t>l</t>
    </r>
    <r>
      <rPr>
        <sz val="10.5"/>
        <color rgb="FF000000"/>
        <rFont val="Tahoma"/>
      </rPr>
      <t xml:space="preserve"> (ȴ)</t>
    </r>
  </si>
  <si>
    <r>
      <rPr>
        <sz val="12"/>
        <color rgb="FF000000"/>
        <rFont val="Tahoma"/>
      </rPr>
      <t>ȴ</t>
    </r>
    <r>
      <rPr>
        <sz val="10.5"/>
        <color rgb="FF000000"/>
        <rFont val="Tahoma"/>
      </rPr>
      <t xml:space="preserve"> [ʎ̟]</t>
    </r>
  </si>
  <si>
    <t>l~ɰ</t>
  </si>
  <si>
    <t>l̪ʲ</t>
  </si>
  <si>
    <r>
      <rPr>
        <sz val="12"/>
        <color rgb="FF000000"/>
        <rFont val="Tahoma"/>
      </rPr>
      <t>−</t>
    </r>
    <r>
      <rPr>
        <sz val="10"/>
        <color rgb="FF000000"/>
        <rFont val="Tahoma"/>
      </rPr>
      <t xml:space="preserve"> </t>
    </r>
    <r>
      <rPr>
        <sz val="9"/>
        <color rgb="FF000000"/>
        <rFont val="Tahoma"/>
      </rPr>
      <t>(+)</t>
    </r>
  </si>
  <si>
    <t>DQ</t>
  </si>
  <si>
    <r>
      <rPr>
        <sz val="12"/>
        <color rgb="FF000000"/>
        <rFont val="Tahoma"/>
      </rPr>
      <t>D</t>
    </r>
    <r>
      <rPr>
        <sz val="10.5"/>
        <color rgb="FF000000"/>
        <rFont val="Tahoma"/>
      </rPr>
      <t xml:space="preserve"> (Ɉ)</t>
    </r>
  </si>
  <si>
    <t>D~K</t>
  </si>
  <si>
    <t>LW</t>
  </si>
  <si>
    <r>
      <rPr>
        <sz val="11"/>
        <color rgb="FF000000"/>
        <rFont val="Tahoma"/>
      </rPr>
      <t>LW</t>
    </r>
    <r>
      <rPr>
        <sz val="8"/>
        <color rgb="FF000000"/>
        <rFont val="Tahoma"/>
      </rPr>
      <t xml:space="preserve"> (P͡F)</t>
    </r>
  </si>
  <si>
    <t>LW~W</t>
  </si>
  <si>
    <t>026a</t>
  </si>
  <si>
    <t>026a,b</t>
  </si>
  <si>
    <t>026b,c</t>
  </si>
  <si>
    <t>026c</t>
  </si>
  <si>
    <t>026a: l / ? / #_e</t>
  </si>
  <si>
    <t>typically /l/</t>
  </si>
  <si>
    <t>/ȴ/ [ʎ̟] in CVB</t>
  </si>
  <si>
    <t>026b: l / ? / #_ĭ</t>
  </si>
  <si>
    <t>026c: l / ? / #_ī</t>
  </si>
  <si>
    <t>/ȴ/ [ʎ̟] in CVB, RMH</t>
  </si>
  <si>
    <t>LĀNA, LŪNA, LŎNGU</t>
  </si>
  <si>
    <t>027a</t>
  </si>
  <si>
    <t>027b</t>
  </si>
  <si>
    <t>027a: l / ? / #_{a,o,ŭ}</t>
  </si>
  <si>
    <t>027b: l / ? / #_ū</t>
  </si>
  <si>
    <t>J-</t>
  </si>
  <si>
    <t>JŎCU, JŎCĀRE, JŬNCU, JŬGU, JŌANNE</t>
  </si>
  <si>
    <t>I</t>
  </si>
  <si>
    <t>j / ? / #_O</t>
  </si>
  <si>
    <t>/x~h/ in ESP</t>
  </si>
  <si>
    <t>JĂNUĀRIU/JĔNUĀRIU, JĒJŪNĀRE, JĬNĬPĔRU, JĔCTĀRE</t>
  </si>
  <si>
    <t>#_{a,E}ˈ</t>
  </si>
  <si>
    <t>g?</t>
  </si>
  <si>
    <t>j? gh?</t>
  </si>
  <si>
    <t>j / ? / #_{a,E}ˈ</t>
  </si>
  <si>
    <t>JĂCĔŌ, JĂM, JĂMBU, *JĂNTĀRE</t>
  </si>
  <si>
    <t>ˈ#_{a,E}</t>
  </si>
  <si>
    <t>j / ? / ˈ#_{a,E}</t>
  </si>
  <si>
    <t>31a</t>
  </si>
  <si>
    <t>W-</t>
  </si>
  <si>
    <t>031a) WĔRRA, WILIĔLMU, WĪTAN</t>
  </si>
  <si>
    <t>gu</t>
  </si>
  <si>
    <t>g/∅</t>
  </si>
  <si>
    <t>v~∅</t>
  </si>
  <si>
    <t>gʷ</t>
  </si>
  <si>
    <t>ɡ~∅</t>
  </si>
  <si>
    <t>P~∅</t>
  </si>
  <si>
    <t>UU</t>
  </si>
  <si>
    <t>o</t>
  </si>
  <si>
    <t>u</t>
  </si>
  <si>
    <t>u/∅</t>
  </si>
  <si>
    <t>u/v</t>
  </si>
  <si>
    <t>w~∅</t>
  </si>
  <si>
    <t>w~v</t>
  </si>
  <si>
    <t>BK~B</t>
  </si>
  <si>
    <t>W~∅</t>
  </si>
  <si>
    <t>W~F</t>
  </si>
  <si>
    <t>031a: w / ? / #_E</t>
  </si>
  <si>
    <t>/ɡw/ in ITA</t>
  </si>
  <si>
    <t>https://en.wiktionary.org/w/index.php?title=Category:Latin_terms_spelled_with_W&amp;from=W</t>
  </si>
  <si>
    <t>31b</t>
  </si>
  <si>
    <t>031b) WARDŌN, WADANIĀRE, WARĪRE, WARNĪRE, WANTU, WADIU, WAI, (WAPSA)</t>
  </si>
  <si>
    <t>ɡ~w</t>
  </si>
  <si>
    <t>K~BK</t>
  </si>
  <si>
    <t>031b: w / ? / #_{a,O}</t>
  </si>
  <si>
    <t>typically /ɡw/</t>
  </si>
  <si>
    <t>/ɡ/ in FRA</t>
  </si>
  <si>
    <t>1.2 Groups of two consonants</t>
  </si>
  <si>
    <t>PL-</t>
  </si>
  <si>
    <t>PLŬVĬA, PLĀNA, PLĀNU, PLĬCĀRE, PLŌRĀRE, PLĂNGĔRE</t>
  </si>
  <si>
    <t>p</t>
  </si>
  <si>
    <t>ci</t>
  </si>
  <si>
    <t>chi</t>
  </si>
  <si>
    <t>l (ll)</t>
  </si>
  <si>
    <t>i</t>
  </si>
  <si>
    <t>ʎ</t>
  </si>
  <si>
    <t>ɫ</t>
  </si>
  <si>
    <t>ʟ</t>
  </si>
  <si>
    <r>
      <rPr>
        <sz val="12"/>
        <color rgb="FF000000"/>
        <rFont val="Tahoma"/>
      </rPr>
      <t>l</t>
    </r>
    <r>
      <rPr>
        <sz val="10"/>
        <color rgb="FF000000"/>
        <rFont val="Tahoma"/>
      </rPr>
      <t xml:space="preserve"> (ȴ~j)</t>
    </r>
  </si>
  <si>
    <t>ɾ</t>
  </si>
  <si>
    <r>
      <rPr>
        <sz val="11.5"/>
        <color rgb="FF000000"/>
        <rFont val="Tahoma"/>
      </rPr>
      <t>LW</t>
    </r>
    <r>
      <rPr>
        <sz val="9"/>
        <color rgb="FF000000"/>
        <rFont val="Tahoma"/>
      </rPr>
      <t>(W)</t>
    </r>
  </si>
  <si>
    <t>032a</t>
  </si>
  <si>
    <t>032b</t>
  </si>
  <si>
    <r>
      <rPr>
        <sz val="11"/>
        <color rgb="FF000000"/>
        <rFont val="Tahoma"/>
      </rPr>
      <t>032a:</t>
    </r>
    <r>
      <rPr>
        <sz val="10.5"/>
        <color rgb="FF000000"/>
        <rFont val="Tahoma"/>
      </rPr>
      <t xml:space="preserve"> pl / ? / #_{a,e,O}
</t>
    </r>
    <r>
      <rPr>
        <sz val="12"/>
        <color rgb="FF000000"/>
        <rFont val="Tahoma"/>
      </rPr>
      <t>032b: pl / ? / #_i</t>
    </r>
  </si>
  <si>
    <t>/pl/ in CVB, FRA, ROM</t>
  </si>
  <si>
    <t>/ʃ/ in POR</t>
  </si>
  <si>
    <t>/pj/ in ITA</t>
  </si>
  <si>
    <t>/ʎ~ɟ͡ʝ/ in ESP</t>
  </si>
  <si>
    <t>BR-</t>
  </si>
  <si>
    <t>BRĂCCHIU, BRĂNCA, BRŪMA</t>
  </si>
  <si>
    <r>
      <rPr>
        <sz val="12"/>
        <color rgb="FF000000"/>
        <rFont val="Tahoma"/>
      </rPr>
      <t>ɾ</t>
    </r>
    <r>
      <rPr>
        <sz val="10.5"/>
        <color rgb="FF000000"/>
        <rFont val="Tahoma"/>
      </rPr>
      <t xml:space="preserve"> (ʀ)</t>
    </r>
  </si>
  <si>
    <t>bɾ // #_</t>
  </si>
  <si>
    <t>typically /bɾ/</t>
  </si>
  <si>
    <t>BL-</t>
  </si>
  <si>
    <t>034a) BLĂTTA, *BLĂNK (grm), BLĂVU/*BLĀO (grm), BLĂNDU; 034b) BLĬTU; 034c) BLĂSTĬMĀRE</t>
  </si>
  <si>
    <t>034a,c</t>
  </si>
  <si>
    <t>034a,b</t>
  </si>
  <si>
    <t>034b</t>
  </si>
  <si>
    <t>034c</t>
  </si>
  <si>
    <r>
      <rPr>
        <sz val="11.5"/>
        <color rgb="FF000000"/>
        <rFont val="Tahoma"/>
      </rPr>
      <t>034a: bl / ? / #_</t>
    </r>
    <r>
      <rPr>
        <sz val="11"/>
        <color rgb="FF000000"/>
        <rFont val="Tahoma"/>
      </rPr>
      <t>{a,e,O}</t>
    </r>
  </si>
  <si>
    <t>/bl/ in ESP, CVB, FRA, ROM</t>
  </si>
  <si>
    <t>/bj/ in ITA</t>
  </si>
  <si>
    <t>/bɾ/ in POR</t>
  </si>
  <si>
    <t>034b: bl / ? / #_i</t>
  </si>
  <si>
    <t>034c: bl / ? / #_</t>
  </si>
  <si>
    <t>TR-</t>
  </si>
  <si>
    <t>TRĒS, TRĂBE, TRĂHĔRE, TRĔMĔRE</t>
  </si>
  <si>
    <t>t̪~ʈ</t>
  </si>
  <si>
    <t>ʈ</t>
  </si>
  <si>
    <t>ɾ~ɽ</t>
  </si>
  <si>
    <t>ɽ</t>
  </si>
  <si>
    <t>tɾ // #_</t>
  </si>
  <si>
    <t>typically /tɾ/</t>
  </si>
  <si>
    <t>DR-</t>
  </si>
  <si>
    <t>DRĂPPU, DIRECTU &gt; D(I)RITTU</t>
  </si>
  <si>
    <t>d̪~ɖ</t>
  </si>
  <si>
    <t>ɖ</t>
  </si>
  <si>
    <t>dɾ // #_</t>
  </si>
  <si>
    <t>typically /dɾ/</t>
  </si>
  <si>
    <t>CR-</t>
  </si>
  <si>
    <t>037a) CRĪTĀRE, CRŬCE, CRĬSTA, CRŬSTA;
037b) CRĀTE, CRĂSSU/-ĬA</t>
  </si>
  <si>
    <t>037a: kɾ // #_</t>
  </si>
  <si>
    <t>typically /kɾ/</t>
  </si>
  <si>
    <t>037b: kɾ / ɡr / #_</t>
  </si>
  <si>
    <t>typically voiced to /ɡr/</t>
  </si>
  <si>
    <t>CL-</t>
  </si>
  <si>
    <t>038a) CLĀVE, CLAUDERE, CLAUDU, CLĀMĀRE;
038b) CLĂSSU, *CLŌCIĀRE; 038c) CLĪNĀRE</t>
  </si>
  <si>
    <t>chj</t>
  </si>
  <si>
    <t>ȶ~k</t>
  </si>
  <si>
    <t>Ɉ~K</t>
  </si>
  <si>
    <t>lj</t>
  </si>
  <si>
    <t>l~j</t>
  </si>
  <si>
    <t>j~∅</t>
  </si>
  <si>
    <t>038a,b</t>
  </si>
  <si>
    <t>038a</t>
  </si>
  <si>
    <t>038b</t>
  </si>
  <si>
    <t>038c</t>
  </si>
  <si>
    <t>038a: kl / ? / #_{a,O}</t>
  </si>
  <si>
    <t>/kl/ in CVB, FRA</t>
  </si>
  <si>
    <t>/kj/ in ITA, ROM</t>
  </si>
  <si>
    <t>038b: kl / ɡl / #_{a,O}</t>
  </si>
  <si>
    <t>voices to /ɡl/ in FRA</t>
  </si>
  <si>
    <t>038c: kl / ɡl / #_i</t>
  </si>
  <si>
    <t>QU-</t>
  </si>
  <si>
    <t>039a) QUĂTT(Ŭ)ŎR, QUĀRTU;
039b) QUĂNDŌ, QUĂNTU</t>
  </si>
  <si>
    <t>ˈ#_a</t>
  </si>
  <si>
    <t>QV</t>
  </si>
  <si>
    <t>q</t>
  </si>
  <si>
    <t>qu</t>
  </si>
  <si>
    <t>kʷ</t>
  </si>
  <si>
    <t>039a</t>
  </si>
  <si>
    <t>039b</t>
  </si>
  <si>
    <t>039a: kʷ / ? / ˈ#_a</t>
  </si>
  <si>
    <t>typically /kw/</t>
  </si>
  <si>
    <t>/k/ in FRA</t>
  </si>
  <si>
    <t>/p/ in ROM</t>
  </si>
  <si>
    <t>039b: by analogy to QU- question words</t>
  </si>
  <si>
    <t>/kw/ in ROM</t>
  </si>
  <si>
    <t>040a) QUĂTT(Ŭ)ŎRDĔCI;
040b) *QUARRA(I)NTA, QUĂTĔRNU</t>
  </si>
  <si>
    <t>#_aˈ</t>
  </si>
  <si>
    <t>w/∅</t>
  </si>
  <si>
    <t>040a</t>
  </si>
  <si>
    <t>040b</t>
  </si>
  <si>
    <t>040a: kʷ / ? / #_aˈ</t>
  </si>
  <si>
    <t>/kw/ in ITA</t>
  </si>
  <si>
    <t>040b: kʷ / ? / #_aˈ</t>
  </si>
  <si>
    <t>/kw/ in CVB, ITA</t>
  </si>
  <si>
    <t>QUŌMŎDO, QUŎD, QUŎTA</t>
  </si>
  <si>
    <t>kʷ / k / #_O</t>
  </si>
  <si>
    <t>042a) QUÆRĔRE, QUÆSITU, QUĬĒTU/QUĬĒTĀRE, QUĪ;
042b) QUĪNTU/A, QUĪNDĔCĬ</t>
  </si>
  <si>
    <t>qu/c</t>
  </si>
  <si>
    <t>ch/tg</t>
  </si>
  <si>
    <t>q/ch</t>
  </si>
  <si>
    <t>042a</t>
  </si>
  <si>
    <t>042b</t>
  </si>
  <si>
    <t>042a: kʷ / ? / #_E</t>
  </si>
  <si>
    <t>/t͡ʃ/ in ROM</t>
  </si>
  <si>
    <t>042b: semi-learned?</t>
  </si>
  <si>
    <t>GL-</t>
  </si>
  <si>
    <t>043a) GLĂNDE/GLĂNDŬLA, GLĂCĬE, GLĀRĔA;
043b) GLĪR[ŌN]E, GLŎM[ĬSCĔLL]U, GLŎB[ŬSCĔLL]U</t>
  </si>
  <si>
    <t>gh</t>
  </si>
  <si>
    <t>gh/∅</t>
  </si>
  <si>
    <t>ɟ~∅</t>
  </si>
  <si>
    <t>ɡ~ɟ</t>
  </si>
  <si>
    <t>gli/j</t>
  </si>
  <si>
    <t>∅/j</t>
  </si>
  <si>
    <r>
      <rPr>
        <sz val="11"/>
        <color rgb="FF000000"/>
        <rFont val="Tahoma"/>
      </rPr>
      <t>ȴ</t>
    </r>
    <r>
      <rPr>
        <sz val="10.5"/>
        <color rgb="FF000000"/>
        <rFont val="Tahoma"/>
      </rPr>
      <t>[ʎ̟]~</t>
    </r>
    <r>
      <rPr>
        <sz val="11"/>
        <color rgb="FF000000"/>
        <rFont val="Tahoma"/>
      </rPr>
      <t>j</t>
    </r>
  </si>
  <si>
    <t>DK</t>
  </si>
  <si>
    <t>043a</t>
  </si>
  <si>
    <t>043b</t>
  </si>
  <si>
    <t>043c</t>
  </si>
  <si>
    <t>043a: ɡl / ? / #_
(kept g)</t>
  </si>
  <si>
    <t>/ɡl/ in CVB, FRA</t>
  </si>
  <si>
    <t>/ɡj/ in ITA, ROM</t>
  </si>
  <si>
    <t>/l/ in POR, ESP</t>
  </si>
  <si>
    <t>043b: ɡl / ? / #_
(dropped g)</t>
  </si>
  <si>
    <t>/ɡl/ in CVB(?)</t>
  </si>
  <si>
    <t>/l/ in POR, ESP, FRA</t>
  </si>
  <si>
    <t>043c: gl / ? / #_i</t>
  </si>
  <si>
    <t>Etyma:</t>
  </si>
  <si>
    <t>https://archive.org/details/romanischesetymo00meyeuoft/page/280/mode/2up</t>
  </si>
  <si>
    <t>GLĂBRU/GLĂBRĀRE</t>
  </si>
  <si>
    <t>ɡ[j]</t>
  </si>
  <si>
    <t>GLĂCĬE</t>
  </si>
  <si>
    <t>ɡl</t>
  </si>
  <si>
    <t>gl'</t>
  </si>
  <si>
    <t>ɡj (dj)</t>
  </si>
  <si>
    <t>ɡj</t>
  </si>
  <si>
    <t>GLĂDĬU/GLĂDĬŎLU</t>
  </si>
  <si>
    <t>ɡl, ɡɾ</t>
  </si>
  <si>
    <t>ɡl (ɡɾ)</t>
  </si>
  <si>
    <t>ɡj (d̠͡ʒ)</t>
  </si>
  <si>
    <t>GLĂNDE/-NDŬLA/-NDĔŎLA</t>
  </si>
  <si>
    <t>l, r</t>
  </si>
  <si>
    <t>ɡj, ɡ</t>
  </si>
  <si>
    <t>ɟ, ȴ, j</t>
  </si>
  <si>
    <t>ȴ=ʎ̟</t>
  </si>
  <si>
    <t>ȴ, ɟ</t>
  </si>
  <si>
    <t>GLĀRĔA</t>
  </si>
  <si>
    <t>d̠͡ʒ, ɡ</t>
  </si>
  <si>
    <t>dz~d̠͡ʒ</t>
  </si>
  <si>
    <t>GLĂTTĪRE</t>
  </si>
  <si>
    <t>Glaucus (?)</t>
  </si>
  <si>
    <t>l?</t>
  </si>
  <si>
    <t>GLÆ-,GLĒBA/-ŬLA</t>
  </si>
  <si>
    <t>l, ɡɾ</t>
  </si>
  <si>
    <t>GLĪR[ŌN]E/-U</t>
  </si>
  <si>
    <t>ȴ[ʎ̟] (ʈ͡ʂ)</t>
  </si>
  <si>
    <t>ɡ, l</t>
  </si>
  <si>
    <t>l, ȴ=ʎ̟</t>
  </si>
  <si>
    <t>ɟ, j</t>
  </si>
  <si>
    <t>GLŎBA/-[ŬSCĔLL]U</t>
  </si>
  <si>
    <t>[l]</t>
  </si>
  <si>
    <t>ɡɾ</t>
  </si>
  <si>
    <t>GLŎM[ĬSCĔLL]U</t>
  </si>
  <si>
    <t>d̠͡ʒ, l/r</t>
  </si>
  <si>
    <t>d̠͡ʒ, r</t>
  </si>
  <si>
    <t>l, ɡl</t>
  </si>
  <si>
    <t>GLŬTTĪRE/-ŌNE</t>
  </si>
  <si>
    <t>FR-</t>
  </si>
  <si>
    <t>FRĀXĬNU, FRŎNTE, FRŎNDIA, FRĒNU</t>
  </si>
  <si>
    <t>fɾ // #_</t>
  </si>
  <si>
    <t>typically  /fɾ/</t>
  </si>
  <si>
    <t>FL-</t>
  </si>
  <si>
    <t>FLĂMMA, FLŎCCU, FLĂCCĬDU, FLĀTU, FLŌRE, FLŪME, FLŬXU</t>
  </si>
  <si>
    <t>sci</t>
  </si>
  <si>
    <r>
      <rPr>
        <sz val="10.5"/>
        <color rgb="FF000000"/>
        <rFont val="Tahoma"/>
      </rPr>
      <t>ci</t>
    </r>
    <r>
      <rPr>
        <sz val="8"/>
        <color rgb="FF000000"/>
        <rFont val="Tahoma"/>
      </rPr>
      <t>/hi/xh</t>
    </r>
  </si>
  <si>
    <t>f~ç</t>
  </si>
  <si>
    <t>ç~ʃ</t>
  </si>
  <si>
    <t>B~Ɉ</t>
  </si>
  <si>
    <t>045a</t>
  </si>
  <si>
    <t>045b</t>
  </si>
  <si>
    <t>045c</t>
  </si>
  <si>
    <r>
      <rPr>
        <sz val="12"/>
        <color rgb="FF000000"/>
        <rFont val="Tahoma"/>
      </rPr>
      <t>045a: fl / ? / #_</t>
    </r>
    <r>
      <rPr>
        <sz val="11"/>
        <color rgb="FF000000"/>
        <rFont val="Tahoma"/>
      </rPr>
      <t>{a,e,O}</t>
    </r>
  </si>
  <si>
    <t>/fl/ in CVB, FRA, ROM</t>
  </si>
  <si>
    <t>/fj/ in ITA</t>
  </si>
  <si>
    <t>045b: fl / ? / #_i</t>
  </si>
  <si>
    <t>045c: likely borrowings</t>
  </si>
  <si>
    <t>/fl/ in ESP, CVB, FRA, ROM</t>
  </si>
  <si>
    <t>/fɾ/ in POR</t>
  </si>
  <si>
    <t>SP-</t>
  </si>
  <si>
    <t>SPĔC(Ŭ)LU, SPĒRĀRE, SPĂTHA, SPĂTŬLA, SPĪCA, SPĪNA</t>
  </si>
  <si>
    <t>e</t>
  </si>
  <si>
    <t>é</t>
  </si>
  <si>
    <t>è</t>
  </si>
  <si>
    <t>i̞</t>
  </si>
  <si>
    <t>ɪ</t>
  </si>
  <si>
    <t>e̞</t>
  </si>
  <si>
    <t>e̞~ɛ</t>
  </si>
  <si>
    <t>ə~ɐ</t>
  </si>
  <si>
    <t>ə</t>
  </si>
  <si>
    <t>Rounded +/−</t>
  </si>
  <si>
    <t>Nasal +/−</t>
  </si>
  <si>
    <t>Front +/−</t>
  </si>
  <si>
    <t>Raised +/−</t>
  </si>
  <si>
    <t>Retracted +/−</t>
  </si>
  <si>
    <t>Long +/−</t>
  </si>
  <si>
    <t>Free/Checked/Glide?</t>
  </si>
  <si>
    <t>]</t>
  </si>
  <si>
    <t>[</t>
  </si>
  <si>
    <t>Height</t>
  </si>
  <si>
    <t>Ɨ</t>
  </si>
  <si>
    <t>Ə</t>
  </si>
  <si>
    <t>Height value</t>
  </si>
  <si>
    <t>Backness</t>
  </si>
  <si>
    <t>E</t>
  </si>
  <si>
    <t>Ɵ</t>
  </si>
  <si>
    <t>Backness value</t>
  </si>
  <si>
    <t>s (ʃ)</t>
  </si>
  <si>
    <t>s̠~ʃ</t>
  </si>
  <si>
    <t>s~ʃ</t>
  </si>
  <si>
    <t>sp / ? / #_</t>
  </si>
  <si>
    <t>/esp/ in POR, ESP, CVB</t>
  </si>
  <si>
    <t>/ep/ in FRA</t>
  </si>
  <si>
    <t>/sp/ in ITA, ROM</t>
  </si>
  <si>
    <t>ST-</t>
  </si>
  <si>
    <t>047a) STĒLLA, STĔRNŪTĀRE, STĔRNĔRE;
047b) STĔPHĂNU, STĔRCU</t>
  </si>
  <si>
    <t>047a</t>
  </si>
  <si>
    <t>047b</t>
  </si>
  <si>
    <t>047a: st / ? / #_E</t>
  </si>
  <si>
    <t>/est/ in POR, ESP, CVB</t>
  </si>
  <si>
    <t>/et/ in FRA</t>
  </si>
  <si>
    <t>/st/ in ITA, ROM</t>
  </si>
  <si>
    <t>047b: st / ? / #_E</t>
  </si>
  <si>
    <t>/st/ in ITA</t>
  </si>
  <si>
    <t>/ʃt/ in ROM</t>
  </si>
  <si>
    <t>STĀRE, STĂNTIA, STĂNTICU/STĂNTICĀRE, *STĂLL</t>
  </si>
  <si>
    <t>st / ? / #_{a,O}</t>
  </si>
  <si>
    <t>49a</t>
  </si>
  <si>
    <t>SC-</t>
  </si>
  <si>
    <t>049a₁) *SKĪNA, *SKĬRPA, *SKILLA;
049a₂) *SKĬPA, *SKEUH, *SKIRMĪRE</t>
  </si>
  <si>
    <t>(Germanic-derived words)</t>
  </si>
  <si>
    <r>
      <rPr>
        <sz val="11"/>
        <color rgb="FF000000"/>
        <rFont val="Tahoma"/>
      </rPr>
      <t>s̪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ʃ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h</t>
    </r>
  </si>
  <si>
    <r>
      <rPr>
        <sz val="10"/>
        <color rgb="FF000000"/>
        <rFont val="Tahoma"/>
      </rPr>
      <t>D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Ɉ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H</t>
    </r>
  </si>
  <si>
    <r>
      <rPr>
        <sz val="11"/>
        <color rgb="FF000000"/>
        <rFont val="Tahoma"/>
      </rPr>
      <t>ʃ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k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h</t>
    </r>
  </si>
  <si>
    <t>− (+)</t>
  </si>
  <si>
    <r>
      <rPr>
        <sz val="10"/>
        <color rgb="FF000000"/>
        <rFont val="Tahoma"/>
      </rPr>
      <t>Ɉ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K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H</t>
    </r>
  </si>
  <si>
    <t>F (P)</t>
  </si>
  <si>
    <t>049a₁</t>
  </si>
  <si>
    <t>049a₂</t>
  </si>
  <si>
    <t>049a₁: sk / ? / #_E</t>
  </si>
  <si>
    <t>/esk/ in POR, ESP, CVB</t>
  </si>
  <si>
    <t>/eʃ/ in FRA</t>
  </si>
  <si>
    <t>/sk/ in ITA</t>
  </si>
  <si>
    <t>049a₂: sk / ? / #_E</t>
  </si>
  <si>
    <t>/ek/ in FRA</t>
  </si>
  <si>
    <t>49b</t>
  </si>
  <si>
    <t>049b₁) SCĬNTĬLLA, SCĒPTRU, SCHĔDA, SCĬNDŬLA;
049b₂) SCĪRE, SCHĬDĬA, SCĬŪRU</t>
  </si>
  <si>
    <t>(native Latin-derived words)</t>
  </si>
  <si>
    <t>c(h)</t>
  </si>
  <si>
    <t>049b₁</t>
  </si>
  <si>
    <t>049b₂</t>
  </si>
  <si>
    <t>049b₁: sk / ? / #_E</t>
  </si>
  <si>
    <t>/s/ in POR, CVB, AND.ESP, AMR.ESP, FRA</t>
  </si>
  <si>
    <t>/ʃ/ in ITA</t>
  </si>
  <si>
    <t>/sk/ in ROM</t>
  </si>
  <si>
    <t>049b₂: sk / ? / #_E</t>
  </si>
  <si>
    <t>/esk/ in POR, ESP, CVB, FRA</t>
  </si>
  <si>
    <t>050a) SCHŎLA, SCŪRĬU, SCŌPA; 050b) SCĀLA, *SCĂNTĬLĬA, SCĂNDŬLA, SCĂMNU, SCĂLPRU</t>
  </si>
  <si>
    <t>#_V</t>
  </si>
  <si>
    <t>Etymons:</t>
  </si>
  <si>
    <t>Cat</t>
  </si>
  <si>
    <t>Fra</t>
  </si>
  <si>
    <t>Ita</t>
  </si>
  <si>
    <t>Rum</t>
  </si>
  <si>
    <t>SCĂBĔLLU</t>
  </si>
  <si>
    <t>escambell</t>
  </si>
  <si>
    <t>escabeau, écheveau, échevette</t>
  </si>
  <si>
    <t>sgabello, gavetta, gavindolo</t>
  </si>
  <si>
    <t>SCĂBIA</t>
  </si>
  <si>
    <t>esca-</t>
  </si>
  <si>
    <t>scabbia</t>
  </si>
  <si>
    <t>zgaibă</t>
  </si>
  <si>
    <t>SCĂBRĀRE</t>
  </si>
  <si>
    <t>SCĀLA</t>
  </si>
  <si>
    <t>escala</t>
  </si>
  <si>
    <t>échelle</t>
  </si>
  <si>
    <t>scala</t>
  </si>
  <si>
    <t>schele</t>
  </si>
  <si>
    <t>SCĂLĂMBU</t>
  </si>
  <si>
    <t>scălimb</t>
  </si>
  <si>
    <t>N.It. zg-</t>
  </si>
  <si>
    <t>SCĂLMU</t>
  </si>
  <si>
    <t>escalam</t>
  </si>
  <si>
    <t>échome</t>
  </si>
  <si>
    <t>scalmo</t>
  </si>
  <si>
    <t>SCĂLPĔLLU</t>
  </si>
  <si>
    <t>scarpello</t>
  </si>
  <si>
    <t>SCĂLPRU</t>
  </si>
  <si>
    <t>escarpra</t>
  </si>
  <si>
    <t>échoppe</t>
  </si>
  <si>
    <t>SCĂLPTŪRĪRE</t>
  </si>
  <si>
    <t>scaltrire, scaltro</t>
  </si>
  <si>
    <t>SCĂMĔLLU</t>
  </si>
  <si>
    <t>SCĂMNU,SCĂMNĬU</t>
  </si>
  <si>
    <t>escany</t>
  </si>
  <si>
    <t>écagne</t>
  </si>
  <si>
    <t>scanno</t>
  </si>
  <si>
    <t>scaun</t>
  </si>
  <si>
    <t>SCĂNDĂLA/-ĂLĬU</t>
  </si>
  <si>
    <t>escandia, escandall</t>
  </si>
  <si>
    <t>échantillon</t>
  </si>
  <si>
    <t>scandella, scampione</t>
  </si>
  <si>
    <t>SCĂNDŬLA,SCĬNDŬLA</t>
  </si>
  <si>
    <t>écente</t>
  </si>
  <si>
    <t>scîndură</t>
  </si>
  <si>
    <t>SCĂRĂBÆU,*SCĂRĂFĂJU</t>
  </si>
  <si>
    <t>scarafaggio</t>
  </si>
  <si>
    <t>caracol&lt;Prov</t>
  </si>
  <si>
    <t>SCĂRPĬNĀRE</t>
  </si>
  <si>
    <t>scărpina</t>
  </si>
  <si>
    <t>N.It. sk(j)-</t>
  </si>
  <si>
    <t>050a</t>
  </si>
  <si>
    <t>050b</t>
  </si>
  <si>
    <t>050a: sk / ? / #_O</t>
  </si>
  <si>
    <t>/sk/ in ITA, ROM</t>
  </si>
  <si>
    <t>050b: sk / ? / #_a</t>
  </si>
  <si>
    <t>1.3 Groups of three consonants</t>
  </si>
  <si>
    <t>STR-</t>
  </si>
  <si>
    <t>STRĀTA, STRĬCTA, STRĬNGĔRE, STRĬNCTU</t>
  </si>
  <si>
    <t>ɽ~∅</t>
  </si>
  <si>
    <t>L~∅</t>
  </si>
  <si>
    <t>stɾ / ? / #_</t>
  </si>
  <si>
    <t>/estɾ/ in POR, ESP, CVB</t>
  </si>
  <si>
    <t>/etʁ/ in FRA</t>
  </si>
  <si>
    <t>/stɾ/ in ITA, ROM</t>
  </si>
  <si>
    <t>SCR-</t>
  </si>
  <si>
    <t>SCRĪBĔRE, SCRĪBĀNE</t>
  </si>
  <si>
    <t>skɾ / ? / #_</t>
  </si>
  <si>
    <t>/eskɾ/ in POR, ESP, CVB</t>
  </si>
  <si>
    <t>/ekʁ/ in FRA</t>
  </si>
  <si>
    <t>/skɾ/ in ITA, ROM</t>
  </si>
  <si>
    <t>2. Intervocalic Position</t>
  </si>
  <si>
    <t>2.1 Simple consonants</t>
  </si>
  <si>
    <t>-P-</t>
  </si>
  <si>
    <t>CĂPĬLLU, NĔPŌTE, LŬPU, RĪPA, SĂPĒRE</t>
  </si>
  <si>
    <t>V_V</t>
  </si>
  <si>
    <t>β</t>
  </si>
  <si>
    <t>β̞</t>
  </si>
  <si>
    <t>β~β̞</t>
  </si>
  <si>
    <t>b~β̞</t>
  </si>
  <si>
    <t>b~β</t>
  </si>
  <si>
    <t>F~W</t>
  </si>
  <si>
    <t>p / ? / V_V</t>
  </si>
  <si>
    <t>/p/ in ITA, ROM</t>
  </si>
  <si>
    <t>/b/ in POR, ESP, CVB</t>
  </si>
  <si>
    <t>/v/ in FRA</t>
  </si>
  <si>
    <t>-B-</t>
  </si>
  <si>
    <t>CĂBĂLLU, HĂBĒRE/HĂBŪTU, DĒBĔT, CĔRĔBĔLLU, FĂBA</t>
  </si>
  <si>
    <r>
      <rPr>
        <sz val="12"/>
        <color rgb="FF000000"/>
        <rFont val="Tahoma"/>
      </rPr>
      <t>v/</t>
    </r>
    <r>
      <rPr>
        <sz val="12"/>
        <color rgb="FF808080"/>
        <rFont val="Tahoma"/>
      </rPr>
      <t>∅</t>
    </r>
  </si>
  <si>
    <t>v~β̞</t>
  </si>
  <si>
    <t>v~w</t>
  </si>
  <si>
    <t>B~BK</t>
  </si>
  <si>
    <t>b / ? / V_V</t>
  </si>
  <si>
    <t>-T-</t>
  </si>
  <si>
    <t>055a) CĂTĒNA; 055b) PĂTĔLLA, CĂTĔLLU, CĂTHĔDRA; 055c) PĔTĪRE, PĂTĪRE, MĒTĪRĪ, PŪTĪRE</t>
  </si>
  <si>
    <t>V_E</t>
  </si>
  <si>
    <t>ð</t>
  </si>
  <si>
    <t>ð̞</t>
  </si>
  <si>
    <t>ð~ð̞</t>
  </si>
  <si>
    <t>d̪~ð̞</t>
  </si>
  <si>
    <t>d̪~ð</t>
  </si>
  <si>
    <t>055a,b</t>
  </si>
  <si>
    <t>055a</t>
  </si>
  <si>
    <t>055b,c</t>
  </si>
  <si>
    <t>055c</t>
  </si>
  <si>
    <t>055a: t / ? / V_{ĕ¹,ē,ĭ}</t>
  </si>
  <si>
    <t>/d/ in POR, ESP, CVB</t>
  </si>
  <si>
    <t>/t/ in ITA, ROM</t>
  </si>
  <si>
    <t>∅ in FRA</t>
  </si>
  <si>
    <t>055b: t / ? / V_{ĕ²}</t>
  </si>
  <si>
    <t>/t/ in ITA</t>
  </si>
  <si>
    <t>/t͡s/ in ARO, ROM</t>
  </si>
  <si>
    <t>055c: t / ? / V_ī</t>
  </si>
  <si>
    <t>/d/ in EU.POR, ESP, CVB</t>
  </si>
  <si>
    <r>
      <rPr>
        <sz val="12"/>
        <color rgb="FF000000"/>
        <rFont val="Tahoma"/>
      </rPr>
      <t xml:space="preserve">1) ē; ĭ; atonic ĕ; tonic /ĕ/~/æ/ followed by a cluster /NC/ (&gt; ERom. /e/)
2) tonic /ĕ/~/æ/ </t>
    </r>
    <r>
      <rPr>
        <i/>
        <sz val="12"/>
        <color rgb="FF000000"/>
        <rFont val="Tahoma"/>
      </rPr>
      <t>*not*</t>
    </r>
    <r>
      <rPr>
        <sz val="12"/>
        <color rgb="FF000000"/>
        <rFont val="Tahoma"/>
      </rPr>
      <t xml:space="preserve"> followed by a cluster /NC/ (&gt; ERom. /je/)
3) long /i:/ (&gt; ERom. /i/), if not elided</t>
    </r>
  </si>
  <si>
    <t>SĒTA, RŎTA, MŪTĀRE, MŪTA, PRĀTU</t>
  </si>
  <si>
    <t>V_{a,O}</t>
  </si>
  <si>
    <t>t / ? / V_{a,O}</t>
  </si>
  <si>
    <t>-D-</t>
  </si>
  <si>
    <t>057a) PĔDE, RĪDĔRE/-ĔNTE/-ĔNDU, CRĒDĔRE, SĔDĒRE, CĂDĔNTE; 057b) NŌDĔLLU, AUDĪRE, ĔXPĔDĪRE</t>
  </si>
  <si>
    <t>i/∅</t>
  </si>
  <si>
    <t>ʝ~∅</t>
  </si>
  <si>
    <t>057a</t>
  </si>
  <si>
    <t>057b</t>
  </si>
  <si>
    <t>057a: d / ? / V_{ĕ¹,ē,ĭ}</t>
  </si>
  <si>
    <t>/d/ in ITA, ROM</t>
  </si>
  <si>
    <t>/j~∅/ in CVB</t>
  </si>
  <si>
    <t>∅ in POR, ESP, FRA</t>
  </si>
  <si>
    <t>057b: d / ? / V_{ĕ²,ī}</t>
  </si>
  <si>
    <t>/d/ in ITA</t>
  </si>
  <si>
    <t>/z/ in ROM</t>
  </si>
  <si>
    <t>058a) NŪDA, SŪDĀRE/SŪDŌRE, NŌDU/NŌDĀRE, CRŪDU; 058b) NĪDU, CRĒDO, PĒDŬCŬLU; 058c) CAUDA/CŌDA</t>
  </si>
  <si>
    <t>d/∅</t>
  </si>
  <si>
    <t>ð̞~∅</t>
  </si>
  <si>
    <t>058a</t>
  </si>
  <si>
    <t>058b</t>
  </si>
  <si>
    <t>058c</t>
  </si>
  <si>
    <t>058a: d / ? / {a,O}_{a,O}</t>
  </si>
  <si>
    <t>/d/ in ESP, ITA, ROM</t>
  </si>
  <si>
    <t>∅ in POR, CVB, FRA</t>
  </si>
  <si>
    <t>058b: d / ? / E_{a,O}</t>
  </si>
  <si>
    <t>/j/ in POR</t>
  </si>
  <si>
    <t>∅ in ESP, CVB, FRA</t>
  </si>
  <si>
    <t>058c: cauda~cōda</t>
  </si>
  <si>
    <t>∅ in CVB, FRA</t>
  </si>
  <si>
    <t>-C-</t>
  </si>
  <si>
    <t>ĂMĪCU, SĒCŪRU, DĪCŌ, ĂCŪCŬLA, ĂCU</t>
  </si>
  <si>
    <t>V_O</t>
  </si>
  <si>
    <t>ɣ</t>
  </si>
  <si>
    <t>ɣ̞ (ħ)</t>
  </si>
  <si>
    <t>ɣ̞</t>
  </si>
  <si>
    <t>ɣ~ɣ̞</t>
  </si>
  <si>
    <t>ɡ~ɣ̞</t>
  </si>
  <si>
    <t>ɡ~ɣ</t>
  </si>
  <si>
    <t>W (F)</t>
  </si>
  <si>
    <t>k / ? / V_O</t>
  </si>
  <si>
    <t>/k/ in ITA, ROM</t>
  </si>
  <si>
    <t>VĬCĪNU, NŬCE/*NŌCE, VŌCE, *CŎCĪNA, RĂCĒMU, PLĂCĒRE</t>
  </si>
  <si>
    <r>
      <rPr>
        <sz val="12"/>
        <color rgb="FF000000"/>
        <rFont val="Tahoma"/>
      </rPr>
      <t>z</t>
    </r>
    <r>
      <rPr>
        <sz val="10.5"/>
        <color rgb="FF000000"/>
        <rFont val="Tahoma"/>
      </rPr>
      <t xml:space="preserve"> (z̪)</t>
    </r>
  </si>
  <si>
    <t>k / ? / V_E</t>
  </si>
  <si>
    <t>often /z~s/</t>
  </si>
  <si>
    <t>∅~/w/ in CVB</t>
  </si>
  <si>
    <t>ŬRTĪCA, PĀCĀRE, JŎCĀRE, PLĬCĀRE, ĂMĪCA, FŎRMĪCA, SPĪCA, SĔCĀRE</t>
  </si>
  <si>
    <t>V_a</t>
  </si>
  <si>
    <t>∅/y</t>
  </si>
  <si>
    <t>∅~j</t>
  </si>
  <si>
    <t>∅~W</t>
  </si>
  <si>
    <t>k / ? / V_a</t>
  </si>
  <si>
    <t>∅~/j/ in FRA</t>
  </si>
  <si>
    <t>-G-</t>
  </si>
  <si>
    <t>062a) A[U]GŬSTU, FĀGU, IŬGU; 062b) Ĕ[G]O</t>
  </si>
  <si>
    <t>ɡ / ? / V_O</t>
  </si>
  <si>
    <t>PLĀGA, RŎGĀRE, DŎGA, FRĀGA</t>
  </si>
  <si>
    <t>∅/v</t>
  </si>
  <si>
    <t>∅~v</t>
  </si>
  <si>
    <t>K~B</t>
  </si>
  <si>
    <t>∅~F</t>
  </si>
  <si>
    <t>ɡ / ? / V_a</t>
  </si>
  <si>
    <t>-GĬNTA, MĂGĬSTRA, FĀGĪNA, SĂGĬTTA, SĂGĪNU/SĂGĪME, SĬGĬLLU, ÆRŪGĬNE, FŬGĪRE</t>
  </si>
  <si>
    <t>y/∅</t>
  </si>
  <si>
    <t>j/∅</t>
  </si>
  <si>
    <t>zz</t>
  </si>
  <si>
    <t>gg</t>
  </si>
  <si>
    <t>zz/gg</t>
  </si>
  <si>
    <t>ʝ</t>
  </si>
  <si>
    <t>d̠d̠͡ʒ</t>
  </si>
  <si>
    <r>
      <rPr>
        <sz val="8.5"/>
        <color rgb="FF000000"/>
        <rFont val="Tahoma"/>
      </rPr>
      <t>dd͡z</t>
    </r>
    <r>
      <rPr>
        <sz val="8"/>
        <color rgb="FF000000"/>
        <rFont val="Tahoma"/>
      </rPr>
      <t>~</t>
    </r>
    <r>
      <rPr>
        <sz val="8.5"/>
        <color rgb="FF000000"/>
        <rFont val="Tahoma"/>
      </rPr>
      <t>d̠d̠͡ʒ</t>
    </r>
  </si>
  <si>
    <t>dd͡z</t>
  </si>
  <si>
    <t>PP͡F</t>
  </si>
  <si>
    <t>064a</t>
  </si>
  <si>
    <t>064b</t>
  </si>
  <si>
    <r>
      <rPr>
        <sz val="12"/>
        <color rgb="FF000000"/>
        <rFont val="Tahoma"/>
      </rPr>
      <t xml:space="preserve">064a: ɡ / ? / V_E
</t>
    </r>
    <r>
      <rPr>
        <i/>
        <sz val="12"/>
        <color rgb="FF000000"/>
        <rFont val="Tahoma"/>
      </rPr>
      <t>often dropped</t>
    </r>
  </si>
  <si>
    <t>/j/~∅ in POR, ESP, FRA, ITA, ROM</t>
  </si>
  <si>
    <r>
      <rPr>
        <sz val="12"/>
        <color rgb="FF000000"/>
        <rFont val="Tahoma"/>
      </rPr>
      <t xml:space="preserve">064b: ɡ / ? / V_E
</t>
    </r>
    <r>
      <rPr>
        <i/>
        <sz val="12"/>
        <color rgb="FF000000"/>
        <rFont val="Tahoma"/>
      </rPr>
      <t>often w/ fortition</t>
    </r>
  </si>
  <si>
    <t>/ʒ/ in POR, CVB, FRA</t>
  </si>
  <si>
    <t>/(d)dʒ/ in CVB, ITA, ROM</t>
  </si>
  <si>
    <t>_ĀGĬNTA</t>
  </si>
  <si>
    <t>--</t>
  </si>
  <si>
    <t>VĀGĪNA</t>
  </si>
  <si>
    <t>NE[C]GENTE</t>
  </si>
  <si>
    <t>MĂGĬSTRA/U</t>
  </si>
  <si>
    <t>~</t>
  </si>
  <si>
    <t>RĔGE/-ĪNA</t>
  </si>
  <si>
    <t>FĀGĪNA/U</t>
  </si>
  <si>
    <t>()</t>
  </si>
  <si>
    <t>SĂGĪME</t>
  </si>
  <si>
    <t>SĂGĪNA/U/-ARE</t>
  </si>
  <si>
    <t>SĂGĬTTA</t>
  </si>
  <si>
    <t>SĔ-,SŪGĬLLU/ĀRE</t>
  </si>
  <si>
    <t>FRĪGĔRE</t>
  </si>
  <si>
    <t>AURĪ-,ÆRŪGĬNE/-OSU</t>
  </si>
  <si>
    <t>FŬGĪRE</t>
  </si>
  <si>
    <t>-M-</t>
  </si>
  <si>
    <t>FŪMU/FŪMĀRE, ĂMŌRE</t>
  </si>
  <si>
    <t>m // V_V</t>
  </si>
  <si>
    <t>typically remains /m/</t>
  </si>
  <si>
    <t>-N-</t>
  </si>
  <si>
    <t>LŪNA, LĀNA, VĔNĪRE, MĂNU</t>
  </si>
  <si>
    <t>˜</t>
  </si>
  <si>
    <t>◌̃</t>
  </si>
  <si>
    <t>E~O</t>
  </si>
  <si>
    <t>N~∅</t>
  </si>
  <si>
    <t>n // V_V</t>
  </si>
  <si>
    <t>typically remains /n/</t>
  </si>
  <si>
    <t>-F-</t>
  </si>
  <si>
    <t>DĒFĒNSA, PRŌFĔCTU, AURĬFĬCE, SCRŌFA, *AFANNĀRE</t>
  </si>
  <si>
    <t>v/h</t>
  </si>
  <si>
    <t>β̞~∅</t>
  </si>
  <si>
    <t>f / ? / V_V</t>
  </si>
  <si>
    <t>often voiced to /v/</t>
  </si>
  <si>
    <t>-V-</t>
  </si>
  <si>
    <t>NŎVE, NŎVA/U, VĪVA, LĂVĀRE, NĬVE</t>
  </si>
  <si>
    <t>w / ? / V_V</t>
  </si>
  <si>
    <t>-S-</t>
  </si>
  <si>
    <t>DĒSĔRTU, RĒSĪNA</t>
  </si>
  <si>
    <t>z~z̠</t>
  </si>
  <si>
    <t>z̠</t>
  </si>
  <si>
    <t>s̪/z̪(s/z)</t>
  </si>
  <si>
    <t>s / ? / V_E</t>
  </si>
  <si>
    <t>often voiced to /z/</t>
  </si>
  <si>
    <t>RŎSA, CAUSA, CĂSA</t>
  </si>
  <si>
    <t>s / ? / V_{a,O}</t>
  </si>
  <si>
    <t>-R-</t>
  </si>
  <si>
    <t>071a) AURU, MŌRU, CĀRU/A;
071b) SĔRĒNU</t>
  </si>
  <si>
    <t>rː  (ʀ)</t>
  </si>
  <si>
    <r>
      <rPr>
        <sz val="12"/>
        <color rgb="FF000000"/>
        <rFont val="Tahoma"/>
      </rPr>
      <t>LL</t>
    </r>
    <r>
      <rPr>
        <sz val="10.5"/>
        <color rgb="FF000000"/>
        <rFont val="Tahoma"/>
      </rPr>
      <t xml:space="preserve"> (L)</t>
    </r>
  </si>
  <si>
    <t>071a</t>
  </si>
  <si>
    <t>071b</t>
  </si>
  <si>
    <t>r // V_V</t>
  </si>
  <si>
    <t>typically remains /r/</t>
  </si>
  <si>
    <t>-L-</t>
  </si>
  <si>
    <t>CÆLU, ĀLA, VŎLĀRE, VĒLA/U, PĀLA, TĒLA, TRĪBŬLĀRE</t>
  </si>
  <si>
    <t>072a</t>
  </si>
  <si>
    <t>072b</t>
  </si>
  <si>
    <t>072a: l / ? / V_{a,e,O}</t>
  </si>
  <si>
    <t>typically remains /l/</t>
  </si>
  <si>
    <t>072b: l / ? / V_i</t>
  </si>
  <si>
    <t>-J-</t>
  </si>
  <si>
    <t>073a) MĂJŌRE, *AJUNĀRE;
073b) PĔJŌRE, JĔJŪNU, MĒJĀRE</t>
  </si>
  <si>
    <t>Vˈ_V</t>
  </si>
  <si>
    <t>ggi</t>
  </si>
  <si>
    <t>ʒ/∅</t>
  </si>
  <si>
    <t>F/∅</t>
  </si>
  <si>
    <t>073a</t>
  </si>
  <si>
    <t>073b</t>
  </si>
  <si>
    <t>073a: j / ? / {a,O}ˈ_{a,O}</t>
  </si>
  <si>
    <t>not in contact with a front vowel</t>
  </si>
  <si>
    <t>073b: j / ? / {Eˈ_V, Vˈ_E}</t>
  </si>
  <si>
    <t>in contact with a front vowel</t>
  </si>
  <si>
    <t>074a) MĀJU, PLŎ(V)JA, RĂJA, TRŎJA;
074b) PĔJU; 074c) JĔJŪNĀRE</t>
  </si>
  <si>
    <t>ˈV_V</t>
  </si>
  <si>
    <t>074a,b</t>
  </si>
  <si>
    <t>074a,c</t>
  </si>
  <si>
    <t>074b</t>
  </si>
  <si>
    <t>074c</t>
  </si>
  <si>
    <t>074a: j / ? / ˈ{a,O}_{a,O}</t>
  </si>
  <si>
    <t>074b: j / ? / {ˈE_V, ˈV_E}</t>
  </si>
  <si>
    <t>074c: j / ? / V_Vˈ</t>
  </si>
  <si>
    <t>2.2 Consonants + yod</t>
  </si>
  <si>
    <t>-PJ-</t>
  </si>
  <si>
    <t>075a) SĂPĬA/AT/U, ĂPĬU/A, PRŎPĬU, SĒPĬA, *SCUPĬO; 075b) PRŎPĔĀNU, ĂPPRŎPĬĀRE</t>
  </si>
  <si>
    <t>p/b</t>
  </si>
  <si>
    <t>∅/i</t>
  </si>
  <si>
    <t>pp</t>
  </si>
  <si>
    <t>p~b</t>
  </si>
  <si>
    <t>PP</t>
  </si>
  <si>
    <t>I/E</t>
  </si>
  <si>
    <t>i~j</t>
  </si>
  <si>
    <t>075a</t>
  </si>
  <si>
    <t>075b</t>
  </si>
  <si>
    <t>075a: pj / ? / ˈV_V</t>
  </si>
  <si>
    <t>075b: pj / ? / V_ˈV</t>
  </si>
  <si>
    <t>-BJ-</t>
  </si>
  <si>
    <t>076a) RŬBĔA/U, GŬBĬA, LĂBĬU, LAUBĬA, RĂBĬA, SCĂBĬA; 076b₁) ĂBĔO, ĂBĔA[T]; 076b₂) -ĂBĔO</t>
  </si>
  <si>
    <t>b/v</t>
  </si>
  <si>
    <t>bb</t>
  </si>
  <si>
    <t>v~β</t>
  </si>
  <si>
    <t>ge</t>
  </si>
  <si>
    <t>076a</t>
  </si>
  <si>
    <t>076b₁</t>
  </si>
  <si>
    <t>076b₂</t>
  </si>
  <si>
    <t>076a: bj / ? / V_V</t>
  </si>
  <si>
    <r>
      <rPr>
        <sz val="12"/>
        <color rgb="FF000000"/>
        <rFont val="Tahoma"/>
      </rPr>
      <t>076b₁: </t>
    </r>
    <r>
      <rPr>
        <i/>
        <sz val="12"/>
        <color rgb="FF000000"/>
        <rFont val="Tahoma"/>
      </rPr>
      <t>habere</t>
    </r>
  </si>
  <si>
    <t>SJV.1S, SJV.3S</t>
  </si>
  <si>
    <r>
      <rPr>
        <sz val="12"/>
        <color rgb="FF000000"/>
        <rFont val="Tahoma"/>
      </rPr>
      <t>076b₂: </t>
    </r>
    <r>
      <rPr>
        <i/>
        <sz val="12"/>
        <color rgb="FF000000"/>
        <rFont val="Tahoma"/>
      </rPr>
      <t>habere</t>
    </r>
  </si>
  <si>
    <t>FUT.1S</t>
  </si>
  <si>
    <t>-TJ-</t>
  </si>
  <si>
    <t>077a) RĂTĬŌNE, PRETĬĀRE, SĂTĬŌNE, STĂTĬŌNE, TRĀDĬTĬŌNE, [A]VĬTĬĀRE, *WĂRITĬŌNE; 077b) TĪTĬŌNE/ATTĪTĬĀRE, ĂCŪTĬĀRE</t>
  </si>
  <si>
    <r>
      <rPr>
        <sz val="12"/>
        <color rgb="FF000000"/>
        <rFont val="Tahoma"/>
      </rPr>
      <t>zz</t>
    </r>
    <r>
      <rPr>
        <sz val="8"/>
        <color rgb="FF000000"/>
        <rFont val="Tahoma"/>
      </rPr>
      <t xml:space="preserve"> (</t>
    </r>
    <r>
      <rPr>
        <sz val="9"/>
        <color rgb="FF000000"/>
        <rFont val="Tahoma"/>
      </rPr>
      <t>gi</t>
    </r>
    <r>
      <rPr>
        <sz val="8"/>
        <color rgb="FF000000"/>
        <rFont val="Tahoma"/>
      </rPr>
      <t>)</t>
    </r>
  </si>
  <si>
    <r>
      <rPr>
        <sz val="12"/>
        <color rgb="FF000000"/>
        <rFont val="Tahoma"/>
      </rPr>
      <t>ț</t>
    </r>
    <r>
      <rPr>
        <sz val="9"/>
        <color rgb="FF000000"/>
        <rFont val="Tahoma"/>
      </rPr>
      <t xml:space="preserve"> (ci)</t>
    </r>
  </si>
  <si>
    <t>ç</t>
  </si>
  <si>
    <t>z~z̪</t>
  </si>
  <si>
    <r>
      <rPr>
        <sz val="11"/>
        <color rgb="FF000000"/>
        <rFont val="Tahoma"/>
      </rPr>
      <t>tt͡s</t>
    </r>
    <r>
      <rPr>
        <sz val="8"/>
        <color rgb="FF000000"/>
        <rFont val="Tahoma"/>
      </rPr>
      <t xml:space="preserve"> </t>
    </r>
    <r>
      <rPr>
        <sz val="11"/>
        <color rgb="FF000000"/>
        <rFont val="Tahoma"/>
      </rPr>
      <t>(ʒ)</t>
    </r>
  </si>
  <si>
    <r>
      <rPr>
        <sz val="11"/>
        <color rgb="FF000000"/>
        <rFont val="Tahoma"/>
      </rPr>
      <t>t͡s</t>
    </r>
    <r>
      <rPr>
        <sz val="8"/>
        <color rgb="FF000000"/>
        <rFont val="Tahoma"/>
      </rPr>
      <t xml:space="preserve"> (t̠͡ʃ)</t>
    </r>
  </si>
  <si>
    <t>s~s̪</t>
  </si>
  <si>
    <t>tt͡s</t>
  </si>
  <si>
    <r>
      <rPr>
        <sz val="12"/>
        <color rgb="FF000000"/>
        <rFont val="Tahoma"/>
      </rPr>
      <t>−</t>
    </r>
    <r>
      <rPr>
        <sz val="9"/>
        <color rgb="FF000000"/>
        <rFont val="Tahoma"/>
      </rPr>
      <t xml:space="preserve"> (+)</t>
    </r>
  </si>
  <si>
    <r>
      <rPr>
        <sz val="12"/>
        <color rgb="FF000000"/>
        <rFont val="Tahoma"/>
      </rPr>
      <t>D</t>
    </r>
    <r>
      <rPr>
        <sz val="10"/>
        <color rgb="FF000000"/>
        <rFont val="Tahoma"/>
      </rPr>
      <t xml:space="preserve"> (Ɉ)</t>
    </r>
  </si>
  <si>
    <r>
      <rPr>
        <sz val="10"/>
        <color rgb="FF000000"/>
        <rFont val="Tahoma"/>
      </rPr>
      <t>PP͡F</t>
    </r>
    <r>
      <rPr>
        <sz val="8"/>
        <color rgb="FF000000"/>
        <rFont val="Tahoma"/>
      </rPr>
      <t xml:space="preserve"> (F)</t>
    </r>
  </si>
  <si>
    <t>077a</t>
  </si>
  <si>
    <t>077b</t>
  </si>
  <si>
    <t>077a: tj / ? / Vˈ_V</t>
  </si>
  <si>
    <t>truly singleton, often show voicing</t>
  </si>
  <si>
    <t>077b: tj / ? / Vˈ_V</t>
  </si>
  <si>
    <t>may have geminated, not typically voiced</t>
  </si>
  <si>
    <t>cf. "Notes on the Development of -KJ-, -TJ- in Spanish and Portuguese" by Hugh E. Wilkinson</t>
  </si>
  <si>
    <t>078a) VĬTĬU, PĂLĀTĬU; 078b) PŬTĔU, PRĔTĬU, CĂPĬTĬA/U, CĂPĬTĬŬLU, PŪTĬU, STĂTĬO, TĪTĬŌ</t>
  </si>
  <si>
    <t>z/ç</t>
  </si>
  <si>
    <r>
      <rPr>
        <sz val="11"/>
        <color rgb="FF000000"/>
        <rFont val="Tahoma"/>
      </rPr>
      <t>z/s</t>
    </r>
    <r>
      <rPr>
        <sz val="8"/>
        <color rgb="FF000000"/>
        <rFont val="Tahoma"/>
      </rPr>
      <t>(z̪/s̪)</t>
    </r>
  </si>
  <si>
    <t>z~s</t>
  </si>
  <si>
    <t>t͡s</t>
  </si>
  <si>
    <t>078a</t>
  </si>
  <si>
    <t>078b</t>
  </si>
  <si>
    <t>078a: tj / ? / ˈV_V</t>
  </si>
  <si>
    <t>078b: tj / ? / ˈV_V</t>
  </si>
  <si>
    <t>-DJ-</t>
  </si>
  <si>
    <t>RĂDĬU, PŎDĬU, HŎDĬE, PŎDĬĀRE, MĔDĬU, ĂDĬŪTĀRE</t>
  </si>
  <si>
    <t>j (i)</t>
  </si>
  <si>
    <t>ggi/zz</t>
  </si>
  <si>
    <r>
      <rPr>
        <sz val="12"/>
        <color rgb="FF000000"/>
        <rFont val="Tahoma"/>
      </rPr>
      <t>ʒ</t>
    </r>
    <r>
      <rPr>
        <sz val="11"/>
        <color rgb="FF000000"/>
        <rFont val="Tahoma"/>
      </rPr>
      <t xml:space="preserve"> (j)</t>
    </r>
  </si>
  <si>
    <t>d̠d̠͡ʒ/dd͡z</t>
  </si>
  <si>
    <t>Ɉ/D</t>
  </si>
  <si>
    <r>
      <rPr>
        <sz val="12"/>
        <color rgb="FF000000"/>
        <rFont val="Tahoma"/>
      </rPr>
      <t>F</t>
    </r>
    <r>
      <rPr>
        <sz val="10"/>
        <color rgb="FF000000"/>
        <rFont val="Tahoma"/>
      </rPr>
      <t xml:space="preserve"> (W)</t>
    </r>
  </si>
  <si>
    <t>i/y</t>
  </si>
  <si>
    <t>dj / ? / V_V</t>
  </si>
  <si>
    <t>-CJ-</t>
  </si>
  <si>
    <t>ĂCĬĀRĬU, ĒRĪCĬŌNE, FĂCĬĔNDA</t>
  </si>
  <si>
    <t>ç/c</t>
  </si>
  <si>
    <t>ss/ce</t>
  </si>
  <si>
    <t>cci</t>
  </si>
  <si>
    <t>ci/c</t>
  </si>
  <si>
    <t>t̠t̠͡ʃ</t>
  </si>
  <si>
    <t>kj / ? / Vˈ_V</t>
  </si>
  <si>
    <t>FĂCĬA, VĪNĀCEU, ĒRĪCĬU, FĂCTĪCĬU, FŎCĀCĬA, GLĂCĬE/A, LĪCĬU, LŪCĬU, MĬNĀCĬA, MĬXTĪCĬU</t>
  </si>
  <si>
    <t>kj / ? / ˈV_V</t>
  </si>
  <si>
    <t>-GJ-</t>
  </si>
  <si>
    <t>082a) FĀGĔA/U, CŎRRĬGĬA, PLĂGĬA, GRĔGĬU/A, ĔXĂGĬU/ĀRE, SĂGĬA, HŌRŎLŎGĬU; 082b) FŬGĬAT/Ō</t>
  </si>
  <si>
    <t>ɡɡ</t>
  </si>
  <si>
    <t>082a</t>
  </si>
  <si>
    <t>082b</t>
  </si>
  <si>
    <t>ɡj / ? / V_V</t>
  </si>
  <si>
    <t>-VJ-</t>
  </si>
  <si>
    <t>083a) CĂVĔA, DĪLŬVĬU, FŎVĔA, LĔVĬU, NŎVĬU, PLŎVĬA; 083b) CĂVĔŎLA, LĔVĬĀRĬU/ĀNU, PLŬVĬŌSU</t>
  </si>
  <si>
    <t>w~β</t>
  </si>
  <si>
    <t>083a</t>
  </si>
  <si>
    <t>083b</t>
  </si>
  <si>
    <t>083a: βj / ? / ˈV_V</t>
  </si>
  <si>
    <t>SĂLVĬA possible if L pre-vocalized as in Gallo-Romance;
FŎVĔA/PLŎVĬA likely dropped /β/ early on, behave as -J-</t>
  </si>
  <si>
    <t>083b: βj / ? / Vˈ_V</t>
  </si>
  <si>
    <t>-FJ-</t>
  </si>
  <si>
    <t>CŌFIA/CŪF(F)ĬA, SŎFĬA</t>
  </si>
  <si>
    <t>ff</t>
  </si>
  <si>
    <t>FF</t>
  </si>
  <si>
    <t>083.5: fj / ? / V_V</t>
  </si>
  <si>
    <t>typically either /fj/ or /jf/</t>
  </si>
  <si>
    <r>
      <rPr>
        <i/>
        <sz val="12"/>
        <color rgb="FF000000"/>
        <rFont val="Tahoma"/>
      </rPr>
      <t xml:space="preserve">The </t>
    </r>
    <r>
      <rPr>
        <sz val="12"/>
        <color rgb="FF000000"/>
        <rFont val="Tahoma"/>
      </rPr>
      <t>FEW</t>
    </r>
    <r>
      <rPr>
        <i/>
        <sz val="12"/>
        <color rgb="FF000000"/>
        <rFont val="Tahoma"/>
      </rPr>
      <t xml:space="preserve"> notes SŎFĬA with voicing to /v/ in Cisalpine varieties.</t>
    </r>
  </si>
  <si>
    <t>-SJ-</t>
  </si>
  <si>
    <t>084a) BĀSĬU/ĀRE, CĀSĔU, NAUSĔA, CĔRĔSĬA, PHĂSĔOLU, CĔRVĒSĬA, PHĀSĬĀNU; 084b) CĂMĬSĬA, CĬNĬSĬA, *MĂSĬŌNE</t>
  </si>
  <si>
    <t>ci/gi</t>
  </si>
  <si>
    <t>t̠͡ʃ~d̠͡ʒ&lt;ʃ</t>
  </si>
  <si>
    <t>s/z</t>
  </si>
  <si>
    <t>i_V</t>
  </si>
  <si>
    <t>084a: sj / ? / V_V</t>
  </si>
  <si>
    <t>084b: sj / ? / V_V</t>
  </si>
  <si>
    <t>ECCLĒSIA semi-learned</t>
  </si>
  <si>
    <t>-MJ-</t>
  </si>
  <si>
    <t>VĪNDĒMĬA/ĀRE, DĬFFĀMĬA, SĪMĬA/U, CŎMMĔĀTU</t>
  </si>
  <si>
    <t>mm</t>
  </si>
  <si>
    <t>NN</t>
  </si>
  <si>
    <t>mj / ? / V_V</t>
  </si>
  <si>
    <t>-NJ-</t>
  </si>
  <si>
    <t>086a) CĂSTĂNĔA, MONTĀNĔA, VĪNĔA, ĂRĀNĔA, PĪNĔA, CŬNĔU/ĀRE, BĂNĔU, CĂLCĀNĔU; 086b) LINEU, EXTRANEU</t>
  </si>
  <si>
    <t>nh</t>
  </si>
  <si>
    <t>ñ</t>
  </si>
  <si>
    <t>ny</t>
  </si>
  <si>
    <t>gn</t>
  </si>
  <si>
    <t>nj</t>
  </si>
  <si>
    <t>ɲ</t>
  </si>
  <si>
    <t>ɲ (ȵ)</t>
  </si>
  <si>
    <t>ɲɲ(ȵȵ)</t>
  </si>
  <si>
    <t>j̃</t>
  </si>
  <si>
    <t>NW</t>
  </si>
  <si>
    <t>086a</t>
  </si>
  <si>
    <t>086b</t>
  </si>
  <si>
    <t>nj / ? / V_V</t>
  </si>
  <si>
    <t>typically /ɲ/</t>
  </si>
  <si>
    <t>-RJ-</t>
  </si>
  <si>
    <t>JĀN-/JĔNŬĀRĬU, LĂCTĀRĬU, FŬRNĀRĬU</t>
  </si>
  <si>
    <t>rj / ? / V_V</t>
  </si>
  <si>
    <t>frequent metathesis</t>
  </si>
  <si>
    <t>-LJ-</t>
  </si>
  <si>
    <t>FĪLĬA/U, CĬLĬA, MĬLĬU, MĪLĬA</t>
  </si>
  <si>
    <t>lh</t>
  </si>
  <si>
    <t>gli</t>
  </si>
  <si>
    <t>ȴ (ʎ̟)</t>
  </si>
  <si>
    <t>ȴȴ (ʎ̟ʎ̟)</t>
  </si>
  <si>
    <t>LLWW</t>
  </si>
  <si>
    <t>lj / ? / i_V</t>
  </si>
  <si>
    <t>PĂLĔA, FŎLĬA, ŎLĔU</t>
  </si>
  <si>
    <t>{a,e,o,u}_V</t>
  </si>
  <si>
    <t>lj / ? / {a,e,o,u}_V</t>
  </si>
  <si>
    <t>2.3 Geminate consonants</t>
  </si>
  <si>
    <t>-PP-</t>
  </si>
  <si>
    <t>CŬPPA, STŬPPA/ĀRE</t>
  </si>
  <si>
    <t>pp / ? / V_V</t>
  </si>
  <si>
    <t>typically degeminated</t>
  </si>
  <si>
    <t>-BB-</t>
  </si>
  <si>
    <t>ĂBBĀTE, GĬBBA, SĂBBĂTU</t>
  </si>
  <si>
    <t>BB</t>
  </si>
  <si>
    <t>bb~b</t>
  </si>
  <si>
    <t>PP~P</t>
  </si>
  <si>
    <t>bb / ? / V_V</t>
  </si>
  <si>
    <t>-TT-</t>
  </si>
  <si>
    <t>092a) CĂTTA/U, PLĂTTU, BŬTTE, SĂGĬTTA, MĬTTĔRE;
092b) *PĬTTĪTU, *MĬTTĪTU</t>
  </si>
  <si>
    <t>TT</t>
  </si>
  <si>
    <t>tt</t>
  </si>
  <si>
    <t>t̪t̪</t>
  </si>
  <si>
    <t>092a</t>
  </si>
  <si>
    <t>092b</t>
  </si>
  <si>
    <t>092a: tt / ? / V_{a,e,ī,O}</t>
  </si>
  <si>
    <t>092b: tt / ? / V_ī</t>
  </si>
  <si>
    <t>-DD-</t>
  </si>
  <si>
    <t>ĂDDŪCĔRE, RĔDDĔRE, (ĬN)ĂDDĔRE</t>
  </si>
  <si>
    <t>DD</t>
  </si>
  <si>
    <t>dd</t>
  </si>
  <si>
    <t>d̪d̪</t>
  </si>
  <si>
    <t>dd / ? / V_V</t>
  </si>
  <si>
    <t>-CC-</t>
  </si>
  <si>
    <t>SĬCCU, BĔCCU</t>
  </si>
  <si>
    <t>CC</t>
  </si>
  <si>
    <t>cc</t>
  </si>
  <si>
    <t>kk</t>
  </si>
  <si>
    <t>kk / ? / V_O</t>
  </si>
  <si>
    <t>*TŬCCĀRE, BŬCCA, VĂCCA</t>
  </si>
  <si>
    <t>kk / ? / V_a</t>
  </si>
  <si>
    <t>ŎCCĪDĔRE, *BĂCCĬNU, CŎCCĬNU, BŬCCĬNĀRE, FLĂCCĬDU</t>
  </si>
  <si>
    <t>c/z</t>
  </si>
  <si>
    <r>
      <rPr>
        <sz val="9"/>
        <color rgb="FF000000"/>
        <rFont val="Tahoma"/>
      </rPr>
      <t>c/ss</t>
    </r>
    <r>
      <rPr>
        <sz val="8"/>
        <color rgb="FF000000"/>
        <rFont val="Tahoma"/>
      </rPr>
      <t>(tz)</t>
    </r>
  </si>
  <si>
    <t>c/ss</t>
  </si>
  <si>
    <r>
      <rPr>
        <sz val="12"/>
        <color rgb="FF000000"/>
        <rFont val="Tahoma"/>
      </rPr>
      <t>s</t>
    </r>
    <r>
      <rPr>
        <sz val="11"/>
        <color rgb="FF000000"/>
        <rFont val="Tahoma"/>
      </rPr>
      <t xml:space="preserve"> (s̪)</t>
    </r>
  </si>
  <si>
    <r>
      <rPr>
        <sz val="12"/>
        <color rgb="FF000000"/>
        <rFont val="Tahoma"/>
      </rPr>
      <t>s̠</t>
    </r>
    <r>
      <rPr>
        <sz val="10"/>
        <color rgb="FF000000"/>
        <rFont val="Tahoma"/>
      </rPr>
      <t xml:space="preserve"> (d͡z̠)</t>
    </r>
  </si>
  <si>
    <r>
      <rPr>
        <sz val="12"/>
        <color rgb="FF000000"/>
        <rFont val="Tahoma"/>
      </rPr>
      <t>F</t>
    </r>
    <r>
      <rPr>
        <sz val="10"/>
        <color rgb="FF000000"/>
        <rFont val="Tahoma"/>
      </rPr>
      <t xml:space="preserve"> (P͡F)</t>
    </r>
  </si>
  <si>
    <t>kk / ? / V_E</t>
  </si>
  <si>
    <t>typically palatalizes</t>
  </si>
  <si>
    <t>-GG-</t>
  </si>
  <si>
    <t>ĔXĂGGĔRĀRE, SŬGGĔRĀRE</t>
  </si>
  <si>
    <t>GG</t>
  </si>
  <si>
    <t>g(g)</t>
  </si>
  <si>
    <t>(d̠)d̠͡ʒ</t>
  </si>
  <si>
    <t>(P)P͡F</t>
  </si>
  <si>
    <t>ɡɡ / ? / V_V</t>
  </si>
  <si>
    <t>would typically have degeminated; the given forms here are learned and only show the context V_E</t>
  </si>
  <si>
    <t>-MM-</t>
  </si>
  <si>
    <t>FLĂMMA, GĔMMA, CŎMMŪNE, SŬMMA/U, MĂMMA</t>
  </si>
  <si>
    <t>MM</t>
  </si>
  <si>
    <t>mm / ? / V_V</t>
  </si>
  <si>
    <t>-NN-</t>
  </si>
  <si>
    <t>CĂNNA, ĂNNU, CĬNNU/ĀRE, PĂNNU, CĂNNŬLA</t>
  </si>
  <si>
    <t>nn</t>
  </si>
  <si>
    <t>nn / ? / V_V</t>
  </si>
  <si>
    <t>-FF-</t>
  </si>
  <si>
    <t>ŎFFĔNDĔRE, SŬFFĔRĪRE, DĬFFĬCĬLE</t>
  </si>
  <si>
    <t>ff / ? / V_V</t>
  </si>
  <si>
    <t>typically degeminated; the given forms here are typically learned</t>
  </si>
  <si>
    <t>-SS-</t>
  </si>
  <si>
    <t>101a) VĔSSĪCA, *VĬSSĪNA/ĪRE;
101b) TŬSSĬ/ĪRE, *ĂSSĒCŪRĀRE, ĂSSĬMĬLĀRE</t>
  </si>
  <si>
    <t>SS</t>
  </si>
  <si>
    <t>(i)x</t>
  </si>
  <si>
    <t>ss</t>
  </si>
  <si>
    <t>sh</t>
  </si>
  <si>
    <t>sc(i)</t>
  </si>
  <si>
    <t>sh~s</t>
  </si>
  <si>
    <t>ș~s</t>
  </si>
  <si>
    <t>s̠s̠</t>
  </si>
  <si>
    <t>ɕ~ʃ</t>
  </si>
  <si>
    <t>ʃʃ</t>
  </si>
  <si>
    <t>s (s̠)</t>
  </si>
  <si>
    <t>s̪s̪~ss</t>
  </si>
  <si>
    <t>ʃ~s̪</t>
  </si>
  <si>
    <t>101a</t>
  </si>
  <si>
    <t>101b</t>
  </si>
  <si>
    <t>101a: ss / ? / V_E</t>
  </si>
  <si>
    <t>typically palatalized/degeminated</t>
  </si>
  <si>
    <t>101b: ss / ? / V_E</t>
  </si>
  <si>
    <t>PĂSSU/ĀRE, ŎSSU, FŎSSA, ĂSSĀRE, SPĬSSU;
CRĂSSU, BĂSSU</t>
  </si>
  <si>
    <t>ss / ? / V_{a,O}</t>
  </si>
  <si>
    <t>CRĂSSU, BĂSSU</t>
  </si>
  <si>
    <t xml:space="preserve">occasional palatalized forms likely from -SSJ- rather than true -SS- </t>
  </si>
  <si>
    <t>-RR-</t>
  </si>
  <si>
    <t>TĔRRA, CĂRRU, CĂRRĀRĬA</t>
  </si>
  <si>
    <t>RR</t>
  </si>
  <si>
    <t>rr</t>
  </si>
  <si>
    <t>rː</t>
  </si>
  <si>
    <t>r̠ː</t>
  </si>
  <si>
    <t>LL</t>
  </si>
  <si>
    <t>rr / ? / V_V</t>
  </si>
  <si>
    <t>typically remains [rː]</t>
  </si>
  <si>
    <t>-LL-</t>
  </si>
  <si>
    <t>104a) BĔLLA, PĂTĔLLA, VĬLLA, MĬLLE, VĬTĔLLU, FŎLLE, ĂLLĬGĀRE; 104b) GĂLLĪNA, BŬLLĪRE, -LLĪ</t>
  </si>
  <si>
    <t>l(l)</t>
  </si>
  <si>
    <t>ḍḍ</t>
  </si>
  <si>
    <t>ll~ɭɭ</t>
  </si>
  <si>
    <t>ʎ~ʝ</t>
  </si>
  <si>
    <t>ȴ [ʎ̟]</t>
  </si>
  <si>
    <t>ɖɖ</t>
  </si>
  <si>
    <t>L~F</t>
  </si>
  <si>
    <t>104a</t>
  </si>
  <si>
    <t>104b</t>
  </si>
  <si>
    <t>104a: ll / ? / V_{a,e,ĭ,O}</t>
  </si>
  <si>
    <t>104b: ll / ? / V_ī</t>
  </si>
  <si>
    <t>Balkan Romance shows palatalization before /i/</t>
  </si>
  <si>
    <t>-PT-</t>
  </si>
  <si>
    <t>01a</t>
  </si>
  <si>
    <t>01b</t>
  </si>
  <si>
    <t>02</t>
  </si>
  <si>
    <t>03</t>
  </si>
  <si>
    <t>04a</t>
  </si>
  <si>
    <t>04b</t>
  </si>
  <si>
    <t>04c</t>
  </si>
  <si>
    <t>04d</t>
  </si>
  <si>
    <t>05</t>
  </si>
  <si>
    <t>06a</t>
  </si>
  <si>
    <t>06b</t>
  </si>
  <si>
    <t>06c</t>
  </si>
  <si>
    <t>07a</t>
  </si>
  <si>
    <t>07b</t>
  </si>
  <si>
    <t>08</t>
  </si>
  <si>
    <t>09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</si>
  <si>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</si>
  <si>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</si>
  <si>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</si>
  <si>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</si>
  <si>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</si>
  <si>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</si>
  <si>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</si>
  <si>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</si>
  <si>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</si>
  <si>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</si>
  <si>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</si>
  <si>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</si>
  <si>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</si>
  <si>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</si>
  <si>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</si>
  <si>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</si>
  <si>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LDO</t>
  </si>
  <si>
    <t>PST</t>
  </si>
  <si>
    <t>GLA</t>
  </si>
  <si>
    <t>NRM</t>
  </si>
  <si>
    <t>PIC</t>
  </si>
  <si>
    <t>PMS</t>
  </si>
  <si>
    <t>EML</t>
  </si>
  <si>
    <t>RML</t>
  </si>
  <si>
    <t>LDN</t>
  </si>
  <si>
    <t>DMI</t>
  </si>
  <si>
    <t>CMM</t>
  </si>
  <si>
    <t>LUC</t>
  </si>
  <si>
    <t>CLB</t>
  </si>
  <si>
    <t>SAL</t>
  </si>
  <si>
    <t>IST</t>
  </si>
  <si>
    <t>pt / ? / V_V</t>
  </si>
  <si>
    <t>2.5 Groups of two consonants + yod</t>
  </si>
  <si>
    <t>-PTJ-</t>
  </si>
  <si>
    <t>STRĀTA, STRICTA, STRATU/A</t>
  </si>
  <si>
    <t>B - Vocalism</t>
  </si>
  <si>
    <t>1. Accented vowels</t>
  </si>
  <si>
    <t>Ī</t>
  </si>
  <si>
    <t>AMĪCA</t>
  </si>
  <si>
    <t>_Ca</t>
  </si>
  <si>
    <t>iː</t>
  </si>
  <si>
    <t>ī / ? / _Ca</t>
  </si>
  <si>
    <t>typically /i/</t>
  </si>
  <si>
    <t>typically //</t>
  </si>
  <si>
    <t>https://en.wikipedia.org/wiki/Vowel#/media/File:Esling_vowel_chart.png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</si>
</sst>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Aptos Narrow"/>
      <family val="2"/>
      <scheme val="minor"/>
    </font>
    <font>
      <sz val="11"/>
      <color theme="1"/>
      <name val="Tahoma"/>
    </font>
    <font>
      <b/>
      <sz val="11"/>
      <color theme="1"/>
      <name val="Tahoma"/>
    </font>
    <font>
      <sz val="12"/>
      <color theme="1"/>
      <name val="Tahoma"/>
    </font>
    <font>
      <sz val="12"/>
      <color rgb="FF000000"/>
      <name val="Tahoma"/>
    </font>
    <font>
      <b/>
      <sz val="12"/>
      <color theme="1"/>
      <name val="Tahoma"/>
    </font>
    <font>
      <sz val="14"/>
      <color theme="1"/>
      <name val="Tahoma"/>
    </font>
    <font>
      <i/>
      <sz val="12"/>
      <color theme="1"/>
      <name val="Tahoma"/>
    </font>
    <font>
      <u/>
      <sz val="11"/>
      <color theme="10"/>
      <name val="Aptos Narrow"/>
      <family val="2"/>
      <scheme val="minor"/>
    </font>
    <font>
      <u/>
      <sz val="12"/>
      <color theme="10"/>
      <name val="Tahoma"/>
    </font>
    <font>
      <u/>
      <sz val="12"/>
      <color theme="1"/>
      <name val="Tahoma"/>
    </font>
    <font>
      <sz val="11"/>
      <color rgb="FF000000"/>
      <name val="Tahoma"/>
    </font>
    <font>
      <sz val="12"/>
      <color rgb="FF808080"/>
      <name val="Tahoma"/>
    </font>
    <font>
      <sz val="11.5"/>
      <color theme="1"/>
      <name val="Tahoma"/>
    </font>
    <font>
      <i/>
      <sz val="12"/>
      <color rgb="FF000000"/>
      <name val="Tahoma"/>
    </font>
    <font>
      <u/>
      <sz val="11"/>
      <color theme="10"/>
      <name val="Tahoma"/>
    </font>
    <font>
      <sz val="10.5"/>
      <color theme="1"/>
      <name val="Tahoma"/>
    </font>
    <font>
      <sz val="8.5"/>
      <color theme="1"/>
      <name val="Tahoma"/>
    </font>
    <font>
      <sz val="10.5"/>
      <color rgb="FF000000"/>
      <name val="Tahoma"/>
    </font>
    <font>
      <sz val="8"/>
      <color rgb="FF000000"/>
      <name val="Tahoma"/>
    </font>
    <font>
      <sz val="9"/>
      <color rgb="FF000000"/>
      <name val="Tahoma"/>
    </font>
    <font>
      <sz val="10"/>
      <color rgb="FF000000"/>
      <name val="Tahoma"/>
    </font>
    <font>
      <i/>
      <sz val="11"/>
      <color rgb="FF000000"/>
      <name val="Tahoma"/>
    </font>
    <font>
      <sz val="8"/>
      <color theme="1"/>
      <name val="Tahoma"/>
    </font>
    <font>
      <sz val="10"/>
      <color theme="1"/>
      <name val="Tahoma"/>
    </font>
    <font>
      <sz val="12"/>
      <color theme="8" tint="-0.499984740745262"/>
      <name val="Tahoma"/>
    </font>
    <font>
      <sz val="9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8.5"/>
      <color rgb="FF000000"/>
      <name val="Tahoma"/>
    </font>
    <font>
      <sz val="11.5"/>
      <color rgb="FF000000"/>
      <name val="Tahoma"/>
    </font>
    <font>
      <sz val="9.5"/>
      <color rgb="FF000000"/>
      <name val="Tahoma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0.5"/>
      <color theme="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CD0CD"/>
        <bgColor indexed="64"/>
      </patternFill>
    </fill>
    <fill>
      <patternFill patternType="solid">
        <fgColor rgb="FFFCDD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FACC"/>
        <bgColor indexed="64"/>
      </patternFill>
    </fill>
    <fill>
      <patternFill patternType="solid">
        <fgColor rgb="FFF6FDCC"/>
        <bgColor indexed="64"/>
      </patternFill>
    </fill>
    <fill>
      <patternFill patternType="solid">
        <fgColor rgb="FFE3F1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FE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8CCC2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5D5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9CAF1"/>
        <bgColor indexed="64"/>
      </patternFill>
    </fill>
    <fill>
      <patternFill patternType="solid">
        <fgColor rgb="FFEBD1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1"/>
    </xf>
    <xf numFmtId="0" fontId="1" fillId="0" borderId="0" xfId="0" quotePrefix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6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readingOrder="1"/>
    </xf>
    <xf numFmtId="0" fontId="3" fillId="6" borderId="6" xfId="0" applyFont="1" applyFill="1" applyBorder="1" applyAlignment="1">
      <alignment horizontal="center" vertical="center" readingOrder="1"/>
    </xf>
    <xf numFmtId="0" fontId="3" fillId="7" borderId="6" xfId="0" applyFont="1" applyFill="1" applyBorder="1" applyAlignment="1">
      <alignment horizontal="center" vertical="center" wrapText="1" readingOrder="1"/>
    </xf>
    <xf numFmtId="0" fontId="3" fillId="8" borderId="6" xfId="0" applyFont="1" applyFill="1" applyBorder="1" applyAlignment="1">
      <alignment horizontal="center" vertical="center" readingOrder="1"/>
    </xf>
    <xf numFmtId="0" fontId="3" fillId="9" borderId="6" xfId="0" applyFont="1" applyFill="1" applyBorder="1" applyAlignment="1">
      <alignment horizontal="center" vertical="center" readingOrder="1"/>
    </xf>
    <xf numFmtId="0" fontId="3" fillId="10" borderId="6" xfId="0" applyFont="1" applyFill="1" applyBorder="1" applyAlignment="1">
      <alignment horizontal="center" vertical="center" readingOrder="1"/>
    </xf>
    <xf numFmtId="0" fontId="3" fillId="11" borderId="6" xfId="0" applyFont="1" applyFill="1" applyBorder="1" applyAlignment="1">
      <alignment horizontal="center" vertical="center" readingOrder="1"/>
    </xf>
    <xf numFmtId="0" fontId="3" fillId="12" borderId="6" xfId="0" applyFont="1" applyFill="1" applyBorder="1" applyAlignment="1">
      <alignment horizontal="center" vertical="center" readingOrder="1"/>
    </xf>
    <xf numFmtId="0" fontId="3" fillId="13" borderId="6" xfId="0" applyFont="1" applyFill="1" applyBorder="1" applyAlignment="1">
      <alignment horizontal="center" vertical="center" readingOrder="1"/>
    </xf>
    <xf numFmtId="0" fontId="3" fillId="14" borderId="6" xfId="0" applyFont="1" applyFill="1" applyBorder="1" applyAlignment="1">
      <alignment horizontal="center" vertical="center" readingOrder="1"/>
    </xf>
    <xf numFmtId="0" fontId="3" fillId="15" borderId="6" xfId="0" applyFont="1" applyFill="1" applyBorder="1" applyAlignment="1">
      <alignment horizontal="center" vertical="center" readingOrder="1"/>
    </xf>
    <xf numFmtId="0" fontId="3" fillId="16" borderId="6" xfId="0" applyFont="1" applyFill="1" applyBorder="1" applyAlignment="1">
      <alignment horizontal="center" vertical="center" readingOrder="1"/>
    </xf>
    <xf numFmtId="0" fontId="3" fillId="18" borderId="6" xfId="0" applyFont="1" applyFill="1" applyBorder="1" applyAlignment="1">
      <alignment horizontal="center" vertical="center" readingOrder="1"/>
    </xf>
    <xf numFmtId="0" fontId="3" fillId="18" borderId="8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readingOrder="1"/>
    </xf>
    <xf numFmtId="0" fontId="3" fillId="5" borderId="9" xfId="0" applyFont="1" applyFill="1" applyBorder="1" applyAlignment="1">
      <alignment horizontal="center" vertical="center" readingOrder="1"/>
    </xf>
    <xf numFmtId="0" fontId="3" fillId="6" borderId="9" xfId="0" applyFont="1" applyFill="1" applyBorder="1" applyAlignment="1">
      <alignment horizontal="center" vertical="center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3" fillId="19" borderId="9" xfId="0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readingOrder="1"/>
    </xf>
    <xf numFmtId="0" fontId="3" fillId="10" borderId="9" xfId="0" applyFont="1" applyFill="1" applyBorder="1" applyAlignment="1">
      <alignment horizontal="center" vertical="center" readingOrder="1"/>
    </xf>
    <xf numFmtId="0" fontId="3" fillId="11" borderId="9" xfId="0" applyFont="1" applyFill="1" applyBorder="1" applyAlignment="1">
      <alignment horizontal="center" vertical="center" readingOrder="1"/>
    </xf>
    <xf numFmtId="0" fontId="3" fillId="12" borderId="9" xfId="0" applyFont="1" applyFill="1" applyBorder="1" applyAlignment="1">
      <alignment horizontal="center" vertical="center" wrapText="1" readingOrder="1"/>
    </xf>
    <xf numFmtId="0" fontId="3" fillId="13" borderId="9" xfId="0" applyFont="1" applyFill="1" applyBorder="1" applyAlignment="1">
      <alignment horizontal="center" vertical="center" readingOrder="1"/>
    </xf>
    <xf numFmtId="0" fontId="3" fillId="14" borderId="9" xfId="0" applyFont="1" applyFill="1" applyBorder="1" applyAlignment="1">
      <alignment horizontal="center" vertical="center" readingOrder="1"/>
    </xf>
    <xf numFmtId="0" fontId="3" fillId="15" borderId="9" xfId="0" applyFont="1" applyFill="1" applyBorder="1" applyAlignment="1">
      <alignment horizontal="center" vertical="center" readingOrder="1"/>
    </xf>
    <xf numFmtId="0" fontId="3" fillId="16" borderId="9" xfId="0" applyFont="1" applyFill="1" applyBorder="1" applyAlignment="1">
      <alignment horizontal="center" vertical="center" readingOrder="1"/>
    </xf>
    <xf numFmtId="0" fontId="3" fillId="17" borderId="9" xfId="0" applyFont="1" applyFill="1" applyBorder="1" applyAlignment="1">
      <alignment horizontal="center" vertical="center" readingOrder="1"/>
    </xf>
    <xf numFmtId="0" fontId="3" fillId="18" borderId="9" xfId="0" applyFont="1" applyFill="1" applyBorder="1" applyAlignment="1">
      <alignment horizontal="center" vertical="center" readingOrder="1"/>
    </xf>
    <xf numFmtId="0" fontId="3" fillId="20" borderId="0" xfId="0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19" borderId="17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readingOrder="1"/>
    </xf>
    <xf numFmtId="0" fontId="3" fillId="3" borderId="17" xfId="0" applyFont="1" applyFill="1" applyBorder="1" applyAlignment="1">
      <alignment horizontal="center" vertical="center" wrapText="1" readingOrder="1"/>
    </xf>
    <xf numFmtId="0" fontId="4" fillId="4" borderId="17" xfId="0" applyFont="1" applyFill="1" applyBorder="1" applyAlignment="1">
      <alignment horizontal="center" vertical="center" wrapText="1" readingOrder="1"/>
    </xf>
    <xf numFmtId="0" fontId="3" fillId="4" borderId="17" xfId="0" applyFont="1" applyFill="1" applyBorder="1" applyAlignment="1">
      <alignment horizontal="center" vertical="center" wrapText="1" readingOrder="1"/>
    </xf>
    <xf numFmtId="0" fontId="3" fillId="5" borderId="17" xfId="0" applyFont="1" applyFill="1" applyBorder="1" applyAlignment="1">
      <alignment horizontal="center" vertical="center" readingOrder="1"/>
    </xf>
    <xf numFmtId="0" fontId="3" fillId="6" borderId="17" xfId="0" applyFont="1" applyFill="1" applyBorder="1" applyAlignment="1">
      <alignment horizontal="center" vertical="center" readingOrder="1"/>
    </xf>
    <xf numFmtId="0" fontId="3" fillId="7" borderId="17" xfId="0" applyFont="1" applyFill="1" applyBorder="1" applyAlignment="1">
      <alignment horizontal="center" vertical="center" wrapText="1" readingOrder="1"/>
    </xf>
    <xf numFmtId="0" fontId="3" fillId="8" borderId="17" xfId="0" applyFont="1" applyFill="1" applyBorder="1" applyAlignment="1">
      <alignment horizontal="center" vertical="center" readingOrder="1"/>
    </xf>
    <xf numFmtId="0" fontId="3" fillId="8" borderId="17" xfId="0" applyFont="1" applyFill="1" applyBorder="1" applyAlignment="1">
      <alignment horizontal="center" vertical="center" wrapText="1" readingOrder="1"/>
    </xf>
    <xf numFmtId="0" fontId="3" fillId="9" borderId="17" xfId="0" applyFont="1" applyFill="1" applyBorder="1" applyAlignment="1">
      <alignment horizontal="center" vertical="center" readingOrder="1"/>
    </xf>
    <xf numFmtId="0" fontId="3" fillId="10" borderId="17" xfId="0" applyFont="1" applyFill="1" applyBorder="1" applyAlignment="1">
      <alignment horizontal="center" vertical="center" readingOrder="1"/>
    </xf>
    <xf numFmtId="0" fontId="3" fillId="11" borderId="17" xfId="0" applyFont="1" applyFill="1" applyBorder="1" applyAlignment="1">
      <alignment horizontal="center" vertical="center" readingOrder="1"/>
    </xf>
    <xf numFmtId="0" fontId="3" fillId="12" borderId="17" xfId="0" applyFont="1" applyFill="1" applyBorder="1" applyAlignment="1">
      <alignment horizontal="center" vertical="center" wrapText="1" readingOrder="1"/>
    </xf>
    <xf numFmtId="0" fontId="3" fillId="13" borderId="17" xfId="0" applyFont="1" applyFill="1" applyBorder="1" applyAlignment="1">
      <alignment horizontal="center" vertical="center" readingOrder="1"/>
    </xf>
    <xf numFmtId="0" fontId="3" fillId="14" borderId="17" xfId="0" applyFont="1" applyFill="1" applyBorder="1" applyAlignment="1">
      <alignment horizontal="center" vertical="center" readingOrder="1"/>
    </xf>
    <xf numFmtId="0" fontId="3" fillId="15" borderId="17" xfId="0" applyFont="1" applyFill="1" applyBorder="1" applyAlignment="1">
      <alignment horizontal="center" vertical="center" readingOrder="1"/>
    </xf>
    <xf numFmtId="0" fontId="3" fillId="16" borderId="17" xfId="0" applyFont="1" applyFill="1" applyBorder="1" applyAlignment="1">
      <alignment horizontal="center" vertical="center" readingOrder="1"/>
    </xf>
    <xf numFmtId="0" fontId="3" fillId="18" borderId="17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1" applyAlignment="1">
      <alignment horizontal="left" vertical="center"/>
    </xf>
    <xf numFmtId="0" fontId="3" fillId="21" borderId="9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2" fontId="3" fillId="21" borderId="9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1" borderId="1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3" fillId="20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5" fillId="0" borderId="0" xfId="1" applyFont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10" xfId="0" applyFont="1" applyFill="1" applyBorder="1" applyAlignment="1">
      <alignment horizontal="center" vertical="center"/>
    </xf>
    <xf numFmtId="2" fontId="3" fillId="22" borderId="9" xfId="0" applyNumberFormat="1" applyFont="1" applyFill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2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2" borderId="1" xfId="0" applyFont="1" applyFill="1" applyBorder="1" applyAlignment="1">
      <alignment horizontal="center" vertical="center" readingOrder="1"/>
    </xf>
    <xf numFmtId="0" fontId="26" fillId="2" borderId="3" xfId="0" applyFont="1" applyFill="1" applyBorder="1" applyAlignment="1">
      <alignment horizontal="center" vertical="center" readingOrder="1"/>
    </xf>
    <xf numFmtId="0" fontId="26" fillId="2" borderId="5" xfId="0" applyFont="1" applyFill="1" applyBorder="1" applyAlignment="1">
      <alignment horizontal="center" vertical="center" readingOrder="1"/>
    </xf>
    <xf numFmtId="0" fontId="26" fillId="3" borderId="5" xfId="0" applyFont="1" applyFill="1" applyBorder="1" applyAlignment="1">
      <alignment horizontal="center" vertical="center" readingOrder="1"/>
    </xf>
    <xf numFmtId="0" fontId="20" fillId="4" borderId="5" xfId="0" applyFont="1" applyFill="1" applyBorder="1" applyAlignment="1">
      <alignment horizontal="center" vertical="center" wrapText="1" readingOrder="1"/>
    </xf>
    <xf numFmtId="0" fontId="26" fillId="4" borderId="5" xfId="0" applyFont="1" applyFill="1" applyBorder="1" applyAlignment="1">
      <alignment horizontal="center" vertical="center" wrapText="1" readingOrder="1"/>
    </xf>
    <xf numFmtId="0" fontId="26" fillId="5" borderId="5" xfId="0" applyFont="1" applyFill="1" applyBorder="1" applyAlignment="1">
      <alignment horizontal="center" vertical="center" readingOrder="1"/>
    </xf>
    <xf numFmtId="0" fontId="26" fillId="6" borderId="5" xfId="0" applyFont="1" applyFill="1" applyBorder="1" applyAlignment="1">
      <alignment horizontal="center" vertical="center" readingOrder="1"/>
    </xf>
    <xf numFmtId="0" fontId="26" fillId="7" borderId="5" xfId="0" applyFont="1" applyFill="1" applyBorder="1" applyAlignment="1">
      <alignment horizontal="center" vertical="center" wrapText="1" readingOrder="1"/>
    </xf>
    <xf numFmtId="0" fontId="26" fillId="8" borderId="5" xfId="0" applyFont="1" applyFill="1" applyBorder="1" applyAlignment="1">
      <alignment horizontal="center" vertical="center" readingOrder="1"/>
    </xf>
    <xf numFmtId="0" fontId="26" fillId="9" borderId="5" xfId="0" applyFont="1" applyFill="1" applyBorder="1" applyAlignment="1">
      <alignment horizontal="center" vertical="center" readingOrder="1"/>
    </xf>
    <xf numFmtId="0" fontId="26" fillId="10" borderId="5" xfId="0" applyFont="1" applyFill="1" applyBorder="1" applyAlignment="1">
      <alignment horizontal="center" vertical="center" readingOrder="1"/>
    </xf>
    <xf numFmtId="0" fontId="26" fillId="11" borderId="5" xfId="0" applyFont="1" applyFill="1" applyBorder="1" applyAlignment="1">
      <alignment horizontal="center" vertical="center" readingOrder="1"/>
    </xf>
    <xf numFmtId="0" fontId="26" fillId="12" borderId="5" xfId="0" applyFont="1" applyFill="1" applyBorder="1" applyAlignment="1">
      <alignment horizontal="center" vertical="center" readingOrder="1"/>
    </xf>
    <xf numFmtId="0" fontId="26" fillId="13" borderId="5" xfId="0" applyFont="1" applyFill="1" applyBorder="1" applyAlignment="1">
      <alignment horizontal="center" vertical="center" readingOrder="1"/>
    </xf>
    <xf numFmtId="0" fontId="26" fillId="14" borderId="5" xfId="0" applyFont="1" applyFill="1" applyBorder="1" applyAlignment="1">
      <alignment horizontal="center" vertical="center" readingOrder="1"/>
    </xf>
    <xf numFmtId="0" fontId="26" fillId="15" borderId="5" xfId="0" applyFont="1" applyFill="1" applyBorder="1" applyAlignment="1">
      <alignment horizontal="center" vertical="center" readingOrder="1"/>
    </xf>
    <xf numFmtId="0" fontId="26" fillId="16" borderId="5" xfId="0" applyFont="1" applyFill="1" applyBorder="1" applyAlignment="1">
      <alignment horizontal="center" vertical="center" readingOrder="1"/>
    </xf>
    <xf numFmtId="0" fontId="26" fillId="18" borderId="5" xfId="0" applyFont="1" applyFill="1" applyBorder="1" applyAlignment="1">
      <alignment horizontal="center" vertical="center" readingOrder="1"/>
    </xf>
    <xf numFmtId="0" fontId="26" fillId="18" borderId="7" xfId="0" applyFont="1" applyFill="1" applyBorder="1" applyAlignment="1">
      <alignment horizontal="center" vertical="center" readingOrder="1"/>
    </xf>
    <xf numFmtId="0" fontId="26" fillId="19" borderId="9" xfId="0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5" fillId="21" borderId="9" xfId="0" applyFont="1" applyFill="1" applyBorder="1" applyAlignment="1">
      <alignment horizontal="center" vertical="center"/>
    </xf>
    <xf numFmtId="0" fontId="25" fillId="21" borderId="18" xfId="0" applyFont="1" applyFill="1" applyBorder="1" applyAlignment="1">
      <alignment horizontal="center" vertical="center"/>
    </xf>
    <xf numFmtId="2" fontId="3" fillId="21" borderId="10" xfId="0" applyNumberFormat="1" applyFont="1" applyFill="1" applyBorder="1" applyAlignment="1">
      <alignment horizontal="center" vertical="center"/>
    </xf>
    <xf numFmtId="0" fontId="25" fillId="0" borderId="19" xfId="0" quotePrefix="1" applyFont="1" applyBorder="1" applyAlignment="1">
      <alignment horizontal="center" vertical="center"/>
    </xf>
    <xf numFmtId="0" fontId="25" fillId="0" borderId="9" xfId="0" quotePrefix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8" fillId="0" borderId="0" xfId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" fillId="21" borderId="19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25" fillId="21" borderId="19" xfId="0" applyFont="1" applyFill="1" applyBorder="1" applyAlignment="1">
      <alignment horizontal="center" vertical="center"/>
    </xf>
    <xf numFmtId="2" fontId="3" fillId="21" borderId="18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" fillId="21" borderId="17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3" fillId="20" borderId="10" xfId="0" applyFont="1" applyFill="1" applyBorder="1" applyAlignment="1">
      <alignment horizontal="center" vertical="center"/>
    </xf>
    <xf numFmtId="2" fontId="3" fillId="2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0" borderId="0" xfId="0" quotePrefix="1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3" borderId="0" xfId="0" quotePrefix="1" applyFont="1" applyFill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0" borderId="11" xfId="0" quotePrefix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tionary.org/w/index.php?title=Category:Latin_terms_spelled_with_W&amp;from=W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tionary.org/w/index.php?title=Category:Latin_terms_spelled_with_W&amp;from=W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romanischesetymo00meyeuoft/page/280/mode/2up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Vow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A17" workbookViewId="0">
      <selection activeCell="A4" sqref="A4"/>
    </sheetView>
  </sheetViews>
  <sheetFormatPr defaultColWidth="9.140625" defaultRowHeight="14.25" customHeight="1"/>
  <cols>
    <col min="1" max="1" width="6.5703125" style="1" bestFit="1" customWidth="1"/>
    <col min="2" max="2" width="15.85546875" style="143" bestFit="1" customWidth="1"/>
    <col min="3" max="3" width="24.7109375" style="1" bestFit="1" customWidth="1"/>
    <col min="4" max="46" width="5.7109375" style="1" customWidth="1"/>
    <col min="47" max="16384" width="9.140625" style="1"/>
  </cols>
  <sheetData>
    <row r="1" spans="1:9" s="24" customFormat="1" ht="14.1">
      <c r="A1" s="165" t="s">
        <v>0</v>
      </c>
      <c r="B1" s="166"/>
      <c r="C1" s="24" t="s">
        <v>1</v>
      </c>
      <c r="D1" s="24">
        <v>1</v>
      </c>
      <c r="E1" s="24">
        <v>2</v>
      </c>
      <c r="F1" s="24" t="s">
        <v>2</v>
      </c>
      <c r="G1" s="24" t="s">
        <v>3</v>
      </c>
      <c r="H1" s="24" t="s">
        <v>4</v>
      </c>
      <c r="I1" s="24">
        <v>4</v>
      </c>
    </row>
    <row r="2" spans="1:9" ht="15">
      <c r="A2" s="142"/>
      <c r="B2" s="164" t="s">
        <v>5</v>
      </c>
      <c r="C2" s="43" t="s">
        <v>6</v>
      </c>
      <c r="D2" s="1">
        <f>'001 B-'!B10</f>
        <v>2</v>
      </c>
      <c r="E2" s="1">
        <f>'002 B-'!B10</f>
        <v>2</v>
      </c>
      <c r="F2" s="1">
        <f>'003 T-'!B10</f>
        <v>5</v>
      </c>
      <c r="G2" s="1">
        <f>'003 T-'!B10</f>
        <v>5</v>
      </c>
    </row>
    <row r="3" spans="1:9" ht="15">
      <c r="A3" s="1" t="s">
        <v>7</v>
      </c>
      <c r="B3" s="144" t="s">
        <v>8</v>
      </c>
      <c r="C3" s="3" t="s">
        <v>9</v>
      </c>
      <c r="D3" s="1">
        <f>'001 B-'!C10</f>
        <v>2</v>
      </c>
      <c r="E3" s="1">
        <f>'002 B-'!C10</f>
        <v>2</v>
      </c>
      <c r="F3" s="1">
        <f>'003 T-'!C10</f>
        <v>5</v>
      </c>
      <c r="G3" s="1">
        <f>'003 T-'!C10</f>
        <v>5</v>
      </c>
    </row>
    <row r="4" spans="1:9" ht="15">
      <c r="B4" s="145" t="s">
        <v>10</v>
      </c>
      <c r="C4" s="5" t="s">
        <v>11</v>
      </c>
      <c r="D4" s="1">
        <f>'001 B-'!D10</f>
        <v>2</v>
      </c>
      <c r="E4" s="1">
        <f>'002 B-'!D10</f>
        <v>2</v>
      </c>
      <c r="F4" s="1">
        <f>'003 T-'!D10</f>
        <v>5</v>
      </c>
      <c r="G4" s="1">
        <f>'003 T-'!E10</f>
        <v>5</v>
      </c>
    </row>
    <row r="5" spans="1:9" ht="15">
      <c r="A5" s="1" t="s">
        <v>7</v>
      </c>
      <c r="B5" s="146" t="s">
        <v>12</v>
      </c>
      <c r="C5" s="6" t="s">
        <v>13</v>
      </c>
      <c r="D5" s="1">
        <f>'001 B-'!E10</f>
        <v>2</v>
      </c>
      <c r="E5" s="1">
        <f>'002 B-'!E10</f>
        <v>2</v>
      </c>
      <c r="F5" s="1">
        <f>'003 T-'!E10</f>
        <v>5</v>
      </c>
      <c r="G5" s="1">
        <f>'003 T-'!F10</f>
        <v>5</v>
      </c>
    </row>
    <row r="6" spans="1:9" ht="15">
      <c r="B6" s="147" t="s">
        <v>14</v>
      </c>
      <c r="C6" s="7" t="s">
        <v>15</v>
      </c>
      <c r="D6" s="1">
        <f>'001 B-'!F10</f>
        <v>2</v>
      </c>
      <c r="E6" s="1">
        <f>'002 B-'!F10</f>
        <v>2</v>
      </c>
      <c r="F6" s="1">
        <f>'003 T-'!F10</f>
        <v>5</v>
      </c>
      <c r="G6" s="1">
        <f>'003 T-'!G10</f>
        <v>5</v>
      </c>
    </row>
    <row r="7" spans="1:9" ht="15">
      <c r="A7" s="1" t="s">
        <v>7</v>
      </c>
      <c r="B7" s="148" t="s">
        <v>16</v>
      </c>
      <c r="C7" s="8" t="s">
        <v>17</v>
      </c>
      <c r="D7" s="1">
        <f>'001 B-'!G10</f>
        <v>2</v>
      </c>
      <c r="E7" s="1" t="s">
        <v>18</v>
      </c>
      <c r="F7" s="1" t="s">
        <v>19</v>
      </c>
    </row>
    <row r="8" spans="1:9" ht="15">
      <c r="B8" s="148" t="s">
        <v>20</v>
      </c>
      <c r="C8" s="8" t="s">
        <v>21</v>
      </c>
      <c r="D8" s="1">
        <f>'001 B-'!H10</f>
        <v>2</v>
      </c>
      <c r="E8" s="1" t="s">
        <v>18</v>
      </c>
      <c r="F8" s="1" t="s">
        <v>19</v>
      </c>
    </row>
    <row r="9" spans="1:9" ht="15">
      <c r="B9" s="149" t="s">
        <v>22</v>
      </c>
      <c r="C9" s="9" t="s">
        <v>23</v>
      </c>
      <c r="D9" s="1">
        <f>'001 B-'!I10</f>
        <v>2</v>
      </c>
      <c r="E9" s="1" t="s">
        <v>18</v>
      </c>
      <c r="F9" s="1" t="s">
        <v>19</v>
      </c>
    </row>
    <row r="10" spans="1:9" ht="15">
      <c r="B10" s="150" t="s">
        <v>24</v>
      </c>
      <c r="C10" s="10" t="s">
        <v>25</v>
      </c>
      <c r="D10" s="1">
        <f>'001 B-'!J10</f>
        <v>2</v>
      </c>
      <c r="E10" s="1" t="s">
        <v>18</v>
      </c>
      <c r="F10" s="1" t="s">
        <v>19</v>
      </c>
    </row>
    <row r="11" spans="1:9" ht="15">
      <c r="A11" s="1" t="s">
        <v>7</v>
      </c>
      <c r="B11" s="151" t="s">
        <v>26</v>
      </c>
      <c r="C11" s="11" t="s">
        <v>27</v>
      </c>
      <c r="D11" s="1">
        <f>'001 B-'!K10</f>
        <v>2</v>
      </c>
      <c r="E11" s="1" t="s">
        <v>18</v>
      </c>
      <c r="F11" s="1" t="s">
        <v>19</v>
      </c>
    </row>
    <row r="12" spans="1:9" ht="15">
      <c r="B12" s="151" t="s">
        <v>28</v>
      </c>
      <c r="C12" s="11" t="s">
        <v>29</v>
      </c>
      <c r="D12" s="1">
        <f>'001 B-'!L10</f>
        <v>2</v>
      </c>
      <c r="E12" s="1" t="s">
        <v>18</v>
      </c>
      <c r="F12" s="1" t="s">
        <v>19</v>
      </c>
    </row>
    <row r="13" spans="1:9" ht="15">
      <c r="B13" s="151" t="s">
        <v>30</v>
      </c>
      <c r="C13" s="11" t="s">
        <v>31</v>
      </c>
      <c r="D13" s="1">
        <f>'001 B-'!M10</f>
        <v>2</v>
      </c>
      <c r="E13" s="1" t="s">
        <v>18</v>
      </c>
      <c r="F13" s="1" t="s">
        <v>19</v>
      </c>
    </row>
    <row r="14" spans="1:9" ht="15">
      <c r="A14" s="1" t="s">
        <v>7</v>
      </c>
      <c r="B14" s="152" t="s">
        <v>32</v>
      </c>
      <c r="C14" s="12" t="s">
        <v>33</v>
      </c>
      <c r="D14" s="1">
        <f>'001 B-'!N10</f>
        <v>2</v>
      </c>
      <c r="E14" s="1" t="s">
        <v>18</v>
      </c>
      <c r="F14" s="1" t="s">
        <v>19</v>
      </c>
    </row>
    <row r="15" spans="1:9" ht="15">
      <c r="B15" s="152" t="s">
        <v>34</v>
      </c>
      <c r="C15" s="12" t="s">
        <v>35</v>
      </c>
      <c r="D15" s="1">
        <f>'001 B-'!O10</f>
        <v>2</v>
      </c>
      <c r="E15" s="1" t="s">
        <v>18</v>
      </c>
      <c r="F15" s="1" t="s">
        <v>19</v>
      </c>
    </row>
    <row r="16" spans="1:9" ht="15">
      <c r="B16" s="153" t="s">
        <v>36</v>
      </c>
      <c r="C16" s="13" t="s">
        <v>37</v>
      </c>
      <c r="D16" s="1">
        <f>'001 B-'!P10</f>
        <v>2</v>
      </c>
      <c r="E16" s="1" t="s">
        <v>18</v>
      </c>
      <c r="F16" s="1" t="s">
        <v>19</v>
      </c>
    </row>
    <row r="17" spans="1:6" ht="15">
      <c r="A17" s="1" t="s">
        <v>7</v>
      </c>
      <c r="B17" s="153" t="s">
        <v>38</v>
      </c>
      <c r="C17" s="13" t="s">
        <v>39</v>
      </c>
      <c r="D17" s="1">
        <f>'001 B-'!Q10</f>
        <v>2</v>
      </c>
      <c r="E17" s="1" t="s">
        <v>18</v>
      </c>
      <c r="F17" s="1" t="s">
        <v>19</v>
      </c>
    </row>
    <row r="18" spans="1:6" ht="15">
      <c r="B18" s="153" t="s">
        <v>40</v>
      </c>
      <c r="C18" s="13" t="s">
        <v>41</v>
      </c>
      <c r="D18" s="1">
        <f>'001 B-'!R10</f>
        <v>2</v>
      </c>
      <c r="E18" s="1" t="s">
        <v>18</v>
      </c>
      <c r="F18" s="1" t="s">
        <v>19</v>
      </c>
    </row>
    <row r="19" spans="1:6" ht="15">
      <c r="A19" s="1" t="s">
        <v>7</v>
      </c>
      <c r="B19" s="154" t="s">
        <v>42</v>
      </c>
      <c r="C19" s="14" t="s">
        <v>43</v>
      </c>
      <c r="D19" s="1">
        <f>'001 B-'!S10</f>
        <v>2</v>
      </c>
      <c r="E19" s="1" t="s">
        <v>18</v>
      </c>
      <c r="F19" s="1" t="s">
        <v>19</v>
      </c>
    </row>
    <row r="20" spans="1:6" ht="15">
      <c r="B20" s="155" t="s">
        <v>44</v>
      </c>
      <c r="C20" s="15" t="s">
        <v>45</v>
      </c>
      <c r="D20" s="1">
        <f>'001 B-'!T10</f>
        <v>2</v>
      </c>
      <c r="E20" s="1" t="s">
        <v>18</v>
      </c>
      <c r="F20" s="1" t="s">
        <v>19</v>
      </c>
    </row>
    <row r="21" spans="1:6" ht="15">
      <c r="A21" s="1" t="s">
        <v>7</v>
      </c>
      <c r="B21" s="155" t="s">
        <v>46</v>
      </c>
      <c r="C21" s="15" t="s">
        <v>47</v>
      </c>
      <c r="D21" s="1">
        <f>'001 B-'!U10</f>
        <v>2</v>
      </c>
      <c r="E21" s="1" t="s">
        <v>18</v>
      </c>
      <c r="F21" s="1" t="s">
        <v>19</v>
      </c>
    </row>
    <row r="22" spans="1:6" ht="15">
      <c r="B22" s="156" t="s">
        <v>48</v>
      </c>
      <c r="C22" s="16" t="s">
        <v>49</v>
      </c>
      <c r="D22" s="1">
        <f>'001 B-'!V10</f>
        <v>2</v>
      </c>
      <c r="E22" s="1" t="s">
        <v>18</v>
      </c>
      <c r="F22" s="1" t="s">
        <v>19</v>
      </c>
    </row>
    <row r="23" spans="1:6" ht="15">
      <c r="B23" s="156" t="s">
        <v>50</v>
      </c>
      <c r="C23" s="16" t="s">
        <v>51</v>
      </c>
      <c r="D23" s="1">
        <f>'001 B-'!W10</f>
        <v>2</v>
      </c>
      <c r="E23" s="1" t="s">
        <v>18</v>
      </c>
      <c r="F23" s="1" t="s">
        <v>19</v>
      </c>
    </row>
    <row r="24" spans="1:6" ht="15">
      <c r="B24" s="157" t="s">
        <v>52</v>
      </c>
      <c r="C24" s="17" t="s">
        <v>53</v>
      </c>
      <c r="D24" s="1">
        <f>'001 B-'!X10</f>
        <v>2</v>
      </c>
      <c r="E24" s="1" t="s">
        <v>18</v>
      </c>
      <c r="F24" s="1" t="s">
        <v>19</v>
      </c>
    </row>
    <row r="25" spans="1:6" ht="15">
      <c r="A25" s="1" t="s">
        <v>7</v>
      </c>
      <c r="B25" s="157" t="s">
        <v>54</v>
      </c>
      <c r="C25" s="17" t="s">
        <v>55</v>
      </c>
      <c r="D25" s="1">
        <f>'001 B-'!Y10</f>
        <v>2</v>
      </c>
      <c r="E25" s="1" t="s">
        <v>18</v>
      </c>
      <c r="F25" s="1" t="s">
        <v>19</v>
      </c>
    </row>
    <row r="26" spans="1:6" ht="15">
      <c r="B26" s="158" t="s">
        <v>56</v>
      </c>
      <c r="C26" s="18" t="s">
        <v>57</v>
      </c>
      <c r="D26" s="1">
        <f>'001 B-'!Z10</f>
        <v>2</v>
      </c>
      <c r="E26" s="1" t="s">
        <v>18</v>
      </c>
      <c r="F26" s="1" t="s">
        <v>19</v>
      </c>
    </row>
    <row r="27" spans="1:6" ht="15">
      <c r="A27" s="1" t="s">
        <v>7</v>
      </c>
      <c r="B27" s="158" t="s">
        <v>58</v>
      </c>
      <c r="C27" s="18" t="s">
        <v>59</v>
      </c>
      <c r="D27" s="1">
        <f>'001 B-'!AA10</f>
        <v>2</v>
      </c>
      <c r="E27" s="1" t="s">
        <v>18</v>
      </c>
      <c r="F27" s="1" t="s">
        <v>19</v>
      </c>
    </row>
    <row r="28" spans="1:6" ht="15">
      <c r="B28" s="159" t="s">
        <v>60</v>
      </c>
      <c r="C28" s="19" t="s">
        <v>61</v>
      </c>
      <c r="D28" s="1">
        <f>'001 B-'!AB10</f>
        <v>0</v>
      </c>
      <c r="E28" s="1" t="s">
        <v>18</v>
      </c>
      <c r="F28" s="1" t="s">
        <v>19</v>
      </c>
    </row>
    <row r="29" spans="1:6" ht="15">
      <c r="A29" s="1" t="s">
        <v>7</v>
      </c>
      <c r="B29" s="159" t="s">
        <v>62</v>
      </c>
      <c r="C29" s="19" t="s">
        <v>63</v>
      </c>
      <c r="D29" s="1">
        <f>'001 B-'!AC10</f>
        <v>0</v>
      </c>
      <c r="E29" s="1" t="s">
        <v>18</v>
      </c>
      <c r="F29" s="1" t="s">
        <v>19</v>
      </c>
    </row>
    <row r="30" spans="1:6" ht="15">
      <c r="B30" s="159" t="s">
        <v>64</v>
      </c>
      <c r="C30" s="19" t="s">
        <v>65</v>
      </c>
      <c r="D30" s="1">
        <f>'001 B-'!AD10</f>
        <v>0</v>
      </c>
      <c r="E30" s="1" t="s">
        <v>18</v>
      </c>
      <c r="F30" s="1" t="s">
        <v>19</v>
      </c>
    </row>
    <row r="31" spans="1:6" ht="15">
      <c r="A31" s="1" t="s">
        <v>7</v>
      </c>
      <c r="B31" s="160" t="s">
        <v>66</v>
      </c>
      <c r="C31" s="20" t="s">
        <v>67</v>
      </c>
      <c r="D31" s="1">
        <f>'001 B-'!AE10</f>
        <v>0</v>
      </c>
      <c r="E31" s="1" t="s">
        <v>18</v>
      </c>
      <c r="F31" s="1" t="s">
        <v>19</v>
      </c>
    </row>
    <row r="32" spans="1:6" ht="15">
      <c r="A32" s="1" t="s">
        <v>7</v>
      </c>
      <c r="B32" s="161" t="s">
        <v>68</v>
      </c>
      <c r="C32" s="21" t="s">
        <v>69</v>
      </c>
      <c r="D32" s="1">
        <f>'001 B-'!AF10</f>
        <v>2</v>
      </c>
      <c r="E32" s="1" t="s">
        <v>18</v>
      </c>
      <c r="F32" s="1" t="s">
        <v>19</v>
      </c>
    </row>
    <row r="33" spans="1:6" ht="15">
      <c r="A33" s="1" t="s">
        <v>7</v>
      </c>
      <c r="B33" s="162" t="s">
        <v>70</v>
      </c>
      <c r="C33" s="22" t="s">
        <v>71</v>
      </c>
      <c r="D33" s="1">
        <f>'001 B-'!AG10</f>
        <v>2</v>
      </c>
      <c r="E33" s="1" t="s">
        <v>18</v>
      </c>
      <c r="F33" s="1" t="s">
        <v>19</v>
      </c>
    </row>
    <row r="34" spans="1:6" ht="15">
      <c r="A34" s="1" t="s">
        <v>7</v>
      </c>
      <c r="B34" s="163" t="s">
        <v>72</v>
      </c>
      <c r="C34" s="23" t="s">
        <v>73</v>
      </c>
      <c r="D34" s="1">
        <f>'001 B-'!AH10</f>
        <v>2</v>
      </c>
      <c r="E34" s="1" t="s">
        <v>18</v>
      </c>
      <c r="F34" s="1" t="s">
        <v>19</v>
      </c>
    </row>
    <row r="35" spans="1:6" ht="14.1"/>
    <row r="36" spans="1:6" ht="14.1"/>
    <row r="37" spans="1:6" ht="14.1"/>
    <row r="38" spans="1:6" ht="14.1"/>
    <row r="39" spans="1:6" ht="14.1"/>
    <row r="40" spans="1:6" ht="14.1"/>
    <row r="41" spans="1:6" ht="14.1"/>
    <row r="42" spans="1:6" ht="14.1"/>
    <row r="43" spans="1:6" ht="14.1"/>
    <row r="44" spans="1:6" ht="14.1"/>
    <row r="45" spans="1:6" ht="14.1"/>
    <row r="46" spans="1:6" ht="14.1"/>
    <row r="47" spans="1:6" ht="14.1"/>
    <row r="48" spans="1:6" ht="14.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1E7C-792E-41C1-B83F-28F4D0390C17}">
  <dimension ref="A1:AH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34" width="5.7109375" style="26" customWidth="1"/>
    <col min="35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80</v>
      </c>
      <c r="C4" s="203"/>
      <c r="D4" s="203"/>
      <c r="F4" s="204" t="s">
        <v>81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118</v>
      </c>
      <c r="C8" s="29" t="s">
        <v>119</v>
      </c>
      <c r="D8" s="29" t="s">
        <v>119</v>
      </c>
      <c r="E8" s="29" t="s">
        <v>119</v>
      </c>
      <c r="F8" s="29" t="s">
        <v>119</v>
      </c>
      <c r="G8" s="29" t="s">
        <v>119</v>
      </c>
      <c r="H8" s="29" t="s">
        <v>119</v>
      </c>
      <c r="I8" s="29" t="s">
        <v>119</v>
      </c>
      <c r="J8" s="29" t="s">
        <v>119</v>
      </c>
      <c r="K8" s="29" t="s">
        <v>119</v>
      </c>
      <c r="L8" s="29" t="s">
        <v>119</v>
      </c>
      <c r="M8" s="29" t="s">
        <v>119</v>
      </c>
      <c r="N8" s="29" t="s">
        <v>119</v>
      </c>
      <c r="O8" s="29" t="s">
        <v>119</v>
      </c>
      <c r="P8" s="29" t="s">
        <v>119</v>
      </c>
      <c r="Q8" s="29" t="s">
        <v>119</v>
      </c>
      <c r="R8" s="29" t="s">
        <v>119</v>
      </c>
      <c r="S8" s="29" t="s">
        <v>119</v>
      </c>
      <c r="T8" s="29" t="s">
        <v>119</v>
      </c>
      <c r="U8" s="29" t="s">
        <v>119</v>
      </c>
      <c r="V8" s="29" t="s">
        <v>119</v>
      </c>
      <c r="W8" s="29" t="s">
        <v>119</v>
      </c>
      <c r="X8" s="29" t="s">
        <v>119</v>
      </c>
      <c r="Y8" s="29" t="s">
        <v>119</v>
      </c>
      <c r="Z8" s="29" t="s">
        <v>119</v>
      </c>
      <c r="AA8" s="29" t="s">
        <v>119</v>
      </c>
      <c r="AB8" s="29" t="s">
        <v>120</v>
      </c>
      <c r="AC8" s="29" t="s">
        <v>120</v>
      </c>
      <c r="AD8" s="29" t="s">
        <v>120</v>
      </c>
      <c r="AE8" s="29" t="s">
        <v>120</v>
      </c>
      <c r="AF8" s="29" t="s">
        <v>119</v>
      </c>
      <c r="AG8" s="29" t="s">
        <v>119</v>
      </c>
      <c r="AH8" s="29" t="s">
        <v>119</v>
      </c>
    </row>
    <row r="9" spans="1:34">
      <c r="A9" s="26" t="s">
        <v>121</v>
      </c>
      <c r="B9" s="29" t="s">
        <v>119</v>
      </c>
      <c r="C9" s="29" t="s">
        <v>119</v>
      </c>
      <c r="D9" s="29" t="s">
        <v>119</v>
      </c>
      <c r="E9" s="29" t="s">
        <v>119</v>
      </c>
      <c r="F9" s="29" t="s">
        <v>119</v>
      </c>
      <c r="G9" s="29" t="s">
        <v>119</v>
      </c>
      <c r="H9" s="29" t="s">
        <v>119</v>
      </c>
      <c r="I9" s="29" t="s">
        <v>119</v>
      </c>
      <c r="J9" s="29" t="s">
        <v>119</v>
      </c>
      <c r="K9" s="29" t="s">
        <v>119</v>
      </c>
      <c r="L9" s="29" t="s">
        <v>119</v>
      </c>
      <c r="M9" s="29" t="s">
        <v>119</v>
      </c>
      <c r="N9" s="29" t="s">
        <v>119</v>
      </c>
      <c r="O9" s="29" t="s">
        <v>119</v>
      </c>
      <c r="P9" s="29" t="s">
        <v>119</v>
      </c>
      <c r="Q9" s="29" t="s">
        <v>119</v>
      </c>
      <c r="R9" s="29" t="s">
        <v>119</v>
      </c>
      <c r="S9" s="29" t="s">
        <v>119</v>
      </c>
      <c r="T9" s="29" t="s">
        <v>119</v>
      </c>
      <c r="U9" s="29" t="s">
        <v>119</v>
      </c>
      <c r="V9" s="29" t="s">
        <v>119</v>
      </c>
      <c r="W9" s="29" t="s">
        <v>119</v>
      </c>
      <c r="X9" s="29" t="s">
        <v>119</v>
      </c>
      <c r="Y9" s="29" t="s">
        <v>119</v>
      </c>
      <c r="Z9" s="29" t="s">
        <v>119</v>
      </c>
      <c r="AA9" s="29" t="s">
        <v>119</v>
      </c>
      <c r="AB9" s="29"/>
      <c r="AC9" s="28"/>
      <c r="AD9" s="29"/>
      <c r="AE9" s="28"/>
      <c r="AF9" s="29" t="s">
        <v>119</v>
      </c>
      <c r="AG9" s="29" t="s">
        <v>119</v>
      </c>
      <c r="AH9" s="29" t="s">
        <v>119</v>
      </c>
    </row>
    <row r="10" spans="1:34">
      <c r="A10" s="140" t="s">
        <v>122</v>
      </c>
      <c r="B10" s="141">
        <v>2</v>
      </c>
      <c r="C10" s="141">
        <v>2</v>
      </c>
      <c r="D10" s="141">
        <v>2</v>
      </c>
      <c r="E10" s="141">
        <v>2</v>
      </c>
      <c r="F10" s="141">
        <v>2</v>
      </c>
      <c r="G10" s="141">
        <v>2</v>
      </c>
      <c r="H10" s="141">
        <v>2</v>
      </c>
      <c r="I10" s="141">
        <v>2</v>
      </c>
      <c r="J10" s="141">
        <v>2</v>
      </c>
      <c r="K10" s="141">
        <v>2</v>
      </c>
      <c r="L10" s="141">
        <v>2</v>
      </c>
      <c r="M10" s="141">
        <v>2</v>
      </c>
      <c r="N10" s="141">
        <v>2</v>
      </c>
      <c r="O10" s="141">
        <v>2</v>
      </c>
      <c r="P10" s="141">
        <v>2</v>
      </c>
      <c r="Q10" s="141">
        <v>2</v>
      </c>
      <c r="R10" s="141">
        <v>2</v>
      </c>
      <c r="S10" s="141">
        <v>2</v>
      </c>
      <c r="T10" s="141">
        <v>2</v>
      </c>
      <c r="U10" s="141">
        <v>2</v>
      </c>
      <c r="V10" s="141">
        <v>2</v>
      </c>
      <c r="W10" s="141">
        <v>2</v>
      </c>
      <c r="X10" s="141">
        <v>2</v>
      </c>
      <c r="Y10" s="141">
        <v>2</v>
      </c>
      <c r="Z10" s="141">
        <v>2</v>
      </c>
      <c r="AA10" s="141">
        <v>2</v>
      </c>
      <c r="AB10" s="141"/>
      <c r="AC10" s="141"/>
      <c r="AD10" s="141"/>
      <c r="AE10" s="141"/>
      <c r="AF10" s="141">
        <v>2</v>
      </c>
      <c r="AG10" s="141">
        <v>2</v>
      </c>
      <c r="AH10" s="141">
        <v>2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/>
      <c r="AC11" s="29"/>
      <c r="AD11" s="28"/>
      <c r="AE11" s="29"/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 t="s">
        <v>124</v>
      </c>
      <c r="AA12" s="28" t="s">
        <v>124</v>
      </c>
      <c r="AB12" s="28"/>
      <c r="AC12" s="28"/>
      <c r="AD12" s="28"/>
      <c r="AE12" s="28"/>
      <c r="AF12" s="28" t="s">
        <v>124</v>
      </c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/>
      <c r="AD13" s="28"/>
      <c r="AE13" s="28"/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/>
      <c r="AD14" s="28"/>
      <c r="AE14" s="28"/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118</v>
      </c>
      <c r="U15" s="28" t="s">
        <v>118</v>
      </c>
      <c r="V15" s="28" t="s">
        <v>118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8" t="s">
        <v>118</v>
      </c>
      <c r="AB15" s="28"/>
      <c r="AC15" s="28"/>
      <c r="AD15" s="28"/>
      <c r="AE15" s="28"/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/>
      <c r="AC16" s="30"/>
      <c r="AD16" s="30"/>
      <c r="AE16" s="30"/>
      <c r="AF16" s="30">
        <v>3</v>
      </c>
      <c r="AG16" s="30">
        <v>3</v>
      </c>
      <c r="AH16" s="30">
        <v>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/>
      <c r="AD17" s="28"/>
      <c r="AE17" s="28"/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/>
      <c r="AD18" s="30"/>
      <c r="AE18" s="30"/>
      <c r="AF18" s="30">
        <v>4</v>
      </c>
      <c r="AG18" s="30">
        <v>4</v>
      </c>
      <c r="AH18" s="30">
        <v>4</v>
      </c>
    </row>
    <row r="20" spans="1:34">
      <c r="A20" s="31" t="s">
        <v>134</v>
      </c>
    </row>
    <row r="21" spans="1:34">
      <c r="A21" s="26" t="s">
        <v>135</v>
      </c>
      <c r="B21" s="56" t="s">
        <v>136</v>
      </c>
    </row>
  </sheetData>
  <mergeCells count="5">
    <mergeCell ref="B3:D3"/>
    <mergeCell ref="B4:D4"/>
    <mergeCell ref="B5:D5"/>
    <mergeCell ref="F4:O5"/>
    <mergeCell ref="F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C3C8-DE31-4D17-80E8-7EABEC142B1C}">
  <dimension ref="A1:AH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36" width="5.7109375" style="26" customWidth="1"/>
    <col min="37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80</v>
      </c>
      <c r="C4" s="203"/>
      <c r="D4" s="203"/>
      <c r="F4" s="204" t="s">
        <v>137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118</v>
      </c>
      <c r="C8" s="29" t="s">
        <v>119</v>
      </c>
      <c r="D8" s="29" t="s">
        <v>119</v>
      </c>
      <c r="E8" s="29" t="s">
        <v>119</v>
      </c>
      <c r="F8" s="29" t="s">
        <v>119</v>
      </c>
      <c r="G8" s="29" t="s">
        <v>119</v>
      </c>
      <c r="H8" s="29" t="s">
        <v>119</v>
      </c>
      <c r="I8" s="29" t="s">
        <v>119</v>
      </c>
      <c r="J8" s="29" t="s">
        <v>119</v>
      </c>
      <c r="K8" s="29" t="s">
        <v>119</v>
      </c>
      <c r="L8" s="29" t="s">
        <v>119</v>
      </c>
      <c r="M8" s="29" t="s">
        <v>119</v>
      </c>
      <c r="N8" s="29" t="s">
        <v>119</v>
      </c>
      <c r="O8" s="29" t="s">
        <v>119</v>
      </c>
      <c r="P8" s="29" t="s">
        <v>119</v>
      </c>
      <c r="Q8" s="29" t="s">
        <v>119</v>
      </c>
      <c r="R8" s="29" t="s">
        <v>119</v>
      </c>
      <c r="S8" s="29" t="s">
        <v>119</v>
      </c>
      <c r="T8" s="29" t="s">
        <v>119</v>
      </c>
      <c r="U8" s="29" t="s">
        <v>119</v>
      </c>
      <c r="V8" s="29" t="s">
        <v>119</v>
      </c>
      <c r="W8" s="29" t="s">
        <v>119</v>
      </c>
      <c r="X8" s="29" t="s">
        <v>119</v>
      </c>
      <c r="Y8" s="29" t="s">
        <v>119</v>
      </c>
      <c r="Z8" s="29" t="s">
        <v>119</v>
      </c>
      <c r="AA8" s="29" t="s">
        <v>119</v>
      </c>
      <c r="AB8" s="29" t="s">
        <v>120</v>
      </c>
      <c r="AC8" s="29" t="s">
        <v>120</v>
      </c>
      <c r="AD8" s="29" t="s">
        <v>120</v>
      </c>
      <c r="AE8" s="29" t="s">
        <v>120</v>
      </c>
      <c r="AF8" s="29" t="s">
        <v>119</v>
      </c>
      <c r="AG8" s="29" t="s">
        <v>119</v>
      </c>
      <c r="AH8" s="29" t="s">
        <v>119</v>
      </c>
    </row>
    <row r="9" spans="1:34">
      <c r="A9" s="26" t="s">
        <v>121</v>
      </c>
      <c r="B9" s="29" t="s">
        <v>119</v>
      </c>
      <c r="C9" s="29" t="s">
        <v>119</v>
      </c>
      <c r="D9" s="29" t="s">
        <v>119</v>
      </c>
      <c r="E9" s="29" t="s">
        <v>119</v>
      </c>
      <c r="F9" s="29" t="s">
        <v>119</v>
      </c>
      <c r="G9" s="29" t="s">
        <v>119</v>
      </c>
      <c r="H9" s="29" t="s">
        <v>119</v>
      </c>
      <c r="I9" s="29" t="s">
        <v>119</v>
      </c>
      <c r="J9" s="29" t="s">
        <v>119</v>
      </c>
      <c r="K9" s="29" t="s">
        <v>119</v>
      </c>
      <c r="L9" s="29" t="s">
        <v>119</v>
      </c>
      <c r="M9" s="29" t="s">
        <v>119</v>
      </c>
      <c r="N9" s="29" t="s">
        <v>119</v>
      </c>
      <c r="O9" s="29" t="s">
        <v>119</v>
      </c>
      <c r="P9" s="29" t="s">
        <v>119</v>
      </c>
      <c r="Q9" s="29" t="s">
        <v>119</v>
      </c>
      <c r="R9" s="29" t="s">
        <v>119</v>
      </c>
      <c r="S9" s="29" t="s">
        <v>119</v>
      </c>
      <c r="T9" s="29" t="s">
        <v>119</v>
      </c>
      <c r="U9" s="29" t="s">
        <v>119</v>
      </c>
      <c r="V9" s="29" t="s">
        <v>119</v>
      </c>
      <c r="W9" s="29" t="s">
        <v>119</v>
      </c>
      <c r="X9" s="29" t="s">
        <v>119</v>
      </c>
      <c r="Y9" s="29" t="s">
        <v>119</v>
      </c>
      <c r="Z9" s="29" t="s">
        <v>119</v>
      </c>
      <c r="AA9" s="29" t="s">
        <v>119</v>
      </c>
      <c r="AB9" s="29"/>
      <c r="AC9" s="28"/>
      <c r="AD9" s="29"/>
      <c r="AE9" s="28"/>
      <c r="AF9" s="29" t="s">
        <v>119</v>
      </c>
      <c r="AG9" s="29" t="s">
        <v>119</v>
      </c>
      <c r="AH9" s="29" t="s">
        <v>119</v>
      </c>
    </row>
    <row r="10" spans="1:34">
      <c r="A10" s="140" t="s">
        <v>122</v>
      </c>
      <c r="B10" s="141">
        <v>2</v>
      </c>
      <c r="C10" s="141">
        <v>2</v>
      </c>
      <c r="D10" s="141">
        <v>2</v>
      </c>
      <c r="E10" s="141">
        <v>2</v>
      </c>
      <c r="F10" s="141">
        <v>2</v>
      </c>
      <c r="G10" s="141">
        <v>2</v>
      </c>
      <c r="H10" s="141">
        <v>2</v>
      </c>
      <c r="I10" s="141">
        <v>2</v>
      </c>
      <c r="J10" s="141">
        <v>2</v>
      </c>
      <c r="K10" s="141">
        <v>2</v>
      </c>
      <c r="L10" s="141">
        <v>2</v>
      </c>
      <c r="M10" s="141">
        <v>2</v>
      </c>
      <c r="N10" s="141">
        <v>2</v>
      </c>
      <c r="O10" s="141">
        <v>2</v>
      </c>
      <c r="P10" s="141">
        <v>2</v>
      </c>
      <c r="Q10" s="141">
        <v>2</v>
      </c>
      <c r="R10" s="141">
        <v>2</v>
      </c>
      <c r="S10" s="141">
        <v>2</v>
      </c>
      <c r="T10" s="141">
        <v>2</v>
      </c>
      <c r="U10" s="141">
        <v>2</v>
      </c>
      <c r="V10" s="141">
        <v>2</v>
      </c>
      <c r="W10" s="141">
        <v>2</v>
      </c>
      <c r="X10" s="141">
        <v>2</v>
      </c>
      <c r="Y10" s="141">
        <v>2</v>
      </c>
      <c r="Z10" s="141">
        <v>2</v>
      </c>
      <c r="AA10" s="141">
        <v>2</v>
      </c>
      <c r="AB10" s="141"/>
      <c r="AC10" s="141"/>
      <c r="AD10" s="141"/>
      <c r="AE10" s="141"/>
      <c r="AF10" s="141">
        <v>2</v>
      </c>
      <c r="AG10" s="141">
        <v>2</v>
      </c>
      <c r="AH10" s="141">
        <v>2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/>
      <c r="AC11" s="29"/>
      <c r="AD11" s="28"/>
      <c r="AE11" s="29"/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 t="s">
        <v>124</v>
      </c>
      <c r="AA12" s="28" t="s">
        <v>124</v>
      </c>
      <c r="AB12" s="28"/>
      <c r="AC12" s="28"/>
      <c r="AD12" s="28"/>
      <c r="AE12" s="28"/>
      <c r="AF12" s="28" t="s">
        <v>124</v>
      </c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/>
      <c r="AD13" s="28"/>
      <c r="AE13" s="28"/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/>
      <c r="AD14" s="28"/>
      <c r="AE14" s="28"/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118</v>
      </c>
      <c r="U15" s="28" t="s">
        <v>118</v>
      </c>
      <c r="V15" s="28" t="s">
        <v>118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8" t="s">
        <v>118</v>
      </c>
      <c r="AB15" s="28"/>
      <c r="AC15" s="28"/>
      <c r="AD15" s="28"/>
      <c r="AE15" s="28"/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/>
      <c r="AC16" s="30"/>
      <c r="AD16" s="30"/>
      <c r="AE16" s="30"/>
      <c r="AF16" s="30">
        <v>3</v>
      </c>
      <c r="AG16" s="30">
        <v>3</v>
      </c>
      <c r="AH16" s="30">
        <v>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/>
      <c r="AD17" s="28"/>
      <c r="AE17" s="28"/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/>
      <c r="AD18" s="30"/>
      <c r="AE18" s="30"/>
      <c r="AF18" s="30">
        <v>4</v>
      </c>
      <c r="AG18" s="30">
        <v>4</v>
      </c>
      <c r="AH18" s="30">
        <v>4</v>
      </c>
    </row>
    <row r="20" spans="1:34">
      <c r="A20" s="31" t="s">
        <v>134</v>
      </c>
    </row>
    <row r="21" spans="1:34">
      <c r="A21" s="26" t="s">
        <v>139</v>
      </c>
      <c r="B21" s="56" t="s">
        <v>136</v>
      </c>
    </row>
  </sheetData>
  <mergeCells count="5">
    <mergeCell ref="B3:D3"/>
    <mergeCell ref="B4:D4"/>
    <mergeCell ref="B5:D5"/>
    <mergeCell ref="F4:O5"/>
    <mergeCell ref="F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B384-748B-4BD3-B127-9C206832FDB5}">
  <dimension ref="A1:AN28"/>
  <sheetViews>
    <sheetView workbookViewId="0">
      <selection activeCell="W9" sqref="W9"/>
    </sheetView>
  </sheetViews>
  <sheetFormatPr defaultColWidth="9.140625" defaultRowHeight="15"/>
  <cols>
    <col min="1" max="1" width="23.28515625" style="26" bestFit="1" customWidth="1"/>
    <col min="2" max="53" width="5.7109375" style="26" customWidth="1"/>
    <col min="54" max="16384" width="9.140625" style="26"/>
  </cols>
  <sheetData>
    <row r="1" spans="1:40">
      <c r="A1" s="25" t="s">
        <v>74</v>
      </c>
      <c r="D1" s="25" t="s">
        <v>75</v>
      </c>
      <c r="I1" s="25" t="s">
        <v>76</v>
      </c>
    </row>
    <row r="3" spans="1:40" ht="17.45">
      <c r="A3" s="25" t="s">
        <v>77</v>
      </c>
      <c r="B3" s="203">
        <v>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0" ht="17.45">
      <c r="A4" s="25" t="s">
        <v>79</v>
      </c>
      <c r="B4" s="203" t="s">
        <v>140</v>
      </c>
      <c r="C4" s="203"/>
      <c r="D4" s="203"/>
      <c r="F4" s="211" t="s">
        <v>141</v>
      </c>
      <c r="G4" s="212"/>
      <c r="H4" s="212"/>
      <c r="I4" s="212"/>
      <c r="J4" s="212"/>
      <c r="K4" s="212"/>
      <c r="L4" s="212"/>
      <c r="M4" s="212"/>
      <c r="N4" s="212"/>
      <c r="O4" s="213"/>
    </row>
    <row r="5" spans="1:40" ht="17.45">
      <c r="A5" s="25" t="s">
        <v>82</v>
      </c>
      <c r="B5" s="203" t="s">
        <v>138</v>
      </c>
      <c r="C5" s="203"/>
      <c r="D5" s="203"/>
      <c r="F5" s="214"/>
      <c r="G5" s="215"/>
      <c r="H5" s="215"/>
      <c r="I5" s="215"/>
      <c r="J5" s="215"/>
      <c r="K5" s="215"/>
      <c r="L5" s="215"/>
      <c r="M5" s="215"/>
      <c r="N5" s="215"/>
      <c r="O5" s="216"/>
    </row>
    <row r="7" spans="1:40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53" t="s">
        <v>115</v>
      </c>
      <c r="AK7" s="53" t="s">
        <v>116</v>
      </c>
      <c r="AM7" s="32" t="s">
        <v>86</v>
      </c>
      <c r="AN7" s="42" t="s">
        <v>99</v>
      </c>
    </row>
    <row r="8" spans="1:40">
      <c r="A8" s="26" t="s">
        <v>117</v>
      </c>
      <c r="B8" s="29" t="s">
        <v>142</v>
      </c>
      <c r="C8" s="29" t="s">
        <v>143</v>
      </c>
      <c r="D8" s="29" t="s">
        <v>143</v>
      </c>
      <c r="E8" s="29" t="s">
        <v>143</v>
      </c>
      <c r="F8" s="29" t="s">
        <v>143</v>
      </c>
      <c r="G8" s="29" t="s">
        <v>143</v>
      </c>
      <c r="H8" s="29" t="s">
        <v>143</v>
      </c>
      <c r="I8" s="29" t="s">
        <v>143</v>
      </c>
      <c r="J8" s="29" t="s">
        <v>143</v>
      </c>
      <c r="K8" s="29" t="s">
        <v>143</v>
      </c>
      <c r="L8" s="29" t="s">
        <v>143</v>
      </c>
      <c r="M8" s="29" t="s">
        <v>143</v>
      </c>
      <c r="N8" s="29" t="s">
        <v>143</v>
      </c>
      <c r="O8" s="29" t="s">
        <v>143</v>
      </c>
      <c r="P8" s="29" t="s">
        <v>143</v>
      </c>
      <c r="Q8" s="29" t="s">
        <v>143</v>
      </c>
      <c r="R8" s="29" t="s">
        <v>143</v>
      </c>
      <c r="S8" s="29" t="s">
        <v>143</v>
      </c>
      <c r="T8" s="29" t="s">
        <v>143</v>
      </c>
      <c r="U8" s="29" t="s">
        <v>143</v>
      </c>
      <c r="V8" s="29" t="s">
        <v>143</v>
      </c>
      <c r="W8" s="29" t="s">
        <v>143</v>
      </c>
      <c r="X8" s="29" t="s">
        <v>143</v>
      </c>
      <c r="Y8" s="29" t="s">
        <v>143</v>
      </c>
      <c r="Z8" s="29" t="s">
        <v>143</v>
      </c>
      <c r="AA8" s="29" t="s">
        <v>143</v>
      </c>
      <c r="AB8" s="29" t="s">
        <v>143</v>
      </c>
      <c r="AC8" s="29" t="s">
        <v>143</v>
      </c>
      <c r="AD8" s="29" t="s">
        <v>143</v>
      </c>
      <c r="AE8" s="29" t="s">
        <v>143</v>
      </c>
      <c r="AF8" s="29" t="s">
        <v>143</v>
      </c>
      <c r="AG8" s="29" t="s">
        <v>143</v>
      </c>
      <c r="AH8" s="29" t="s">
        <v>143</v>
      </c>
      <c r="AJ8" s="29" t="s">
        <v>144</v>
      </c>
      <c r="AK8" s="29" t="s">
        <v>145</v>
      </c>
      <c r="AM8" s="29" t="s">
        <v>143</v>
      </c>
      <c r="AN8" s="29" t="s">
        <v>143</v>
      </c>
    </row>
    <row r="9" spans="1:40">
      <c r="A9" s="26" t="s">
        <v>121</v>
      </c>
      <c r="B9" s="29" t="s">
        <v>146</v>
      </c>
      <c r="C9" s="29" t="s">
        <v>146</v>
      </c>
      <c r="D9" s="29" t="s">
        <v>146</v>
      </c>
      <c r="E9" s="29" t="s">
        <v>146</v>
      </c>
      <c r="F9" s="29" t="s">
        <v>146</v>
      </c>
      <c r="G9" s="29" t="s">
        <v>146</v>
      </c>
      <c r="H9" s="29" t="s">
        <v>146</v>
      </c>
      <c r="I9" s="29" t="s">
        <v>146</v>
      </c>
      <c r="J9" s="29" t="s">
        <v>146</v>
      </c>
      <c r="K9" s="29" t="s">
        <v>146</v>
      </c>
      <c r="L9" s="29" t="s">
        <v>146</v>
      </c>
      <c r="M9" s="29" t="s">
        <v>146</v>
      </c>
      <c r="N9" s="29" t="s">
        <v>146</v>
      </c>
      <c r="O9" s="29" t="s">
        <v>146</v>
      </c>
      <c r="P9" s="29" t="s">
        <v>146</v>
      </c>
      <c r="Q9" s="29" t="s">
        <v>146</v>
      </c>
      <c r="R9" s="29" t="s">
        <v>146</v>
      </c>
      <c r="S9" s="29" t="s">
        <v>146</v>
      </c>
      <c r="T9" s="29"/>
      <c r="U9" s="29" t="s">
        <v>146</v>
      </c>
      <c r="V9" s="29" t="s">
        <v>146</v>
      </c>
      <c r="W9" s="29" t="s">
        <v>146</v>
      </c>
      <c r="X9" s="29" t="s">
        <v>146</v>
      </c>
      <c r="Y9" s="29" t="s">
        <v>146</v>
      </c>
      <c r="Z9" s="29" t="s">
        <v>146</v>
      </c>
      <c r="AA9" s="29" t="s">
        <v>146</v>
      </c>
      <c r="AB9" s="29"/>
      <c r="AC9" s="29" t="s">
        <v>146</v>
      </c>
      <c r="AD9" s="29"/>
      <c r="AE9" s="29" t="s">
        <v>146</v>
      </c>
      <c r="AF9" s="29" t="s">
        <v>146</v>
      </c>
      <c r="AG9" s="29" t="s">
        <v>146</v>
      </c>
      <c r="AH9" s="29" t="s">
        <v>146</v>
      </c>
      <c r="AJ9" s="29" t="s">
        <v>147</v>
      </c>
      <c r="AK9" s="29" t="s">
        <v>147</v>
      </c>
      <c r="AM9" s="28" t="s">
        <v>148</v>
      </c>
      <c r="AN9" s="29" t="s">
        <v>147</v>
      </c>
    </row>
    <row r="10" spans="1:40">
      <c r="A10" s="140" t="s">
        <v>122</v>
      </c>
      <c r="B10" s="141">
        <v>5</v>
      </c>
      <c r="C10" s="141">
        <v>5</v>
      </c>
      <c r="D10" s="141">
        <v>5</v>
      </c>
      <c r="E10" s="141">
        <v>5</v>
      </c>
      <c r="F10" s="141">
        <v>5</v>
      </c>
      <c r="G10" s="141">
        <v>5</v>
      </c>
      <c r="H10" s="141">
        <v>5</v>
      </c>
      <c r="I10" s="141">
        <v>5</v>
      </c>
      <c r="J10" s="141">
        <v>5</v>
      </c>
      <c r="K10" s="141">
        <v>5</v>
      </c>
      <c r="L10" s="141">
        <v>5</v>
      </c>
      <c r="M10" s="141">
        <v>5</v>
      </c>
      <c r="N10" s="141">
        <v>5</v>
      </c>
      <c r="O10" s="141">
        <v>5</v>
      </c>
      <c r="P10" s="141">
        <v>5</v>
      </c>
      <c r="Q10" s="141">
        <v>5</v>
      </c>
      <c r="R10" s="141">
        <v>5</v>
      </c>
      <c r="S10" s="141">
        <v>5</v>
      </c>
      <c r="T10" s="141"/>
      <c r="U10" s="141">
        <v>5</v>
      </c>
      <c r="V10" s="141">
        <v>5</v>
      </c>
      <c r="W10" s="141">
        <v>5</v>
      </c>
      <c r="X10" s="141">
        <v>5</v>
      </c>
      <c r="Y10" s="141">
        <v>5</v>
      </c>
      <c r="Z10" s="141">
        <v>5</v>
      </c>
      <c r="AA10" s="141">
        <v>5</v>
      </c>
      <c r="AB10" s="141"/>
      <c r="AC10" s="141">
        <v>5</v>
      </c>
      <c r="AD10" s="141"/>
      <c r="AE10" s="141">
        <v>5</v>
      </c>
      <c r="AF10" s="141">
        <v>5</v>
      </c>
      <c r="AG10" s="141">
        <v>5</v>
      </c>
      <c r="AH10" s="141">
        <v>5</v>
      </c>
      <c r="AJ10" s="141">
        <v>26</v>
      </c>
      <c r="AK10" s="141">
        <v>26</v>
      </c>
      <c r="AM10" s="141">
        <v>34</v>
      </c>
      <c r="AN10" s="141">
        <v>26</v>
      </c>
    </row>
    <row r="11" spans="1:40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/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/>
      <c r="AC11" s="28" t="s">
        <v>124</v>
      </c>
      <c r="AD11" s="28"/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  <c r="AK11" s="28" t="s">
        <v>124</v>
      </c>
      <c r="AM11" s="29" t="s">
        <v>124</v>
      </c>
      <c r="AN11" s="28" t="s">
        <v>124</v>
      </c>
    </row>
    <row r="12" spans="1:40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/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/>
      <c r="AC12" s="28" t="s">
        <v>127</v>
      </c>
      <c r="AD12" s="28"/>
      <c r="AE12" s="28" t="s">
        <v>127</v>
      </c>
      <c r="AF12" s="28" t="s">
        <v>127</v>
      </c>
      <c r="AG12" s="28" t="s">
        <v>127</v>
      </c>
      <c r="AH12" s="28" t="s">
        <v>127</v>
      </c>
      <c r="AJ12" s="28" t="s">
        <v>127</v>
      </c>
      <c r="AK12" s="28" t="s">
        <v>127</v>
      </c>
      <c r="AM12" s="28" t="s">
        <v>127</v>
      </c>
      <c r="AN12" s="28" t="s">
        <v>127</v>
      </c>
    </row>
    <row r="13" spans="1:40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/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124</v>
      </c>
      <c r="AK13" s="28" t="s">
        <v>124</v>
      </c>
      <c r="AM13" s="28" t="s">
        <v>124</v>
      </c>
      <c r="AN13" s="28" t="s">
        <v>124</v>
      </c>
    </row>
    <row r="14" spans="1:40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/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K14" s="28" t="s">
        <v>127</v>
      </c>
      <c r="AM14" s="28" t="s">
        <v>127</v>
      </c>
      <c r="AN14" s="28" t="s">
        <v>127</v>
      </c>
    </row>
    <row r="15" spans="1:40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/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/>
      <c r="AC15" s="28" t="s">
        <v>149</v>
      </c>
      <c r="AD15" s="28"/>
      <c r="AE15" s="28" t="s">
        <v>149</v>
      </c>
      <c r="AF15" s="28" t="s">
        <v>149</v>
      </c>
      <c r="AG15" s="28" t="s">
        <v>149</v>
      </c>
      <c r="AH15" s="28" t="s">
        <v>149</v>
      </c>
      <c r="AJ15" s="28" t="s">
        <v>149</v>
      </c>
      <c r="AK15" s="28" t="s">
        <v>149</v>
      </c>
      <c r="AM15" s="28" t="s">
        <v>150</v>
      </c>
      <c r="AN15" s="28" t="s">
        <v>149</v>
      </c>
    </row>
    <row r="16" spans="1:40">
      <c r="A16" s="26" t="s">
        <v>130</v>
      </c>
      <c r="B16" s="30">
        <f>5/3</f>
        <v>1.6666666666666667</v>
      </c>
      <c r="C16" s="30">
        <f t="shared" ref="C16:D16" si="0">5/3</f>
        <v>1.6666666666666667</v>
      </c>
      <c r="D16" s="30">
        <f t="shared" si="0"/>
        <v>1.6666666666666667</v>
      </c>
      <c r="E16" s="30">
        <f t="shared" ref="E16:J16" si="1">5/3</f>
        <v>1.6666666666666667</v>
      </c>
      <c r="F16" s="30">
        <f t="shared" si="1"/>
        <v>1.6666666666666667</v>
      </c>
      <c r="G16" s="30">
        <f t="shared" si="1"/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ref="K16:O16" si="2">5/3</f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>5/3</f>
        <v>1.6666666666666667</v>
      </c>
      <c r="Q16" s="30">
        <f>5/3</f>
        <v>1.6666666666666667</v>
      </c>
      <c r="R16" s="30">
        <f>5/3</f>
        <v>1.6666666666666667</v>
      </c>
      <c r="S16" s="30">
        <f>5/3</f>
        <v>1.6666666666666667</v>
      </c>
      <c r="T16" s="30"/>
      <c r="U16" s="30">
        <f>5/3</f>
        <v>1.6666666666666667</v>
      </c>
      <c r="V16" s="30">
        <f>5/3</f>
        <v>1.6666666666666667</v>
      </c>
      <c r="W16" s="30">
        <f>5/3</f>
        <v>1.6666666666666667</v>
      </c>
      <c r="X16" s="30">
        <f t="shared" ref="X16:Y16" si="3">5/3</f>
        <v>1.6666666666666667</v>
      </c>
      <c r="Y16" s="30">
        <f t="shared" si="3"/>
        <v>1.6666666666666667</v>
      </c>
      <c r="Z16" s="30">
        <f>5/3</f>
        <v>1.6666666666666667</v>
      </c>
      <c r="AA16" s="30">
        <f>5/3</f>
        <v>1.6666666666666667</v>
      </c>
      <c r="AB16" s="30"/>
      <c r="AC16" s="30">
        <f>5/3</f>
        <v>1.6666666666666667</v>
      </c>
      <c r="AD16" s="30"/>
      <c r="AE16" s="30">
        <f t="shared" ref="AE16:AF16" si="4">5/3</f>
        <v>1.6666666666666667</v>
      </c>
      <c r="AF16" s="30">
        <f t="shared" si="4"/>
        <v>1.6666666666666667</v>
      </c>
      <c r="AG16" s="30">
        <f t="shared" ref="AG16:AH16" si="5">5/3</f>
        <v>1.6666666666666667</v>
      </c>
      <c r="AH16" s="30">
        <f t="shared" si="5"/>
        <v>1.6666666666666667</v>
      </c>
      <c r="AJ16" s="30">
        <f>4/3</f>
        <v>1.3333333333333333</v>
      </c>
      <c r="AK16" s="30">
        <f>4/3</f>
        <v>1.3333333333333333</v>
      </c>
      <c r="AM16" s="30">
        <v>-0.5</v>
      </c>
      <c r="AN16" s="30">
        <f>4/3</f>
        <v>1.3333333333333333</v>
      </c>
    </row>
    <row r="17" spans="1:40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/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 t="s">
        <v>132</v>
      </c>
      <c r="AD17" s="28"/>
      <c r="AE17" s="28" t="s">
        <v>132</v>
      </c>
      <c r="AF17" s="28" t="s">
        <v>132</v>
      </c>
      <c r="AG17" s="28" t="s">
        <v>132</v>
      </c>
      <c r="AH17" s="28" t="s">
        <v>132</v>
      </c>
      <c r="AJ17" s="28" t="s">
        <v>151</v>
      </c>
      <c r="AK17" s="28" t="s">
        <v>151</v>
      </c>
      <c r="AM17" s="28" t="s">
        <v>151</v>
      </c>
      <c r="AN17" s="28" t="s">
        <v>151</v>
      </c>
    </row>
    <row r="18" spans="1:40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/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v>4</v>
      </c>
      <c r="AD18" s="30"/>
      <c r="AE18" s="30">
        <v>4</v>
      </c>
      <c r="AF18" s="30">
        <v>4</v>
      </c>
      <c r="AG18" s="30">
        <v>4</v>
      </c>
      <c r="AH18" s="30">
        <v>4</v>
      </c>
      <c r="AJ18" s="30">
        <v>3</v>
      </c>
      <c r="AK18" s="30">
        <v>3</v>
      </c>
      <c r="AM18" s="30">
        <v>3</v>
      </c>
      <c r="AN18" s="30">
        <v>3</v>
      </c>
    </row>
    <row r="19" spans="1:40">
      <c r="D19" s="78" t="s">
        <v>152</v>
      </c>
      <c r="AG19" s="221" t="s">
        <v>153</v>
      </c>
      <c r="AH19" s="221"/>
      <c r="AJ19" s="221" t="s">
        <v>154</v>
      </c>
      <c r="AK19" s="221"/>
      <c r="AM19" s="217" t="s">
        <v>155</v>
      </c>
      <c r="AN19" s="217"/>
    </row>
    <row r="20" spans="1:40">
      <c r="A20" s="31" t="s">
        <v>134</v>
      </c>
    </row>
    <row r="21" spans="1:40">
      <c r="A21" s="93" t="s">
        <v>156</v>
      </c>
      <c r="B21" s="95" t="s">
        <v>157</v>
      </c>
    </row>
    <row r="22" spans="1:40">
      <c r="A22" s="218" t="s">
        <v>158</v>
      </c>
      <c r="B22" s="95" t="s">
        <v>157</v>
      </c>
    </row>
    <row r="23" spans="1:40">
      <c r="A23" s="218"/>
      <c r="B23" s="96" t="s">
        <v>159</v>
      </c>
    </row>
    <row r="24" spans="1:40">
      <c r="A24" s="220" t="s">
        <v>160</v>
      </c>
      <c r="B24" s="95" t="s">
        <v>157</v>
      </c>
    </row>
    <row r="25" spans="1:40">
      <c r="A25" s="220"/>
      <c r="B25" s="96" t="s">
        <v>161</v>
      </c>
    </row>
    <row r="26" spans="1:40">
      <c r="A26" s="220"/>
      <c r="B26" s="96" t="s">
        <v>159</v>
      </c>
    </row>
    <row r="28" spans="1:40" ht="64.5" customHeight="1">
      <c r="A28" s="101" t="s">
        <v>162</v>
      </c>
      <c r="B28" s="219" t="s">
        <v>163</v>
      </c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100"/>
      <c r="P28" s="99"/>
    </row>
  </sheetData>
  <mergeCells count="11">
    <mergeCell ref="AM19:AN19"/>
    <mergeCell ref="A22:A23"/>
    <mergeCell ref="B28:N28"/>
    <mergeCell ref="A24:A26"/>
    <mergeCell ref="AG19:AH19"/>
    <mergeCell ref="AJ19:AK19"/>
    <mergeCell ref="F4:O5"/>
    <mergeCell ref="B3:D3"/>
    <mergeCell ref="B4:D4"/>
    <mergeCell ref="B5:D5"/>
    <mergeCell ref="F3:O3"/>
  </mergeCells>
  <hyperlinks>
    <hyperlink ref="A28" r:id="rId1" xr:uid="{4EC79FA3-38AF-4353-8813-477A2BE9A01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B1E1-DBF9-4A5A-B25A-6B0AE0E7FC03}">
  <dimension ref="A1:AJ22"/>
  <sheetViews>
    <sheetView workbookViewId="0">
      <selection activeCell="A8" sqref="A8:AH1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>
      <c r="A1" s="25" t="s">
        <v>74</v>
      </c>
      <c r="D1" s="25" t="s">
        <v>75</v>
      </c>
      <c r="I1" s="25" t="s">
        <v>76</v>
      </c>
    </row>
    <row r="3" spans="1:36" ht="17.45">
      <c r="A3" s="25" t="s">
        <v>77</v>
      </c>
      <c r="B3" s="203">
        <v>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140</v>
      </c>
      <c r="C4" s="203"/>
      <c r="D4" s="203"/>
      <c r="F4" s="204" t="s">
        <v>164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42" t="s">
        <v>99</v>
      </c>
    </row>
    <row r="8" spans="1:36">
      <c r="A8" s="26" t="s">
        <v>117</v>
      </c>
      <c r="B8" s="29" t="s">
        <v>142</v>
      </c>
      <c r="C8" s="29" t="s">
        <v>143</v>
      </c>
      <c r="D8" s="29" t="s">
        <v>143</v>
      </c>
      <c r="E8" s="29" t="s">
        <v>143</v>
      </c>
      <c r="F8" s="29" t="s">
        <v>143</v>
      </c>
      <c r="G8" s="29" t="s">
        <v>143</v>
      </c>
      <c r="H8" s="29" t="s">
        <v>143</v>
      </c>
      <c r="I8" s="29" t="s">
        <v>143</v>
      </c>
      <c r="J8" s="29" t="s">
        <v>143</v>
      </c>
      <c r="K8" s="29" t="s">
        <v>143</v>
      </c>
      <c r="L8" s="29" t="s">
        <v>143</v>
      </c>
      <c r="M8" s="29" t="s">
        <v>143</v>
      </c>
      <c r="N8" s="29" t="s">
        <v>143</v>
      </c>
      <c r="O8" s="29" t="s">
        <v>143</v>
      </c>
      <c r="P8" s="29" t="s">
        <v>143</v>
      </c>
      <c r="Q8" s="29" t="s">
        <v>143</v>
      </c>
      <c r="R8" s="29" t="s">
        <v>143</v>
      </c>
      <c r="S8" s="29" t="s">
        <v>143</v>
      </c>
      <c r="T8" s="29" t="s">
        <v>143</v>
      </c>
      <c r="U8" s="29" t="s">
        <v>143</v>
      </c>
      <c r="V8" s="29" t="s">
        <v>143</v>
      </c>
      <c r="W8" s="29" t="s">
        <v>143</v>
      </c>
      <c r="X8" s="29" t="s">
        <v>143</v>
      </c>
      <c r="Y8" s="29" t="s">
        <v>143</v>
      </c>
      <c r="Z8" s="29" t="s">
        <v>143</v>
      </c>
      <c r="AA8" s="29" t="s">
        <v>143</v>
      </c>
      <c r="AB8" s="29" t="s">
        <v>143</v>
      </c>
      <c r="AC8" s="29" t="s">
        <v>143</v>
      </c>
      <c r="AD8" s="29" t="s">
        <v>143</v>
      </c>
      <c r="AE8" s="29" t="s">
        <v>143</v>
      </c>
      <c r="AF8" s="29" t="s">
        <v>143</v>
      </c>
      <c r="AG8" s="29" t="s">
        <v>143</v>
      </c>
      <c r="AH8" s="29" t="s">
        <v>143</v>
      </c>
      <c r="AJ8" s="29" t="s">
        <v>143</v>
      </c>
    </row>
    <row r="9" spans="1:36">
      <c r="A9" s="26" t="s">
        <v>121</v>
      </c>
      <c r="B9" s="29" t="s">
        <v>146</v>
      </c>
      <c r="C9" s="29" t="s">
        <v>146</v>
      </c>
      <c r="D9" s="29" t="s">
        <v>146</v>
      </c>
      <c r="E9" s="29" t="s">
        <v>146</v>
      </c>
      <c r="F9" s="29" t="s">
        <v>146</v>
      </c>
      <c r="G9" s="29" t="s">
        <v>146</v>
      </c>
      <c r="H9" s="29" t="s">
        <v>146</v>
      </c>
      <c r="I9" s="29" t="s">
        <v>146</v>
      </c>
      <c r="J9" s="29" t="s">
        <v>146</v>
      </c>
      <c r="K9" s="29" t="s">
        <v>146</v>
      </c>
      <c r="L9" s="29" t="s">
        <v>146</v>
      </c>
      <c r="M9" s="29" t="s">
        <v>146</v>
      </c>
      <c r="N9" s="29" t="s">
        <v>146</v>
      </c>
      <c r="O9" s="29" t="s">
        <v>146</v>
      </c>
      <c r="P9" s="29" t="s">
        <v>146</v>
      </c>
      <c r="Q9" s="29" t="s">
        <v>146</v>
      </c>
      <c r="R9" s="29" t="s">
        <v>146</v>
      </c>
      <c r="S9" s="29" t="s">
        <v>146</v>
      </c>
      <c r="T9" s="29" t="s">
        <v>146</v>
      </c>
      <c r="U9" s="29" t="s">
        <v>146</v>
      </c>
      <c r="V9" s="29" t="s">
        <v>146</v>
      </c>
      <c r="W9" s="29" t="s">
        <v>146</v>
      </c>
      <c r="X9" s="29" t="s">
        <v>146</v>
      </c>
      <c r="Y9" s="29" t="s">
        <v>146</v>
      </c>
      <c r="Z9" s="29" t="s">
        <v>146</v>
      </c>
      <c r="AA9" s="29" t="s">
        <v>146</v>
      </c>
      <c r="AB9" s="29" t="s">
        <v>146</v>
      </c>
      <c r="AC9" s="29" t="s">
        <v>146</v>
      </c>
      <c r="AD9" s="29" t="s">
        <v>146</v>
      </c>
      <c r="AE9" s="29" t="s">
        <v>146</v>
      </c>
      <c r="AF9" s="29" t="s">
        <v>146</v>
      </c>
      <c r="AG9" s="29" t="s">
        <v>146</v>
      </c>
      <c r="AH9" s="29" t="s">
        <v>146</v>
      </c>
      <c r="AJ9" s="29" t="s">
        <v>147</v>
      </c>
    </row>
    <row r="10" spans="1:36">
      <c r="A10" s="140" t="s">
        <v>122</v>
      </c>
      <c r="B10" s="141">
        <v>5</v>
      </c>
      <c r="C10" s="141">
        <v>5</v>
      </c>
      <c r="D10" s="141">
        <v>5</v>
      </c>
      <c r="E10" s="141">
        <v>5</v>
      </c>
      <c r="F10" s="141">
        <v>5</v>
      </c>
      <c r="G10" s="141">
        <v>5</v>
      </c>
      <c r="H10" s="141">
        <v>5</v>
      </c>
      <c r="I10" s="141">
        <v>5</v>
      </c>
      <c r="J10" s="141">
        <v>5</v>
      </c>
      <c r="K10" s="141">
        <v>5</v>
      </c>
      <c r="L10" s="141">
        <v>5</v>
      </c>
      <c r="M10" s="141">
        <v>5</v>
      </c>
      <c r="N10" s="141">
        <v>5</v>
      </c>
      <c r="O10" s="141">
        <v>5</v>
      </c>
      <c r="P10" s="141">
        <v>5</v>
      </c>
      <c r="Q10" s="141">
        <v>5</v>
      </c>
      <c r="R10" s="141">
        <v>5</v>
      </c>
      <c r="S10" s="141">
        <v>5</v>
      </c>
      <c r="T10" s="141">
        <v>5</v>
      </c>
      <c r="U10" s="141">
        <v>5</v>
      </c>
      <c r="V10" s="141">
        <v>5</v>
      </c>
      <c r="W10" s="141">
        <v>5</v>
      </c>
      <c r="X10" s="141">
        <v>5</v>
      </c>
      <c r="Y10" s="141">
        <v>5</v>
      </c>
      <c r="Z10" s="141">
        <v>5</v>
      </c>
      <c r="AA10" s="141">
        <v>5</v>
      </c>
      <c r="AB10" s="141">
        <v>5</v>
      </c>
      <c r="AC10" s="141">
        <v>5</v>
      </c>
      <c r="AD10" s="141">
        <v>5</v>
      </c>
      <c r="AE10" s="141">
        <v>5</v>
      </c>
      <c r="AF10" s="141">
        <v>5</v>
      </c>
      <c r="AG10" s="141">
        <v>5</v>
      </c>
      <c r="AH10" s="141">
        <v>5</v>
      </c>
      <c r="AJ10" s="141">
        <v>26</v>
      </c>
    </row>
    <row r="11" spans="1:36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</row>
    <row r="12" spans="1:36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8" t="s">
        <v>127</v>
      </c>
    </row>
    <row r="13" spans="1:36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124</v>
      </c>
    </row>
    <row r="14" spans="1:36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</row>
    <row r="15" spans="1:36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149</v>
      </c>
      <c r="AG15" s="28" t="s">
        <v>149</v>
      </c>
      <c r="AH15" s="28" t="s">
        <v>149</v>
      </c>
      <c r="AJ15" s="28" t="s">
        <v>149</v>
      </c>
    </row>
    <row r="16" spans="1:36">
      <c r="A16" s="26" t="s">
        <v>130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J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ref="K16:O16" si="2">5/3</f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 t="shared" ref="P16:U16" si="3">5/3</f>
        <v>1.6666666666666667</v>
      </c>
      <c r="Q16" s="30">
        <f t="shared" si="3"/>
        <v>1.6666666666666667</v>
      </c>
      <c r="R16" s="30">
        <f t="shared" si="3"/>
        <v>1.6666666666666667</v>
      </c>
      <c r="S16" s="30">
        <f t="shared" si="3"/>
        <v>1.6666666666666667</v>
      </c>
      <c r="T16" s="30">
        <f t="shared" si="3"/>
        <v>1.6666666666666667</v>
      </c>
      <c r="U16" s="30">
        <f t="shared" si="3"/>
        <v>1.6666666666666667</v>
      </c>
      <c r="V16" s="30">
        <f t="shared" ref="V16:W16" si="4">5/3</f>
        <v>1.6666666666666667</v>
      </c>
      <c r="W16" s="30">
        <f t="shared" si="4"/>
        <v>1.6666666666666667</v>
      </c>
      <c r="X16" s="30">
        <f t="shared" ref="X16:Y16" si="5">5/3</f>
        <v>1.6666666666666667</v>
      </c>
      <c r="Y16" s="30">
        <f t="shared" si="5"/>
        <v>1.6666666666666667</v>
      </c>
      <c r="Z16" s="30">
        <f>5/3</f>
        <v>1.6666666666666667</v>
      </c>
      <c r="AA16" s="30">
        <f t="shared" ref="AA16:AD16" si="6">5/3</f>
        <v>1.6666666666666667</v>
      </c>
      <c r="AB16" s="30">
        <f t="shared" si="6"/>
        <v>1.6666666666666667</v>
      </c>
      <c r="AC16" s="30">
        <f t="shared" si="6"/>
        <v>1.6666666666666667</v>
      </c>
      <c r="AD16" s="30">
        <f t="shared" si="6"/>
        <v>1.6666666666666667</v>
      </c>
      <c r="AE16" s="30">
        <f>5/3</f>
        <v>1.6666666666666667</v>
      </c>
      <c r="AF16" s="30">
        <f>5/3</f>
        <v>1.6666666666666667</v>
      </c>
      <c r="AG16" s="30">
        <f>5/3</f>
        <v>1.6666666666666667</v>
      </c>
      <c r="AH16" s="30">
        <f>5/3</f>
        <v>1.6666666666666667</v>
      </c>
      <c r="AJ16" s="30">
        <f>4/3</f>
        <v>1.3333333333333333</v>
      </c>
    </row>
    <row r="17" spans="1:36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  <c r="AJ17" s="28" t="s">
        <v>151</v>
      </c>
    </row>
    <row r="18" spans="1:36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3</v>
      </c>
    </row>
    <row r="19" spans="1:36">
      <c r="Q19" s="78" t="s">
        <v>165</v>
      </c>
      <c r="AJ19" s="78" t="s">
        <v>166</v>
      </c>
    </row>
    <row r="20" spans="1:36">
      <c r="A20" s="31" t="s">
        <v>134</v>
      </c>
    </row>
    <row r="21" spans="1:36">
      <c r="A21" s="26" t="s">
        <v>167</v>
      </c>
      <c r="B21" s="56" t="s">
        <v>157</v>
      </c>
    </row>
    <row r="22" spans="1:36">
      <c r="A22" s="26" t="s">
        <v>168</v>
      </c>
      <c r="B22" s="56" t="s">
        <v>157</v>
      </c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E8BC-E92C-47A0-9B82-3A8E3DE271EF}">
  <dimension ref="A1:AR28"/>
  <sheetViews>
    <sheetView workbookViewId="0">
      <selection activeCell="V8" sqref="V8:W18"/>
    </sheetView>
  </sheetViews>
  <sheetFormatPr defaultColWidth="9.140625" defaultRowHeight="15"/>
  <cols>
    <col min="1" max="1" width="23.28515625" style="26" bestFit="1" customWidth="1"/>
    <col min="2" max="39" width="5.7109375" style="26" customWidth="1"/>
    <col min="40" max="42" width="5.7109375" style="26" hidden="1" customWidth="1"/>
    <col min="43" max="43" width="5.7109375" style="26" customWidth="1"/>
    <col min="44" max="44" width="5.7109375" style="26" hidden="1" customWidth="1"/>
    <col min="45" max="53" width="5.7109375" style="26" customWidth="1"/>
    <col min="54" max="16384" width="9.140625" style="26"/>
  </cols>
  <sheetData>
    <row r="1" spans="1:43">
      <c r="A1" s="25" t="s">
        <v>74</v>
      </c>
      <c r="D1" s="25" t="s">
        <v>75</v>
      </c>
      <c r="I1" s="25" t="s">
        <v>76</v>
      </c>
    </row>
    <row r="3" spans="1:43" ht="17.45">
      <c r="A3" s="25" t="s">
        <v>77</v>
      </c>
      <c r="B3" s="203">
        <v>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3" ht="17.45">
      <c r="A4" s="25" t="s">
        <v>79</v>
      </c>
      <c r="B4" s="203" t="s">
        <v>169</v>
      </c>
      <c r="C4" s="203"/>
      <c r="D4" s="203"/>
      <c r="F4" s="204" t="s">
        <v>170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3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3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76" t="s">
        <v>115</v>
      </c>
      <c r="AH7" s="76" t="s">
        <v>116</v>
      </c>
      <c r="AJ7" s="76" t="s">
        <v>115</v>
      </c>
      <c r="AK7" s="76" t="s">
        <v>116</v>
      </c>
      <c r="AL7" s="1"/>
      <c r="AM7" s="32" t="s">
        <v>86</v>
      </c>
      <c r="AQ7" s="42" t="s">
        <v>99</v>
      </c>
    </row>
    <row r="8" spans="1:43">
      <c r="A8" s="26" t="s">
        <v>117</v>
      </c>
      <c r="B8" s="28" t="s">
        <v>149</v>
      </c>
      <c r="C8" s="28" t="s">
        <v>171</v>
      </c>
      <c r="D8" s="28" t="s">
        <v>171</v>
      </c>
      <c r="E8" s="28" t="s">
        <v>171</v>
      </c>
      <c r="F8" s="28" t="s">
        <v>171</v>
      </c>
      <c r="G8" s="28" t="s">
        <v>171</v>
      </c>
      <c r="H8" s="28" t="s">
        <v>171</v>
      </c>
      <c r="I8" s="28" t="s">
        <v>171</v>
      </c>
      <c r="J8" s="28" t="s">
        <v>171</v>
      </c>
      <c r="K8" s="28" t="s">
        <v>171</v>
      </c>
      <c r="L8" s="28" t="s">
        <v>171</v>
      </c>
      <c r="M8" s="28" t="s">
        <v>171</v>
      </c>
      <c r="N8" s="28" t="s">
        <v>171</v>
      </c>
      <c r="O8" s="28" t="s">
        <v>171</v>
      </c>
      <c r="P8" s="28" t="s">
        <v>171</v>
      </c>
      <c r="Q8" s="28" t="s">
        <v>171</v>
      </c>
      <c r="R8" s="28" t="s">
        <v>171</v>
      </c>
      <c r="S8" s="28" t="s">
        <v>171</v>
      </c>
      <c r="T8" s="29"/>
      <c r="U8" s="28" t="s">
        <v>171</v>
      </c>
      <c r="V8" s="28" t="s">
        <v>171</v>
      </c>
      <c r="W8" s="28" t="s">
        <v>171</v>
      </c>
      <c r="X8" s="28" t="s">
        <v>171</v>
      </c>
      <c r="Y8" s="28" t="s">
        <v>171</v>
      </c>
      <c r="Z8" s="29"/>
      <c r="AA8" s="28" t="s">
        <v>171</v>
      </c>
      <c r="AB8" s="28" t="s">
        <v>171</v>
      </c>
      <c r="AC8" s="29" t="s">
        <v>171</v>
      </c>
      <c r="AD8" s="28" t="s">
        <v>171</v>
      </c>
      <c r="AE8" s="29" t="s">
        <v>171</v>
      </c>
      <c r="AF8" s="28" t="s">
        <v>171</v>
      </c>
      <c r="AG8" s="28" t="s">
        <v>171</v>
      </c>
      <c r="AH8" s="28" t="s">
        <v>171</v>
      </c>
      <c r="AJ8" s="28" t="s">
        <v>172</v>
      </c>
      <c r="AK8" s="28" t="s">
        <v>173</v>
      </c>
      <c r="AM8" s="29" t="s">
        <v>171</v>
      </c>
      <c r="AQ8" s="29" t="s">
        <v>171</v>
      </c>
    </row>
    <row r="9" spans="1:43">
      <c r="A9" s="26" t="s">
        <v>121</v>
      </c>
      <c r="B9" s="28" t="s">
        <v>174</v>
      </c>
      <c r="C9" s="28" t="s">
        <v>174</v>
      </c>
      <c r="D9" s="28" t="s">
        <v>174</v>
      </c>
      <c r="E9" s="28" t="s">
        <v>174</v>
      </c>
      <c r="F9" s="28" t="s">
        <v>174</v>
      </c>
      <c r="G9" s="28" t="s">
        <v>174</v>
      </c>
      <c r="H9" s="28" t="s">
        <v>174</v>
      </c>
      <c r="I9" s="28" t="s">
        <v>174</v>
      </c>
      <c r="J9" s="28" t="s">
        <v>174</v>
      </c>
      <c r="K9" s="28" t="s">
        <v>174</v>
      </c>
      <c r="L9" s="28" t="s">
        <v>174</v>
      </c>
      <c r="M9" s="28" t="s">
        <v>174</v>
      </c>
      <c r="N9" s="28" t="s">
        <v>174</v>
      </c>
      <c r="O9" s="28" t="s">
        <v>174</v>
      </c>
      <c r="P9" s="28" t="s">
        <v>174</v>
      </c>
      <c r="Q9" s="28" t="s">
        <v>174</v>
      </c>
      <c r="R9" s="28" t="s">
        <v>174</v>
      </c>
      <c r="S9" s="28" t="s">
        <v>174</v>
      </c>
      <c r="T9" s="29"/>
      <c r="U9" s="28" t="s">
        <v>174</v>
      </c>
      <c r="V9" s="28" t="s">
        <v>174</v>
      </c>
      <c r="W9" s="28" t="s">
        <v>174</v>
      </c>
      <c r="X9" s="28" t="s">
        <v>174</v>
      </c>
      <c r="Y9" s="28" t="s">
        <v>174</v>
      </c>
      <c r="Z9" s="29"/>
      <c r="AA9" s="28" t="s">
        <v>174</v>
      </c>
      <c r="AB9" s="28" t="s">
        <v>174</v>
      </c>
      <c r="AC9" s="28" t="s">
        <v>175</v>
      </c>
      <c r="AD9" s="28" t="s">
        <v>174</v>
      </c>
      <c r="AE9" s="28" t="s">
        <v>175</v>
      </c>
      <c r="AF9" s="28" t="s">
        <v>174</v>
      </c>
      <c r="AG9" s="28" t="s">
        <v>174</v>
      </c>
      <c r="AH9" s="28" t="s">
        <v>174</v>
      </c>
      <c r="AJ9" s="28" t="s">
        <v>176</v>
      </c>
      <c r="AK9" s="28" t="s">
        <v>177</v>
      </c>
      <c r="AM9" s="28" t="s">
        <v>178</v>
      </c>
      <c r="AQ9" s="28" t="s">
        <v>176</v>
      </c>
    </row>
    <row r="10" spans="1:43">
      <c r="A10" s="140" t="s">
        <v>122</v>
      </c>
      <c r="B10" s="167">
        <v>6</v>
      </c>
      <c r="C10" s="167">
        <v>6</v>
      </c>
      <c r="D10" s="167">
        <v>6</v>
      </c>
      <c r="E10" s="167">
        <v>6</v>
      </c>
      <c r="F10" s="167">
        <v>6</v>
      </c>
      <c r="G10" s="167">
        <v>6</v>
      </c>
      <c r="H10" s="167">
        <v>6</v>
      </c>
      <c r="I10" s="167">
        <v>6</v>
      </c>
      <c r="J10" s="167">
        <v>6</v>
      </c>
      <c r="K10" s="167">
        <v>6</v>
      </c>
      <c r="L10" s="167">
        <v>6</v>
      </c>
      <c r="M10" s="167">
        <v>6</v>
      </c>
      <c r="N10" s="167">
        <v>6</v>
      </c>
      <c r="O10" s="167">
        <v>6</v>
      </c>
      <c r="P10" s="167">
        <v>6</v>
      </c>
      <c r="Q10" s="167">
        <v>6</v>
      </c>
      <c r="R10" s="167">
        <v>6</v>
      </c>
      <c r="S10" s="167">
        <v>6</v>
      </c>
      <c r="T10" s="141"/>
      <c r="U10" s="167">
        <v>6</v>
      </c>
      <c r="V10" s="167">
        <v>6</v>
      </c>
      <c r="W10" s="167">
        <v>6</v>
      </c>
      <c r="X10" s="167">
        <v>6</v>
      </c>
      <c r="Y10" s="167">
        <v>6</v>
      </c>
      <c r="Z10" s="141"/>
      <c r="AA10" s="167">
        <v>6</v>
      </c>
      <c r="AB10" s="167">
        <v>6</v>
      </c>
      <c r="AC10" s="141">
        <v>101</v>
      </c>
      <c r="AD10" s="167">
        <v>6</v>
      </c>
      <c r="AE10" s="141">
        <v>101</v>
      </c>
      <c r="AF10" s="167">
        <v>6</v>
      </c>
      <c r="AG10" s="167">
        <v>6</v>
      </c>
      <c r="AH10" s="167">
        <v>6</v>
      </c>
      <c r="AJ10" s="167">
        <v>27</v>
      </c>
      <c r="AK10" s="167">
        <v>49</v>
      </c>
      <c r="AM10" s="141">
        <v>35</v>
      </c>
      <c r="AQ10" s="167">
        <v>27</v>
      </c>
    </row>
    <row r="11" spans="1:43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/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/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  <c r="AK11" s="28" t="s">
        <v>124</v>
      </c>
      <c r="AM11" s="29" t="s">
        <v>124</v>
      </c>
      <c r="AQ11" s="28" t="s">
        <v>124</v>
      </c>
    </row>
    <row r="12" spans="1:43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/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/>
      <c r="AA12" s="28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8" t="s">
        <v>124</v>
      </c>
      <c r="AG12" s="28" t="s">
        <v>124</v>
      </c>
      <c r="AH12" s="28" t="s">
        <v>124</v>
      </c>
      <c r="AJ12" s="28" t="s">
        <v>124</v>
      </c>
      <c r="AK12" s="28" t="s">
        <v>124</v>
      </c>
      <c r="AM12" s="28" t="s">
        <v>124</v>
      </c>
      <c r="AQ12" s="28" t="s">
        <v>124</v>
      </c>
    </row>
    <row r="13" spans="1:43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/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/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124</v>
      </c>
      <c r="AK13" s="28" t="s">
        <v>124</v>
      </c>
      <c r="AM13" s="28" t="s">
        <v>124</v>
      </c>
      <c r="AQ13" s="28" t="s">
        <v>124</v>
      </c>
    </row>
    <row r="14" spans="1:43">
      <c r="A14" s="26" t="s">
        <v>128</v>
      </c>
      <c r="B14" s="29" t="s">
        <v>127</v>
      </c>
      <c r="C14" s="29" t="s">
        <v>127</v>
      </c>
      <c r="D14" s="29" t="s">
        <v>127</v>
      </c>
      <c r="E14" s="29" t="s">
        <v>127</v>
      </c>
      <c r="F14" s="29" t="s">
        <v>127</v>
      </c>
      <c r="G14" s="29" t="s">
        <v>127</v>
      </c>
      <c r="H14" s="29" t="s">
        <v>127</v>
      </c>
      <c r="I14" s="29" t="s">
        <v>127</v>
      </c>
      <c r="J14" s="29" t="s">
        <v>127</v>
      </c>
      <c r="K14" s="29" t="s">
        <v>127</v>
      </c>
      <c r="L14" s="29" t="s">
        <v>127</v>
      </c>
      <c r="M14" s="29" t="s">
        <v>127</v>
      </c>
      <c r="N14" s="29" t="s">
        <v>127</v>
      </c>
      <c r="O14" s="29" t="s">
        <v>127</v>
      </c>
      <c r="P14" s="29" t="s">
        <v>127</v>
      </c>
      <c r="Q14" s="29" t="s">
        <v>127</v>
      </c>
      <c r="R14" s="29" t="s">
        <v>127</v>
      </c>
      <c r="S14" s="29" t="s">
        <v>127</v>
      </c>
      <c r="T14" s="28"/>
      <c r="U14" s="29" t="s">
        <v>127</v>
      </c>
      <c r="V14" s="29" t="s">
        <v>127</v>
      </c>
      <c r="W14" s="29" t="s">
        <v>127</v>
      </c>
      <c r="X14" s="29" t="s">
        <v>127</v>
      </c>
      <c r="Y14" s="29" t="s">
        <v>127</v>
      </c>
      <c r="Z14" s="28"/>
      <c r="AA14" s="29" t="s">
        <v>127</v>
      </c>
      <c r="AB14" s="29" t="s">
        <v>127</v>
      </c>
      <c r="AC14" s="29" t="s">
        <v>127</v>
      </c>
      <c r="AD14" s="29" t="s">
        <v>127</v>
      </c>
      <c r="AE14" s="29" t="s">
        <v>127</v>
      </c>
      <c r="AF14" s="29" t="s">
        <v>127</v>
      </c>
      <c r="AG14" s="29" t="s">
        <v>127</v>
      </c>
      <c r="AH14" s="29" t="s">
        <v>127</v>
      </c>
      <c r="AJ14" s="28" t="s">
        <v>127</v>
      </c>
      <c r="AK14" s="28" t="s">
        <v>127</v>
      </c>
      <c r="AM14" s="28" t="s">
        <v>127</v>
      </c>
      <c r="AQ14" s="28" t="s">
        <v>127</v>
      </c>
    </row>
    <row r="15" spans="1:43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/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/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149</v>
      </c>
      <c r="AG15" s="28" t="s">
        <v>149</v>
      </c>
      <c r="AH15" s="28" t="s">
        <v>149</v>
      </c>
      <c r="AJ15" s="28" t="s">
        <v>149</v>
      </c>
      <c r="AK15" s="28" t="s">
        <v>149</v>
      </c>
      <c r="AM15" s="28" t="s">
        <v>150</v>
      </c>
      <c r="AQ15" s="28" t="s">
        <v>149</v>
      </c>
    </row>
    <row r="16" spans="1:43">
      <c r="A16" s="26" t="s">
        <v>130</v>
      </c>
      <c r="B16" s="30">
        <f t="shared" ref="B16:F16" si="0">5/3</f>
        <v>1.6666666666666667</v>
      </c>
      <c r="C16" s="30">
        <f t="shared" si="0"/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O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si="1"/>
        <v>1.6666666666666667</v>
      </c>
      <c r="L16" s="30">
        <f t="shared" si="1"/>
        <v>1.6666666666666667</v>
      </c>
      <c r="M16" s="30">
        <f t="shared" si="1"/>
        <v>1.6666666666666667</v>
      </c>
      <c r="N16" s="30">
        <f t="shared" si="1"/>
        <v>1.6666666666666667</v>
      </c>
      <c r="O16" s="30">
        <f t="shared" si="1"/>
        <v>1.6666666666666667</v>
      </c>
      <c r="P16" s="30">
        <f>5/3</f>
        <v>1.6666666666666667</v>
      </c>
      <c r="Q16" s="30">
        <f>5/3</f>
        <v>1.6666666666666667</v>
      </c>
      <c r="R16" s="30">
        <f t="shared" ref="R16:W16" si="2">5/3</f>
        <v>1.6666666666666667</v>
      </c>
      <c r="S16" s="30">
        <f t="shared" si="2"/>
        <v>1.6666666666666667</v>
      </c>
      <c r="T16" s="30"/>
      <c r="U16" s="30">
        <f t="shared" si="2"/>
        <v>1.6666666666666667</v>
      </c>
      <c r="V16" s="30">
        <f t="shared" si="2"/>
        <v>1.6666666666666667</v>
      </c>
      <c r="W16" s="30">
        <f t="shared" si="2"/>
        <v>1.6666666666666667</v>
      </c>
      <c r="X16" s="30">
        <f t="shared" ref="X16:Y16" si="3">5/3</f>
        <v>1.6666666666666667</v>
      </c>
      <c r="Y16" s="30">
        <f t="shared" si="3"/>
        <v>1.6666666666666667</v>
      </c>
      <c r="Z16" s="30"/>
      <c r="AA16" s="30">
        <f>5/3</f>
        <v>1.6666666666666667</v>
      </c>
      <c r="AB16" s="30">
        <f>5/3</f>
        <v>1.6666666666666667</v>
      </c>
      <c r="AC16" s="30">
        <f>AVERAGE(5/3,0.75)</f>
        <v>1.2083333333333335</v>
      </c>
      <c r="AD16" s="30">
        <f>5/3</f>
        <v>1.6666666666666667</v>
      </c>
      <c r="AE16" s="30">
        <f>AVERAGE(5/3,0.75)</f>
        <v>1.2083333333333335</v>
      </c>
      <c r="AF16" s="30">
        <f t="shared" ref="AF16:AG16" si="4">5/3</f>
        <v>1.6666666666666667</v>
      </c>
      <c r="AG16" s="30">
        <f t="shared" si="4"/>
        <v>1.6666666666666667</v>
      </c>
      <c r="AH16" s="30">
        <f>5/3</f>
        <v>1.6666666666666667</v>
      </c>
      <c r="AJ16" s="128">
        <f>4/3</f>
        <v>1.3333333333333333</v>
      </c>
      <c r="AK16" s="128">
        <f>4/3</f>
        <v>1.3333333333333333</v>
      </c>
      <c r="AM16" s="30">
        <v>-0.5</v>
      </c>
      <c r="AQ16" s="128">
        <f>4/3</f>
        <v>1.3333333333333333</v>
      </c>
    </row>
    <row r="17" spans="1:43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/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/>
      <c r="AA17" s="28" t="s">
        <v>132</v>
      </c>
      <c r="AB17" s="28" t="s">
        <v>132</v>
      </c>
      <c r="AC17" s="28" t="s">
        <v>179</v>
      </c>
      <c r="AD17" s="28" t="s">
        <v>132</v>
      </c>
      <c r="AE17" s="28" t="s">
        <v>179</v>
      </c>
      <c r="AF17" s="28" t="s">
        <v>132</v>
      </c>
      <c r="AG17" s="28" t="s">
        <v>132</v>
      </c>
      <c r="AH17" s="28" t="s">
        <v>132</v>
      </c>
      <c r="AJ17" s="28" t="s">
        <v>151</v>
      </c>
      <c r="AK17" s="28" t="s">
        <v>180</v>
      </c>
      <c r="AM17" s="28" t="s">
        <v>151</v>
      </c>
      <c r="AQ17" s="28" t="s">
        <v>151</v>
      </c>
    </row>
    <row r="18" spans="1:43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/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/>
      <c r="AA18" s="30">
        <v>4</v>
      </c>
      <c r="AB18" s="30">
        <v>4</v>
      </c>
      <c r="AC18" s="30">
        <f>AVERAGE(4,0.875)</f>
        <v>2.4375</v>
      </c>
      <c r="AD18" s="30">
        <v>4</v>
      </c>
      <c r="AE18" s="30">
        <f>AVERAGE(4,0.875)</f>
        <v>2.4375</v>
      </c>
      <c r="AF18" s="30">
        <v>4</v>
      </c>
      <c r="AG18" s="30">
        <v>4</v>
      </c>
      <c r="AH18" s="30">
        <v>4</v>
      </c>
      <c r="AJ18" s="30">
        <v>3</v>
      </c>
      <c r="AK18" s="30">
        <v>2</v>
      </c>
      <c r="AM18" s="30">
        <v>3</v>
      </c>
      <c r="AQ18" s="30">
        <v>3</v>
      </c>
    </row>
    <row r="19" spans="1:43">
      <c r="D19" s="78" t="s">
        <v>181</v>
      </c>
      <c r="Q19" s="78" t="s">
        <v>181</v>
      </c>
      <c r="AG19" s="221" t="s">
        <v>182</v>
      </c>
      <c r="AH19" s="221"/>
      <c r="AJ19" s="221" t="s">
        <v>183</v>
      </c>
      <c r="AK19" s="221"/>
      <c r="AM19" s="78" t="s">
        <v>184</v>
      </c>
    </row>
    <row r="20" spans="1:43">
      <c r="A20" s="31" t="s">
        <v>134</v>
      </c>
    </row>
    <row r="21" spans="1:43">
      <c r="A21" s="93" t="s">
        <v>185</v>
      </c>
      <c r="B21" s="95" t="s">
        <v>186</v>
      </c>
    </row>
    <row r="22" spans="1:43">
      <c r="A22" s="218" t="s">
        <v>187</v>
      </c>
      <c r="B22" s="95" t="s">
        <v>186</v>
      </c>
    </row>
    <row r="23" spans="1:43">
      <c r="A23" s="218"/>
      <c r="B23" s="96" t="s">
        <v>188</v>
      </c>
    </row>
    <row r="24" spans="1:43">
      <c r="A24" s="218" t="s">
        <v>189</v>
      </c>
      <c r="B24" s="95" t="s">
        <v>186</v>
      </c>
    </row>
    <row r="25" spans="1:43">
      <c r="A25" s="218"/>
      <c r="B25" s="96" t="s">
        <v>190</v>
      </c>
    </row>
    <row r="26" spans="1:43">
      <c r="A26" s="218"/>
      <c r="B26" s="96" t="s">
        <v>191</v>
      </c>
    </row>
    <row r="28" spans="1:43" ht="65.25" customHeight="1">
      <c r="A28" s="101" t="s">
        <v>162</v>
      </c>
      <c r="B28" s="219" t="s">
        <v>163</v>
      </c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100"/>
      <c r="P28" s="99"/>
    </row>
  </sheetData>
  <mergeCells count="10">
    <mergeCell ref="A22:A23"/>
    <mergeCell ref="B28:N28"/>
    <mergeCell ref="A24:A26"/>
    <mergeCell ref="AG19:AH19"/>
    <mergeCell ref="AJ19:AK19"/>
    <mergeCell ref="B3:D3"/>
    <mergeCell ref="F3:O3"/>
    <mergeCell ref="B4:D4"/>
    <mergeCell ref="F4:O5"/>
    <mergeCell ref="B5:D5"/>
  </mergeCells>
  <hyperlinks>
    <hyperlink ref="A28" r:id="rId1" xr:uid="{F8A977CF-41A5-40B7-B0FD-23BB28CB6D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BD51-AF47-4C6C-8813-1E6F4EF5F04C}">
  <dimension ref="A1:AJ22"/>
  <sheetViews>
    <sheetView workbookViewId="0">
      <selection activeCell="V8" sqref="V8:W1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>
      <c r="A1" s="25" t="s">
        <v>74</v>
      </c>
      <c r="D1" s="25" t="s">
        <v>75</v>
      </c>
      <c r="I1" s="25" t="s">
        <v>76</v>
      </c>
    </row>
    <row r="3" spans="1:36" ht="17.45">
      <c r="A3" s="25" t="s">
        <v>77</v>
      </c>
      <c r="B3" s="203">
        <v>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169</v>
      </c>
      <c r="C4" s="203"/>
      <c r="D4" s="203"/>
      <c r="F4" s="204" t="s">
        <v>192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42" t="s">
        <v>99</v>
      </c>
    </row>
    <row r="8" spans="1:36">
      <c r="A8" s="26" t="s">
        <v>117</v>
      </c>
      <c r="B8" s="29" t="s">
        <v>149</v>
      </c>
      <c r="C8" s="29" t="s">
        <v>171</v>
      </c>
      <c r="D8" s="29" t="s">
        <v>171</v>
      </c>
      <c r="E8" s="29" t="s">
        <v>171</v>
      </c>
      <c r="F8" s="29" t="s">
        <v>171</v>
      </c>
      <c r="G8" s="29" t="s">
        <v>171</v>
      </c>
      <c r="H8" s="29" t="s">
        <v>171</v>
      </c>
      <c r="I8" s="29" t="s">
        <v>171</v>
      </c>
      <c r="J8" s="29" t="s">
        <v>171</v>
      </c>
      <c r="K8" s="29" t="s">
        <v>171</v>
      </c>
      <c r="L8" s="29" t="s">
        <v>171</v>
      </c>
      <c r="M8" s="29" t="s">
        <v>171</v>
      </c>
      <c r="N8" s="29" t="s">
        <v>171</v>
      </c>
      <c r="O8" s="29" t="s">
        <v>171</v>
      </c>
      <c r="P8" s="29" t="s">
        <v>171</v>
      </c>
      <c r="Q8" s="29" t="s">
        <v>171</v>
      </c>
      <c r="R8" s="29" t="s">
        <v>171</v>
      </c>
      <c r="S8" s="29" t="s">
        <v>171</v>
      </c>
      <c r="T8" s="29"/>
      <c r="U8" s="29" t="s">
        <v>171</v>
      </c>
      <c r="V8" s="28" t="s">
        <v>171</v>
      </c>
      <c r="W8" s="28" t="s">
        <v>171</v>
      </c>
      <c r="X8" s="29" t="s">
        <v>171</v>
      </c>
      <c r="Y8" s="29" t="s">
        <v>171</v>
      </c>
      <c r="Z8" s="29"/>
      <c r="AA8" s="29" t="s">
        <v>171</v>
      </c>
      <c r="AB8" s="29" t="s">
        <v>171</v>
      </c>
      <c r="AC8" s="29" t="s">
        <v>171</v>
      </c>
      <c r="AD8" s="29" t="s">
        <v>171</v>
      </c>
      <c r="AE8" s="29" t="s">
        <v>171</v>
      </c>
      <c r="AF8" s="29" t="s">
        <v>171</v>
      </c>
      <c r="AG8" s="29" t="s">
        <v>171</v>
      </c>
      <c r="AH8" s="29" t="s">
        <v>171</v>
      </c>
      <c r="AJ8" s="29" t="s">
        <v>171</v>
      </c>
    </row>
    <row r="9" spans="1:36">
      <c r="A9" s="26" t="s">
        <v>121</v>
      </c>
      <c r="B9" s="29" t="s">
        <v>174</v>
      </c>
      <c r="C9" s="29" t="s">
        <v>174</v>
      </c>
      <c r="D9" s="29" t="s">
        <v>174</v>
      </c>
      <c r="E9" s="29" t="s">
        <v>174</v>
      </c>
      <c r="F9" s="29" t="s">
        <v>174</v>
      </c>
      <c r="G9" s="29" t="s">
        <v>174</v>
      </c>
      <c r="H9" s="29" t="s">
        <v>174</v>
      </c>
      <c r="I9" s="29" t="s">
        <v>174</v>
      </c>
      <c r="J9" s="29" t="s">
        <v>174</v>
      </c>
      <c r="K9" s="29" t="s">
        <v>174</v>
      </c>
      <c r="L9" s="29" t="s">
        <v>174</v>
      </c>
      <c r="M9" s="29" t="s">
        <v>174</v>
      </c>
      <c r="N9" s="29" t="s">
        <v>174</v>
      </c>
      <c r="O9" s="29" t="s">
        <v>174</v>
      </c>
      <c r="P9" s="29" t="s">
        <v>174</v>
      </c>
      <c r="Q9" s="29" t="s">
        <v>174</v>
      </c>
      <c r="R9" s="29" t="s">
        <v>174</v>
      </c>
      <c r="S9" s="29" t="s">
        <v>174</v>
      </c>
      <c r="T9" s="29"/>
      <c r="U9" s="29" t="s">
        <v>174</v>
      </c>
      <c r="V9" s="28" t="s">
        <v>174</v>
      </c>
      <c r="W9" s="28" t="s">
        <v>174</v>
      </c>
      <c r="X9" s="29" t="s">
        <v>174</v>
      </c>
      <c r="Y9" s="29" t="s">
        <v>174</v>
      </c>
      <c r="Z9" s="29"/>
      <c r="AA9" s="29" t="s">
        <v>174</v>
      </c>
      <c r="AB9" s="29" t="s">
        <v>174</v>
      </c>
      <c r="AC9" s="28" t="s">
        <v>175</v>
      </c>
      <c r="AD9" s="29" t="s">
        <v>174</v>
      </c>
      <c r="AE9" s="28" t="s">
        <v>175</v>
      </c>
      <c r="AF9" s="29" t="s">
        <v>174</v>
      </c>
      <c r="AG9" s="29" t="s">
        <v>174</v>
      </c>
      <c r="AH9" s="29" t="s">
        <v>174</v>
      </c>
      <c r="AJ9" s="29" t="s">
        <v>176</v>
      </c>
    </row>
    <row r="10" spans="1:36">
      <c r="A10" s="140" t="s">
        <v>122</v>
      </c>
      <c r="B10" s="167">
        <v>6</v>
      </c>
      <c r="C10" s="167">
        <v>6</v>
      </c>
      <c r="D10" s="167">
        <v>6</v>
      </c>
      <c r="E10" s="167">
        <v>6</v>
      </c>
      <c r="F10" s="167">
        <v>6</v>
      </c>
      <c r="G10" s="167">
        <v>6</v>
      </c>
      <c r="H10" s="167">
        <v>6</v>
      </c>
      <c r="I10" s="167">
        <v>6</v>
      </c>
      <c r="J10" s="167">
        <v>6</v>
      </c>
      <c r="K10" s="167">
        <v>6</v>
      </c>
      <c r="L10" s="167">
        <v>6</v>
      </c>
      <c r="M10" s="167">
        <v>6</v>
      </c>
      <c r="N10" s="167">
        <v>6</v>
      </c>
      <c r="O10" s="167">
        <v>6</v>
      </c>
      <c r="P10" s="167">
        <v>6</v>
      </c>
      <c r="Q10" s="167">
        <v>6</v>
      </c>
      <c r="R10" s="167">
        <v>6</v>
      </c>
      <c r="S10" s="167">
        <v>6</v>
      </c>
      <c r="T10" s="141"/>
      <c r="U10" s="167">
        <v>6</v>
      </c>
      <c r="V10" s="167">
        <v>6</v>
      </c>
      <c r="W10" s="167">
        <v>6</v>
      </c>
      <c r="X10" s="167">
        <v>6</v>
      </c>
      <c r="Y10" s="167">
        <v>6</v>
      </c>
      <c r="Z10" s="141"/>
      <c r="AA10" s="167">
        <v>6</v>
      </c>
      <c r="AB10" s="167">
        <v>6</v>
      </c>
      <c r="AC10" s="141">
        <v>101</v>
      </c>
      <c r="AD10" s="167">
        <v>6</v>
      </c>
      <c r="AE10" s="141">
        <v>101</v>
      </c>
      <c r="AF10" s="167">
        <v>6</v>
      </c>
      <c r="AG10" s="167">
        <v>6</v>
      </c>
      <c r="AH10" s="167">
        <v>6</v>
      </c>
      <c r="AJ10" s="141">
        <v>27</v>
      </c>
    </row>
    <row r="11" spans="1:36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/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/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</row>
    <row r="12" spans="1:36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/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/>
      <c r="AA12" s="28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8" t="s">
        <v>124</v>
      </c>
      <c r="AG12" s="28" t="s">
        <v>124</v>
      </c>
      <c r="AH12" s="28" t="s">
        <v>124</v>
      </c>
      <c r="AJ12" s="28" t="s">
        <v>124</v>
      </c>
    </row>
    <row r="13" spans="1:36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/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/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124</v>
      </c>
    </row>
    <row r="14" spans="1:36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/>
      <c r="U14" s="28" t="s">
        <v>127</v>
      </c>
      <c r="V14" s="29" t="s">
        <v>127</v>
      </c>
      <c r="W14" s="29" t="s">
        <v>127</v>
      </c>
      <c r="X14" s="28" t="s">
        <v>127</v>
      </c>
      <c r="Y14" s="28" t="s">
        <v>127</v>
      </c>
      <c r="Z14" s="28"/>
      <c r="AA14" s="28" t="s">
        <v>127</v>
      </c>
      <c r="AB14" s="28" t="s">
        <v>127</v>
      </c>
      <c r="AC14" s="29" t="s">
        <v>127</v>
      </c>
      <c r="AD14" s="28" t="s">
        <v>127</v>
      </c>
      <c r="AE14" s="29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</row>
    <row r="15" spans="1:36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/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/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149</v>
      </c>
      <c r="AG15" s="28" t="s">
        <v>149</v>
      </c>
      <c r="AH15" s="28" t="s">
        <v>149</v>
      </c>
      <c r="AJ15" s="28" t="s">
        <v>149</v>
      </c>
    </row>
    <row r="16" spans="1:36">
      <c r="A16" s="26" t="s">
        <v>130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M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si="1"/>
        <v>1.6666666666666667</v>
      </c>
      <c r="L16" s="30">
        <f t="shared" si="1"/>
        <v>1.6666666666666667</v>
      </c>
      <c r="M16" s="30">
        <f t="shared" si="1"/>
        <v>1.6666666666666667</v>
      </c>
      <c r="N16" s="30">
        <f t="shared" ref="N16:S16" si="2">5/3</f>
        <v>1.6666666666666667</v>
      </c>
      <c r="O16" s="30">
        <f t="shared" si="2"/>
        <v>1.6666666666666667</v>
      </c>
      <c r="P16" s="30">
        <f t="shared" si="2"/>
        <v>1.6666666666666667</v>
      </c>
      <c r="Q16" s="30">
        <f t="shared" si="2"/>
        <v>1.6666666666666667</v>
      </c>
      <c r="R16" s="30">
        <f t="shared" si="2"/>
        <v>1.6666666666666667</v>
      </c>
      <c r="S16" s="30">
        <f t="shared" si="2"/>
        <v>1.6666666666666667</v>
      </c>
      <c r="T16" s="30"/>
      <c r="U16" s="30">
        <f t="shared" ref="U16:W16" si="3">5/3</f>
        <v>1.6666666666666667</v>
      </c>
      <c r="V16" s="30">
        <f t="shared" si="3"/>
        <v>1.6666666666666667</v>
      </c>
      <c r="W16" s="30">
        <f t="shared" si="3"/>
        <v>1.6666666666666667</v>
      </c>
      <c r="X16" s="30">
        <f t="shared" ref="X16:AD16" si="4">5/3</f>
        <v>1.6666666666666667</v>
      </c>
      <c r="Y16" s="30">
        <f t="shared" si="4"/>
        <v>1.6666666666666667</v>
      </c>
      <c r="Z16" s="30"/>
      <c r="AA16" s="30">
        <f t="shared" si="4"/>
        <v>1.6666666666666667</v>
      </c>
      <c r="AB16" s="30">
        <f t="shared" si="4"/>
        <v>1.6666666666666667</v>
      </c>
      <c r="AC16" s="30">
        <f>AVERAGE(5/3,0.75)</f>
        <v>1.2083333333333335</v>
      </c>
      <c r="AD16" s="30">
        <f t="shared" si="4"/>
        <v>1.6666666666666667</v>
      </c>
      <c r="AE16" s="30">
        <f>AVERAGE(5/3,0.75)</f>
        <v>1.2083333333333335</v>
      </c>
      <c r="AF16" s="30">
        <f t="shared" ref="AF16:AH16" si="5">5/3</f>
        <v>1.6666666666666667</v>
      </c>
      <c r="AG16" s="30">
        <f t="shared" si="5"/>
        <v>1.6666666666666667</v>
      </c>
      <c r="AH16" s="30">
        <f t="shared" si="5"/>
        <v>1.6666666666666667</v>
      </c>
      <c r="AJ16" s="30">
        <f>4/3</f>
        <v>1.3333333333333333</v>
      </c>
    </row>
    <row r="17" spans="1:36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/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/>
      <c r="AA17" s="28" t="s">
        <v>132</v>
      </c>
      <c r="AB17" s="28" t="s">
        <v>132</v>
      </c>
      <c r="AC17" s="28" t="s">
        <v>179</v>
      </c>
      <c r="AD17" s="28" t="s">
        <v>132</v>
      </c>
      <c r="AE17" s="28" t="s">
        <v>179</v>
      </c>
      <c r="AF17" s="28" t="s">
        <v>132</v>
      </c>
      <c r="AG17" s="28" t="s">
        <v>132</v>
      </c>
      <c r="AH17" s="28" t="s">
        <v>132</v>
      </c>
      <c r="AJ17" s="28" t="s">
        <v>151</v>
      </c>
    </row>
    <row r="18" spans="1:36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/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/>
      <c r="AA18" s="30">
        <v>4</v>
      </c>
      <c r="AB18" s="30">
        <v>4</v>
      </c>
      <c r="AC18" s="30">
        <f>AVERAGE(4,0.875)</f>
        <v>2.4375</v>
      </c>
      <c r="AD18" s="30">
        <v>4</v>
      </c>
      <c r="AE18" s="30">
        <f>AVERAGE(4,0.875)</f>
        <v>2.4375</v>
      </c>
      <c r="AF18" s="30">
        <v>4</v>
      </c>
      <c r="AG18" s="30">
        <v>4</v>
      </c>
      <c r="AH18" s="30">
        <v>4</v>
      </c>
      <c r="AJ18" s="30">
        <v>3</v>
      </c>
    </row>
    <row r="19" spans="1:36">
      <c r="Q19" s="78" t="s">
        <v>193</v>
      </c>
      <c r="AJ19" s="78" t="s">
        <v>194</v>
      </c>
    </row>
    <row r="20" spans="1:36">
      <c r="A20" s="31" t="s">
        <v>134</v>
      </c>
    </row>
    <row r="21" spans="1:36">
      <c r="A21" s="26" t="s">
        <v>195</v>
      </c>
      <c r="B21" s="56" t="s">
        <v>186</v>
      </c>
    </row>
    <row r="22" spans="1:36">
      <c r="A22" s="26" t="s">
        <v>196</v>
      </c>
      <c r="B22" s="56" t="s">
        <v>157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DAFF-C709-4267-AF25-EC0418ACAC06}">
  <dimension ref="A1:AH30"/>
  <sheetViews>
    <sheetView workbookViewId="0">
      <selection activeCell="T8" sqref="T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7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7.45">
      <c r="A4" s="25" t="s">
        <v>79</v>
      </c>
      <c r="B4" s="203" t="s">
        <v>197</v>
      </c>
      <c r="C4" s="203"/>
      <c r="D4" s="203"/>
      <c r="F4" s="204" t="s">
        <v>198</v>
      </c>
      <c r="G4" s="205"/>
      <c r="H4" s="205"/>
      <c r="I4" s="205"/>
      <c r="J4" s="205"/>
      <c r="K4" s="205"/>
      <c r="L4" s="205"/>
      <c r="M4" s="205"/>
      <c r="N4" s="205"/>
      <c r="O4" s="205"/>
      <c r="P4" s="206"/>
    </row>
    <row r="5" spans="1:34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8"/>
      <c r="P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199</v>
      </c>
      <c r="C8" s="28" t="s">
        <v>200</v>
      </c>
      <c r="D8" s="28" t="s">
        <v>200</v>
      </c>
      <c r="E8" s="28" t="s">
        <v>200</v>
      </c>
      <c r="F8" s="28" t="s">
        <v>200</v>
      </c>
      <c r="G8" s="28" t="s">
        <v>200</v>
      </c>
      <c r="H8" s="28" t="s">
        <v>200</v>
      </c>
      <c r="I8" s="28" t="s">
        <v>200</v>
      </c>
      <c r="J8" s="29" t="s">
        <v>200</v>
      </c>
      <c r="K8" s="28" t="s">
        <v>200</v>
      </c>
      <c r="L8" s="28" t="s">
        <v>200</v>
      </c>
      <c r="M8" s="28" t="s">
        <v>200</v>
      </c>
      <c r="N8" s="29" t="s">
        <v>200</v>
      </c>
      <c r="O8" s="29" t="s">
        <v>200</v>
      </c>
      <c r="P8" s="28" t="s">
        <v>200</v>
      </c>
      <c r="Q8" s="28" t="s">
        <v>200</v>
      </c>
      <c r="R8" s="28" t="s">
        <v>200</v>
      </c>
      <c r="S8" s="28" t="s">
        <v>200</v>
      </c>
      <c r="T8" s="29"/>
      <c r="U8" s="29" t="s">
        <v>201</v>
      </c>
      <c r="V8" s="29" t="s">
        <v>202</v>
      </c>
      <c r="W8" s="29" t="s">
        <v>200</v>
      </c>
      <c r="X8" s="29" t="s">
        <v>203</v>
      </c>
      <c r="Y8" s="28" t="s">
        <v>200</v>
      </c>
      <c r="Z8" s="29"/>
      <c r="AA8" s="28" t="s">
        <v>200</v>
      </c>
      <c r="AB8" s="29"/>
      <c r="AC8" s="28" t="s">
        <v>200</v>
      </c>
      <c r="AD8" s="29"/>
      <c r="AE8" s="28" t="s">
        <v>200</v>
      </c>
      <c r="AF8" s="29" t="s">
        <v>204</v>
      </c>
      <c r="AG8" s="29" t="s">
        <v>144</v>
      </c>
      <c r="AH8" s="28" t="s">
        <v>200</v>
      </c>
    </row>
    <row r="9" spans="1:34">
      <c r="A9" s="26" t="s">
        <v>121</v>
      </c>
      <c r="B9" s="28" t="s">
        <v>205</v>
      </c>
      <c r="C9" s="28" t="s">
        <v>206</v>
      </c>
      <c r="D9" s="28" t="s">
        <v>206</v>
      </c>
      <c r="E9" s="28" t="s">
        <v>207</v>
      </c>
      <c r="F9" s="28" t="s">
        <v>208</v>
      </c>
      <c r="G9" s="28" t="s">
        <v>208</v>
      </c>
      <c r="H9" s="28" t="s">
        <v>209</v>
      </c>
      <c r="I9" s="28" t="s">
        <v>206</v>
      </c>
      <c r="J9" s="28" t="s">
        <v>208</v>
      </c>
      <c r="K9" s="28" t="s">
        <v>210</v>
      </c>
      <c r="L9" s="28" t="s">
        <v>210</v>
      </c>
      <c r="M9" s="28" t="s">
        <v>210</v>
      </c>
      <c r="N9" s="28" t="s">
        <v>210</v>
      </c>
      <c r="O9" s="28" t="s">
        <v>210</v>
      </c>
      <c r="P9" s="28" t="s">
        <v>211</v>
      </c>
      <c r="Q9" s="28" t="s">
        <v>211</v>
      </c>
      <c r="R9" s="28" t="s">
        <v>211</v>
      </c>
      <c r="S9" s="28" t="s">
        <v>211</v>
      </c>
      <c r="T9" s="29"/>
      <c r="U9" s="28" t="s">
        <v>212</v>
      </c>
      <c r="V9" s="28" t="s">
        <v>148</v>
      </c>
      <c r="W9" s="29" t="s">
        <v>213</v>
      </c>
      <c r="X9" s="28" t="s">
        <v>205</v>
      </c>
      <c r="Y9" s="28" t="s">
        <v>148</v>
      </c>
      <c r="Z9" s="29"/>
      <c r="AA9" s="28" t="s">
        <v>148</v>
      </c>
      <c r="AB9" s="29"/>
      <c r="AC9" s="28" t="s">
        <v>148</v>
      </c>
      <c r="AD9" s="29"/>
      <c r="AE9" s="28" t="s">
        <v>148</v>
      </c>
      <c r="AF9" s="29" t="s">
        <v>214</v>
      </c>
      <c r="AG9" s="29" t="s">
        <v>147</v>
      </c>
      <c r="AH9" s="28" t="s">
        <v>148</v>
      </c>
    </row>
    <row r="10" spans="1:34">
      <c r="A10" s="140" t="s">
        <v>122</v>
      </c>
      <c r="B10" s="167">
        <v>19</v>
      </c>
      <c r="C10" s="167">
        <v>50</v>
      </c>
      <c r="D10" s="167">
        <v>50</v>
      </c>
      <c r="E10" s="167">
        <v>102</v>
      </c>
      <c r="F10" s="167">
        <v>44</v>
      </c>
      <c r="G10" s="167">
        <v>44</v>
      </c>
      <c r="H10" s="167">
        <v>46</v>
      </c>
      <c r="I10" s="167">
        <v>50</v>
      </c>
      <c r="J10" s="167">
        <v>44</v>
      </c>
      <c r="K10" s="167">
        <v>52</v>
      </c>
      <c r="L10" s="167">
        <v>52</v>
      </c>
      <c r="M10" s="167">
        <v>52</v>
      </c>
      <c r="N10" s="167">
        <v>52</v>
      </c>
      <c r="O10" s="167">
        <v>52</v>
      </c>
      <c r="P10" s="167">
        <v>48</v>
      </c>
      <c r="Q10" s="167">
        <v>48</v>
      </c>
      <c r="R10" s="167">
        <v>48</v>
      </c>
      <c r="S10" s="167">
        <v>48</v>
      </c>
      <c r="T10" s="141"/>
      <c r="U10" s="167">
        <v>103</v>
      </c>
      <c r="V10" s="167">
        <v>34</v>
      </c>
      <c r="W10" s="141"/>
      <c r="X10" s="167">
        <v>19</v>
      </c>
      <c r="Y10" s="167">
        <v>34</v>
      </c>
      <c r="Z10" s="141"/>
      <c r="AA10" s="167">
        <v>34</v>
      </c>
      <c r="AB10" s="141"/>
      <c r="AC10" s="167">
        <v>34</v>
      </c>
      <c r="AD10" s="141"/>
      <c r="AE10" s="167">
        <v>34</v>
      </c>
      <c r="AF10" s="141">
        <v>104</v>
      </c>
      <c r="AG10" s="141">
        <v>26</v>
      </c>
      <c r="AH10" s="167">
        <v>34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/>
      <c r="U11" s="28" t="s">
        <v>124</v>
      </c>
      <c r="V11" s="28" t="s">
        <v>124</v>
      </c>
      <c r="W11" s="28"/>
      <c r="X11" s="28" t="s">
        <v>124</v>
      </c>
      <c r="Y11" s="28" t="s">
        <v>124</v>
      </c>
      <c r="Z11" s="28"/>
      <c r="AA11" s="28" t="s">
        <v>124</v>
      </c>
      <c r="AB11" s="28"/>
      <c r="AC11" s="28" t="s">
        <v>124</v>
      </c>
      <c r="AD11" s="28"/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/>
      <c r="U12" s="28" t="s">
        <v>127</v>
      </c>
      <c r="V12" s="28" t="s">
        <v>127</v>
      </c>
      <c r="W12" s="28"/>
      <c r="X12" s="28" t="s">
        <v>127</v>
      </c>
      <c r="Y12" s="28" t="s">
        <v>127</v>
      </c>
      <c r="Z12" s="28"/>
      <c r="AA12" s="28" t="s">
        <v>127</v>
      </c>
      <c r="AB12" s="28"/>
      <c r="AC12" s="28" t="s">
        <v>127</v>
      </c>
      <c r="AD12" s="28"/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139" t="s">
        <v>215</v>
      </c>
      <c r="F13" s="28" t="s">
        <v>127</v>
      </c>
      <c r="G13" s="28" t="s">
        <v>127</v>
      </c>
      <c r="H13" s="28" t="s">
        <v>124</v>
      </c>
      <c r="I13" s="28" t="s">
        <v>124</v>
      </c>
      <c r="J13" s="28" t="s">
        <v>127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28" t="s">
        <v>124</v>
      </c>
      <c r="T13" s="28"/>
      <c r="U13" s="28" t="s">
        <v>124</v>
      </c>
      <c r="V13" s="28" t="s">
        <v>124</v>
      </c>
      <c r="W13" s="28"/>
      <c r="X13" s="28" t="s">
        <v>127</v>
      </c>
      <c r="Y13" s="28" t="s">
        <v>124</v>
      </c>
      <c r="Z13" s="28"/>
      <c r="AA13" s="28" t="s">
        <v>124</v>
      </c>
      <c r="AB13" s="28"/>
      <c r="AC13" s="28" t="s">
        <v>124</v>
      </c>
      <c r="AD13" s="28"/>
      <c r="AE13" s="28" t="s">
        <v>124</v>
      </c>
      <c r="AF13" s="139" t="s">
        <v>215</v>
      </c>
      <c r="AG13" s="28" t="s">
        <v>124</v>
      </c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/>
      <c r="U14" s="28" t="s">
        <v>127</v>
      </c>
      <c r="V14" s="28" t="s">
        <v>127</v>
      </c>
      <c r="W14" s="28"/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/>
      <c r="U15" s="28" t="s">
        <v>217</v>
      </c>
      <c r="V15" s="28" t="s">
        <v>150</v>
      </c>
      <c r="W15" s="28"/>
      <c r="X15" s="28" t="s">
        <v>216</v>
      </c>
      <c r="Y15" s="28" t="s">
        <v>150</v>
      </c>
      <c r="Z15" s="28"/>
      <c r="AA15" s="28" t="s">
        <v>150</v>
      </c>
      <c r="AB15" s="28"/>
      <c r="AC15" s="28" t="s">
        <v>150</v>
      </c>
      <c r="AD15" s="28"/>
      <c r="AE15" s="28" t="s">
        <v>150</v>
      </c>
      <c r="AF15" s="28" t="s">
        <v>149</v>
      </c>
      <c r="AG15" s="28" t="s">
        <v>149</v>
      </c>
      <c r="AH15" s="28" t="s">
        <v>150</v>
      </c>
    </row>
    <row r="16" spans="1:34">
      <c r="A16" s="26" t="s">
        <v>130</v>
      </c>
      <c r="B16" s="30">
        <v>-3</v>
      </c>
      <c r="C16" s="30">
        <v>1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 t="shared" ref="R16:S16" si="0">4/3</f>
        <v>1.3333333333333333</v>
      </c>
      <c r="S16" s="30">
        <f t="shared" si="0"/>
        <v>1.3333333333333333</v>
      </c>
      <c r="T16" s="30"/>
      <c r="U16" s="30">
        <f>AVERAGE(-0.5,0.5)</f>
        <v>0</v>
      </c>
      <c r="V16" s="30">
        <v>-0.5</v>
      </c>
      <c r="W16" s="30"/>
      <c r="X16" s="30">
        <v>-3</v>
      </c>
      <c r="Y16" s="30">
        <v>-0.5</v>
      </c>
      <c r="Z16" s="30"/>
      <c r="AA16" s="30">
        <v>-0.5</v>
      </c>
      <c r="AB16" s="30"/>
      <c r="AC16" s="30">
        <v>-0.5</v>
      </c>
      <c r="AD16" s="30"/>
      <c r="AE16" s="30">
        <v>-0.5</v>
      </c>
      <c r="AF16" s="30">
        <f>AVERAGE(0.5,2)</f>
        <v>1.25</v>
      </c>
      <c r="AG16" s="30">
        <f>4/3</f>
        <v>1.3333333333333333</v>
      </c>
      <c r="AH16" s="30">
        <v>-0.5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/>
      <c r="U17" s="28" t="s">
        <v>180</v>
      </c>
      <c r="V17" s="28" t="s">
        <v>151</v>
      </c>
      <c r="W17" s="28"/>
      <c r="X17" s="28" t="s">
        <v>132</v>
      </c>
      <c r="Y17" s="28" t="s">
        <v>151</v>
      </c>
      <c r="Z17" s="28"/>
      <c r="AA17" s="28" t="s">
        <v>151</v>
      </c>
      <c r="AB17" s="28"/>
      <c r="AC17" s="28" t="s">
        <v>151</v>
      </c>
      <c r="AD17" s="28"/>
      <c r="AE17" s="28" t="s">
        <v>151</v>
      </c>
      <c r="AF17" s="28" t="s">
        <v>180</v>
      </c>
      <c r="AG17" s="28" t="s">
        <v>151</v>
      </c>
      <c r="AH17" s="28" t="s">
        <v>151</v>
      </c>
    </row>
    <row r="18" spans="1:34">
      <c r="A18" s="26" t="s">
        <v>133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/>
      <c r="U18" s="30">
        <v>2</v>
      </c>
      <c r="V18" s="30">
        <v>3</v>
      </c>
      <c r="W18" s="30"/>
      <c r="X18" s="30">
        <v>4</v>
      </c>
      <c r="Y18" s="30">
        <v>3</v>
      </c>
      <c r="Z18" s="30"/>
      <c r="AA18" s="30">
        <v>3</v>
      </c>
      <c r="AB18" s="30"/>
      <c r="AC18" s="30">
        <v>3</v>
      </c>
      <c r="AD18" s="30"/>
      <c r="AE18" s="30">
        <v>3</v>
      </c>
      <c r="AF18" s="30">
        <v>2</v>
      </c>
      <c r="AG18" s="30">
        <v>3</v>
      </c>
      <c r="AH18" s="30">
        <v>3</v>
      </c>
    </row>
    <row r="20" spans="1:34">
      <c r="A20" s="31" t="s">
        <v>134</v>
      </c>
    </row>
    <row r="21" spans="1:34">
      <c r="A21" s="223" t="s">
        <v>218</v>
      </c>
      <c r="B21" s="96" t="s">
        <v>219</v>
      </c>
    </row>
    <row r="22" spans="1:34">
      <c r="A22" s="223"/>
      <c r="B22" s="96" t="s">
        <v>220</v>
      </c>
    </row>
    <row r="23" spans="1:34">
      <c r="A23" s="223"/>
      <c r="B23" s="96" t="s">
        <v>221</v>
      </c>
    </row>
    <row r="24" spans="1:34">
      <c r="A24" s="223"/>
      <c r="B24" s="96" t="s">
        <v>222</v>
      </c>
    </row>
    <row r="25" spans="1:34">
      <c r="A25" s="223"/>
      <c r="B25" s="96"/>
    </row>
    <row r="26" spans="1:34">
      <c r="A26" s="223" t="s">
        <v>223</v>
      </c>
      <c r="B26" s="96" t="s">
        <v>224</v>
      </c>
    </row>
    <row r="27" spans="1:34">
      <c r="A27" s="223"/>
      <c r="B27" s="96" t="s">
        <v>220</v>
      </c>
    </row>
    <row r="28" spans="1:34">
      <c r="A28" s="223"/>
      <c r="B28" s="96" t="s">
        <v>221</v>
      </c>
    </row>
    <row r="29" spans="1:34">
      <c r="A29" s="223"/>
      <c r="B29" s="96" t="s">
        <v>222</v>
      </c>
    </row>
    <row r="30" spans="1:34">
      <c r="A30" s="223"/>
    </row>
  </sheetData>
  <mergeCells count="7">
    <mergeCell ref="F3:O3"/>
    <mergeCell ref="F4:P5"/>
    <mergeCell ref="A21:A25"/>
    <mergeCell ref="A26:A30"/>
    <mergeCell ref="B3:D3"/>
    <mergeCell ref="B4:D4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9AD2-60CA-4E5B-A2E2-1C76B6B12EF2}">
  <dimension ref="A1:AH24"/>
  <sheetViews>
    <sheetView workbookViewId="0">
      <selection activeCell="N8" sqref="N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197</v>
      </c>
      <c r="C4" s="203"/>
      <c r="D4" s="203"/>
      <c r="F4" s="204" t="s">
        <v>225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226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199</v>
      </c>
      <c r="C8" s="29" t="s">
        <v>200</v>
      </c>
      <c r="D8" s="29" t="s">
        <v>200</v>
      </c>
      <c r="E8" s="29" t="s">
        <v>200</v>
      </c>
      <c r="F8" s="29" t="s">
        <v>200</v>
      </c>
      <c r="G8" s="29" t="s">
        <v>200</v>
      </c>
      <c r="H8" s="29" t="s">
        <v>200</v>
      </c>
      <c r="I8" s="29" t="s">
        <v>200</v>
      </c>
      <c r="J8" s="29" t="s">
        <v>200</v>
      </c>
      <c r="K8" s="29" t="s">
        <v>200</v>
      </c>
      <c r="L8" s="29" t="s">
        <v>200</v>
      </c>
      <c r="M8" s="29" t="s">
        <v>200</v>
      </c>
      <c r="N8" s="113" t="s">
        <v>227</v>
      </c>
      <c r="O8" s="29" t="s">
        <v>200</v>
      </c>
      <c r="P8" s="29" t="s">
        <v>203</v>
      </c>
      <c r="Q8" s="29" t="s">
        <v>203</v>
      </c>
      <c r="R8" s="29" t="s">
        <v>228</v>
      </c>
      <c r="S8" s="29" t="s">
        <v>203</v>
      </c>
      <c r="T8" s="29" t="s">
        <v>200</v>
      </c>
      <c r="U8" s="29" t="s">
        <v>200</v>
      </c>
      <c r="V8" s="29" t="s">
        <v>203</v>
      </c>
      <c r="W8" s="29" t="s">
        <v>229</v>
      </c>
      <c r="X8" s="29" t="s">
        <v>200</v>
      </c>
      <c r="Y8" s="29" t="s">
        <v>200</v>
      </c>
      <c r="Z8" s="29" t="s">
        <v>200</v>
      </c>
      <c r="AA8" s="29" t="s">
        <v>200</v>
      </c>
      <c r="AB8" s="29" t="s">
        <v>200</v>
      </c>
      <c r="AC8" s="29" t="s">
        <v>200</v>
      </c>
      <c r="AD8" s="29" t="s">
        <v>200</v>
      </c>
      <c r="AE8" s="29" t="s">
        <v>200</v>
      </c>
      <c r="AF8" s="29" t="s">
        <v>200</v>
      </c>
      <c r="AG8" s="29" t="s">
        <v>200</v>
      </c>
      <c r="AH8" s="29" t="s">
        <v>200</v>
      </c>
    </row>
    <row r="9" spans="1:34">
      <c r="A9" s="26" t="s">
        <v>121</v>
      </c>
      <c r="B9" s="29" t="s">
        <v>205</v>
      </c>
      <c r="C9" s="29" t="s">
        <v>205</v>
      </c>
      <c r="D9" s="29" t="s">
        <v>205</v>
      </c>
      <c r="E9" s="29" t="s">
        <v>205</v>
      </c>
      <c r="F9" s="29" t="s">
        <v>205</v>
      </c>
      <c r="G9" s="29" t="s">
        <v>205</v>
      </c>
      <c r="H9" s="29" t="s">
        <v>205</v>
      </c>
      <c r="I9" s="29" t="s">
        <v>205</v>
      </c>
      <c r="J9" s="29" t="s">
        <v>205</v>
      </c>
      <c r="K9" s="29" t="s">
        <v>205</v>
      </c>
      <c r="L9" s="29" t="s">
        <v>205</v>
      </c>
      <c r="M9" s="29" t="s">
        <v>205</v>
      </c>
      <c r="N9" s="113" t="s">
        <v>230</v>
      </c>
      <c r="O9" s="29" t="s">
        <v>205</v>
      </c>
      <c r="P9" s="29" t="s">
        <v>231</v>
      </c>
      <c r="Q9" s="29" t="s">
        <v>231</v>
      </c>
      <c r="R9" s="29" t="s">
        <v>148</v>
      </c>
      <c r="S9" s="29" t="s">
        <v>232</v>
      </c>
      <c r="T9" s="29" t="s">
        <v>205</v>
      </c>
      <c r="U9" s="29" t="s">
        <v>205</v>
      </c>
      <c r="V9" s="29" t="s">
        <v>233</v>
      </c>
      <c r="W9" s="29" t="s">
        <v>234</v>
      </c>
      <c r="X9" s="29" t="s">
        <v>205</v>
      </c>
      <c r="Y9" s="29" t="s">
        <v>205</v>
      </c>
      <c r="Z9" s="29" t="s">
        <v>205</v>
      </c>
      <c r="AA9" s="29" t="s">
        <v>205</v>
      </c>
      <c r="AB9" s="29" t="s">
        <v>205</v>
      </c>
      <c r="AC9" s="29" t="s">
        <v>205</v>
      </c>
      <c r="AD9" s="29" t="s">
        <v>205</v>
      </c>
      <c r="AE9" s="29" t="s">
        <v>205</v>
      </c>
      <c r="AF9" s="29" t="s">
        <v>205</v>
      </c>
      <c r="AG9" s="29" t="s">
        <v>205</v>
      </c>
      <c r="AH9" s="29" t="s">
        <v>205</v>
      </c>
    </row>
    <row r="10" spans="1:34">
      <c r="A10" s="140" t="s">
        <v>122</v>
      </c>
      <c r="B10" s="167">
        <v>19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67">
        <v>19</v>
      </c>
      <c r="J10" s="167">
        <v>19</v>
      </c>
      <c r="K10" s="167">
        <v>19</v>
      </c>
      <c r="L10" s="167">
        <v>19</v>
      </c>
      <c r="M10" s="167">
        <v>19</v>
      </c>
      <c r="N10" s="167">
        <v>105</v>
      </c>
      <c r="O10" s="167">
        <v>19</v>
      </c>
      <c r="P10" s="167">
        <v>56</v>
      </c>
      <c r="Q10" s="167">
        <v>56</v>
      </c>
      <c r="R10" s="141">
        <v>34</v>
      </c>
      <c r="S10" s="141">
        <v>106</v>
      </c>
      <c r="T10" s="167">
        <v>19</v>
      </c>
      <c r="U10" s="167">
        <v>19</v>
      </c>
      <c r="V10" s="141">
        <v>150</v>
      </c>
      <c r="W10" s="141">
        <v>152</v>
      </c>
      <c r="X10" s="167">
        <v>19</v>
      </c>
      <c r="Y10" s="167">
        <v>19</v>
      </c>
      <c r="Z10" s="167">
        <v>19</v>
      </c>
      <c r="AA10" s="167">
        <v>19</v>
      </c>
      <c r="AB10" s="167">
        <v>19</v>
      </c>
      <c r="AC10" s="167">
        <v>19</v>
      </c>
      <c r="AD10" s="167">
        <v>19</v>
      </c>
      <c r="AE10" s="167">
        <v>19</v>
      </c>
      <c r="AF10" s="167">
        <v>19</v>
      </c>
      <c r="AG10" s="167">
        <v>19</v>
      </c>
      <c r="AH10" s="167">
        <v>19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87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235</v>
      </c>
      <c r="O13" s="28" t="s">
        <v>127</v>
      </c>
      <c r="P13" s="28" t="s">
        <v>124</v>
      </c>
      <c r="Q13" s="28" t="s">
        <v>124</v>
      </c>
      <c r="R13" s="86" t="s">
        <v>124</v>
      </c>
      <c r="S13" s="118" t="s">
        <v>236</v>
      </c>
      <c r="T13" s="83" t="s">
        <v>127</v>
      </c>
      <c r="U13" s="28" t="s">
        <v>127</v>
      </c>
      <c r="V13" s="28" t="s">
        <v>127</v>
      </c>
      <c r="W13" s="28" t="s">
        <v>235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9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115" t="s">
        <v>237</v>
      </c>
      <c r="O15" s="28" t="s">
        <v>216</v>
      </c>
      <c r="P15" s="28" t="s">
        <v>150</v>
      </c>
      <c r="Q15" s="28" t="s">
        <v>150</v>
      </c>
      <c r="R15" s="28" t="s">
        <v>150</v>
      </c>
      <c r="S15" s="28" t="s">
        <v>217</v>
      </c>
      <c r="T15" s="28" t="s">
        <v>216</v>
      </c>
      <c r="U15" s="28" t="s">
        <v>216</v>
      </c>
      <c r="V15" s="28" t="s">
        <v>238</v>
      </c>
      <c r="W15" s="28" t="s">
        <v>150</v>
      </c>
      <c r="X15" s="28" t="s">
        <v>216</v>
      </c>
      <c r="Y15" s="28" t="s">
        <v>216</v>
      </c>
      <c r="Z15" s="28" t="s">
        <v>216</v>
      </c>
      <c r="AA15" s="28" t="s">
        <v>216</v>
      </c>
      <c r="AB15" s="28" t="s">
        <v>216</v>
      </c>
      <c r="AC15" s="28" t="s">
        <v>216</v>
      </c>
      <c r="AD15" s="28" t="s">
        <v>216</v>
      </c>
      <c r="AE15" s="28" t="s">
        <v>216</v>
      </c>
      <c r="AF15" s="28" t="s">
        <v>216</v>
      </c>
      <c r="AG15" s="28" t="s">
        <v>216</v>
      </c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f>AVERAGE(3,3,1)</f>
        <v>2.3333333333333335</v>
      </c>
      <c r="O16" s="30">
        <v>-3</v>
      </c>
      <c r="P16" s="30">
        <v>-0.5</v>
      </c>
      <c r="Q16" s="30">
        <v>-0.5</v>
      </c>
      <c r="R16" s="30">
        <v>-0.5</v>
      </c>
      <c r="S16" s="30">
        <f>AVERAGE(-0.5,2)</f>
        <v>0.75</v>
      </c>
      <c r="T16" s="30">
        <v>-3</v>
      </c>
      <c r="U16" s="30">
        <v>-3</v>
      </c>
      <c r="V16" s="30">
        <v>-2.5</v>
      </c>
      <c r="W16" s="30">
        <f>AVERAGE(-2,-0.5)</f>
        <v>-1.25</v>
      </c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115" t="s">
        <v>239</v>
      </c>
      <c r="O17" s="28" t="s">
        <v>132</v>
      </c>
      <c r="P17" s="28" t="s">
        <v>180</v>
      </c>
      <c r="Q17" s="28" t="s">
        <v>180</v>
      </c>
      <c r="R17" s="28" t="s">
        <v>151</v>
      </c>
      <c r="S17" s="28" t="s">
        <v>240</v>
      </c>
      <c r="T17" s="28" t="s">
        <v>132</v>
      </c>
      <c r="U17" s="28" t="s">
        <v>132</v>
      </c>
      <c r="V17" s="28" t="s">
        <v>132</v>
      </c>
      <c r="W17" s="28" t="s">
        <v>241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f>AVERAGE(4,4,3)</f>
        <v>3.6666666666666665</v>
      </c>
      <c r="O18" s="30">
        <v>4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v>4</v>
      </c>
      <c r="U18" s="30">
        <v>4</v>
      </c>
      <c r="V18" s="30">
        <v>4</v>
      </c>
      <c r="W18" s="30">
        <f>AVERAGE(4,3)</f>
        <v>3.5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>
      <c r="A20" s="31" t="s">
        <v>134</v>
      </c>
    </row>
    <row r="21" spans="1:34">
      <c r="A21" s="218" t="s">
        <v>242</v>
      </c>
      <c r="B21" s="56" t="s">
        <v>243</v>
      </c>
    </row>
    <row r="22" spans="1:34">
      <c r="A22" s="218"/>
      <c r="B22" s="56" t="s">
        <v>244</v>
      </c>
    </row>
    <row r="23" spans="1:34" ht="17.25" customHeight="1">
      <c r="A23" s="218" t="s">
        <v>245</v>
      </c>
      <c r="B23" s="56" t="s">
        <v>246</v>
      </c>
    </row>
    <row r="24" spans="1:34">
      <c r="A24" s="218"/>
      <c r="B24" s="56" t="s">
        <v>247</v>
      </c>
    </row>
  </sheetData>
  <mergeCells count="7">
    <mergeCell ref="F3:O3"/>
    <mergeCell ref="F4:O5"/>
    <mergeCell ref="A21:A22"/>
    <mergeCell ref="A23:A24"/>
    <mergeCell ref="B3:D3"/>
    <mergeCell ref="B4:D4"/>
    <mergeCell ref="B5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6B6F-600E-4F78-AC45-136754B4E976}">
  <dimension ref="A1:AJ22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>
      <c r="A1" s="25" t="s">
        <v>74</v>
      </c>
      <c r="D1" s="25" t="s">
        <v>75</v>
      </c>
      <c r="I1" s="25" t="s">
        <v>76</v>
      </c>
    </row>
    <row r="3" spans="1:36" ht="17.45">
      <c r="A3" s="25" t="s">
        <v>77</v>
      </c>
      <c r="B3" s="203">
        <v>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197</v>
      </c>
      <c r="C4" s="203"/>
      <c r="D4" s="203"/>
      <c r="F4" s="204" t="s">
        <v>248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249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48" t="s">
        <v>109</v>
      </c>
    </row>
    <row r="8" spans="1:36">
      <c r="A8" s="26" t="s">
        <v>117</v>
      </c>
      <c r="B8" s="29" t="s">
        <v>199</v>
      </c>
      <c r="C8" s="29" t="s">
        <v>200</v>
      </c>
      <c r="D8" s="29" t="s">
        <v>200</v>
      </c>
      <c r="E8" s="29" t="s">
        <v>200</v>
      </c>
      <c r="F8" s="29" t="s">
        <v>200</v>
      </c>
      <c r="G8" s="29" t="s">
        <v>200</v>
      </c>
      <c r="H8" s="29" t="s">
        <v>200</v>
      </c>
      <c r="I8" s="29" t="s">
        <v>200</v>
      </c>
      <c r="J8" s="29" t="s">
        <v>200</v>
      </c>
      <c r="K8" s="29" t="s">
        <v>200</v>
      </c>
      <c r="L8" s="29" t="s">
        <v>200</v>
      </c>
      <c r="M8" s="29" t="s">
        <v>200</v>
      </c>
      <c r="N8" s="29" t="s">
        <v>200</v>
      </c>
      <c r="O8" s="29" t="s">
        <v>200</v>
      </c>
      <c r="P8" s="29" t="s">
        <v>200</v>
      </c>
      <c r="Q8" s="29" t="s">
        <v>200</v>
      </c>
      <c r="R8" s="29" t="s">
        <v>200</v>
      </c>
      <c r="S8" s="29" t="s">
        <v>200</v>
      </c>
      <c r="T8" s="29" t="s">
        <v>200</v>
      </c>
      <c r="U8" s="29" t="s">
        <v>200</v>
      </c>
      <c r="V8" s="29"/>
      <c r="W8" s="29"/>
      <c r="X8" s="29" t="s">
        <v>200</v>
      </c>
      <c r="Y8" s="29" t="s">
        <v>200</v>
      </c>
      <c r="Z8" s="29" t="s">
        <v>200</v>
      </c>
      <c r="AA8" s="29" t="s">
        <v>200</v>
      </c>
      <c r="AB8" s="29" t="s">
        <v>200</v>
      </c>
      <c r="AC8" s="29" t="s">
        <v>200</v>
      </c>
      <c r="AD8" s="29" t="s">
        <v>200</v>
      </c>
      <c r="AE8" s="29" t="s">
        <v>200</v>
      </c>
      <c r="AF8" s="29" t="s">
        <v>200</v>
      </c>
      <c r="AG8" s="29" t="s">
        <v>200</v>
      </c>
      <c r="AH8" s="29" t="s">
        <v>200</v>
      </c>
      <c r="AJ8" s="29" t="s">
        <v>250</v>
      </c>
    </row>
    <row r="9" spans="1:36">
      <c r="A9" s="26" t="s">
        <v>121</v>
      </c>
      <c r="B9" s="29" t="s">
        <v>205</v>
      </c>
      <c r="C9" s="29" t="s">
        <v>205</v>
      </c>
      <c r="D9" s="29" t="s">
        <v>205</v>
      </c>
      <c r="E9" s="29" t="s">
        <v>205</v>
      </c>
      <c r="F9" s="29" t="s">
        <v>205</v>
      </c>
      <c r="G9" s="29" t="s">
        <v>205</v>
      </c>
      <c r="H9" s="29" t="s">
        <v>205</v>
      </c>
      <c r="I9" s="29" t="s">
        <v>205</v>
      </c>
      <c r="J9" s="29" t="s">
        <v>205</v>
      </c>
      <c r="K9" s="29" t="s">
        <v>205</v>
      </c>
      <c r="L9" s="29" t="s">
        <v>205</v>
      </c>
      <c r="M9" s="29" t="s">
        <v>205</v>
      </c>
      <c r="N9" s="29" t="s">
        <v>205</v>
      </c>
      <c r="O9" s="29" t="s">
        <v>205</v>
      </c>
      <c r="P9" s="29" t="s">
        <v>205</v>
      </c>
      <c r="Q9" s="29" t="s">
        <v>205</v>
      </c>
      <c r="R9" s="29" t="s">
        <v>205</v>
      </c>
      <c r="S9" s="29" t="s">
        <v>205</v>
      </c>
      <c r="T9" s="29" t="s">
        <v>205</v>
      </c>
      <c r="U9" s="29" t="s">
        <v>205</v>
      </c>
      <c r="V9" s="29"/>
      <c r="W9" s="29"/>
      <c r="X9" s="29" t="s">
        <v>205</v>
      </c>
      <c r="Y9" s="29" t="s">
        <v>205</v>
      </c>
      <c r="Z9" s="29" t="s">
        <v>205</v>
      </c>
      <c r="AA9" s="29" t="s">
        <v>205</v>
      </c>
      <c r="AB9" s="29" t="s">
        <v>205</v>
      </c>
      <c r="AC9" s="29" t="s">
        <v>205</v>
      </c>
      <c r="AD9" s="29" t="s">
        <v>205</v>
      </c>
      <c r="AE9" s="29" t="s">
        <v>205</v>
      </c>
      <c r="AF9" s="29" t="s">
        <v>205</v>
      </c>
      <c r="AG9" s="29" t="s">
        <v>205</v>
      </c>
      <c r="AH9" s="29" t="s">
        <v>205</v>
      </c>
      <c r="AJ9" s="28" t="s">
        <v>251</v>
      </c>
    </row>
    <row r="10" spans="1:36">
      <c r="A10" s="140" t="s">
        <v>122</v>
      </c>
      <c r="B10" s="167">
        <v>19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67">
        <v>19</v>
      </c>
      <c r="J10" s="167">
        <v>19</v>
      </c>
      <c r="K10" s="167">
        <v>19</v>
      </c>
      <c r="L10" s="167">
        <v>19</v>
      </c>
      <c r="M10" s="167">
        <v>19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19</v>
      </c>
      <c r="T10" s="167">
        <v>19</v>
      </c>
      <c r="U10" s="167">
        <v>19</v>
      </c>
      <c r="V10" s="141"/>
      <c r="W10" s="141"/>
      <c r="X10" s="167">
        <v>19</v>
      </c>
      <c r="Y10" s="167">
        <v>19</v>
      </c>
      <c r="Z10" s="167">
        <v>19</v>
      </c>
      <c r="AA10" s="167">
        <v>19</v>
      </c>
      <c r="AB10" s="167">
        <v>19</v>
      </c>
      <c r="AC10" s="167">
        <v>19</v>
      </c>
      <c r="AD10" s="167">
        <v>19</v>
      </c>
      <c r="AE10" s="167">
        <v>19</v>
      </c>
      <c r="AF10" s="167">
        <v>19</v>
      </c>
      <c r="AG10" s="167">
        <v>19</v>
      </c>
      <c r="AH10" s="167">
        <v>19</v>
      </c>
      <c r="AJ10" s="167">
        <v>20</v>
      </c>
    </row>
    <row r="11" spans="1:36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/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9" t="s">
        <v>124</v>
      </c>
    </row>
    <row r="12" spans="1:36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/>
      <c r="W12" s="28"/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9" t="s">
        <v>124</v>
      </c>
    </row>
    <row r="13" spans="1:36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/>
      <c r="W13" s="28"/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127</v>
      </c>
    </row>
    <row r="14" spans="1:36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/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</row>
    <row r="15" spans="1:36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/>
      <c r="W15" s="28"/>
      <c r="X15" s="28" t="s">
        <v>216</v>
      </c>
      <c r="Y15" s="28" t="s">
        <v>216</v>
      </c>
      <c r="Z15" s="28" t="s">
        <v>216</v>
      </c>
      <c r="AA15" s="28" t="s">
        <v>216</v>
      </c>
      <c r="AB15" s="28" t="s">
        <v>216</v>
      </c>
      <c r="AC15" s="28" t="s">
        <v>216</v>
      </c>
      <c r="AD15" s="28" t="s">
        <v>216</v>
      </c>
      <c r="AE15" s="28" t="s">
        <v>216</v>
      </c>
      <c r="AF15" s="28" t="s">
        <v>216</v>
      </c>
      <c r="AG15" s="28" t="s">
        <v>216</v>
      </c>
      <c r="AH15" s="28" t="s">
        <v>216</v>
      </c>
      <c r="AJ15" s="28" t="s">
        <v>216</v>
      </c>
    </row>
    <row r="16" spans="1:36">
      <c r="A16" s="26" t="s">
        <v>130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/>
      <c r="W16" s="30"/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  <c r="AJ16" s="30">
        <v>-3</v>
      </c>
    </row>
    <row r="17" spans="1:36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/>
      <c r="W17" s="28"/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  <c r="AJ17" s="28" t="s">
        <v>132</v>
      </c>
    </row>
    <row r="18" spans="1:36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/>
      <c r="W18" s="30"/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</row>
    <row r="19" spans="1:36">
      <c r="AA19" s="26" t="s">
        <v>252</v>
      </c>
      <c r="AJ19" s="26" t="s">
        <v>253</v>
      </c>
    </row>
    <row r="20" spans="1:36">
      <c r="A20" s="31" t="s">
        <v>134</v>
      </c>
    </row>
    <row r="21" spans="1:36">
      <c r="A21" s="26" t="s">
        <v>254</v>
      </c>
      <c r="B21" s="56" t="s">
        <v>243</v>
      </c>
    </row>
    <row r="22" spans="1:36">
      <c r="A22" s="93" t="s">
        <v>255</v>
      </c>
      <c r="B22" s="56" t="s">
        <v>246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B0B-468D-4ADF-8801-054B660F5E16}">
  <dimension ref="A1:AH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2" spans="1:34">
      <c r="B2" s="56"/>
    </row>
    <row r="3" spans="1:34" ht="17.45">
      <c r="A3" s="25" t="s">
        <v>77</v>
      </c>
      <c r="B3" s="203">
        <v>10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197</v>
      </c>
      <c r="C4" s="203"/>
      <c r="D4" s="203"/>
      <c r="F4" s="204" t="s">
        <v>256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257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199</v>
      </c>
      <c r="C8" s="29" t="s">
        <v>200</v>
      </c>
      <c r="D8" s="29" t="s">
        <v>200</v>
      </c>
      <c r="E8" s="29" t="s">
        <v>200</v>
      </c>
      <c r="F8" s="29" t="s">
        <v>200</v>
      </c>
      <c r="G8" s="29" t="s">
        <v>200</v>
      </c>
      <c r="H8" s="29" t="s">
        <v>200</v>
      </c>
      <c r="I8" s="29" t="s">
        <v>200</v>
      </c>
      <c r="J8" s="29" t="s">
        <v>200</v>
      </c>
      <c r="K8" s="29" t="s">
        <v>200</v>
      </c>
      <c r="L8" s="29" t="s">
        <v>200</v>
      </c>
      <c r="M8" s="29" t="s">
        <v>200</v>
      </c>
      <c r="N8" s="29" t="s">
        <v>200</v>
      </c>
      <c r="O8" s="29" t="s">
        <v>200</v>
      </c>
      <c r="P8" s="29" t="s">
        <v>200</v>
      </c>
      <c r="Q8" s="29" t="s">
        <v>200</v>
      </c>
      <c r="R8" s="29" t="s">
        <v>200</v>
      </c>
      <c r="S8" s="29" t="s">
        <v>200</v>
      </c>
      <c r="T8" s="29" t="s">
        <v>200</v>
      </c>
      <c r="U8" s="29" t="s">
        <v>200</v>
      </c>
      <c r="V8" s="29"/>
      <c r="W8" s="29"/>
      <c r="X8" s="29" t="s">
        <v>200</v>
      </c>
      <c r="Y8" s="29" t="s">
        <v>200</v>
      </c>
      <c r="Z8" s="29" t="s">
        <v>200</v>
      </c>
      <c r="AA8" s="29" t="s">
        <v>200</v>
      </c>
      <c r="AB8" s="29" t="s">
        <v>200</v>
      </c>
      <c r="AC8" s="29" t="s">
        <v>200</v>
      </c>
      <c r="AD8" s="29" t="s">
        <v>200</v>
      </c>
      <c r="AE8" s="29" t="s">
        <v>200</v>
      </c>
      <c r="AF8" s="29" t="s">
        <v>200</v>
      </c>
      <c r="AG8" s="29" t="s">
        <v>200</v>
      </c>
      <c r="AH8" s="29" t="s">
        <v>200</v>
      </c>
    </row>
    <row r="9" spans="1:34">
      <c r="A9" s="26" t="s">
        <v>121</v>
      </c>
      <c r="B9" s="29" t="s">
        <v>205</v>
      </c>
      <c r="C9" s="29" t="s">
        <v>205</v>
      </c>
      <c r="D9" s="29" t="s">
        <v>205</v>
      </c>
      <c r="E9" s="29" t="s">
        <v>205</v>
      </c>
      <c r="F9" s="29" t="s">
        <v>205</v>
      </c>
      <c r="G9" s="29" t="s">
        <v>205</v>
      </c>
      <c r="H9" s="29" t="s">
        <v>205</v>
      </c>
      <c r="I9" s="29" t="s">
        <v>205</v>
      </c>
      <c r="J9" s="29" t="s">
        <v>205</v>
      </c>
      <c r="K9" s="29" t="s">
        <v>205</v>
      </c>
      <c r="L9" s="29" t="s">
        <v>205</v>
      </c>
      <c r="M9" s="29" t="s">
        <v>205</v>
      </c>
      <c r="N9" s="29" t="s">
        <v>205</v>
      </c>
      <c r="O9" s="29" t="s">
        <v>205</v>
      </c>
      <c r="P9" s="29" t="s">
        <v>205</v>
      </c>
      <c r="Q9" s="29" t="s">
        <v>205</v>
      </c>
      <c r="R9" s="29" t="s">
        <v>205</v>
      </c>
      <c r="S9" s="29" t="s">
        <v>205</v>
      </c>
      <c r="T9" s="29" t="s">
        <v>205</v>
      </c>
      <c r="U9" s="29" t="s">
        <v>205</v>
      </c>
      <c r="V9" s="29"/>
      <c r="W9" s="29"/>
      <c r="X9" s="29" t="s">
        <v>205</v>
      </c>
      <c r="Y9" s="29" t="s">
        <v>205</v>
      </c>
      <c r="Z9" s="29" t="s">
        <v>205</v>
      </c>
      <c r="AA9" s="29" t="s">
        <v>205</v>
      </c>
      <c r="AB9" s="29" t="s">
        <v>205</v>
      </c>
      <c r="AC9" s="29" t="s">
        <v>205</v>
      </c>
      <c r="AD9" s="29" t="s">
        <v>205</v>
      </c>
      <c r="AE9" s="29" t="s">
        <v>205</v>
      </c>
      <c r="AF9" s="29" t="s">
        <v>205</v>
      </c>
      <c r="AG9" s="29" t="s">
        <v>205</v>
      </c>
      <c r="AH9" s="29" t="s">
        <v>205</v>
      </c>
    </row>
    <row r="10" spans="1:34">
      <c r="A10" s="140" t="s">
        <v>122</v>
      </c>
      <c r="B10" s="167">
        <v>19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67">
        <v>19</v>
      </c>
      <c r="J10" s="167">
        <v>19</v>
      </c>
      <c r="K10" s="167">
        <v>19</v>
      </c>
      <c r="L10" s="167">
        <v>19</v>
      </c>
      <c r="M10" s="167">
        <v>19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19</v>
      </c>
      <c r="T10" s="167">
        <v>19</v>
      </c>
      <c r="U10" s="167">
        <v>19</v>
      </c>
      <c r="V10" s="141"/>
      <c r="W10" s="141"/>
      <c r="X10" s="167">
        <v>19</v>
      </c>
      <c r="Y10" s="167">
        <v>19</v>
      </c>
      <c r="Z10" s="167">
        <v>19</v>
      </c>
      <c r="AA10" s="167">
        <v>19</v>
      </c>
      <c r="AB10" s="167">
        <v>19</v>
      </c>
      <c r="AC10" s="167">
        <v>19</v>
      </c>
      <c r="AD10" s="167">
        <v>19</v>
      </c>
      <c r="AE10" s="167">
        <v>19</v>
      </c>
      <c r="AF10" s="167">
        <v>19</v>
      </c>
      <c r="AG10" s="167">
        <v>19</v>
      </c>
      <c r="AH10" s="167">
        <v>19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/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/>
      <c r="W12" s="28"/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/>
      <c r="W13" s="28"/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/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/>
      <c r="W15" s="28"/>
      <c r="X15" s="28" t="s">
        <v>216</v>
      </c>
      <c r="Y15" s="28" t="s">
        <v>216</v>
      </c>
      <c r="Z15" s="28" t="s">
        <v>216</v>
      </c>
      <c r="AA15" s="28" t="s">
        <v>216</v>
      </c>
      <c r="AB15" s="28" t="s">
        <v>216</v>
      </c>
      <c r="AC15" s="28" t="s">
        <v>216</v>
      </c>
      <c r="AD15" s="28" t="s">
        <v>216</v>
      </c>
      <c r="AE15" s="28" t="s">
        <v>216</v>
      </c>
      <c r="AF15" s="28" t="s">
        <v>216</v>
      </c>
      <c r="AG15" s="28" t="s">
        <v>216</v>
      </c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/>
      <c r="W16" s="30"/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/>
      <c r="W17" s="28"/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/>
      <c r="W18" s="30"/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>
      <c r="A20" s="31" t="s">
        <v>134</v>
      </c>
    </row>
    <row r="21" spans="1:34">
      <c r="A21" s="26" t="s">
        <v>258</v>
      </c>
      <c r="B21" s="56" t="s">
        <v>243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DE0C-0714-4B39-8B77-6EBBD7ECCEEA}">
  <dimension ref="A1:AH22"/>
  <sheetViews>
    <sheetView topLeftCell="E1" workbookViewId="0">
      <selection activeCell="Z8" sqref="Z8:Z1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259</v>
      </c>
      <c r="C4" s="203"/>
      <c r="D4" s="203"/>
      <c r="F4" s="204" t="s">
        <v>260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261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262</v>
      </c>
      <c r="C8" s="28" t="s">
        <v>250</v>
      </c>
      <c r="D8" s="28" t="s">
        <v>250</v>
      </c>
      <c r="E8" s="28" t="s">
        <v>263</v>
      </c>
      <c r="F8" s="28" t="s">
        <v>263</v>
      </c>
      <c r="G8" s="28" t="s">
        <v>264</v>
      </c>
      <c r="H8" s="28" t="s">
        <v>264</v>
      </c>
      <c r="I8" s="28" t="s">
        <v>264</v>
      </c>
      <c r="J8" s="29" t="s">
        <v>203</v>
      </c>
      <c r="K8" s="28" t="s">
        <v>250</v>
      </c>
      <c r="L8" s="28" t="s">
        <v>250</v>
      </c>
      <c r="M8" s="28" t="s">
        <v>250</v>
      </c>
      <c r="N8" s="29" t="s">
        <v>250</v>
      </c>
      <c r="O8" s="28" t="s">
        <v>250</v>
      </c>
      <c r="P8" s="28" t="s">
        <v>250</v>
      </c>
      <c r="Q8" s="28" t="s">
        <v>250</v>
      </c>
      <c r="R8" s="29" t="s">
        <v>265</v>
      </c>
      <c r="S8" s="29" t="s">
        <v>250</v>
      </c>
      <c r="T8" s="29" t="s">
        <v>173</v>
      </c>
      <c r="U8" s="29" t="s">
        <v>266</v>
      </c>
      <c r="V8" s="29" t="s">
        <v>267</v>
      </c>
      <c r="W8" s="29" t="s">
        <v>173</v>
      </c>
      <c r="X8" s="29" t="s">
        <v>250</v>
      </c>
      <c r="Y8" s="29" t="s">
        <v>250</v>
      </c>
      <c r="Z8" s="29" t="s">
        <v>268</v>
      </c>
      <c r="AA8" s="28" t="s">
        <v>250</v>
      </c>
      <c r="AB8" s="29"/>
      <c r="AC8" s="29" t="s">
        <v>269</v>
      </c>
      <c r="AD8" s="29"/>
      <c r="AE8" s="29" t="s">
        <v>269</v>
      </c>
      <c r="AF8" s="29" t="s">
        <v>270</v>
      </c>
      <c r="AG8" s="29" t="s">
        <v>172</v>
      </c>
      <c r="AH8" s="28" t="s">
        <v>250</v>
      </c>
    </row>
    <row r="9" spans="1:34">
      <c r="A9" s="26" t="s">
        <v>121</v>
      </c>
      <c r="B9" s="28" t="s">
        <v>251</v>
      </c>
      <c r="C9" s="28" t="s">
        <v>271</v>
      </c>
      <c r="D9" s="28" t="s">
        <v>271</v>
      </c>
      <c r="E9" s="29" t="s">
        <v>231</v>
      </c>
      <c r="F9" s="29" t="s">
        <v>231</v>
      </c>
      <c r="G9" s="28" t="s">
        <v>272</v>
      </c>
      <c r="H9" s="28" t="s">
        <v>272</v>
      </c>
      <c r="I9" s="28" t="s">
        <v>272</v>
      </c>
      <c r="J9" s="29" t="s">
        <v>148</v>
      </c>
      <c r="K9" s="28" t="s">
        <v>271</v>
      </c>
      <c r="L9" s="28" t="s">
        <v>178</v>
      </c>
      <c r="M9" s="28" t="s">
        <v>271</v>
      </c>
      <c r="N9" s="28" t="s">
        <v>178</v>
      </c>
      <c r="O9" s="28" t="s">
        <v>271</v>
      </c>
      <c r="P9" s="28" t="s">
        <v>271</v>
      </c>
      <c r="Q9" s="28" t="s">
        <v>271</v>
      </c>
      <c r="R9" s="29" t="s">
        <v>178</v>
      </c>
      <c r="S9" s="29" t="s">
        <v>273</v>
      </c>
      <c r="T9" s="113" t="s">
        <v>274</v>
      </c>
      <c r="U9" s="29" t="s">
        <v>275</v>
      </c>
      <c r="V9" s="29" t="s">
        <v>276</v>
      </c>
      <c r="W9" s="29"/>
      <c r="X9" s="28" t="s">
        <v>251</v>
      </c>
      <c r="Y9" s="29" t="s">
        <v>178</v>
      </c>
      <c r="Z9" s="29" t="s">
        <v>277</v>
      </c>
      <c r="AA9" s="28" t="s">
        <v>178</v>
      </c>
      <c r="AB9" s="29"/>
      <c r="AC9" s="28" t="s">
        <v>269</v>
      </c>
      <c r="AD9" s="29"/>
      <c r="AE9" s="28" t="s">
        <v>269</v>
      </c>
      <c r="AF9" s="29" t="s">
        <v>278</v>
      </c>
      <c r="AG9" s="29" t="s">
        <v>176</v>
      </c>
      <c r="AH9" s="28" t="s">
        <v>178</v>
      </c>
    </row>
    <row r="10" spans="1:34">
      <c r="A10" s="140" t="s">
        <v>122</v>
      </c>
      <c r="B10" s="167">
        <v>20</v>
      </c>
      <c r="C10" s="167">
        <v>57</v>
      </c>
      <c r="D10" s="167">
        <v>57</v>
      </c>
      <c r="E10" s="167">
        <v>56</v>
      </c>
      <c r="F10" s="167">
        <v>56</v>
      </c>
      <c r="G10" s="167">
        <v>39</v>
      </c>
      <c r="H10" s="167">
        <v>39</v>
      </c>
      <c r="I10" s="167">
        <v>39</v>
      </c>
      <c r="J10" s="167">
        <v>34</v>
      </c>
      <c r="K10" s="167">
        <v>57</v>
      </c>
      <c r="L10" s="167">
        <v>35</v>
      </c>
      <c r="M10" s="167">
        <v>57</v>
      </c>
      <c r="N10" s="167">
        <v>35</v>
      </c>
      <c r="O10" s="167">
        <v>57</v>
      </c>
      <c r="P10" s="167">
        <v>57</v>
      </c>
      <c r="Q10" s="167">
        <v>57</v>
      </c>
      <c r="R10" s="167">
        <v>35</v>
      </c>
      <c r="S10" s="167">
        <v>107</v>
      </c>
      <c r="T10" s="167">
        <v>111</v>
      </c>
      <c r="U10" s="167">
        <v>108</v>
      </c>
      <c r="V10" s="167"/>
      <c r="W10" s="167"/>
      <c r="X10" s="167">
        <v>20</v>
      </c>
      <c r="Y10" s="167">
        <v>35</v>
      </c>
      <c r="Z10" s="167">
        <v>18</v>
      </c>
      <c r="AA10" s="167">
        <v>35</v>
      </c>
      <c r="AB10" s="167"/>
      <c r="AC10" s="167">
        <v>98</v>
      </c>
      <c r="AD10" s="167"/>
      <c r="AE10" s="167">
        <v>98</v>
      </c>
      <c r="AF10" s="167">
        <v>109</v>
      </c>
      <c r="AG10" s="167">
        <v>27</v>
      </c>
      <c r="AH10" s="167">
        <v>35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/>
      <c r="X11" s="28" t="s">
        <v>124</v>
      </c>
      <c r="Y11" s="28" t="s">
        <v>124</v>
      </c>
      <c r="Z11" s="28" t="s">
        <v>124</v>
      </c>
      <c r="AA11" s="28" t="s">
        <v>124</v>
      </c>
      <c r="AB11" s="28"/>
      <c r="AC11" s="28" t="s">
        <v>124</v>
      </c>
      <c r="AD11" s="28"/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127</v>
      </c>
      <c r="F12" s="28" t="s">
        <v>127</v>
      </c>
      <c r="G12" s="28" t="s">
        <v>124</v>
      </c>
      <c r="H12" s="28" t="s">
        <v>124</v>
      </c>
      <c r="I12" s="28" t="s">
        <v>124</v>
      </c>
      <c r="J12" s="28" t="s">
        <v>127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/>
      <c r="W12" s="28"/>
      <c r="X12" s="28" t="s">
        <v>124</v>
      </c>
      <c r="Y12" s="28" t="s">
        <v>124</v>
      </c>
      <c r="Z12" s="28" t="s">
        <v>124</v>
      </c>
      <c r="AA12" s="28" t="s">
        <v>124</v>
      </c>
      <c r="AB12" s="28"/>
      <c r="AC12" s="28" t="s">
        <v>124</v>
      </c>
      <c r="AD12" s="28"/>
      <c r="AE12" s="28" t="s">
        <v>124</v>
      </c>
      <c r="AF12" s="28" t="s">
        <v>127</v>
      </c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127</v>
      </c>
      <c r="H13" s="28" t="s">
        <v>127</v>
      </c>
      <c r="I13" s="28" t="s">
        <v>127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139" t="s">
        <v>215</v>
      </c>
      <c r="T13" s="28" t="s">
        <v>124</v>
      </c>
      <c r="U13" s="28" t="s">
        <v>124</v>
      </c>
      <c r="V13" s="28"/>
      <c r="W13" s="28"/>
      <c r="X13" s="28" t="s">
        <v>127</v>
      </c>
      <c r="Y13" s="28" t="s">
        <v>124</v>
      </c>
      <c r="Z13" s="28" t="s">
        <v>127</v>
      </c>
      <c r="AA13" s="28" t="s">
        <v>124</v>
      </c>
      <c r="AB13" s="28"/>
      <c r="AC13" s="28" t="s">
        <v>127</v>
      </c>
      <c r="AD13" s="28"/>
      <c r="AE13" s="28" t="s">
        <v>127</v>
      </c>
      <c r="AF13" s="139" t="s">
        <v>215</v>
      </c>
      <c r="AG13" s="28" t="s">
        <v>124</v>
      </c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/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150</v>
      </c>
      <c r="D15" s="28" t="s">
        <v>150</v>
      </c>
      <c r="E15" s="28" t="s">
        <v>150</v>
      </c>
      <c r="F15" s="28" t="s">
        <v>150</v>
      </c>
      <c r="G15" s="28" t="s">
        <v>150</v>
      </c>
      <c r="H15" s="28" t="s">
        <v>150</v>
      </c>
      <c r="I15" s="28" t="s">
        <v>150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 t="s">
        <v>150</v>
      </c>
      <c r="O15" s="28" t="s">
        <v>150</v>
      </c>
      <c r="P15" s="28" t="s">
        <v>150</v>
      </c>
      <c r="Q15" s="28" t="s">
        <v>150</v>
      </c>
      <c r="R15" s="28" t="s">
        <v>150</v>
      </c>
      <c r="S15" s="28" t="s">
        <v>149</v>
      </c>
      <c r="T15" s="28" t="s">
        <v>149</v>
      </c>
      <c r="U15" s="28" t="s">
        <v>217</v>
      </c>
      <c r="V15" s="28"/>
      <c r="W15" s="28"/>
      <c r="X15" s="28" t="s">
        <v>216</v>
      </c>
      <c r="Y15" s="28" t="s">
        <v>150</v>
      </c>
      <c r="Z15" s="28" t="s">
        <v>150</v>
      </c>
      <c r="AA15" s="28" t="s">
        <v>150</v>
      </c>
      <c r="AB15" s="28"/>
      <c r="AC15" s="28" t="s">
        <v>150</v>
      </c>
      <c r="AD15" s="28"/>
      <c r="AE15" s="28" t="s">
        <v>150</v>
      </c>
      <c r="AF15" s="28" t="s">
        <v>149</v>
      </c>
      <c r="AG15" s="28" t="s">
        <v>149</v>
      </c>
      <c r="AH15" s="28" t="s">
        <v>150</v>
      </c>
    </row>
    <row r="16" spans="1:34">
      <c r="A16" s="26" t="s">
        <v>130</v>
      </c>
      <c r="B16" s="30">
        <v>-3</v>
      </c>
      <c r="C16" s="30">
        <v>-0.5</v>
      </c>
      <c r="D16" s="30">
        <v>-0.5</v>
      </c>
      <c r="E16" s="30">
        <v>-0.5</v>
      </c>
      <c r="F16" s="30">
        <v>-0.5</v>
      </c>
      <c r="G16" s="30">
        <v>-2</v>
      </c>
      <c r="H16" s="30">
        <v>-2</v>
      </c>
      <c r="I16" s="30">
        <v>-2</v>
      </c>
      <c r="J16" s="30">
        <v>-0.5</v>
      </c>
      <c r="K16" s="30">
        <v>-0.5</v>
      </c>
      <c r="L16" s="30">
        <v>-0.5</v>
      </c>
      <c r="M16" s="30">
        <v>-0.5</v>
      </c>
      <c r="N16" s="30">
        <v>-0.5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>
        <v>-3</v>
      </c>
      <c r="Y16" s="30">
        <v>-0.5</v>
      </c>
      <c r="Z16" s="30">
        <v>-2</v>
      </c>
      <c r="AA16" s="30">
        <v>-0.5</v>
      </c>
      <c r="AB16" s="30"/>
      <c r="AC16" s="30">
        <v>-2</v>
      </c>
      <c r="AD16" s="30"/>
      <c r="AE16" s="30">
        <v>-2</v>
      </c>
      <c r="AF16" s="30">
        <f>AVERAGE(0.5,2)</f>
        <v>1.25</v>
      </c>
      <c r="AG16" s="30">
        <f>4/3</f>
        <v>1.3333333333333333</v>
      </c>
      <c r="AH16" s="30">
        <v>-0.5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151</v>
      </c>
      <c r="H17" s="28" t="s">
        <v>151</v>
      </c>
      <c r="I17" s="28" t="s">
        <v>151</v>
      </c>
      <c r="J17" s="28" t="s">
        <v>151</v>
      </c>
      <c r="K17" s="28" t="s">
        <v>180</v>
      </c>
      <c r="L17" s="28" t="s">
        <v>151</v>
      </c>
      <c r="M17" s="28" t="s">
        <v>180</v>
      </c>
      <c r="N17" s="28" t="s">
        <v>151</v>
      </c>
      <c r="O17" s="28" t="s">
        <v>180</v>
      </c>
      <c r="P17" s="28" t="s">
        <v>180</v>
      </c>
      <c r="Q17" s="28" t="s">
        <v>180</v>
      </c>
      <c r="R17" s="28" t="s">
        <v>151</v>
      </c>
      <c r="S17" s="28" t="s">
        <v>240</v>
      </c>
      <c r="T17" s="115" t="s">
        <v>279</v>
      </c>
      <c r="U17" s="28" t="s">
        <v>240</v>
      </c>
      <c r="V17" s="28"/>
      <c r="W17" s="28"/>
      <c r="X17" s="28" t="s">
        <v>132</v>
      </c>
      <c r="Y17" s="28" t="s">
        <v>151</v>
      </c>
      <c r="Z17" s="28" t="s">
        <v>132</v>
      </c>
      <c r="AA17" s="28" t="s">
        <v>151</v>
      </c>
      <c r="AB17" s="28"/>
      <c r="AC17" s="28" t="s">
        <v>280</v>
      </c>
      <c r="AD17" s="28"/>
      <c r="AE17" s="28" t="s">
        <v>280</v>
      </c>
      <c r="AF17" s="28" t="s">
        <v>180</v>
      </c>
      <c r="AG17" s="28" t="s">
        <v>151</v>
      </c>
      <c r="AH17" s="28" t="s">
        <v>151</v>
      </c>
    </row>
    <row r="18" spans="1:34">
      <c r="A18" s="26" t="s">
        <v>133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3</v>
      </c>
      <c r="H18" s="30">
        <v>3</v>
      </c>
      <c r="I18" s="30">
        <v>3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>
        <v>4</v>
      </c>
      <c r="Y18" s="30">
        <v>3</v>
      </c>
      <c r="Z18" s="30">
        <v>4</v>
      </c>
      <c r="AA18" s="30">
        <v>3</v>
      </c>
      <c r="AB18" s="30"/>
      <c r="AC18" s="30">
        <f>1/3</f>
        <v>0.33333333333333331</v>
      </c>
      <c r="AD18" s="30"/>
      <c r="AE18" s="30">
        <f>1/3</f>
        <v>0.33333333333333331</v>
      </c>
      <c r="AF18" s="30">
        <v>2</v>
      </c>
      <c r="AG18" s="30">
        <v>3</v>
      </c>
      <c r="AH18" s="30">
        <v>3</v>
      </c>
    </row>
    <row r="20" spans="1:34">
      <c r="A20" s="31" t="s">
        <v>134</v>
      </c>
    </row>
    <row r="21" spans="1:34">
      <c r="A21" s="224" t="s">
        <v>281</v>
      </c>
      <c r="B21" s="56" t="s">
        <v>282</v>
      </c>
    </row>
    <row r="22" spans="1:34">
      <c r="A22" s="224"/>
      <c r="B22" s="93" t="s">
        <v>283</v>
      </c>
    </row>
  </sheetData>
  <mergeCells count="6">
    <mergeCell ref="A21:A22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9E1F-30FC-46C7-8792-76D3D0633424}">
  <dimension ref="A1:AH22"/>
  <sheetViews>
    <sheetView topLeftCell="F1" workbookViewId="0">
      <selection activeCell="Z8" sqref="Z8:Z1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259</v>
      </c>
      <c r="C4" s="203"/>
      <c r="D4" s="203"/>
      <c r="F4" s="204" t="s">
        <v>284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285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262</v>
      </c>
      <c r="C8" s="29" t="s">
        <v>250</v>
      </c>
      <c r="D8" s="29" t="s">
        <v>250</v>
      </c>
      <c r="E8" s="28" t="s">
        <v>263</v>
      </c>
      <c r="F8" s="28" t="s">
        <v>263</v>
      </c>
      <c r="G8" s="29" t="s">
        <v>286</v>
      </c>
      <c r="H8" s="29" t="s">
        <v>286</v>
      </c>
      <c r="I8" s="29" t="s">
        <v>286</v>
      </c>
      <c r="J8" s="29" t="s">
        <v>203</v>
      </c>
      <c r="K8" s="29" t="s">
        <v>250</v>
      </c>
      <c r="L8" s="29" t="s">
        <v>250</v>
      </c>
      <c r="M8" s="29" t="s">
        <v>250</v>
      </c>
      <c r="N8" s="29" t="s">
        <v>250</v>
      </c>
      <c r="O8" s="28" t="s">
        <v>250</v>
      </c>
      <c r="P8" s="29" t="s">
        <v>250</v>
      </c>
      <c r="Q8" s="28" t="s">
        <v>250</v>
      </c>
      <c r="R8" s="29" t="s">
        <v>265</v>
      </c>
      <c r="S8" s="29" t="s">
        <v>250</v>
      </c>
      <c r="T8" s="29" t="s">
        <v>173</v>
      </c>
      <c r="U8" s="29" t="s">
        <v>266</v>
      </c>
      <c r="V8" s="29" t="s">
        <v>267</v>
      </c>
      <c r="W8" s="29" t="s">
        <v>173</v>
      </c>
      <c r="X8" s="29" t="s">
        <v>250</v>
      </c>
      <c r="Y8" s="29" t="s">
        <v>250</v>
      </c>
      <c r="Z8" s="29" t="s">
        <v>268</v>
      </c>
      <c r="AA8" s="29" t="s">
        <v>250</v>
      </c>
      <c r="AB8" s="29"/>
      <c r="AC8" s="29" t="s">
        <v>269</v>
      </c>
      <c r="AD8" s="29"/>
      <c r="AE8" s="29" t="s">
        <v>269</v>
      </c>
      <c r="AF8" s="29" t="s">
        <v>270</v>
      </c>
      <c r="AG8" s="29" t="s">
        <v>172</v>
      </c>
      <c r="AH8" s="29" t="s">
        <v>250</v>
      </c>
    </row>
    <row r="9" spans="1:34">
      <c r="A9" s="26" t="s">
        <v>121</v>
      </c>
      <c r="B9" s="29" t="s">
        <v>251</v>
      </c>
      <c r="C9" s="29" t="s">
        <v>271</v>
      </c>
      <c r="D9" s="29" t="s">
        <v>271</v>
      </c>
      <c r="E9" s="29" t="s">
        <v>231</v>
      </c>
      <c r="F9" s="29" t="s">
        <v>231</v>
      </c>
      <c r="G9" s="29" t="s">
        <v>287</v>
      </c>
      <c r="H9" s="29" t="s">
        <v>287</v>
      </c>
      <c r="I9" s="29" t="s">
        <v>287</v>
      </c>
      <c r="J9" s="29" t="s">
        <v>148</v>
      </c>
      <c r="K9" s="29" t="s">
        <v>271</v>
      </c>
      <c r="L9" s="29" t="s">
        <v>178</v>
      </c>
      <c r="M9" s="29" t="s">
        <v>271</v>
      </c>
      <c r="N9" s="28" t="s">
        <v>178</v>
      </c>
      <c r="O9" s="28" t="s">
        <v>271</v>
      </c>
      <c r="P9" s="29" t="s">
        <v>271</v>
      </c>
      <c r="Q9" s="28" t="s">
        <v>271</v>
      </c>
      <c r="R9" s="29" t="s">
        <v>178</v>
      </c>
      <c r="S9" s="29" t="s">
        <v>273</v>
      </c>
      <c r="T9" s="113" t="s">
        <v>274</v>
      </c>
      <c r="U9" s="29" t="s">
        <v>275</v>
      </c>
      <c r="V9" s="29"/>
      <c r="W9" s="29"/>
      <c r="X9" s="28" t="s">
        <v>251</v>
      </c>
      <c r="Y9" s="29" t="s">
        <v>178</v>
      </c>
      <c r="Z9" s="29" t="s">
        <v>277</v>
      </c>
      <c r="AA9" s="29" t="s">
        <v>178</v>
      </c>
      <c r="AB9" s="29"/>
      <c r="AC9" s="28" t="s">
        <v>269</v>
      </c>
      <c r="AD9" s="29"/>
      <c r="AE9" s="28" t="s">
        <v>269</v>
      </c>
      <c r="AF9" s="29" t="s">
        <v>278</v>
      </c>
      <c r="AG9" s="29" t="s">
        <v>176</v>
      </c>
      <c r="AH9" s="29" t="s">
        <v>178</v>
      </c>
    </row>
    <row r="10" spans="1:34">
      <c r="A10" s="140" t="s">
        <v>122</v>
      </c>
      <c r="B10" s="167">
        <v>20</v>
      </c>
      <c r="C10" s="167">
        <v>57</v>
      </c>
      <c r="D10" s="167">
        <v>57</v>
      </c>
      <c r="E10" s="167">
        <v>56</v>
      </c>
      <c r="F10" s="167">
        <v>56</v>
      </c>
      <c r="G10" s="167" t="s">
        <v>287</v>
      </c>
      <c r="H10" s="167" t="s">
        <v>287</v>
      </c>
      <c r="I10" s="167" t="s">
        <v>287</v>
      </c>
      <c r="J10" s="167">
        <v>34</v>
      </c>
      <c r="K10" s="167">
        <v>57</v>
      </c>
      <c r="L10" s="167">
        <v>35</v>
      </c>
      <c r="M10" s="167">
        <v>57</v>
      </c>
      <c r="N10" s="167">
        <v>35</v>
      </c>
      <c r="O10" s="167">
        <v>57</v>
      </c>
      <c r="P10" s="167">
        <v>57</v>
      </c>
      <c r="Q10" s="167">
        <v>57</v>
      </c>
      <c r="R10" s="167">
        <v>35</v>
      </c>
      <c r="S10" s="167">
        <v>107</v>
      </c>
      <c r="T10" s="167">
        <v>111</v>
      </c>
      <c r="U10" s="167">
        <v>108</v>
      </c>
      <c r="V10" s="167"/>
      <c r="W10" s="167"/>
      <c r="X10" s="167">
        <v>20</v>
      </c>
      <c r="Y10" s="167">
        <v>35</v>
      </c>
      <c r="Z10" s="167">
        <v>18</v>
      </c>
      <c r="AA10" s="167">
        <v>35</v>
      </c>
      <c r="AB10" s="167"/>
      <c r="AC10" s="167">
        <v>98</v>
      </c>
      <c r="AD10" s="167"/>
      <c r="AE10" s="167">
        <v>98</v>
      </c>
      <c r="AF10" s="167">
        <v>109</v>
      </c>
      <c r="AG10" s="167">
        <v>27</v>
      </c>
      <c r="AH10" s="167">
        <v>35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127</v>
      </c>
      <c r="H11" s="28" t="s">
        <v>127</v>
      </c>
      <c r="I11" s="28" t="s">
        <v>127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/>
      <c r="X11" s="28" t="s">
        <v>124</v>
      </c>
      <c r="Y11" s="28" t="s">
        <v>124</v>
      </c>
      <c r="Z11" s="28" t="s">
        <v>124</v>
      </c>
      <c r="AA11" s="28" t="s">
        <v>124</v>
      </c>
      <c r="AB11" s="28"/>
      <c r="AC11" s="28" t="s">
        <v>124</v>
      </c>
      <c r="AD11" s="28"/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/>
      <c r="W12" s="28"/>
      <c r="X12" s="28" t="s">
        <v>124</v>
      </c>
      <c r="Y12" s="28" t="s">
        <v>124</v>
      </c>
      <c r="Z12" s="28" t="s">
        <v>124</v>
      </c>
      <c r="AA12" s="28" t="s">
        <v>124</v>
      </c>
      <c r="AB12" s="28"/>
      <c r="AC12" s="28" t="s">
        <v>124</v>
      </c>
      <c r="AD12" s="28"/>
      <c r="AE12" s="28" t="s">
        <v>124</v>
      </c>
      <c r="AF12" s="28" t="s">
        <v>127</v>
      </c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127</v>
      </c>
      <c r="H13" s="28" t="s">
        <v>127</v>
      </c>
      <c r="I13" s="28" t="s">
        <v>127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139" t="s">
        <v>215</v>
      </c>
      <c r="T13" s="28" t="s">
        <v>124</v>
      </c>
      <c r="U13" s="28" t="s">
        <v>124</v>
      </c>
      <c r="V13" s="28"/>
      <c r="W13" s="28"/>
      <c r="X13" s="28" t="s">
        <v>127</v>
      </c>
      <c r="Y13" s="28" t="s">
        <v>124</v>
      </c>
      <c r="Z13" s="28" t="s">
        <v>127</v>
      </c>
      <c r="AA13" s="28" t="s">
        <v>124</v>
      </c>
      <c r="AB13" s="28"/>
      <c r="AC13" s="28" t="s">
        <v>127</v>
      </c>
      <c r="AD13" s="28"/>
      <c r="AE13" s="28" t="s">
        <v>127</v>
      </c>
      <c r="AF13" s="139" t="s">
        <v>215</v>
      </c>
      <c r="AG13" s="28" t="s">
        <v>124</v>
      </c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/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150</v>
      </c>
      <c r="D15" s="28" t="s">
        <v>150</v>
      </c>
      <c r="E15" s="28" t="s">
        <v>150</v>
      </c>
      <c r="F15" s="28" t="s">
        <v>150</v>
      </c>
      <c r="G15" s="28" t="s">
        <v>150</v>
      </c>
      <c r="H15" s="28" t="s">
        <v>150</v>
      </c>
      <c r="I15" s="28" t="s">
        <v>150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 t="s">
        <v>150</v>
      </c>
      <c r="O15" s="28" t="s">
        <v>150</v>
      </c>
      <c r="P15" s="28" t="s">
        <v>150</v>
      </c>
      <c r="Q15" s="28" t="s">
        <v>150</v>
      </c>
      <c r="R15" s="28" t="s">
        <v>150</v>
      </c>
      <c r="S15" s="28" t="s">
        <v>149</v>
      </c>
      <c r="T15" s="28" t="s">
        <v>149</v>
      </c>
      <c r="U15" s="28" t="s">
        <v>217</v>
      </c>
      <c r="V15" s="28"/>
      <c r="W15" s="28"/>
      <c r="X15" s="28" t="s">
        <v>216</v>
      </c>
      <c r="Y15" s="28" t="s">
        <v>150</v>
      </c>
      <c r="Z15" s="28" t="s">
        <v>150</v>
      </c>
      <c r="AA15" s="28" t="s">
        <v>150</v>
      </c>
      <c r="AB15" s="28"/>
      <c r="AC15" s="28" t="s">
        <v>150</v>
      </c>
      <c r="AD15" s="28"/>
      <c r="AE15" s="28" t="s">
        <v>150</v>
      </c>
      <c r="AF15" s="28" t="s">
        <v>149</v>
      </c>
      <c r="AG15" s="28" t="s">
        <v>149</v>
      </c>
      <c r="AH15" s="28" t="s">
        <v>150</v>
      </c>
    </row>
    <row r="16" spans="1:34">
      <c r="A16" s="26" t="s">
        <v>130</v>
      </c>
      <c r="B16" s="30">
        <v>-3</v>
      </c>
      <c r="C16" s="30">
        <v>-0.5</v>
      </c>
      <c r="D16" s="30">
        <v>-0.5</v>
      </c>
      <c r="E16" s="30">
        <v>-0.5</v>
      </c>
      <c r="F16" s="30">
        <v>-0.5</v>
      </c>
      <c r="G16" s="30">
        <v>-0.5</v>
      </c>
      <c r="H16" s="30">
        <v>-0.5</v>
      </c>
      <c r="I16" s="30">
        <v>-0.5</v>
      </c>
      <c r="J16" s="30">
        <v>-0.5</v>
      </c>
      <c r="K16" s="30">
        <v>-0.5</v>
      </c>
      <c r="L16" s="30">
        <v>-0.5</v>
      </c>
      <c r="M16" s="30">
        <v>-0.5</v>
      </c>
      <c r="N16" s="30">
        <v>-0.5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>
        <v>-3</v>
      </c>
      <c r="Y16" s="30">
        <v>-0.5</v>
      </c>
      <c r="Z16" s="30">
        <v>-2</v>
      </c>
      <c r="AA16" s="30">
        <v>-0.5</v>
      </c>
      <c r="AB16" s="30"/>
      <c r="AC16" s="30">
        <v>-2</v>
      </c>
      <c r="AD16" s="30"/>
      <c r="AE16" s="30">
        <v>-2</v>
      </c>
      <c r="AF16" s="30">
        <f>AVERAGE(0.5,2)</f>
        <v>1.25</v>
      </c>
      <c r="AG16" s="30">
        <f>4/3</f>
        <v>1.3333333333333333</v>
      </c>
      <c r="AH16" s="30">
        <v>-0.5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9" t="s">
        <v>287</v>
      </c>
      <c r="H17" s="29" t="s">
        <v>287</v>
      </c>
      <c r="I17" s="29" t="s">
        <v>287</v>
      </c>
      <c r="J17" s="28" t="s">
        <v>151</v>
      </c>
      <c r="K17" s="28" t="s">
        <v>180</v>
      </c>
      <c r="L17" s="28" t="s">
        <v>151</v>
      </c>
      <c r="M17" s="28" t="s">
        <v>180</v>
      </c>
      <c r="N17" s="28" t="s">
        <v>151</v>
      </c>
      <c r="O17" s="28" t="s">
        <v>180</v>
      </c>
      <c r="P17" s="28" t="s">
        <v>180</v>
      </c>
      <c r="Q17" s="28" t="s">
        <v>180</v>
      </c>
      <c r="R17" s="28" t="s">
        <v>151</v>
      </c>
      <c r="S17" s="28" t="s">
        <v>240</v>
      </c>
      <c r="T17" s="115" t="s">
        <v>279</v>
      </c>
      <c r="U17" s="28" t="s">
        <v>240</v>
      </c>
      <c r="V17" s="28"/>
      <c r="W17" s="28"/>
      <c r="X17" s="28" t="s">
        <v>132</v>
      </c>
      <c r="Y17" s="28" t="s">
        <v>151</v>
      </c>
      <c r="Z17" s="28" t="s">
        <v>132</v>
      </c>
      <c r="AA17" s="28" t="s">
        <v>151</v>
      </c>
      <c r="AB17" s="28"/>
      <c r="AC17" s="28" t="s">
        <v>280</v>
      </c>
      <c r="AD17" s="28"/>
      <c r="AE17" s="28" t="s">
        <v>280</v>
      </c>
      <c r="AF17" s="28" t="s">
        <v>180</v>
      </c>
      <c r="AG17" s="28" t="s">
        <v>151</v>
      </c>
      <c r="AH17" s="28" t="s">
        <v>151</v>
      </c>
    </row>
    <row r="18" spans="1:34">
      <c r="A18" s="26" t="s">
        <v>133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0</v>
      </c>
      <c r="H18" s="30">
        <v>0</v>
      </c>
      <c r="I18" s="30">
        <v>0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>
        <v>4</v>
      </c>
      <c r="Y18" s="30">
        <v>3</v>
      </c>
      <c r="Z18" s="30">
        <v>4</v>
      </c>
      <c r="AA18" s="30">
        <v>3</v>
      </c>
      <c r="AB18" s="30"/>
      <c r="AC18" s="30">
        <f>1/3</f>
        <v>0.33333333333333331</v>
      </c>
      <c r="AD18" s="30"/>
      <c r="AE18" s="30">
        <f>1/3</f>
        <v>0.33333333333333331</v>
      </c>
      <c r="AF18" s="30">
        <v>2</v>
      </c>
      <c r="AG18" s="30">
        <v>3</v>
      </c>
      <c r="AH18" s="30">
        <v>3</v>
      </c>
    </row>
    <row r="20" spans="1:34">
      <c r="A20" s="31" t="s">
        <v>134</v>
      </c>
    </row>
    <row r="21" spans="1:34">
      <c r="A21" s="223" t="s">
        <v>288</v>
      </c>
      <c r="B21" s="56" t="s">
        <v>282</v>
      </c>
    </row>
    <row r="22" spans="1:34">
      <c r="A22" s="223"/>
      <c r="B22" s="93" t="s">
        <v>289</v>
      </c>
    </row>
  </sheetData>
  <mergeCells count="6">
    <mergeCell ref="A21:A22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AECC-8A09-4169-9FCF-B438C08E5F9B}">
  <dimension ref="A1:AH22"/>
  <sheetViews>
    <sheetView topLeftCell="B1" workbookViewId="0">
      <selection activeCell="V9" sqref="V9:V1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259</v>
      </c>
      <c r="C4" s="203"/>
      <c r="D4" s="203"/>
      <c r="F4" s="204" t="s">
        <v>290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226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262</v>
      </c>
      <c r="C8" s="29" t="s">
        <v>250</v>
      </c>
      <c r="D8" s="29" t="s">
        <v>250</v>
      </c>
      <c r="E8" s="115" t="s">
        <v>291</v>
      </c>
      <c r="F8" s="29" t="s">
        <v>250</v>
      </c>
      <c r="G8" s="29" t="s">
        <v>250</v>
      </c>
      <c r="H8" s="29" t="s">
        <v>250</v>
      </c>
      <c r="I8" s="29" t="s">
        <v>250</v>
      </c>
      <c r="J8" s="29" t="s">
        <v>250</v>
      </c>
      <c r="K8" s="29" t="s">
        <v>250</v>
      </c>
      <c r="L8" s="29" t="s">
        <v>250</v>
      </c>
      <c r="M8" s="29" t="s">
        <v>250</v>
      </c>
      <c r="N8" s="113" t="s">
        <v>292</v>
      </c>
      <c r="O8" s="29" t="s">
        <v>250</v>
      </c>
      <c r="P8" s="29" t="s">
        <v>293</v>
      </c>
      <c r="Q8" s="29" t="s">
        <v>293</v>
      </c>
      <c r="R8" s="29" t="s">
        <v>265</v>
      </c>
      <c r="S8" s="29" t="s">
        <v>269</v>
      </c>
      <c r="T8" s="29" t="s">
        <v>250</v>
      </c>
      <c r="U8" s="29" t="s">
        <v>250</v>
      </c>
      <c r="V8" s="29" t="s">
        <v>294</v>
      </c>
      <c r="W8" s="29" t="s">
        <v>295</v>
      </c>
      <c r="X8" s="29" t="s">
        <v>250</v>
      </c>
      <c r="Y8" s="29" t="s">
        <v>250</v>
      </c>
      <c r="Z8" s="29" t="s">
        <v>250</v>
      </c>
      <c r="AA8" s="29" t="s">
        <v>250</v>
      </c>
      <c r="AB8" s="29"/>
      <c r="AC8" s="29" t="s">
        <v>250</v>
      </c>
      <c r="AD8" s="29"/>
      <c r="AE8" s="29" t="s">
        <v>296</v>
      </c>
      <c r="AF8" s="29" t="s">
        <v>250</v>
      </c>
      <c r="AG8" s="29" t="s">
        <v>250</v>
      </c>
      <c r="AH8" s="29" t="s">
        <v>250</v>
      </c>
    </row>
    <row r="9" spans="1:34">
      <c r="A9" s="26" t="s">
        <v>121</v>
      </c>
      <c r="B9" s="29" t="s">
        <v>251</v>
      </c>
      <c r="C9" s="28" t="s">
        <v>251</v>
      </c>
      <c r="D9" s="28" t="s">
        <v>251</v>
      </c>
      <c r="E9" s="28" t="s">
        <v>297</v>
      </c>
      <c r="F9" s="28" t="s">
        <v>251</v>
      </c>
      <c r="G9" s="28" t="s">
        <v>251</v>
      </c>
      <c r="H9" s="28" t="s">
        <v>251</v>
      </c>
      <c r="I9" s="28" t="s">
        <v>251</v>
      </c>
      <c r="J9" s="28" t="s">
        <v>251</v>
      </c>
      <c r="K9" s="28" t="s">
        <v>251</v>
      </c>
      <c r="L9" s="28" t="s">
        <v>251</v>
      </c>
      <c r="M9" s="28" t="s">
        <v>251</v>
      </c>
      <c r="N9" s="113" t="s">
        <v>298</v>
      </c>
      <c r="O9" s="28" t="s">
        <v>251</v>
      </c>
      <c r="P9" s="29" t="s">
        <v>271</v>
      </c>
      <c r="Q9" s="29" t="s">
        <v>271</v>
      </c>
      <c r="R9" s="28" t="s">
        <v>178</v>
      </c>
      <c r="S9" s="29" t="s">
        <v>273</v>
      </c>
      <c r="T9" s="28" t="s">
        <v>251</v>
      </c>
      <c r="U9" s="28" t="s">
        <v>251</v>
      </c>
      <c r="V9" s="29" t="s">
        <v>299</v>
      </c>
      <c r="W9" s="29" t="s">
        <v>299</v>
      </c>
      <c r="X9" s="28" t="s">
        <v>251</v>
      </c>
      <c r="Y9" s="28" t="s">
        <v>251</v>
      </c>
      <c r="Z9" s="28" t="s">
        <v>251</v>
      </c>
      <c r="AA9" s="28" t="s">
        <v>251</v>
      </c>
      <c r="AB9" s="28"/>
      <c r="AC9" s="28" t="s">
        <v>251</v>
      </c>
      <c r="AD9" s="29"/>
      <c r="AE9" s="28" t="s">
        <v>300</v>
      </c>
      <c r="AF9" s="28" t="s">
        <v>251</v>
      </c>
      <c r="AG9" s="29" t="s">
        <v>251</v>
      </c>
      <c r="AH9" s="28" t="s">
        <v>251</v>
      </c>
    </row>
    <row r="10" spans="1:34">
      <c r="A10" s="140" t="s">
        <v>122</v>
      </c>
      <c r="B10" s="167">
        <v>20</v>
      </c>
      <c r="C10" s="167">
        <v>20</v>
      </c>
      <c r="D10" s="167">
        <v>20</v>
      </c>
      <c r="E10" s="167">
        <v>176</v>
      </c>
      <c r="F10" s="167">
        <v>20</v>
      </c>
      <c r="G10" s="167">
        <v>20</v>
      </c>
      <c r="H10" s="167">
        <v>20</v>
      </c>
      <c r="I10" s="167">
        <v>20</v>
      </c>
      <c r="J10" s="167">
        <v>20</v>
      </c>
      <c r="K10" s="167">
        <v>20</v>
      </c>
      <c r="L10" s="167">
        <v>20</v>
      </c>
      <c r="M10" s="167">
        <v>20</v>
      </c>
      <c r="N10" s="167">
        <v>110</v>
      </c>
      <c r="O10" s="167">
        <v>20</v>
      </c>
      <c r="P10" s="167">
        <v>57</v>
      </c>
      <c r="Q10" s="167">
        <v>57</v>
      </c>
      <c r="R10" s="167">
        <v>35</v>
      </c>
      <c r="S10" s="167">
        <v>107</v>
      </c>
      <c r="T10" s="167">
        <v>20</v>
      </c>
      <c r="U10" s="167">
        <v>20</v>
      </c>
      <c r="V10" s="167">
        <v>153</v>
      </c>
      <c r="W10" s="167">
        <v>153</v>
      </c>
      <c r="X10" s="167">
        <v>20</v>
      </c>
      <c r="Y10" s="167">
        <v>20</v>
      </c>
      <c r="Z10" s="167">
        <v>20</v>
      </c>
      <c r="AA10" s="167">
        <v>20</v>
      </c>
      <c r="AB10" s="167"/>
      <c r="AC10" s="167">
        <v>20</v>
      </c>
      <c r="AD10" s="167"/>
      <c r="AE10" s="167">
        <v>112</v>
      </c>
      <c r="AF10" s="167">
        <v>20</v>
      </c>
      <c r="AG10" s="167">
        <v>20</v>
      </c>
      <c r="AH10" s="167">
        <v>20</v>
      </c>
    </row>
    <row r="11" spans="1:34">
      <c r="A11" s="26" t="s">
        <v>123</v>
      </c>
      <c r="B11" s="28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8" t="s">
        <v>124</v>
      </c>
      <c r="O11" s="29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9" t="s">
        <v>124</v>
      </c>
      <c r="U11" s="29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9"/>
      <c r="AC11" s="29" t="s">
        <v>124</v>
      </c>
      <c r="AD11" s="28"/>
      <c r="AE11" s="29" t="s">
        <v>124</v>
      </c>
      <c r="AF11" s="29" t="s">
        <v>124</v>
      </c>
      <c r="AG11" s="28" t="s">
        <v>124</v>
      </c>
      <c r="AH11" s="29" t="s">
        <v>124</v>
      </c>
    </row>
    <row r="12" spans="1:34">
      <c r="A12" s="26" t="s">
        <v>125</v>
      </c>
      <c r="B12" s="28" t="s">
        <v>124</v>
      </c>
      <c r="C12" s="29" t="s">
        <v>124</v>
      </c>
      <c r="D12" s="29" t="s">
        <v>124</v>
      </c>
      <c r="E12" s="29" t="s">
        <v>301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8" t="s">
        <v>124</v>
      </c>
      <c r="O12" s="29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9" t="s">
        <v>124</v>
      </c>
      <c r="U12" s="29" t="s">
        <v>124</v>
      </c>
      <c r="V12" s="28" t="s">
        <v>124</v>
      </c>
      <c r="W12" s="28" t="s">
        <v>124</v>
      </c>
      <c r="X12" s="29" t="s">
        <v>124</v>
      </c>
      <c r="Y12" s="29" t="s">
        <v>124</v>
      </c>
      <c r="Z12" s="29" t="s">
        <v>124</v>
      </c>
      <c r="AA12" s="29" t="s">
        <v>124</v>
      </c>
      <c r="AB12" s="29"/>
      <c r="AC12" s="29" t="s">
        <v>124</v>
      </c>
      <c r="AD12" s="28"/>
      <c r="AE12" s="29" t="s">
        <v>124</v>
      </c>
      <c r="AF12" s="29" t="s">
        <v>124</v>
      </c>
      <c r="AG12" s="28" t="s">
        <v>124</v>
      </c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235</v>
      </c>
      <c r="O13" s="28" t="s">
        <v>127</v>
      </c>
      <c r="P13" s="28" t="s">
        <v>124</v>
      </c>
      <c r="Q13" s="28" t="s">
        <v>124</v>
      </c>
      <c r="R13" s="28" t="s">
        <v>124</v>
      </c>
      <c r="S13" s="139" t="s">
        <v>215</v>
      </c>
      <c r="T13" s="28" t="s">
        <v>127</v>
      </c>
      <c r="U13" s="28" t="s">
        <v>127</v>
      </c>
      <c r="V13" s="28" t="s">
        <v>235</v>
      </c>
      <c r="W13" s="28" t="s">
        <v>235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302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115" t="s">
        <v>237</v>
      </c>
      <c r="O15" s="28" t="s">
        <v>216</v>
      </c>
      <c r="P15" s="28" t="s">
        <v>150</v>
      </c>
      <c r="Q15" s="28" t="s">
        <v>150</v>
      </c>
      <c r="R15" s="28" t="s">
        <v>150</v>
      </c>
      <c r="S15" s="28" t="s">
        <v>149</v>
      </c>
      <c r="T15" s="28" t="s">
        <v>216</v>
      </c>
      <c r="U15" s="28" t="s">
        <v>216</v>
      </c>
      <c r="V15" s="28" t="s">
        <v>150</v>
      </c>
      <c r="W15" s="28" t="s">
        <v>150</v>
      </c>
      <c r="X15" s="28" t="s">
        <v>216</v>
      </c>
      <c r="Y15" s="28" t="s">
        <v>216</v>
      </c>
      <c r="Z15" s="28" t="s">
        <v>216</v>
      </c>
      <c r="AA15" s="28" t="s">
        <v>216</v>
      </c>
      <c r="AB15" s="28"/>
      <c r="AC15" s="28" t="s">
        <v>216</v>
      </c>
      <c r="AD15" s="28"/>
      <c r="AE15" s="28" t="s">
        <v>238</v>
      </c>
      <c r="AF15" s="28" t="s">
        <v>216</v>
      </c>
      <c r="AG15" s="28" t="s">
        <v>216</v>
      </c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f>AVERAGE(3,3,1)</f>
        <v>2.3333333333333335</v>
      </c>
      <c r="O16" s="30">
        <v>-3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-3</v>
      </c>
      <c r="U16" s="30">
        <v>-3</v>
      </c>
      <c r="V16" s="30">
        <f>AVERAGE(-2,-0.5)</f>
        <v>-1.25</v>
      </c>
      <c r="W16" s="30">
        <f>AVERAGE(-2,-0.5)</f>
        <v>-1.25</v>
      </c>
      <c r="X16" s="30">
        <v>-3</v>
      </c>
      <c r="Y16" s="30">
        <v>-3</v>
      </c>
      <c r="Z16" s="30">
        <v>-3</v>
      </c>
      <c r="AA16" s="30">
        <v>-3</v>
      </c>
      <c r="AB16" s="30"/>
      <c r="AC16" s="30">
        <v>-3</v>
      </c>
      <c r="AD16" s="30"/>
      <c r="AE16" s="30">
        <f>AVERAGE(-3,-2)</f>
        <v>-2.5</v>
      </c>
      <c r="AF16" s="30">
        <v>-3</v>
      </c>
      <c r="AG16" s="30">
        <v>-3</v>
      </c>
      <c r="AH16" s="30">
        <v>-3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303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115" t="s">
        <v>239</v>
      </c>
      <c r="O17" s="28" t="s">
        <v>132</v>
      </c>
      <c r="P17" s="28" t="s">
        <v>180</v>
      </c>
      <c r="Q17" s="28" t="s">
        <v>180</v>
      </c>
      <c r="R17" s="28" t="s">
        <v>151</v>
      </c>
      <c r="S17" s="28" t="s">
        <v>240</v>
      </c>
      <c r="T17" s="28" t="s">
        <v>132</v>
      </c>
      <c r="U17" s="28" t="s">
        <v>132</v>
      </c>
      <c r="V17" s="28" t="s">
        <v>241</v>
      </c>
      <c r="W17" s="28" t="s">
        <v>241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 t="s">
        <v>132</v>
      </c>
      <c r="AD17" s="28"/>
      <c r="AE17" s="28" t="s">
        <v>304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f>AVERAGE(4,4,2)</f>
        <v>3.3333333333333335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f>AVERAGE(4,4,3)</f>
        <v>3.6666666666666665</v>
      </c>
      <c r="O18" s="30">
        <v>4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v>4</v>
      </c>
      <c r="U18" s="30">
        <v>4</v>
      </c>
      <c r="V18" s="30">
        <f>AVERAGE(4,3)</f>
        <v>3.5</v>
      </c>
      <c r="W18" s="30">
        <f>AVERAGE(4,3)</f>
        <v>3.5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v>4</v>
      </c>
      <c r="AD18" s="30"/>
      <c r="AE18" s="30">
        <f>AVERAGE(4,1/3)</f>
        <v>2.1666666666666665</v>
      </c>
      <c r="AF18" s="30">
        <v>4</v>
      </c>
      <c r="AG18" s="30">
        <v>4</v>
      </c>
      <c r="AH18" s="30">
        <v>4</v>
      </c>
    </row>
    <row r="20" spans="1:34">
      <c r="A20" s="31" t="s">
        <v>134</v>
      </c>
    </row>
    <row r="21" spans="1:34">
      <c r="A21" s="223" t="s">
        <v>305</v>
      </c>
      <c r="B21" s="56" t="s">
        <v>246</v>
      </c>
    </row>
    <row r="22" spans="1:34">
      <c r="A22" s="223"/>
      <c r="B22" s="56" t="s">
        <v>306</v>
      </c>
    </row>
  </sheetData>
  <mergeCells count="6">
    <mergeCell ref="A21:A22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07D5-0F50-4FED-A58C-15C30FE8E655}">
  <dimension ref="A1:AH21"/>
  <sheetViews>
    <sheetView workbookViewId="0">
      <selection activeCell="E8" sqref="E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259</v>
      </c>
      <c r="C4" s="203"/>
      <c r="D4" s="203"/>
      <c r="F4" s="204" t="s">
        <v>307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308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262</v>
      </c>
      <c r="C8" s="29" t="s">
        <v>250</v>
      </c>
      <c r="D8" s="29" t="s">
        <v>250</v>
      </c>
      <c r="E8" s="115" t="s">
        <v>291</v>
      </c>
      <c r="F8" s="29" t="s">
        <v>250</v>
      </c>
      <c r="G8" s="29" t="s">
        <v>250</v>
      </c>
      <c r="H8" s="29" t="s">
        <v>250</v>
      </c>
      <c r="I8" s="29" t="s">
        <v>250</v>
      </c>
      <c r="J8" s="29" t="s">
        <v>250</v>
      </c>
      <c r="K8" s="29" t="s">
        <v>250</v>
      </c>
      <c r="L8" s="29" t="s">
        <v>250</v>
      </c>
      <c r="M8" s="29" t="s">
        <v>250</v>
      </c>
      <c r="N8" s="29" t="s">
        <v>250</v>
      </c>
      <c r="O8" s="29" t="s">
        <v>250</v>
      </c>
      <c r="P8" s="29" t="s">
        <v>250</v>
      </c>
      <c r="Q8" s="29" t="s">
        <v>250</v>
      </c>
      <c r="R8" s="29" t="s">
        <v>250</v>
      </c>
      <c r="S8" s="29" t="s">
        <v>250</v>
      </c>
      <c r="T8" s="29" t="s">
        <v>250</v>
      </c>
      <c r="U8" s="29" t="s">
        <v>250</v>
      </c>
      <c r="V8" s="29" t="s">
        <v>250</v>
      </c>
      <c r="W8" s="29" t="s">
        <v>250</v>
      </c>
      <c r="X8" s="29" t="s">
        <v>250</v>
      </c>
      <c r="Y8" s="29" t="s">
        <v>250</v>
      </c>
      <c r="Z8" s="29" t="s">
        <v>250</v>
      </c>
      <c r="AA8" s="29" t="s">
        <v>250</v>
      </c>
      <c r="AB8" s="29"/>
      <c r="AC8" s="29" t="s">
        <v>250</v>
      </c>
      <c r="AD8" s="29"/>
      <c r="AE8" s="29" t="s">
        <v>296</v>
      </c>
      <c r="AF8" s="29" t="s">
        <v>250</v>
      </c>
      <c r="AG8" s="29" t="s">
        <v>250</v>
      </c>
      <c r="AH8" s="29" t="s">
        <v>250</v>
      </c>
    </row>
    <row r="9" spans="1:34">
      <c r="A9" s="26" t="s">
        <v>121</v>
      </c>
      <c r="B9" s="29" t="s">
        <v>251</v>
      </c>
      <c r="C9" s="28" t="s">
        <v>251</v>
      </c>
      <c r="D9" s="28" t="s">
        <v>251</v>
      </c>
      <c r="E9" s="28" t="s">
        <v>297</v>
      </c>
      <c r="F9" s="28" t="s">
        <v>251</v>
      </c>
      <c r="G9" s="28" t="s">
        <v>251</v>
      </c>
      <c r="H9" s="28" t="s">
        <v>251</v>
      </c>
      <c r="I9" s="28" t="s">
        <v>251</v>
      </c>
      <c r="J9" s="28" t="s">
        <v>251</v>
      </c>
      <c r="K9" s="28" t="s">
        <v>251</v>
      </c>
      <c r="L9" s="28" t="s">
        <v>251</v>
      </c>
      <c r="M9" s="28" t="s">
        <v>251</v>
      </c>
      <c r="N9" s="28" t="s">
        <v>251</v>
      </c>
      <c r="O9" s="28" t="s">
        <v>251</v>
      </c>
      <c r="P9" s="28" t="s">
        <v>251</v>
      </c>
      <c r="Q9" s="28" t="s">
        <v>251</v>
      </c>
      <c r="R9" s="28" t="s">
        <v>251</v>
      </c>
      <c r="S9" s="28" t="s">
        <v>251</v>
      </c>
      <c r="T9" s="28" t="s">
        <v>251</v>
      </c>
      <c r="U9" s="28" t="s">
        <v>251</v>
      </c>
      <c r="V9" s="28" t="s">
        <v>251</v>
      </c>
      <c r="W9" s="28" t="s">
        <v>251</v>
      </c>
      <c r="X9" s="28" t="s">
        <v>251</v>
      </c>
      <c r="Y9" s="28" t="s">
        <v>251</v>
      </c>
      <c r="Z9" s="28" t="s">
        <v>251</v>
      </c>
      <c r="AA9" s="28" t="s">
        <v>251</v>
      </c>
      <c r="AB9" s="29"/>
      <c r="AC9" s="28" t="s">
        <v>251</v>
      </c>
      <c r="AD9" s="29"/>
      <c r="AE9" s="28" t="s">
        <v>300</v>
      </c>
      <c r="AF9" s="28" t="s">
        <v>251</v>
      </c>
      <c r="AG9" s="28" t="s">
        <v>251</v>
      </c>
      <c r="AH9" s="28" t="s">
        <v>251</v>
      </c>
    </row>
    <row r="10" spans="1:34">
      <c r="A10" s="140" t="s">
        <v>122</v>
      </c>
      <c r="B10" s="167">
        <v>20</v>
      </c>
      <c r="C10" s="167">
        <v>20</v>
      </c>
      <c r="D10" s="167">
        <v>20</v>
      </c>
      <c r="E10" s="167">
        <v>176</v>
      </c>
      <c r="F10" s="167">
        <v>20</v>
      </c>
      <c r="G10" s="167">
        <v>20</v>
      </c>
      <c r="H10" s="167">
        <v>20</v>
      </c>
      <c r="I10" s="167">
        <v>20</v>
      </c>
      <c r="J10" s="167">
        <v>20</v>
      </c>
      <c r="K10" s="167">
        <v>20</v>
      </c>
      <c r="L10" s="167">
        <v>20</v>
      </c>
      <c r="M10" s="167">
        <v>20</v>
      </c>
      <c r="N10" s="167">
        <v>20</v>
      </c>
      <c r="O10" s="167">
        <v>20</v>
      </c>
      <c r="P10" s="167">
        <v>20</v>
      </c>
      <c r="Q10" s="167">
        <v>20</v>
      </c>
      <c r="R10" s="167">
        <v>20</v>
      </c>
      <c r="S10" s="167">
        <v>20</v>
      </c>
      <c r="T10" s="167">
        <v>20</v>
      </c>
      <c r="U10" s="167">
        <v>20</v>
      </c>
      <c r="V10" s="167">
        <v>20</v>
      </c>
      <c r="W10" s="167">
        <v>20</v>
      </c>
      <c r="X10" s="167">
        <v>20</v>
      </c>
      <c r="Y10" s="167">
        <v>20</v>
      </c>
      <c r="Z10" s="167">
        <v>20</v>
      </c>
      <c r="AA10" s="167">
        <v>20</v>
      </c>
      <c r="AB10" s="29"/>
      <c r="AC10" s="167">
        <v>20</v>
      </c>
      <c r="AD10" s="29"/>
      <c r="AE10" s="167">
        <v>112</v>
      </c>
      <c r="AF10" s="167">
        <v>20</v>
      </c>
      <c r="AG10" s="167">
        <v>20</v>
      </c>
      <c r="AH10" s="167">
        <v>20</v>
      </c>
    </row>
    <row r="11" spans="1:34">
      <c r="A11" s="26" t="s">
        <v>123</v>
      </c>
      <c r="B11" s="28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8"/>
      <c r="AC11" s="29" t="s">
        <v>124</v>
      </c>
      <c r="AD11" s="28"/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8" t="s">
        <v>124</v>
      </c>
      <c r="C12" s="29" t="s">
        <v>124</v>
      </c>
      <c r="D12" s="29" t="s">
        <v>124</v>
      </c>
      <c r="E12" s="29" t="s">
        <v>301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9" t="s">
        <v>124</v>
      </c>
      <c r="O12" s="29" t="s">
        <v>124</v>
      </c>
      <c r="P12" s="29" t="s">
        <v>124</v>
      </c>
      <c r="Q12" s="29" t="s">
        <v>124</v>
      </c>
      <c r="R12" s="29" t="s">
        <v>124</v>
      </c>
      <c r="S12" s="29" t="s">
        <v>124</v>
      </c>
      <c r="T12" s="29" t="s">
        <v>124</v>
      </c>
      <c r="U12" s="29" t="s">
        <v>124</v>
      </c>
      <c r="V12" s="29" t="s">
        <v>124</v>
      </c>
      <c r="W12" s="29" t="s">
        <v>124</v>
      </c>
      <c r="X12" s="29" t="s">
        <v>124</v>
      </c>
      <c r="Y12" s="29" t="s">
        <v>124</v>
      </c>
      <c r="Z12" s="29" t="s">
        <v>124</v>
      </c>
      <c r="AA12" s="29" t="s">
        <v>124</v>
      </c>
      <c r="AB12" s="28"/>
      <c r="AC12" s="29" t="s">
        <v>124</v>
      </c>
      <c r="AD12" s="28"/>
      <c r="AE12" s="29" t="s">
        <v>124</v>
      </c>
      <c r="AF12" s="29" t="s">
        <v>124</v>
      </c>
      <c r="AG12" s="29" t="s">
        <v>124</v>
      </c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302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 t="s">
        <v>216</v>
      </c>
      <c r="W15" s="28" t="s">
        <v>216</v>
      </c>
      <c r="X15" s="28" t="s">
        <v>216</v>
      </c>
      <c r="Y15" s="28" t="s">
        <v>216</v>
      </c>
      <c r="Z15" s="28" t="s">
        <v>216</v>
      </c>
      <c r="AA15" s="28" t="s">
        <v>216</v>
      </c>
      <c r="AB15" s="28"/>
      <c r="AC15" s="28" t="s">
        <v>216</v>
      </c>
      <c r="AD15" s="28"/>
      <c r="AE15" s="28" t="s">
        <v>238</v>
      </c>
      <c r="AF15" s="28" t="s">
        <v>216</v>
      </c>
      <c r="AG15" s="28" t="s">
        <v>216</v>
      </c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/>
      <c r="AC16" s="30">
        <v>-3</v>
      </c>
      <c r="AD16" s="30"/>
      <c r="AE16" s="30">
        <f>AVERAGE(-3,-2)</f>
        <v>-2.5</v>
      </c>
      <c r="AF16" s="30">
        <v>-3</v>
      </c>
      <c r="AG16" s="30">
        <v>-3</v>
      </c>
      <c r="AH16" s="30">
        <v>-3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303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 t="s">
        <v>132</v>
      </c>
      <c r="AD17" s="28"/>
      <c r="AE17" s="28" t="s">
        <v>304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f>AVERAGE(4,4,2)</f>
        <v>3.3333333333333335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v>4</v>
      </c>
      <c r="AD18" s="30"/>
      <c r="AE18" s="30">
        <f>AVERAGE(4,1/3)</f>
        <v>2.1666666666666665</v>
      </c>
      <c r="AF18" s="30">
        <v>4</v>
      </c>
      <c r="AG18" s="30">
        <v>4</v>
      </c>
      <c r="AH18" s="30">
        <v>4</v>
      </c>
    </row>
    <row r="20" spans="1:34">
      <c r="A20" s="31" t="s">
        <v>134</v>
      </c>
    </row>
    <row r="21" spans="1:34">
      <c r="A21" s="26" t="s">
        <v>309</v>
      </c>
      <c r="B21" s="56" t="s">
        <v>246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9A12-9FB8-4D40-8DD4-E6FDA27040EF}">
  <dimension ref="A1:AH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310</v>
      </c>
      <c r="C4" s="203"/>
      <c r="D4" s="203"/>
      <c r="F4" s="204" t="s">
        <v>311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312</v>
      </c>
      <c r="C8" s="29" t="s">
        <v>313</v>
      </c>
      <c r="D8" s="29" t="s">
        <v>313</v>
      </c>
      <c r="E8" s="29" t="s">
        <v>313</v>
      </c>
      <c r="F8" s="28" t="s">
        <v>314</v>
      </c>
      <c r="G8" s="29" t="s">
        <v>313</v>
      </c>
      <c r="H8" s="29" t="s">
        <v>313</v>
      </c>
      <c r="I8" s="29" t="s">
        <v>313</v>
      </c>
      <c r="J8" s="29" t="s">
        <v>313</v>
      </c>
      <c r="K8" s="29" t="s">
        <v>313</v>
      </c>
      <c r="L8" s="29" t="s">
        <v>313</v>
      </c>
      <c r="M8" s="29" t="s">
        <v>313</v>
      </c>
      <c r="N8" s="29" t="s">
        <v>313</v>
      </c>
      <c r="O8" s="29" t="s">
        <v>313</v>
      </c>
      <c r="P8" s="29" t="s">
        <v>313</v>
      </c>
      <c r="Q8" s="29" t="s">
        <v>313</v>
      </c>
      <c r="R8" s="29" t="s">
        <v>313</v>
      </c>
      <c r="S8" s="29" t="s">
        <v>313</v>
      </c>
      <c r="T8" s="29" t="s">
        <v>313</v>
      </c>
      <c r="U8" s="29" t="s">
        <v>313</v>
      </c>
      <c r="V8" s="29"/>
      <c r="W8" s="29" t="s">
        <v>313</v>
      </c>
      <c r="X8" s="29" t="s">
        <v>313</v>
      </c>
      <c r="Y8" s="29" t="s">
        <v>313</v>
      </c>
      <c r="Z8" s="29"/>
      <c r="AA8" s="29" t="s">
        <v>313</v>
      </c>
      <c r="AB8" s="29"/>
      <c r="AC8" s="29" t="s">
        <v>313</v>
      </c>
      <c r="AD8" s="29"/>
      <c r="AE8" s="29" t="s">
        <v>313</v>
      </c>
      <c r="AF8" s="29" t="s">
        <v>313</v>
      </c>
      <c r="AG8" s="29" t="s">
        <v>313</v>
      </c>
      <c r="AH8" s="29" t="s">
        <v>313</v>
      </c>
    </row>
    <row r="9" spans="1:34">
      <c r="A9" s="26" t="s">
        <v>121</v>
      </c>
      <c r="B9" s="29" t="s">
        <v>313</v>
      </c>
      <c r="C9" s="29" t="s">
        <v>313</v>
      </c>
      <c r="D9" s="29" t="s">
        <v>313</v>
      </c>
      <c r="E9" s="29" t="s">
        <v>313</v>
      </c>
      <c r="F9" s="28" t="s">
        <v>315</v>
      </c>
      <c r="G9" s="29" t="s">
        <v>313</v>
      </c>
      <c r="H9" s="29" t="s">
        <v>313</v>
      </c>
      <c r="I9" s="29" t="s">
        <v>313</v>
      </c>
      <c r="J9" s="29" t="s">
        <v>313</v>
      </c>
      <c r="K9" s="29" t="s">
        <v>313</v>
      </c>
      <c r="L9" s="29" t="s">
        <v>313</v>
      </c>
      <c r="M9" s="29" t="s">
        <v>313</v>
      </c>
      <c r="N9" s="29" t="s">
        <v>313</v>
      </c>
      <c r="O9" s="29" t="s">
        <v>313</v>
      </c>
      <c r="P9" s="29" t="s">
        <v>313</v>
      </c>
      <c r="Q9" s="29" t="s">
        <v>313</v>
      </c>
      <c r="R9" s="29" t="s">
        <v>313</v>
      </c>
      <c r="S9" s="29" t="s">
        <v>313</v>
      </c>
      <c r="T9" s="29" t="s">
        <v>313</v>
      </c>
      <c r="U9" s="29" t="s">
        <v>313</v>
      </c>
      <c r="V9" s="29"/>
      <c r="W9" s="29" t="s">
        <v>313</v>
      </c>
      <c r="X9" s="29" t="s">
        <v>313</v>
      </c>
      <c r="Y9" s="29" t="s">
        <v>313</v>
      </c>
      <c r="Z9" s="29"/>
      <c r="AA9" s="29" t="s">
        <v>313</v>
      </c>
      <c r="AB9" s="29"/>
      <c r="AC9" s="29" t="s">
        <v>313</v>
      </c>
      <c r="AD9" s="29"/>
      <c r="AE9" s="29" t="s">
        <v>313</v>
      </c>
      <c r="AF9" s="29" t="s">
        <v>313</v>
      </c>
      <c r="AG9" s="29" t="s">
        <v>313</v>
      </c>
      <c r="AH9" s="29" t="s">
        <v>313</v>
      </c>
    </row>
    <row r="10" spans="1:34">
      <c r="A10" s="140" t="s">
        <v>122</v>
      </c>
      <c r="B10" s="167">
        <v>73</v>
      </c>
      <c r="C10" s="167">
        <v>73</v>
      </c>
      <c r="D10" s="167">
        <v>73</v>
      </c>
      <c r="E10" s="167">
        <v>73</v>
      </c>
      <c r="F10" s="167">
        <v>113</v>
      </c>
      <c r="G10" s="167">
        <v>73</v>
      </c>
      <c r="H10" s="167">
        <v>73</v>
      </c>
      <c r="I10" s="167">
        <v>73</v>
      </c>
      <c r="J10" s="167">
        <v>73</v>
      </c>
      <c r="K10" s="167">
        <v>73</v>
      </c>
      <c r="L10" s="167">
        <v>73</v>
      </c>
      <c r="M10" s="167">
        <v>73</v>
      </c>
      <c r="N10" s="167">
        <v>73</v>
      </c>
      <c r="O10" s="167">
        <v>73</v>
      </c>
      <c r="P10" s="167">
        <v>73</v>
      </c>
      <c r="Q10" s="167">
        <v>73</v>
      </c>
      <c r="R10" s="167">
        <v>73</v>
      </c>
      <c r="S10" s="167">
        <v>73</v>
      </c>
      <c r="T10" s="167">
        <v>73</v>
      </c>
      <c r="U10" s="167">
        <v>73</v>
      </c>
      <c r="V10" s="29"/>
      <c r="W10" s="167">
        <v>73</v>
      </c>
      <c r="X10" s="167">
        <v>73</v>
      </c>
      <c r="Y10" s="167">
        <v>73</v>
      </c>
      <c r="Z10" s="29"/>
      <c r="AA10" s="167">
        <v>73</v>
      </c>
      <c r="AB10" s="29"/>
      <c r="AC10" s="167">
        <v>73</v>
      </c>
      <c r="AD10" s="29"/>
      <c r="AE10" s="167">
        <v>73</v>
      </c>
      <c r="AF10" s="167">
        <v>73</v>
      </c>
      <c r="AG10" s="167">
        <v>73</v>
      </c>
      <c r="AH10" s="167">
        <v>73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8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8"/>
      <c r="W11" s="29" t="s">
        <v>124</v>
      </c>
      <c r="X11" s="29" t="s">
        <v>124</v>
      </c>
      <c r="Y11" s="29" t="s">
        <v>124</v>
      </c>
      <c r="Z11" s="28"/>
      <c r="AA11" s="29" t="s">
        <v>124</v>
      </c>
      <c r="AB11" s="28"/>
      <c r="AC11" s="29" t="s">
        <v>124</v>
      </c>
      <c r="AD11" s="28"/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9" t="s">
        <v>124</v>
      </c>
      <c r="C12" s="29" t="s">
        <v>124</v>
      </c>
      <c r="D12" s="29" t="s">
        <v>124</v>
      </c>
      <c r="E12" s="29" t="s">
        <v>124</v>
      </c>
      <c r="F12" s="28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9" t="s">
        <v>124</v>
      </c>
      <c r="O12" s="29" t="s">
        <v>124</v>
      </c>
      <c r="P12" s="29" t="s">
        <v>124</v>
      </c>
      <c r="Q12" s="29" t="s">
        <v>124</v>
      </c>
      <c r="R12" s="29" t="s">
        <v>124</v>
      </c>
      <c r="S12" s="29" t="s">
        <v>124</v>
      </c>
      <c r="T12" s="29" t="s">
        <v>124</v>
      </c>
      <c r="U12" s="29" t="s">
        <v>124</v>
      </c>
      <c r="V12" s="28"/>
      <c r="W12" s="29" t="s">
        <v>124</v>
      </c>
      <c r="X12" s="29" t="s">
        <v>124</v>
      </c>
      <c r="Y12" s="29" t="s">
        <v>124</v>
      </c>
      <c r="Z12" s="28"/>
      <c r="AA12" s="29" t="s">
        <v>124</v>
      </c>
      <c r="AB12" s="28"/>
      <c r="AC12" s="29" t="s">
        <v>124</v>
      </c>
      <c r="AD12" s="28"/>
      <c r="AE12" s="29" t="s">
        <v>124</v>
      </c>
      <c r="AF12" s="29" t="s">
        <v>124</v>
      </c>
      <c r="AG12" s="29" t="s">
        <v>124</v>
      </c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/>
      <c r="W13" s="28" t="s">
        <v>127</v>
      </c>
      <c r="X13" s="28" t="s">
        <v>127</v>
      </c>
      <c r="Y13" s="28" t="s">
        <v>127</v>
      </c>
      <c r="Z13" s="28"/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 t="s">
        <v>127</v>
      </c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316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/>
      <c r="W15" s="28" t="s">
        <v>149</v>
      </c>
      <c r="X15" s="28" t="s">
        <v>149</v>
      </c>
      <c r="Y15" s="28" t="s">
        <v>149</v>
      </c>
      <c r="Z15" s="28"/>
      <c r="AA15" s="28" t="s">
        <v>149</v>
      </c>
      <c r="AB15" s="28"/>
      <c r="AC15" s="28" t="s">
        <v>149</v>
      </c>
      <c r="AD15" s="28"/>
      <c r="AE15" s="28" t="s">
        <v>149</v>
      </c>
      <c r="AF15" s="28" t="s">
        <v>149</v>
      </c>
      <c r="AG15" s="28" t="s">
        <v>149</v>
      </c>
      <c r="AH15" s="28" t="s">
        <v>149</v>
      </c>
    </row>
    <row r="16" spans="1:34">
      <c r="A16" s="26" t="s">
        <v>130</v>
      </c>
      <c r="B16" s="30">
        <v>1</v>
      </c>
      <c r="C16" s="30">
        <v>1</v>
      </c>
      <c r="D16" s="30">
        <v>1</v>
      </c>
      <c r="E16" s="30">
        <v>1</v>
      </c>
      <c r="F16" s="30">
        <f>AVERAGE(1,-2)</f>
        <v>-0.5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/>
      <c r="W16" s="30">
        <v>1</v>
      </c>
      <c r="X16" s="30">
        <v>1</v>
      </c>
      <c r="Y16" s="30">
        <v>1</v>
      </c>
      <c r="Z16" s="30"/>
      <c r="AA16" s="30">
        <v>1</v>
      </c>
      <c r="AB16" s="30"/>
      <c r="AC16" s="30">
        <v>1</v>
      </c>
      <c r="AD16" s="30"/>
      <c r="AE16" s="30">
        <v>1</v>
      </c>
      <c r="AF16" s="30">
        <v>1</v>
      </c>
      <c r="AG16" s="30">
        <v>1</v>
      </c>
      <c r="AH16" s="30">
        <v>1</v>
      </c>
    </row>
    <row r="17" spans="1:34">
      <c r="A17" s="26" t="s">
        <v>131</v>
      </c>
      <c r="B17" s="28" t="s">
        <v>312</v>
      </c>
      <c r="C17" s="28" t="s">
        <v>312</v>
      </c>
      <c r="D17" s="28" t="s">
        <v>312</v>
      </c>
      <c r="E17" s="28" t="s">
        <v>312</v>
      </c>
      <c r="F17" s="28" t="s">
        <v>312</v>
      </c>
      <c r="G17" s="28" t="s">
        <v>312</v>
      </c>
      <c r="H17" s="28" t="s">
        <v>312</v>
      </c>
      <c r="I17" s="28" t="s">
        <v>312</v>
      </c>
      <c r="J17" s="28" t="s">
        <v>312</v>
      </c>
      <c r="K17" s="28" t="s">
        <v>312</v>
      </c>
      <c r="L17" s="28" t="s">
        <v>312</v>
      </c>
      <c r="M17" s="28" t="s">
        <v>312</v>
      </c>
      <c r="N17" s="28" t="s">
        <v>312</v>
      </c>
      <c r="O17" s="28" t="s">
        <v>312</v>
      </c>
      <c r="P17" s="28" t="s">
        <v>312</v>
      </c>
      <c r="Q17" s="28" t="s">
        <v>312</v>
      </c>
      <c r="R17" s="28" t="s">
        <v>312</v>
      </c>
      <c r="S17" s="28" t="s">
        <v>312</v>
      </c>
      <c r="T17" s="28" t="s">
        <v>312</v>
      </c>
      <c r="U17" s="28" t="s">
        <v>312</v>
      </c>
      <c r="V17" s="28"/>
      <c r="W17" s="28" t="s">
        <v>312</v>
      </c>
      <c r="X17" s="28" t="s">
        <v>312</v>
      </c>
      <c r="Y17" s="28" t="s">
        <v>312</v>
      </c>
      <c r="Z17" s="28"/>
      <c r="AA17" s="28" t="s">
        <v>312</v>
      </c>
      <c r="AB17" s="28"/>
      <c r="AC17" s="28" t="s">
        <v>312</v>
      </c>
      <c r="AD17" s="28"/>
      <c r="AE17" s="28" t="s">
        <v>312</v>
      </c>
      <c r="AF17" s="28" t="s">
        <v>312</v>
      </c>
      <c r="AG17" s="28" t="s">
        <v>312</v>
      </c>
      <c r="AH17" s="28" t="s">
        <v>312</v>
      </c>
    </row>
    <row r="18" spans="1:34">
      <c r="A18" s="26" t="s">
        <v>133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/>
      <c r="W18" s="30">
        <v>1.5</v>
      </c>
      <c r="X18" s="30">
        <v>1.5</v>
      </c>
      <c r="Y18" s="30">
        <v>1.5</v>
      </c>
      <c r="Z18" s="30"/>
      <c r="AA18" s="30">
        <v>1.5</v>
      </c>
      <c r="AB18" s="30"/>
      <c r="AC18" s="30">
        <v>1.5</v>
      </c>
      <c r="AD18" s="30"/>
      <c r="AE18" s="30">
        <v>1.5</v>
      </c>
      <c r="AF18" s="30">
        <v>1.5</v>
      </c>
      <c r="AG18" s="30">
        <v>1.5</v>
      </c>
      <c r="AH18" s="30">
        <v>1.5</v>
      </c>
    </row>
    <row r="20" spans="1:34">
      <c r="A20" s="31" t="s">
        <v>134</v>
      </c>
    </row>
    <row r="21" spans="1:34">
      <c r="A21" s="26" t="s">
        <v>317</v>
      </c>
      <c r="B21" s="56" t="s">
        <v>318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6C0D-E074-4E2C-96FC-6608CA00C2A7}">
  <dimension ref="A1:AH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310</v>
      </c>
      <c r="C4" s="203"/>
      <c r="D4" s="203"/>
      <c r="F4" s="204" t="s">
        <v>319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312</v>
      </c>
      <c r="C8" s="28" t="s">
        <v>313</v>
      </c>
      <c r="D8" s="28" t="s">
        <v>313</v>
      </c>
      <c r="E8" s="28" t="s">
        <v>313</v>
      </c>
      <c r="F8" s="28" t="s">
        <v>314</v>
      </c>
      <c r="G8" s="28" t="s">
        <v>313</v>
      </c>
      <c r="H8" s="28" t="s">
        <v>313</v>
      </c>
      <c r="I8" s="28" t="s">
        <v>313</v>
      </c>
      <c r="J8" s="28" t="s">
        <v>313</v>
      </c>
      <c r="K8" s="28" t="s">
        <v>313</v>
      </c>
      <c r="L8" s="28" t="s">
        <v>313</v>
      </c>
      <c r="M8" s="28" t="s">
        <v>313</v>
      </c>
      <c r="N8" s="28" t="s">
        <v>313</v>
      </c>
      <c r="O8" s="28" t="s">
        <v>313</v>
      </c>
      <c r="P8" s="29" t="s">
        <v>313</v>
      </c>
      <c r="Q8" s="29" t="s">
        <v>313</v>
      </c>
      <c r="R8" s="29" t="s">
        <v>313</v>
      </c>
      <c r="S8" s="29" t="s">
        <v>313</v>
      </c>
      <c r="T8" s="29" t="s">
        <v>313</v>
      </c>
      <c r="U8" s="29" t="s">
        <v>313</v>
      </c>
      <c r="V8" s="29"/>
      <c r="W8" s="29" t="s">
        <v>313</v>
      </c>
      <c r="X8" s="29" t="s">
        <v>313</v>
      </c>
      <c r="Y8" s="29" t="s">
        <v>313</v>
      </c>
      <c r="Z8" s="29"/>
      <c r="AA8" s="29" t="s">
        <v>313</v>
      </c>
      <c r="AB8" s="29"/>
      <c r="AC8" s="29" t="s">
        <v>313</v>
      </c>
      <c r="AD8" s="29"/>
      <c r="AE8" s="29" t="s">
        <v>313</v>
      </c>
      <c r="AF8" s="29" t="s">
        <v>313</v>
      </c>
      <c r="AG8" s="29" t="s">
        <v>313</v>
      </c>
      <c r="AH8" s="29" t="s">
        <v>313</v>
      </c>
    </row>
    <row r="9" spans="1:34">
      <c r="A9" s="26" t="s">
        <v>121</v>
      </c>
      <c r="B9" s="28" t="s">
        <v>313</v>
      </c>
      <c r="C9" s="28" t="s">
        <v>313</v>
      </c>
      <c r="D9" s="28" t="s">
        <v>313</v>
      </c>
      <c r="E9" s="28" t="s">
        <v>313</v>
      </c>
      <c r="F9" s="28" t="s">
        <v>315</v>
      </c>
      <c r="G9" s="28" t="s">
        <v>313</v>
      </c>
      <c r="H9" s="28" t="s">
        <v>313</v>
      </c>
      <c r="I9" s="28" t="s">
        <v>313</v>
      </c>
      <c r="J9" s="28" t="s">
        <v>313</v>
      </c>
      <c r="K9" s="28" t="s">
        <v>313</v>
      </c>
      <c r="L9" s="28" t="s">
        <v>313</v>
      </c>
      <c r="M9" s="28" t="s">
        <v>313</v>
      </c>
      <c r="N9" s="28" t="s">
        <v>313</v>
      </c>
      <c r="O9" s="28" t="s">
        <v>313</v>
      </c>
      <c r="P9" s="29" t="s">
        <v>313</v>
      </c>
      <c r="Q9" s="29" t="s">
        <v>313</v>
      </c>
      <c r="R9" s="29" t="s">
        <v>313</v>
      </c>
      <c r="S9" s="29" t="s">
        <v>313</v>
      </c>
      <c r="T9" s="29" t="s">
        <v>313</v>
      </c>
      <c r="U9" s="29" t="s">
        <v>313</v>
      </c>
      <c r="V9" s="29"/>
      <c r="W9" s="29" t="s">
        <v>313</v>
      </c>
      <c r="X9" s="29" t="s">
        <v>313</v>
      </c>
      <c r="Y9" s="29" t="s">
        <v>313</v>
      </c>
      <c r="Z9" s="29"/>
      <c r="AA9" s="29" t="s">
        <v>313</v>
      </c>
      <c r="AB9" s="29"/>
      <c r="AC9" s="29" t="s">
        <v>313</v>
      </c>
      <c r="AD9" s="29"/>
      <c r="AE9" s="29" t="s">
        <v>313</v>
      </c>
      <c r="AF9" s="29" t="s">
        <v>313</v>
      </c>
      <c r="AG9" s="29" t="s">
        <v>313</v>
      </c>
      <c r="AH9" s="29" t="s">
        <v>313</v>
      </c>
    </row>
    <row r="10" spans="1:34">
      <c r="A10" s="140" t="s">
        <v>122</v>
      </c>
      <c r="B10" s="167">
        <v>73</v>
      </c>
      <c r="C10" s="167">
        <v>73</v>
      </c>
      <c r="D10" s="167">
        <v>73</v>
      </c>
      <c r="E10" s="167">
        <v>73</v>
      </c>
      <c r="F10" s="167">
        <v>113</v>
      </c>
      <c r="G10" s="167">
        <v>73</v>
      </c>
      <c r="H10" s="167">
        <v>73</v>
      </c>
      <c r="I10" s="167">
        <v>73</v>
      </c>
      <c r="J10" s="167">
        <v>73</v>
      </c>
      <c r="K10" s="167">
        <v>73</v>
      </c>
      <c r="L10" s="167">
        <v>73</v>
      </c>
      <c r="M10" s="167">
        <v>73</v>
      </c>
      <c r="N10" s="167">
        <v>73</v>
      </c>
      <c r="O10" s="167">
        <v>73</v>
      </c>
      <c r="P10" s="167">
        <v>73</v>
      </c>
      <c r="Q10" s="167">
        <v>73</v>
      </c>
      <c r="R10" s="167">
        <v>73</v>
      </c>
      <c r="S10" s="167">
        <v>73</v>
      </c>
      <c r="T10" s="167">
        <v>73</v>
      </c>
      <c r="U10" s="167">
        <v>73</v>
      </c>
      <c r="V10" s="29"/>
      <c r="W10" s="167">
        <v>73</v>
      </c>
      <c r="X10" s="167">
        <v>73</v>
      </c>
      <c r="Y10" s="167">
        <v>73</v>
      </c>
      <c r="Z10" s="29"/>
      <c r="AA10" s="167">
        <v>73</v>
      </c>
      <c r="AB10" s="29"/>
      <c r="AC10" s="167">
        <v>73</v>
      </c>
      <c r="AD10" s="29"/>
      <c r="AE10" s="167">
        <v>73</v>
      </c>
      <c r="AF10" s="167">
        <v>73</v>
      </c>
      <c r="AG10" s="167">
        <v>73</v>
      </c>
      <c r="AH10" s="167">
        <v>73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8"/>
      <c r="W11" s="29" t="s">
        <v>124</v>
      </c>
      <c r="X11" s="29" t="s">
        <v>124</v>
      </c>
      <c r="Y11" s="29" t="s">
        <v>124</v>
      </c>
      <c r="Z11" s="28"/>
      <c r="AA11" s="29" t="s">
        <v>124</v>
      </c>
      <c r="AB11" s="28"/>
      <c r="AC11" s="29" t="s">
        <v>124</v>
      </c>
      <c r="AD11" s="28"/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9" t="s">
        <v>124</v>
      </c>
      <c r="Q12" s="29" t="s">
        <v>124</v>
      </c>
      <c r="R12" s="29" t="s">
        <v>124</v>
      </c>
      <c r="S12" s="29" t="s">
        <v>124</v>
      </c>
      <c r="T12" s="29" t="s">
        <v>124</v>
      </c>
      <c r="U12" s="29" t="s">
        <v>124</v>
      </c>
      <c r="V12" s="28"/>
      <c r="W12" s="29" t="s">
        <v>124</v>
      </c>
      <c r="X12" s="29" t="s">
        <v>124</v>
      </c>
      <c r="Y12" s="29" t="s">
        <v>124</v>
      </c>
      <c r="Z12" s="28"/>
      <c r="AA12" s="29" t="s">
        <v>124</v>
      </c>
      <c r="AB12" s="28"/>
      <c r="AC12" s="29" t="s">
        <v>124</v>
      </c>
      <c r="AD12" s="28"/>
      <c r="AE12" s="29" t="s">
        <v>124</v>
      </c>
      <c r="AF12" s="29" t="s">
        <v>124</v>
      </c>
      <c r="AG12" s="29" t="s">
        <v>124</v>
      </c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/>
      <c r="W13" s="28" t="s">
        <v>127</v>
      </c>
      <c r="X13" s="28" t="s">
        <v>127</v>
      </c>
      <c r="Y13" s="28" t="s">
        <v>127</v>
      </c>
      <c r="Z13" s="28"/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 t="s">
        <v>127</v>
      </c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316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/>
      <c r="W15" s="28" t="s">
        <v>149</v>
      </c>
      <c r="X15" s="28" t="s">
        <v>149</v>
      </c>
      <c r="Y15" s="28" t="s">
        <v>149</v>
      </c>
      <c r="Z15" s="28"/>
      <c r="AA15" s="28" t="s">
        <v>149</v>
      </c>
      <c r="AB15" s="28"/>
      <c r="AC15" s="28" t="s">
        <v>149</v>
      </c>
      <c r="AD15" s="28"/>
      <c r="AE15" s="28" t="s">
        <v>149</v>
      </c>
      <c r="AF15" s="28" t="s">
        <v>149</v>
      </c>
      <c r="AG15" s="28" t="s">
        <v>149</v>
      </c>
      <c r="AH15" s="28" t="s">
        <v>149</v>
      </c>
    </row>
    <row r="16" spans="1:34">
      <c r="A16" s="26" t="s">
        <v>130</v>
      </c>
      <c r="B16" s="30">
        <v>1</v>
      </c>
      <c r="C16" s="30">
        <v>1</v>
      </c>
      <c r="D16" s="30">
        <v>1</v>
      </c>
      <c r="E16" s="30">
        <v>1</v>
      </c>
      <c r="F16" s="30">
        <f>AVERAGE(1,-2)</f>
        <v>-0.5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/>
      <c r="W16" s="30">
        <v>1</v>
      </c>
      <c r="X16" s="30">
        <v>1</v>
      </c>
      <c r="Y16" s="30">
        <v>1</v>
      </c>
      <c r="Z16" s="30"/>
      <c r="AA16" s="30">
        <v>1</v>
      </c>
      <c r="AB16" s="30"/>
      <c r="AC16" s="30">
        <v>1</v>
      </c>
      <c r="AD16" s="30"/>
      <c r="AE16" s="30">
        <v>1</v>
      </c>
      <c r="AF16" s="30">
        <v>1</v>
      </c>
      <c r="AG16" s="30">
        <v>1</v>
      </c>
      <c r="AH16" s="30">
        <v>1</v>
      </c>
    </row>
    <row r="17" spans="1:34">
      <c r="A17" s="26" t="s">
        <v>131</v>
      </c>
      <c r="B17" s="28" t="s">
        <v>312</v>
      </c>
      <c r="C17" s="28" t="s">
        <v>312</v>
      </c>
      <c r="D17" s="28" t="s">
        <v>312</v>
      </c>
      <c r="E17" s="28" t="s">
        <v>312</v>
      </c>
      <c r="F17" s="28" t="s">
        <v>312</v>
      </c>
      <c r="G17" s="28" t="s">
        <v>312</v>
      </c>
      <c r="H17" s="28" t="s">
        <v>312</v>
      </c>
      <c r="I17" s="28" t="s">
        <v>312</v>
      </c>
      <c r="J17" s="28" t="s">
        <v>312</v>
      </c>
      <c r="K17" s="28" t="s">
        <v>312</v>
      </c>
      <c r="L17" s="28" t="s">
        <v>312</v>
      </c>
      <c r="M17" s="28" t="s">
        <v>312</v>
      </c>
      <c r="N17" s="28" t="s">
        <v>312</v>
      </c>
      <c r="O17" s="28" t="s">
        <v>312</v>
      </c>
      <c r="P17" s="28" t="s">
        <v>312</v>
      </c>
      <c r="Q17" s="28" t="s">
        <v>312</v>
      </c>
      <c r="R17" s="28" t="s">
        <v>312</v>
      </c>
      <c r="S17" s="28" t="s">
        <v>312</v>
      </c>
      <c r="T17" s="28" t="s">
        <v>312</v>
      </c>
      <c r="U17" s="28" t="s">
        <v>312</v>
      </c>
      <c r="V17" s="28"/>
      <c r="W17" s="28" t="s">
        <v>312</v>
      </c>
      <c r="X17" s="28" t="s">
        <v>312</v>
      </c>
      <c r="Y17" s="28" t="s">
        <v>312</v>
      </c>
      <c r="Z17" s="28"/>
      <c r="AA17" s="28" t="s">
        <v>312</v>
      </c>
      <c r="AB17" s="28"/>
      <c r="AC17" s="28" t="s">
        <v>312</v>
      </c>
      <c r="AD17" s="28"/>
      <c r="AE17" s="28" t="s">
        <v>312</v>
      </c>
      <c r="AF17" s="28" t="s">
        <v>312</v>
      </c>
      <c r="AG17" s="28" t="s">
        <v>312</v>
      </c>
      <c r="AH17" s="28" t="s">
        <v>312</v>
      </c>
    </row>
    <row r="18" spans="1:34">
      <c r="A18" s="26" t="s">
        <v>133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/>
      <c r="W18" s="30">
        <v>1.5</v>
      </c>
      <c r="X18" s="30">
        <v>1.5</v>
      </c>
      <c r="Y18" s="30">
        <v>1.5</v>
      </c>
      <c r="Z18" s="30"/>
      <c r="AA18" s="30">
        <v>1.5</v>
      </c>
      <c r="AB18" s="30"/>
      <c r="AC18" s="30">
        <v>1.5</v>
      </c>
      <c r="AD18" s="30"/>
      <c r="AE18" s="30">
        <v>1.5</v>
      </c>
      <c r="AF18" s="30">
        <v>1.5</v>
      </c>
      <c r="AG18" s="30">
        <v>1.5</v>
      </c>
      <c r="AH18" s="30">
        <v>1.5</v>
      </c>
    </row>
    <row r="20" spans="1:34">
      <c r="A20" s="31" t="s">
        <v>134</v>
      </c>
    </row>
    <row r="21" spans="1:34">
      <c r="A21" s="26" t="s">
        <v>320</v>
      </c>
      <c r="B21" s="56" t="s">
        <v>318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8A9B-BFB4-432D-9A95-6E2679EF5B61}">
  <dimension ref="A1:AH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16.5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321</v>
      </c>
      <c r="C4" s="203"/>
      <c r="D4" s="203"/>
      <c r="F4" s="204" t="s">
        <v>322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324</v>
      </c>
      <c r="C8" s="29" t="s">
        <v>325</v>
      </c>
      <c r="D8" s="29" t="s">
        <v>325</v>
      </c>
      <c r="E8" s="29" t="s">
        <v>325</v>
      </c>
      <c r="F8" s="29" t="s">
        <v>325</v>
      </c>
      <c r="G8" s="29" t="s">
        <v>325</v>
      </c>
      <c r="H8" s="29" t="s">
        <v>325</v>
      </c>
      <c r="I8" s="29" t="s">
        <v>325</v>
      </c>
      <c r="J8" s="29" t="s">
        <v>325</v>
      </c>
      <c r="K8" s="29" t="s">
        <v>325</v>
      </c>
      <c r="L8" s="29" t="s">
        <v>325</v>
      </c>
      <c r="M8" s="29" t="s">
        <v>325</v>
      </c>
      <c r="N8" s="29" t="s">
        <v>325</v>
      </c>
      <c r="O8" s="29" t="s">
        <v>325</v>
      </c>
      <c r="P8" s="29" t="s">
        <v>325</v>
      </c>
      <c r="Q8" s="29" t="s">
        <v>325</v>
      </c>
      <c r="R8" s="29" t="s">
        <v>325</v>
      </c>
      <c r="S8" s="29" t="s">
        <v>325</v>
      </c>
      <c r="T8" s="29" t="s">
        <v>325</v>
      </c>
      <c r="U8" s="29" t="s">
        <v>325</v>
      </c>
      <c r="V8" s="29"/>
      <c r="W8" s="29" t="s">
        <v>325</v>
      </c>
      <c r="X8" s="29" t="s">
        <v>325</v>
      </c>
      <c r="Y8" s="29" t="s">
        <v>325</v>
      </c>
      <c r="Z8" s="29"/>
      <c r="AA8" s="29" t="s">
        <v>325</v>
      </c>
      <c r="AB8" s="29"/>
      <c r="AC8" s="29" t="s">
        <v>325</v>
      </c>
      <c r="AD8" s="29"/>
      <c r="AE8" s="29" t="s">
        <v>325</v>
      </c>
      <c r="AF8" s="29" t="s">
        <v>325</v>
      </c>
      <c r="AG8" s="29" t="s">
        <v>325</v>
      </c>
      <c r="AH8" s="29" t="s">
        <v>325</v>
      </c>
    </row>
    <row r="9" spans="1:34">
      <c r="A9" s="26" t="s">
        <v>121</v>
      </c>
      <c r="B9" s="28" t="s">
        <v>325</v>
      </c>
      <c r="C9" s="28" t="s">
        <v>325</v>
      </c>
      <c r="D9" s="28" t="s">
        <v>325</v>
      </c>
      <c r="E9" s="28" t="s">
        <v>325</v>
      </c>
      <c r="F9" s="28" t="s">
        <v>325</v>
      </c>
      <c r="G9" s="28" t="s">
        <v>325</v>
      </c>
      <c r="H9" s="28" t="s">
        <v>325</v>
      </c>
      <c r="I9" s="28" t="s">
        <v>325</v>
      </c>
      <c r="J9" s="28" t="s">
        <v>325</v>
      </c>
      <c r="K9" s="28" t="s">
        <v>325</v>
      </c>
      <c r="L9" s="28" t="s">
        <v>325</v>
      </c>
      <c r="M9" s="28" t="s">
        <v>325</v>
      </c>
      <c r="N9" s="28" t="s">
        <v>325</v>
      </c>
      <c r="O9" s="28" t="s">
        <v>325</v>
      </c>
      <c r="P9" s="28" t="s">
        <v>325</v>
      </c>
      <c r="Q9" s="28" t="s">
        <v>325</v>
      </c>
      <c r="R9" s="28" t="s">
        <v>325</v>
      </c>
      <c r="S9" s="28" t="s">
        <v>325</v>
      </c>
      <c r="T9" s="28" t="s">
        <v>325</v>
      </c>
      <c r="U9" s="28" t="s">
        <v>325</v>
      </c>
      <c r="V9" s="29"/>
      <c r="W9" s="28" t="s">
        <v>325</v>
      </c>
      <c r="X9" s="28" t="s">
        <v>325</v>
      </c>
      <c r="Y9" s="28" t="s">
        <v>325</v>
      </c>
      <c r="Z9" s="29"/>
      <c r="AA9" s="28" t="s">
        <v>325</v>
      </c>
      <c r="AB9" s="29"/>
      <c r="AC9" s="28" t="s">
        <v>325</v>
      </c>
      <c r="AD9" s="29"/>
      <c r="AE9" s="28" t="s">
        <v>325</v>
      </c>
      <c r="AF9" s="28" t="s">
        <v>325</v>
      </c>
      <c r="AG9" s="28" t="s">
        <v>325</v>
      </c>
      <c r="AH9" s="28" t="s">
        <v>325</v>
      </c>
    </row>
    <row r="10" spans="1:34">
      <c r="A10" s="140" t="s">
        <v>122</v>
      </c>
      <c r="B10" s="167">
        <v>70</v>
      </c>
      <c r="C10" s="167">
        <v>70</v>
      </c>
      <c r="D10" s="167">
        <v>70</v>
      </c>
      <c r="E10" s="167">
        <v>70</v>
      </c>
      <c r="F10" s="167">
        <v>70</v>
      </c>
      <c r="G10" s="167">
        <v>70</v>
      </c>
      <c r="H10" s="167">
        <v>70</v>
      </c>
      <c r="I10" s="167">
        <v>70</v>
      </c>
      <c r="J10" s="167">
        <v>70</v>
      </c>
      <c r="K10" s="167">
        <v>70</v>
      </c>
      <c r="L10" s="167">
        <v>70</v>
      </c>
      <c r="M10" s="167">
        <v>70</v>
      </c>
      <c r="N10" s="167">
        <v>70</v>
      </c>
      <c r="O10" s="167">
        <v>70</v>
      </c>
      <c r="P10" s="167">
        <v>70</v>
      </c>
      <c r="Q10" s="167">
        <v>70</v>
      </c>
      <c r="R10" s="167">
        <v>70</v>
      </c>
      <c r="S10" s="167">
        <v>70</v>
      </c>
      <c r="T10" s="167">
        <v>70</v>
      </c>
      <c r="U10" s="167">
        <v>70</v>
      </c>
      <c r="V10" s="29"/>
      <c r="W10" s="167">
        <v>70</v>
      </c>
      <c r="X10" s="167">
        <v>70</v>
      </c>
      <c r="Y10" s="167">
        <v>70</v>
      </c>
      <c r="Z10" s="29"/>
      <c r="AA10" s="167">
        <v>70</v>
      </c>
      <c r="AB10" s="29"/>
      <c r="AC10" s="167">
        <v>70</v>
      </c>
      <c r="AD10" s="29"/>
      <c r="AE10" s="167">
        <v>70</v>
      </c>
      <c r="AF10" s="167">
        <v>70</v>
      </c>
      <c r="AG10" s="167">
        <v>70</v>
      </c>
      <c r="AH10" s="167">
        <v>70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8"/>
      <c r="W11" s="29" t="s">
        <v>124</v>
      </c>
      <c r="X11" s="29" t="s">
        <v>124</v>
      </c>
      <c r="Y11" s="29" t="s">
        <v>124</v>
      </c>
      <c r="Z11" s="28"/>
      <c r="AA11" s="29" t="s">
        <v>124</v>
      </c>
      <c r="AB11" s="28"/>
      <c r="AC11" s="29" t="s">
        <v>124</v>
      </c>
      <c r="AD11" s="28"/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9" t="s">
        <v>124</v>
      </c>
      <c r="C12" s="29" t="s">
        <v>124</v>
      </c>
      <c r="D12" s="29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9" t="s">
        <v>124</v>
      </c>
      <c r="O12" s="29" t="s">
        <v>124</v>
      </c>
      <c r="P12" s="29" t="s">
        <v>124</v>
      </c>
      <c r="Q12" s="29" t="s">
        <v>124</v>
      </c>
      <c r="R12" s="29" t="s">
        <v>124</v>
      </c>
      <c r="S12" s="29" t="s">
        <v>124</v>
      </c>
      <c r="T12" s="29" t="s">
        <v>124</v>
      </c>
      <c r="U12" s="29" t="s">
        <v>124</v>
      </c>
      <c r="V12" s="28"/>
      <c r="W12" s="29" t="s">
        <v>124</v>
      </c>
      <c r="X12" s="29" t="s">
        <v>124</v>
      </c>
      <c r="Y12" s="29" t="s">
        <v>124</v>
      </c>
      <c r="Z12" s="28"/>
      <c r="AA12" s="29" t="s">
        <v>124</v>
      </c>
      <c r="AB12" s="28"/>
      <c r="AC12" s="29" t="s">
        <v>124</v>
      </c>
      <c r="AD12" s="28"/>
      <c r="AE12" s="29" t="s">
        <v>124</v>
      </c>
      <c r="AF12" s="29" t="s">
        <v>124</v>
      </c>
      <c r="AG12" s="29" t="s">
        <v>124</v>
      </c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/>
      <c r="W13" s="28" t="s">
        <v>127</v>
      </c>
      <c r="X13" s="28" t="s">
        <v>127</v>
      </c>
      <c r="Y13" s="28" t="s">
        <v>127</v>
      </c>
      <c r="Z13" s="28"/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 t="s">
        <v>127</v>
      </c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118</v>
      </c>
      <c r="U15" s="28" t="s">
        <v>118</v>
      </c>
      <c r="V15" s="28"/>
      <c r="W15" s="28" t="s">
        <v>118</v>
      </c>
      <c r="X15" s="28" t="s">
        <v>118</v>
      </c>
      <c r="Y15" s="28" t="s">
        <v>118</v>
      </c>
      <c r="Z15" s="28"/>
      <c r="AA15" s="28" t="s">
        <v>118</v>
      </c>
      <c r="AB15" s="28"/>
      <c r="AC15" s="28" t="s">
        <v>118</v>
      </c>
      <c r="AD15" s="28"/>
      <c r="AE15" s="28" t="s">
        <v>118</v>
      </c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/>
      <c r="W16" s="30">
        <v>3</v>
      </c>
      <c r="X16" s="30">
        <v>3</v>
      </c>
      <c r="Y16" s="30">
        <v>3</v>
      </c>
      <c r="Z16" s="30"/>
      <c r="AA16" s="30">
        <v>3</v>
      </c>
      <c r="AB16" s="30"/>
      <c r="AC16" s="30">
        <v>3</v>
      </c>
      <c r="AD16" s="30"/>
      <c r="AE16" s="30">
        <v>3</v>
      </c>
      <c r="AF16" s="30">
        <v>3</v>
      </c>
      <c r="AG16" s="30">
        <v>3</v>
      </c>
      <c r="AH16" s="30">
        <v>3</v>
      </c>
    </row>
    <row r="17" spans="1:34">
      <c r="A17" s="26" t="s">
        <v>131</v>
      </c>
      <c r="B17" s="28" t="s">
        <v>312</v>
      </c>
      <c r="C17" s="28" t="s">
        <v>312</v>
      </c>
      <c r="D17" s="28" t="s">
        <v>312</v>
      </c>
      <c r="E17" s="28" t="s">
        <v>312</v>
      </c>
      <c r="F17" s="28" t="s">
        <v>312</v>
      </c>
      <c r="G17" s="28" t="s">
        <v>312</v>
      </c>
      <c r="H17" s="28" t="s">
        <v>312</v>
      </c>
      <c r="I17" s="28" t="s">
        <v>312</v>
      </c>
      <c r="J17" s="28" t="s">
        <v>312</v>
      </c>
      <c r="K17" s="28" t="s">
        <v>312</v>
      </c>
      <c r="L17" s="28" t="s">
        <v>312</v>
      </c>
      <c r="M17" s="28" t="s">
        <v>312</v>
      </c>
      <c r="N17" s="28" t="s">
        <v>312</v>
      </c>
      <c r="O17" s="28" t="s">
        <v>312</v>
      </c>
      <c r="P17" s="28" t="s">
        <v>312</v>
      </c>
      <c r="Q17" s="28" t="s">
        <v>312</v>
      </c>
      <c r="R17" s="28" t="s">
        <v>312</v>
      </c>
      <c r="S17" s="28" t="s">
        <v>312</v>
      </c>
      <c r="T17" s="28" t="s">
        <v>312</v>
      </c>
      <c r="U17" s="28" t="s">
        <v>312</v>
      </c>
      <c r="V17" s="28"/>
      <c r="W17" s="28" t="s">
        <v>312</v>
      </c>
      <c r="X17" s="28" t="s">
        <v>312</v>
      </c>
      <c r="Y17" s="28" t="s">
        <v>312</v>
      </c>
      <c r="Z17" s="28"/>
      <c r="AA17" s="28" t="s">
        <v>312</v>
      </c>
      <c r="AB17" s="28"/>
      <c r="AC17" s="28" t="s">
        <v>312</v>
      </c>
      <c r="AD17" s="28"/>
      <c r="AE17" s="28" t="s">
        <v>312</v>
      </c>
      <c r="AF17" s="28" t="s">
        <v>312</v>
      </c>
      <c r="AG17" s="28" t="s">
        <v>312</v>
      </c>
      <c r="AH17" s="28" t="s">
        <v>312</v>
      </c>
    </row>
    <row r="18" spans="1:34">
      <c r="A18" s="26" t="s">
        <v>133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/>
      <c r="W18" s="30">
        <v>1.5</v>
      </c>
      <c r="X18" s="30">
        <v>1.5</v>
      </c>
      <c r="Y18" s="30">
        <v>1.5</v>
      </c>
      <c r="Z18" s="30"/>
      <c r="AA18" s="30">
        <v>1.5</v>
      </c>
      <c r="AB18" s="30"/>
      <c r="AC18" s="30">
        <v>1.5</v>
      </c>
      <c r="AD18" s="30"/>
      <c r="AE18" s="30">
        <v>1.5</v>
      </c>
      <c r="AF18" s="30">
        <v>1.5</v>
      </c>
      <c r="AG18" s="30">
        <v>1.5</v>
      </c>
      <c r="AH18" s="30">
        <v>1.5</v>
      </c>
    </row>
    <row r="20" spans="1:34">
      <c r="A20" s="31" t="s">
        <v>134</v>
      </c>
    </row>
    <row r="21" spans="1:34">
      <c r="A21" s="26" t="s">
        <v>326</v>
      </c>
      <c r="B21" s="56" t="s">
        <v>327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63DA-92F9-4133-A461-9FA8CA61F1C9}">
  <dimension ref="A1:AH22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17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328</v>
      </c>
      <c r="C4" s="203"/>
      <c r="D4" s="203"/>
      <c r="F4" s="204" t="s">
        <v>329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330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180</v>
      </c>
      <c r="C8" s="29" t="s">
        <v>331</v>
      </c>
      <c r="D8" s="29" t="s">
        <v>331</v>
      </c>
      <c r="E8" s="29" t="s">
        <v>331</v>
      </c>
      <c r="F8" s="113" t="s">
        <v>332</v>
      </c>
      <c r="G8" s="29" t="s">
        <v>331</v>
      </c>
      <c r="H8" s="29" t="s">
        <v>331</v>
      </c>
      <c r="I8" s="29" t="s">
        <v>331</v>
      </c>
      <c r="J8" s="29" t="s">
        <v>331</v>
      </c>
      <c r="K8" s="29" t="s">
        <v>331</v>
      </c>
      <c r="L8" s="29" t="s">
        <v>331</v>
      </c>
      <c r="M8" s="29" t="s">
        <v>331</v>
      </c>
      <c r="N8" s="29" t="s">
        <v>331</v>
      </c>
      <c r="O8" s="29" t="s">
        <v>331</v>
      </c>
      <c r="P8" s="29" t="s">
        <v>331</v>
      </c>
      <c r="Q8" s="29" t="s">
        <v>331</v>
      </c>
      <c r="R8" s="29" t="s">
        <v>331</v>
      </c>
      <c r="S8" s="29" t="s">
        <v>331</v>
      </c>
      <c r="T8" s="29" t="s">
        <v>331</v>
      </c>
      <c r="U8" s="29" t="s">
        <v>331</v>
      </c>
      <c r="V8" s="29"/>
      <c r="W8" s="29" t="s">
        <v>331</v>
      </c>
      <c r="X8" s="29" t="s">
        <v>331</v>
      </c>
      <c r="Y8" s="29" t="s">
        <v>331</v>
      </c>
      <c r="Z8" s="29"/>
      <c r="AA8" s="29" t="s">
        <v>331</v>
      </c>
      <c r="AB8" s="29"/>
      <c r="AC8" s="29" t="s">
        <v>331</v>
      </c>
      <c r="AD8" s="29"/>
      <c r="AE8" s="29" t="s">
        <v>331</v>
      </c>
      <c r="AF8" s="29" t="s">
        <v>331</v>
      </c>
      <c r="AG8" s="29" t="s">
        <v>331</v>
      </c>
      <c r="AH8" s="29" t="s">
        <v>331</v>
      </c>
    </row>
    <row r="9" spans="1:34">
      <c r="A9" s="26" t="s">
        <v>121</v>
      </c>
      <c r="B9" s="29" t="s">
        <v>333</v>
      </c>
      <c r="C9" s="29" t="s">
        <v>331</v>
      </c>
      <c r="D9" s="29" t="s">
        <v>331</v>
      </c>
      <c r="E9" s="29" t="s">
        <v>331</v>
      </c>
      <c r="F9" s="113" t="s">
        <v>334</v>
      </c>
      <c r="G9" s="29" t="s">
        <v>333</v>
      </c>
      <c r="H9" s="29" t="s">
        <v>333</v>
      </c>
      <c r="I9" s="29" t="s">
        <v>333</v>
      </c>
      <c r="J9" s="29" t="s">
        <v>331</v>
      </c>
      <c r="K9" s="29" t="s">
        <v>331</v>
      </c>
      <c r="L9" s="29" t="s">
        <v>331</v>
      </c>
      <c r="M9" s="29" t="s">
        <v>331</v>
      </c>
      <c r="N9" s="29" t="s">
        <v>331</v>
      </c>
      <c r="O9" s="29" t="s">
        <v>331</v>
      </c>
      <c r="P9" s="29" t="s">
        <v>331</v>
      </c>
      <c r="Q9" s="29" t="s">
        <v>331</v>
      </c>
      <c r="R9" s="29" t="s">
        <v>331</v>
      </c>
      <c r="S9" s="29" t="s">
        <v>331</v>
      </c>
      <c r="T9" s="29" t="s">
        <v>331</v>
      </c>
      <c r="U9" s="29" t="s">
        <v>331</v>
      </c>
      <c r="V9" s="29"/>
      <c r="W9" s="29" t="s">
        <v>331</v>
      </c>
      <c r="X9" s="29" t="s">
        <v>331</v>
      </c>
      <c r="Y9" s="29" t="s">
        <v>331</v>
      </c>
      <c r="Z9" s="29"/>
      <c r="AA9" s="29" t="s">
        <v>331</v>
      </c>
      <c r="AB9" s="29"/>
      <c r="AC9" s="29" t="s">
        <v>331</v>
      </c>
      <c r="AD9" s="29"/>
      <c r="AE9" s="29" t="s">
        <v>331</v>
      </c>
      <c r="AF9" s="29" t="s">
        <v>331</v>
      </c>
      <c r="AG9" s="29" t="s">
        <v>331</v>
      </c>
      <c r="AH9" s="29" t="s">
        <v>331</v>
      </c>
    </row>
    <row r="10" spans="1:34">
      <c r="A10" s="140" t="s">
        <v>122</v>
      </c>
      <c r="B10" s="167">
        <v>114</v>
      </c>
      <c r="C10" s="167">
        <v>42</v>
      </c>
      <c r="D10" s="167">
        <v>42</v>
      </c>
      <c r="E10" s="167">
        <v>42</v>
      </c>
      <c r="F10" s="167">
        <v>115</v>
      </c>
      <c r="G10" s="167">
        <v>114</v>
      </c>
      <c r="H10" s="167">
        <v>114</v>
      </c>
      <c r="I10" s="167">
        <v>114</v>
      </c>
      <c r="J10" s="167">
        <v>42</v>
      </c>
      <c r="K10" s="167">
        <v>42</v>
      </c>
      <c r="L10" s="167">
        <v>42</v>
      </c>
      <c r="M10" s="167">
        <v>42</v>
      </c>
      <c r="N10" s="167">
        <v>42</v>
      </c>
      <c r="O10" s="167">
        <v>42</v>
      </c>
      <c r="P10" s="167">
        <v>42</v>
      </c>
      <c r="Q10" s="167">
        <v>42</v>
      </c>
      <c r="R10" s="167">
        <v>42</v>
      </c>
      <c r="S10" s="167">
        <v>42</v>
      </c>
      <c r="T10" s="167">
        <v>42</v>
      </c>
      <c r="U10" s="167">
        <v>42</v>
      </c>
      <c r="V10" s="167"/>
      <c r="W10" s="167">
        <v>42</v>
      </c>
      <c r="X10" s="167">
        <v>42</v>
      </c>
      <c r="Y10" s="167">
        <v>42</v>
      </c>
      <c r="Z10" s="167"/>
      <c r="AA10" s="167">
        <v>42</v>
      </c>
      <c r="AB10" s="167"/>
      <c r="AC10" s="167">
        <v>42</v>
      </c>
      <c r="AD10" s="167"/>
      <c r="AE10" s="167">
        <v>42</v>
      </c>
      <c r="AF10" s="167">
        <v>42</v>
      </c>
      <c r="AG10" s="167">
        <v>42</v>
      </c>
      <c r="AH10" s="167">
        <v>42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 t="s">
        <v>124</v>
      </c>
      <c r="X11" s="28" t="s">
        <v>124</v>
      </c>
      <c r="Y11" s="28" t="s">
        <v>124</v>
      </c>
      <c r="Z11" s="28"/>
      <c r="AA11" s="28" t="s">
        <v>124</v>
      </c>
      <c r="AB11" s="28"/>
      <c r="AC11" s="28" t="s">
        <v>124</v>
      </c>
      <c r="AD11" s="28"/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/>
      <c r="W12" s="28" t="s">
        <v>127</v>
      </c>
      <c r="X12" s="28" t="s">
        <v>127</v>
      </c>
      <c r="Y12" s="28" t="s">
        <v>127</v>
      </c>
      <c r="Z12" s="28"/>
      <c r="AA12" s="28" t="s">
        <v>127</v>
      </c>
      <c r="AB12" s="28"/>
      <c r="AC12" s="28" t="s">
        <v>127</v>
      </c>
      <c r="AD12" s="28"/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/>
      <c r="W13" s="28" t="s">
        <v>127</v>
      </c>
      <c r="X13" s="28" t="s">
        <v>127</v>
      </c>
      <c r="Y13" s="28" t="s">
        <v>127</v>
      </c>
      <c r="Z13" s="28"/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 t="s">
        <v>127</v>
      </c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115" t="s">
        <v>335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118</v>
      </c>
      <c r="U15" s="28" t="s">
        <v>118</v>
      </c>
      <c r="V15" s="28"/>
      <c r="W15" s="28" t="s">
        <v>118</v>
      </c>
      <c r="X15" s="28" t="s">
        <v>118</v>
      </c>
      <c r="Y15" s="28" t="s">
        <v>118</v>
      </c>
      <c r="Z15" s="28"/>
      <c r="AA15" s="28" t="s">
        <v>118</v>
      </c>
      <c r="AB15" s="28"/>
      <c r="AC15" s="28" t="s">
        <v>118</v>
      </c>
      <c r="AD15" s="28"/>
      <c r="AE15" s="28" t="s">
        <v>118</v>
      </c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2.75</v>
      </c>
      <c r="C16" s="30">
        <v>2.5</v>
      </c>
      <c r="D16" s="30">
        <v>2.5</v>
      </c>
      <c r="E16" s="30">
        <v>2.5</v>
      </c>
      <c r="F16" s="30">
        <f>AVERAGE(2.75,2.75,-6)</f>
        <v>-0.16666666666666666</v>
      </c>
      <c r="G16" s="30">
        <v>2.75</v>
      </c>
      <c r="H16" s="30">
        <v>2.75</v>
      </c>
      <c r="I16" s="30">
        <v>2.75</v>
      </c>
      <c r="J16" s="30">
        <v>2.5</v>
      </c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/>
      <c r="W16" s="30">
        <v>2.5</v>
      </c>
      <c r="X16" s="30">
        <v>2.5</v>
      </c>
      <c r="Y16" s="30">
        <v>2.5</v>
      </c>
      <c r="Z16" s="30"/>
      <c r="AA16" s="30">
        <v>2.5</v>
      </c>
      <c r="AB16" s="30"/>
      <c r="AC16" s="30">
        <v>2.5</v>
      </c>
      <c r="AD16" s="30"/>
      <c r="AE16" s="30">
        <v>2.5</v>
      </c>
      <c r="AF16" s="30">
        <v>2.5</v>
      </c>
      <c r="AG16" s="30">
        <v>2.5</v>
      </c>
      <c r="AH16" s="30">
        <v>2.5</v>
      </c>
    </row>
    <row r="17" spans="1:34">
      <c r="A17" s="26" t="s">
        <v>131</v>
      </c>
      <c r="B17" s="28" t="s">
        <v>180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 t="s">
        <v>180</v>
      </c>
      <c r="U17" s="28" t="s">
        <v>180</v>
      </c>
      <c r="V17" s="28"/>
      <c r="W17" s="28" t="s">
        <v>180</v>
      </c>
      <c r="X17" s="28" t="s">
        <v>180</v>
      </c>
      <c r="Y17" s="28" t="s">
        <v>180</v>
      </c>
      <c r="Z17" s="28"/>
      <c r="AA17" s="28" t="s">
        <v>180</v>
      </c>
      <c r="AB17" s="28"/>
      <c r="AC17" s="28" t="s">
        <v>180</v>
      </c>
      <c r="AD17" s="28"/>
      <c r="AE17" s="28" t="s">
        <v>180</v>
      </c>
      <c r="AF17" s="28" t="s">
        <v>180</v>
      </c>
      <c r="AG17" s="28" t="s">
        <v>180</v>
      </c>
      <c r="AH17" s="28" t="s">
        <v>180</v>
      </c>
    </row>
    <row r="18" spans="1:34">
      <c r="A18" s="26" t="s">
        <v>133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/>
      <c r="W18" s="30">
        <v>2</v>
      </c>
      <c r="X18" s="30">
        <v>2</v>
      </c>
      <c r="Y18" s="30">
        <v>2</v>
      </c>
      <c r="Z18" s="30"/>
      <c r="AA18" s="30">
        <v>2</v>
      </c>
      <c r="AB18" s="30"/>
      <c r="AC18" s="30">
        <v>2</v>
      </c>
      <c r="AD18" s="30"/>
      <c r="AE18" s="30">
        <v>2</v>
      </c>
      <c r="AF18" s="30">
        <v>2</v>
      </c>
      <c r="AG18" s="30">
        <v>2</v>
      </c>
      <c r="AH18" s="30">
        <v>2</v>
      </c>
    </row>
    <row r="20" spans="1:34">
      <c r="A20" s="31" t="s">
        <v>134</v>
      </c>
    </row>
    <row r="21" spans="1:34">
      <c r="A21" s="77" t="s">
        <v>336</v>
      </c>
      <c r="B21" s="56" t="s">
        <v>337</v>
      </c>
    </row>
    <row r="22" spans="1:34">
      <c r="A22" s="131" t="s">
        <v>338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902E-46B0-462B-A829-94B00096945E}">
  <dimension ref="A1:AH22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328</v>
      </c>
      <c r="C4" s="203"/>
      <c r="D4" s="203"/>
      <c r="F4" s="204" t="s">
        <v>339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340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180</v>
      </c>
      <c r="C8" s="29" t="s">
        <v>331</v>
      </c>
      <c r="D8" s="29" t="s">
        <v>331</v>
      </c>
      <c r="E8" s="29" t="s">
        <v>331</v>
      </c>
      <c r="F8" s="113" t="s">
        <v>332</v>
      </c>
      <c r="G8" s="29" t="s">
        <v>341</v>
      </c>
      <c r="H8" s="29" t="s">
        <v>341</v>
      </c>
      <c r="I8" s="29" t="s">
        <v>341</v>
      </c>
      <c r="J8" s="29" t="s">
        <v>331</v>
      </c>
      <c r="K8" s="29" t="s">
        <v>331</v>
      </c>
      <c r="L8" s="29" t="s">
        <v>331</v>
      </c>
      <c r="M8" s="29" t="s">
        <v>331</v>
      </c>
      <c r="N8" s="29" t="s">
        <v>331</v>
      </c>
      <c r="O8" s="29" t="s">
        <v>331</v>
      </c>
      <c r="P8" s="29" t="s">
        <v>331</v>
      </c>
      <c r="Q8" s="29" t="s">
        <v>331</v>
      </c>
      <c r="R8" s="29" t="s">
        <v>331</v>
      </c>
      <c r="S8" s="29" t="s">
        <v>331</v>
      </c>
      <c r="T8" s="29" t="s">
        <v>331</v>
      </c>
      <c r="U8" s="29" t="s">
        <v>331</v>
      </c>
      <c r="V8" s="29"/>
      <c r="W8" s="29" t="s">
        <v>331</v>
      </c>
      <c r="X8" s="29" t="s">
        <v>331</v>
      </c>
      <c r="Y8" s="29" t="s">
        <v>331</v>
      </c>
      <c r="Z8" s="29"/>
      <c r="AA8" s="29" t="s">
        <v>331</v>
      </c>
      <c r="AB8" s="29"/>
      <c r="AC8" s="29" t="s">
        <v>331</v>
      </c>
      <c r="AD8" s="29"/>
      <c r="AE8" s="29" t="s">
        <v>331</v>
      </c>
      <c r="AF8" s="29" t="s">
        <v>331</v>
      </c>
      <c r="AG8" s="29" t="s">
        <v>331</v>
      </c>
      <c r="AH8" s="29" t="s">
        <v>331</v>
      </c>
    </row>
    <row r="9" spans="1:34">
      <c r="A9" s="26" t="s">
        <v>121</v>
      </c>
      <c r="B9" s="29" t="s">
        <v>333</v>
      </c>
      <c r="C9" s="29" t="s">
        <v>331</v>
      </c>
      <c r="D9" s="29" t="s">
        <v>331</v>
      </c>
      <c r="E9" s="29" t="s">
        <v>331</v>
      </c>
      <c r="F9" s="113" t="s">
        <v>334</v>
      </c>
      <c r="G9" s="29" t="s">
        <v>287</v>
      </c>
      <c r="H9" s="29" t="s">
        <v>342</v>
      </c>
      <c r="I9" s="29" t="s">
        <v>287</v>
      </c>
      <c r="J9" s="29" t="s">
        <v>331</v>
      </c>
      <c r="K9" s="29" t="s">
        <v>331</v>
      </c>
      <c r="L9" s="29" t="s">
        <v>331</v>
      </c>
      <c r="M9" s="29" t="s">
        <v>331</v>
      </c>
      <c r="N9" s="29" t="s">
        <v>331</v>
      </c>
      <c r="O9" s="29" t="s">
        <v>331</v>
      </c>
      <c r="P9" s="29" t="s">
        <v>331</v>
      </c>
      <c r="Q9" s="29" t="s">
        <v>331</v>
      </c>
      <c r="R9" s="29" t="s">
        <v>331</v>
      </c>
      <c r="S9" s="29" t="s">
        <v>331</v>
      </c>
      <c r="T9" s="29" t="s">
        <v>331</v>
      </c>
      <c r="U9" s="29" t="s">
        <v>331</v>
      </c>
      <c r="V9" s="29"/>
      <c r="W9" s="29" t="s">
        <v>331</v>
      </c>
      <c r="X9" s="29" t="s">
        <v>331</v>
      </c>
      <c r="Y9" s="29" t="s">
        <v>331</v>
      </c>
      <c r="Z9" s="29"/>
      <c r="AA9" s="29" t="s">
        <v>331</v>
      </c>
      <c r="AB9" s="29"/>
      <c r="AC9" s="29" t="s">
        <v>331</v>
      </c>
      <c r="AD9" s="29"/>
      <c r="AE9" s="29" t="s">
        <v>331</v>
      </c>
      <c r="AF9" s="29" t="s">
        <v>331</v>
      </c>
      <c r="AG9" s="29" t="s">
        <v>331</v>
      </c>
      <c r="AH9" s="29" t="s">
        <v>331</v>
      </c>
    </row>
    <row r="10" spans="1:34">
      <c r="A10" s="140" t="s">
        <v>122</v>
      </c>
      <c r="B10" s="167">
        <v>114</v>
      </c>
      <c r="C10" s="167">
        <v>42</v>
      </c>
      <c r="D10" s="167">
        <v>42</v>
      </c>
      <c r="E10" s="167">
        <v>42</v>
      </c>
      <c r="F10" s="167">
        <v>115</v>
      </c>
      <c r="G10" s="167" t="s">
        <v>287</v>
      </c>
      <c r="H10" s="167">
        <v>116</v>
      </c>
      <c r="I10" s="167" t="s">
        <v>287</v>
      </c>
      <c r="J10" s="167">
        <v>42</v>
      </c>
      <c r="K10" s="167">
        <v>42</v>
      </c>
      <c r="L10" s="167">
        <v>42</v>
      </c>
      <c r="M10" s="167">
        <v>42</v>
      </c>
      <c r="N10" s="167">
        <v>42</v>
      </c>
      <c r="O10" s="167">
        <v>42</v>
      </c>
      <c r="P10" s="167">
        <v>42</v>
      </c>
      <c r="Q10" s="167">
        <v>42</v>
      </c>
      <c r="R10" s="167">
        <v>42</v>
      </c>
      <c r="S10" s="167">
        <v>42</v>
      </c>
      <c r="T10" s="167">
        <v>42</v>
      </c>
      <c r="U10" s="167">
        <v>42</v>
      </c>
      <c r="V10" s="167"/>
      <c r="W10" s="167">
        <v>42</v>
      </c>
      <c r="X10" s="167">
        <v>42</v>
      </c>
      <c r="Y10" s="167">
        <v>42</v>
      </c>
      <c r="Z10" s="167"/>
      <c r="AA10" s="167">
        <v>42</v>
      </c>
      <c r="AB10" s="167"/>
      <c r="AC10" s="167">
        <v>42</v>
      </c>
      <c r="AD10" s="167"/>
      <c r="AE10" s="167">
        <v>42</v>
      </c>
      <c r="AF10" s="167">
        <v>42</v>
      </c>
      <c r="AG10" s="167">
        <v>42</v>
      </c>
      <c r="AH10" s="167">
        <v>42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127</v>
      </c>
      <c r="H11" s="28" t="s">
        <v>127</v>
      </c>
      <c r="I11" s="28" t="s">
        <v>127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 t="s">
        <v>124</v>
      </c>
      <c r="X11" s="28" t="s">
        <v>124</v>
      </c>
      <c r="Y11" s="28" t="s">
        <v>124</v>
      </c>
      <c r="Z11" s="28"/>
      <c r="AA11" s="28" t="s">
        <v>124</v>
      </c>
      <c r="AB11" s="28"/>
      <c r="AC11" s="28" t="s">
        <v>124</v>
      </c>
      <c r="AD11" s="28"/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/>
      <c r="W12" s="28" t="s">
        <v>127</v>
      </c>
      <c r="X12" s="28" t="s">
        <v>127</v>
      </c>
      <c r="Y12" s="28" t="s">
        <v>127</v>
      </c>
      <c r="Z12" s="28"/>
      <c r="AA12" s="28" t="s">
        <v>127</v>
      </c>
      <c r="AB12" s="28"/>
      <c r="AC12" s="28" t="s">
        <v>127</v>
      </c>
      <c r="AD12" s="28"/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/>
      <c r="W13" s="28" t="s">
        <v>127</v>
      </c>
      <c r="X13" s="28" t="s">
        <v>127</v>
      </c>
      <c r="Y13" s="28" t="s">
        <v>127</v>
      </c>
      <c r="Z13" s="28"/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 t="s">
        <v>127</v>
      </c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115" t="s">
        <v>335</v>
      </c>
      <c r="G15" s="83" t="s">
        <v>343</v>
      </c>
      <c r="H15" s="83" t="s">
        <v>343</v>
      </c>
      <c r="I15" s="83" t="s">
        <v>343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118</v>
      </c>
      <c r="U15" s="28" t="s">
        <v>118</v>
      </c>
      <c r="V15" s="28"/>
      <c r="W15" s="28" t="s">
        <v>118</v>
      </c>
      <c r="X15" s="28" t="s">
        <v>118</v>
      </c>
      <c r="Y15" s="28" t="s">
        <v>118</v>
      </c>
      <c r="Z15" s="28"/>
      <c r="AA15" s="28" t="s">
        <v>118</v>
      </c>
      <c r="AB15" s="28"/>
      <c r="AC15" s="28" t="s">
        <v>118</v>
      </c>
      <c r="AD15" s="28"/>
      <c r="AE15" s="28" t="s">
        <v>118</v>
      </c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2.75</v>
      </c>
      <c r="C16" s="30">
        <v>2.5</v>
      </c>
      <c r="D16" s="30">
        <v>2.5</v>
      </c>
      <c r="E16" s="30">
        <v>2.5</v>
      </c>
      <c r="F16" s="30">
        <f>AVERAGE(2.75,2.75,-6)</f>
        <v>-0.16666666666666666</v>
      </c>
      <c r="G16" s="88">
        <v>-6</v>
      </c>
      <c r="H16" s="88">
        <v>-6</v>
      </c>
      <c r="I16" s="88">
        <v>-6</v>
      </c>
      <c r="J16" s="30">
        <v>2.5</v>
      </c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/>
      <c r="W16" s="30">
        <v>2.5</v>
      </c>
      <c r="X16" s="30">
        <v>2.5</v>
      </c>
      <c r="Y16" s="30">
        <v>2.5</v>
      </c>
      <c r="Z16" s="30"/>
      <c r="AA16" s="30">
        <v>2.5</v>
      </c>
      <c r="AB16" s="30"/>
      <c r="AC16" s="30">
        <v>2.5</v>
      </c>
      <c r="AD16" s="30"/>
      <c r="AE16" s="30">
        <v>2.5</v>
      </c>
      <c r="AF16" s="30">
        <v>2.5</v>
      </c>
      <c r="AG16" s="30">
        <v>2.5</v>
      </c>
      <c r="AH16" s="30">
        <v>2.5</v>
      </c>
    </row>
    <row r="17" spans="1:34">
      <c r="A17" s="26" t="s">
        <v>131</v>
      </c>
      <c r="B17" s="28" t="s">
        <v>180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287</v>
      </c>
      <c r="H17" s="28" t="s">
        <v>344</v>
      </c>
      <c r="I17" s="28" t="s">
        <v>287</v>
      </c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 t="s">
        <v>180</v>
      </c>
      <c r="U17" s="28" t="s">
        <v>180</v>
      </c>
      <c r="V17" s="28"/>
      <c r="W17" s="28" t="s">
        <v>180</v>
      </c>
      <c r="X17" s="28" t="s">
        <v>180</v>
      </c>
      <c r="Y17" s="28" t="s">
        <v>180</v>
      </c>
      <c r="Z17" s="28"/>
      <c r="AA17" s="28" t="s">
        <v>180</v>
      </c>
      <c r="AB17" s="28"/>
      <c r="AC17" s="28" t="s">
        <v>180</v>
      </c>
      <c r="AD17" s="28"/>
      <c r="AE17" s="28" t="s">
        <v>180</v>
      </c>
      <c r="AF17" s="28" t="s">
        <v>180</v>
      </c>
      <c r="AG17" s="28" t="s">
        <v>180</v>
      </c>
      <c r="AH17" s="28" t="s">
        <v>180</v>
      </c>
    </row>
    <row r="18" spans="1:34">
      <c r="A18" s="26" t="s">
        <v>133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0</v>
      </c>
      <c r="H18" s="30">
        <v>1</v>
      </c>
      <c r="I18" s="30">
        <v>0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/>
      <c r="W18" s="30">
        <v>2</v>
      </c>
      <c r="X18" s="30">
        <v>2</v>
      </c>
      <c r="Y18" s="30">
        <v>2</v>
      </c>
      <c r="Z18" s="30"/>
      <c r="AA18" s="30">
        <v>2</v>
      </c>
      <c r="AB18" s="30"/>
      <c r="AC18" s="30">
        <v>2</v>
      </c>
      <c r="AD18" s="30"/>
      <c r="AE18" s="30">
        <v>2</v>
      </c>
      <c r="AF18" s="30">
        <v>2</v>
      </c>
      <c r="AG18" s="30">
        <v>2</v>
      </c>
      <c r="AH18" s="30">
        <v>2</v>
      </c>
    </row>
    <row r="20" spans="1:34">
      <c r="A20" s="31" t="s">
        <v>134</v>
      </c>
    </row>
    <row r="21" spans="1:34">
      <c r="A21" s="224" t="s">
        <v>345</v>
      </c>
      <c r="B21" s="56" t="s">
        <v>337</v>
      </c>
    </row>
    <row r="22" spans="1:34">
      <c r="A22" s="224"/>
      <c r="B22" s="93" t="s">
        <v>289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3884-4AB2-4DBF-B962-4928EC39AD3F}">
  <dimension ref="A1:AH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19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346</v>
      </c>
      <c r="C4" s="203"/>
      <c r="D4" s="203"/>
      <c r="F4" s="204" t="s">
        <v>347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348</v>
      </c>
      <c r="C8" s="28" t="s">
        <v>349</v>
      </c>
      <c r="D8" s="28" t="s">
        <v>349</v>
      </c>
      <c r="E8" s="28" t="s">
        <v>349</v>
      </c>
      <c r="F8" s="28" t="s">
        <v>349</v>
      </c>
      <c r="G8" s="28" t="s">
        <v>349</v>
      </c>
      <c r="H8" s="28" t="s">
        <v>349</v>
      </c>
      <c r="I8" s="28" t="s">
        <v>349</v>
      </c>
      <c r="J8" s="29"/>
      <c r="K8" s="28" t="s">
        <v>349</v>
      </c>
      <c r="L8" s="28" t="s">
        <v>349</v>
      </c>
      <c r="M8" s="28" t="s">
        <v>349</v>
      </c>
      <c r="N8" s="29" t="s">
        <v>349</v>
      </c>
      <c r="O8" s="29" t="s">
        <v>349</v>
      </c>
      <c r="P8" s="29" t="s">
        <v>349</v>
      </c>
      <c r="Q8" s="29" t="s">
        <v>349</v>
      </c>
      <c r="R8" s="29"/>
      <c r="S8" s="29" t="s">
        <v>349</v>
      </c>
      <c r="T8" s="29"/>
      <c r="U8" s="29" t="s">
        <v>349</v>
      </c>
      <c r="V8" s="29"/>
      <c r="W8" s="29"/>
      <c r="X8" s="29" t="s">
        <v>119</v>
      </c>
      <c r="Y8" s="29" t="s">
        <v>119</v>
      </c>
      <c r="Z8" s="29"/>
      <c r="AA8" s="29" t="s">
        <v>349</v>
      </c>
      <c r="AB8" s="29"/>
      <c r="AC8" s="29" t="s">
        <v>349</v>
      </c>
      <c r="AD8" s="29"/>
      <c r="AE8" s="29" t="s">
        <v>349</v>
      </c>
      <c r="AF8" s="29" t="s">
        <v>349</v>
      </c>
      <c r="AG8" s="29" t="s">
        <v>349</v>
      </c>
      <c r="AH8" s="29" t="s">
        <v>349</v>
      </c>
    </row>
    <row r="9" spans="1:34">
      <c r="A9" s="26" t="s">
        <v>121</v>
      </c>
      <c r="B9" s="28" t="s">
        <v>350</v>
      </c>
      <c r="C9" s="28" t="s">
        <v>349</v>
      </c>
      <c r="D9" s="28" t="s">
        <v>349</v>
      </c>
      <c r="E9" s="28" t="s">
        <v>119</v>
      </c>
      <c r="F9" s="28" t="s">
        <v>119</v>
      </c>
      <c r="G9" s="28" t="s">
        <v>119</v>
      </c>
      <c r="H9" s="28" t="s">
        <v>119</v>
      </c>
      <c r="I9" s="28" t="s">
        <v>119</v>
      </c>
      <c r="J9" s="29"/>
      <c r="K9" s="28" t="s">
        <v>119</v>
      </c>
      <c r="L9" s="28" t="s">
        <v>349</v>
      </c>
      <c r="M9" s="28" t="s">
        <v>349</v>
      </c>
      <c r="N9" s="29" t="s">
        <v>351</v>
      </c>
      <c r="O9" s="29" t="s">
        <v>119</v>
      </c>
      <c r="P9" s="28" t="s">
        <v>349</v>
      </c>
      <c r="Q9" s="28" t="s">
        <v>349</v>
      </c>
      <c r="R9" s="29"/>
      <c r="S9" s="28" t="s">
        <v>349</v>
      </c>
      <c r="T9" s="29"/>
      <c r="U9" s="28" t="s">
        <v>349</v>
      </c>
      <c r="V9" s="29"/>
      <c r="W9" s="29"/>
      <c r="X9" s="28" t="s">
        <v>119</v>
      </c>
      <c r="Y9" s="28" t="s">
        <v>119</v>
      </c>
      <c r="Z9" s="29"/>
      <c r="AA9" s="28" t="s">
        <v>349</v>
      </c>
      <c r="AB9" s="29"/>
      <c r="AC9" s="28" t="s">
        <v>349</v>
      </c>
      <c r="AD9" s="29"/>
      <c r="AE9" s="28" t="s">
        <v>349</v>
      </c>
      <c r="AF9" s="28" t="s">
        <v>349</v>
      </c>
      <c r="AG9" s="28" t="s">
        <v>349</v>
      </c>
      <c r="AH9" s="28" t="s">
        <v>349</v>
      </c>
    </row>
    <row r="10" spans="1:34">
      <c r="A10" s="140" t="s">
        <v>122</v>
      </c>
      <c r="B10" s="167">
        <v>97</v>
      </c>
      <c r="C10" s="167">
        <v>43</v>
      </c>
      <c r="D10" s="167">
        <v>43</v>
      </c>
      <c r="E10" s="167">
        <v>2</v>
      </c>
      <c r="F10" s="167">
        <v>2</v>
      </c>
      <c r="G10" s="167">
        <v>2</v>
      </c>
      <c r="H10" s="167">
        <v>2</v>
      </c>
      <c r="I10" s="167">
        <v>2</v>
      </c>
      <c r="J10" s="167"/>
      <c r="K10" s="167">
        <v>2</v>
      </c>
      <c r="L10" s="167">
        <v>43</v>
      </c>
      <c r="M10" s="167">
        <v>43</v>
      </c>
      <c r="N10" s="167">
        <v>117</v>
      </c>
      <c r="O10" s="167">
        <v>2</v>
      </c>
      <c r="P10" s="167">
        <v>43</v>
      </c>
      <c r="Q10" s="167">
        <v>43</v>
      </c>
      <c r="R10" s="167"/>
      <c r="S10" s="167">
        <v>43</v>
      </c>
      <c r="T10" s="167"/>
      <c r="U10" s="167">
        <v>43</v>
      </c>
      <c r="V10" s="167"/>
      <c r="W10" s="167"/>
      <c r="X10" s="167">
        <v>2</v>
      </c>
      <c r="Y10" s="167">
        <v>2</v>
      </c>
      <c r="Z10" s="167"/>
      <c r="AA10" s="167">
        <v>43</v>
      </c>
      <c r="AB10" s="167"/>
      <c r="AC10" s="167">
        <v>43</v>
      </c>
      <c r="AD10" s="167"/>
      <c r="AE10" s="167">
        <v>43</v>
      </c>
      <c r="AF10" s="167">
        <v>43</v>
      </c>
      <c r="AG10" s="167">
        <v>43</v>
      </c>
      <c r="AH10" s="167">
        <v>43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9" t="s">
        <v>124</v>
      </c>
      <c r="Q11" s="29" t="s">
        <v>124</v>
      </c>
      <c r="R11" s="28"/>
      <c r="S11" s="29" t="s">
        <v>124</v>
      </c>
      <c r="T11" s="28"/>
      <c r="U11" s="29" t="s">
        <v>124</v>
      </c>
      <c r="V11" s="28"/>
      <c r="W11" s="28"/>
      <c r="X11" s="28" t="s">
        <v>124</v>
      </c>
      <c r="Y11" s="28" t="s">
        <v>124</v>
      </c>
      <c r="Z11" s="28"/>
      <c r="AA11" s="29" t="s">
        <v>124</v>
      </c>
      <c r="AB11" s="28"/>
      <c r="AC11" s="29" t="s">
        <v>124</v>
      </c>
      <c r="AD11" s="28"/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/>
      <c r="S12" s="28" t="s">
        <v>124</v>
      </c>
      <c r="T12" s="28"/>
      <c r="U12" s="28" t="s">
        <v>124</v>
      </c>
      <c r="V12" s="28"/>
      <c r="W12" s="28"/>
      <c r="X12" s="28" t="s">
        <v>124</v>
      </c>
      <c r="Y12" s="28" t="s">
        <v>124</v>
      </c>
      <c r="Z12" s="28"/>
      <c r="AA12" s="28" t="s">
        <v>124</v>
      </c>
      <c r="AB12" s="28"/>
      <c r="AC12" s="28" t="s">
        <v>124</v>
      </c>
      <c r="AD12" s="28"/>
      <c r="AE12" s="28" t="s">
        <v>124</v>
      </c>
      <c r="AF12" s="28" t="s">
        <v>124</v>
      </c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/>
      <c r="S13" s="28" t="s">
        <v>127</v>
      </c>
      <c r="T13" s="28"/>
      <c r="U13" s="28" t="s">
        <v>127</v>
      </c>
      <c r="V13" s="28"/>
      <c r="W13" s="28"/>
      <c r="X13" s="28" t="s">
        <v>127</v>
      </c>
      <c r="Y13" s="28" t="s">
        <v>127</v>
      </c>
      <c r="Z13" s="28"/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/>
      <c r="S14" s="28" t="s">
        <v>127</v>
      </c>
      <c r="T14" s="28"/>
      <c r="U14" s="28" t="s">
        <v>127</v>
      </c>
      <c r="V14" s="28"/>
      <c r="W14" s="28"/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352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/>
      <c r="S15" s="28" t="s">
        <v>118</v>
      </c>
      <c r="T15" s="28"/>
      <c r="U15" s="28" t="s">
        <v>118</v>
      </c>
      <c r="V15" s="28"/>
      <c r="W15" s="28"/>
      <c r="X15" s="28" t="s">
        <v>118</v>
      </c>
      <c r="Y15" s="28" t="s">
        <v>118</v>
      </c>
      <c r="Z15" s="28"/>
      <c r="AA15" s="28" t="s">
        <v>118</v>
      </c>
      <c r="AB15" s="28"/>
      <c r="AC15" s="28" t="s">
        <v>118</v>
      </c>
      <c r="AD15" s="28"/>
      <c r="AE15" s="28" t="s">
        <v>118</v>
      </c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0</v>
      </c>
      <c r="C16" s="30">
        <v>2.5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/>
      <c r="K16" s="30">
        <v>3</v>
      </c>
      <c r="L16" s="30">
        <v>2.5</v>
      </c>
      <c r="M16" s="30">
        <v>2.5</v>
      </c>
      <c r="N16" s="30">
        <f>AVERAGE(3,2.5)</f>
        <v>2.75</v>
      </c>
      <c r="O16" s="30">
        <v>3</v>
      </c>
      <c r="P16" s="30">
        <v>2.5</v>
      </c>
      <c r="Q16" s="30">
        <v>2.5</v>
      </c>
      <c r="R16" s="30"/>
      <c r="S16" s="30">
        <v>2.5</v>
      </c>
      <c r="T16" s="30"/>
      <c r="U16" s="30">
        <v>2.5</v>
      </c>
      <c r="V16" s="30"/>
      <c r="W16" s="30"/>
      <c r="X16" s="30">
        <v>3</v>
      </c>
      <c r="Y16" s="30">
        <v>3</v>
      </c>
      <c r="Z16" s="30"/>
      <c r="AA16" s="30">
        <v>2.5</v>
      </c>
      <c r="AB16" s="30"/>
      <c r="AC16" s="30">
        <v>2.5</v>
      </c>
      <c r="AD16" s="30"/>
      <c r="AE16" s="30">
        <v>2.5</v>
      </c>
      <c r="AF16" s="30">
        <v>2.5</v>
      </c>
      <c r="AG16" s="30">
        <v>2.5</v>
      </c>
      <c r="AH16" s="30">
        <v>2.5</v>
      </c>
    </row>
    <row r="17" spans="1:34">
      <c r="A17" s="26" t="s">
        <v>131</v>
      </c>
      <c r="B17" s="28" t="s">
        <v>280</v>
      </c>
      <c r="C17" s="28" t="s">
        <v>180</v>
      </c>
      <c r="D17" s="28" t="s">
        <v>180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/>
      <c r="K17" s="28" t="s">
        <v>132</v>
      </c>
      <c r="L17" s="28" t="s">
        <v>180</v>
      </c>
      <c r="M17" s="28" t="s">
        <v>180</v>
      </c>
      <c r="N17" s="28" t="s">
        <v>353</v>
      </c>
      <c r="O17" s="28" t="s">
        <v>132</v>
      </c>
      <c r="P17" s="28" t="s">
        <v>180</v>
      </c>
      <c r="Q17" s="28" t="s">
        <v>180</v>
      </c>
      <c r="R17" s="28"/>
      <c r="S17" s="28" t="s">
        <v>180</v>
      </c>
      <c r="T17" s="28"/>
      <c r="U17" s="28" t="s">
        <v>180</v>
      </c>
      <c r="V17" s="28"/>
      <c r="W17" s="28"/>
      <c r="X17" s="28" t="s">
        <v>132</v>
      </c>
      <c r="Y17" s="28" t="s">
        <v>132</v>
      </c>
      <c r="Z17" s="28"/>
      <c r="AA17" s="28" t="s">
        <v>180</v>
      </c>
      <c r="AB17" s="28"/>
      <c r="AC17" s="28" t="s">
        <v>180</v>
      </c>
      <c r="AD17" s="28"/>
      <c r="AE17" s="28" t="s">
        <v>180</v>
      </c>
      <c r="AF17" s="28" t="s">
        <v>180</v>
      </c>
      <c r="AG17" s="28" t="s">
        <v>180</v>
      </c>
      <c r="AH17" s="28" t="s">
        <v>180</v>
      </c>
    </row>
    <row r="18" spans="1:34">
      <c r="A18" s="26" t="s">
        <v>133</v>
      </c>
      <c r="B18" s="30">
        <v>0.5</v>
      </c>
      <c r="C18" s="30">
        <v>2</v>
      </c>
      <c r="D18" s="30">
        <v>2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/>
      <c r="K18" s="30">
        <v>4</v>
      </c>
      <c r="L18" s="30">
        <v>2</v>
      </c>
      <c r="M18" s="30">
        <v>2</v>
      </c>
      <c r="N18" s="30">
        <f>AVERAGE(4,2)</f>
        <v>3</v>
      </c>
      <c r="O18" s="30">
        <v>4</v>
      </c>
      <c r="P18" s="30">
        <v>2</v>
      </c>
      <c r="Q18" s="30">
        <v>2</v>
      </c>
      <c r="R18" s="30"/>
      <c r="S18" s="30">
        <v>2</v>
      </c>
      <c r="T18" s="30"/>
      <c r="U18" s="30">
        <v>2</v>
      </c>
      <c r="V18" s="30"/>
      <c r="W18" s="30"/>
      <c r="X18" s="30">
        <v>4</v>
      </c>
      <c r="Y18" s="30">
        <v>4</v>
      </c>
      <c r="Z18" s="30"/>
      <c r="AA18" s="30">
        <v>2</v>
      </c>
      <c r="AB18" s="30"/>
      <c r="AC18" s="30">
        <v>2</v>
      </c>
      <c r="AD18" s="30"/>
      <c r="AE18" s="30">
        <v>2</v>
      </c>
      <c r="AF18" s="30">
        <v>2</v>
      </c>
      <c r="AG18" s="30">
        <v>2</v>
      </c>
      <c r="AH18" s="30">
        <v>2</v>
      </c>
    </row>
    <row r="20" spans="1:34">
      <c r="A20" s="31" t="s">
        <v>134</v>
      </c>
    </row>
    <row r="21" spans="1:34">
      <c r="A21" s="26" t="s">
        <v>354</v>
      </c>
      <c r="B21" s="56" t="s">
        <v>355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EED6-231D-4630-9F29-0FA3DE8F8E92}">
  <dimension ref="A1:AH23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20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346</v>
      </c>
      <c r="C4" s="203"/>
      <c r="D4" s="203"/>
      <c r="F4" s="204" t="s">
        <v>356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348</v>
      </c>
      <c r="C8" s="28" t="s">
        <v>349</v>
      </c>
      <c r="D8" s="28" t="s">
        <v>349</v>
      </c>
      <c r="E8" s="28" t="s">
        <v>349</v>
      </c>
      <c r="F8" s="28" t="s">
        <v>349</v>
      </c>
      <c r="G8" s="28" t="s">
        <v>349</v>
      </c>
      <c r="H8" s="28" t="s">
        <v>349</v>
      </c>
      <c r="I8" s="28" t="s">
        <v>349</v>
      </c>
      <c r="J8" s="29"/>
      <c r="K8" s="28" t="s">
        <v>349</v>
      </c>
      <c r="L8" s="28" t="s">
        <v>349</v>
      </c>
      <c r="M8" s="28" t="s">
        <v>349</v>
      </c>
      <c r="N8" s="29" t="s">
        <v>349</v>
      </c>
      <c r="O8" s="29" t="s">
        <v>349</v>
      </c>
      <c r="P8" s="29" t="s">
        <v>349</v>
      </c>
      <c r="Q8" s="29" t="s">
        <v>349</v>
      </c>
      <c r="R8" s="29"/>
      <c r="S8" s="29" t="s">
        <v>349</v>
      </c>
      <c r="T8" s="29"/>
      <c r="U8" s="29" t="s">
        <v>349</v>
      </c>
      <c r="V8" s="29"/>
      <c r="W8" s="29"/>
      <c r="X8" s="29" t="s">
        <v>119</v>
      </c>
      <c r="Y8" s="29" t="s">
        <v>119</v>
      </c>
      <c r="Z8" s="29"/>
      <c r="AA8" s="29" t="s">
        <v>349</v>
      </c>
      <c r="AB8" s="29"/>
      <c r="AC8" s="29" t="s">
        <v>349</v>
      </c>
      <c r="AD8" s="29"/>
      <c r="AE8" s="29" t="s">
        <v>349</v>
      </c>
      <c r="AF8" s="29" t="s">
        <v>349</v>
      </c>
      <c r="AG8" s="29" t="s">
        <v>349</v>
      </c>
      <c r="AH8" s="29" t="s">
        <v>349</v>
      </c>
    </row>
    <row r="9" spans="1:34">
      <c r="A9" s="26" t="s">
        <v>121</v>
      </c>
      <c r="B9" s="28" t="s">
        <v>350</v>
      </c>
      <c r="C9" s="28" t="s">
        <v>349</v>
      </c>
      <c r="D9" s="28" t="s">
        <v>349</v>
      </c>
      <c r="E9" s="28" t="s">
        <v>119</v>
      </c>
      <c r="F9" s="28" t="s">
        <v>119</v>
      </c>
      <c r="G9" s="28" t="s">
        <v>119</v>
      </c>
      <c r="H9" s="28" t="s">
        <v>119</v>
      </c>
      <c r="I9" s="28" t="s">
        <v>119</v>
      </c>
      <c r="J9" s="29"/>
      <c r="K9" s="28" t="s">
        <v>119</v>
      </c>
      <c r="L9" s="28" t="s">
        <v>349</v>
      </c>
      <c r="M9" s="28" t="s">
        <v>349</v>
      </c>
      <c r="N9" s="29" t="s">
        <v>351</v>
      </c>
      <c r="O9" s="29" t="s">
        <v>119</v>
      </c>
      <c r="P9" s="28" t="s">
        <v>349</v>
      </c>
      <c r="Q9" s="28" t="s">
        <v>349</v>
      </c>
      <c r="R9" s="29"/>
      <c r="S9" s="28" t="s">
        <v>349</v>
      </c>
      <c r="T9" s="29"/>
      <c r="U9" s="28" t="s">
        <v>349</v>
      </c>
      <c r="V9" s="29"/>
      <c r="W9" s="29"/>
      <c r="X9" s="28" t="s">
        <v>119</v>
      </c>
      <c r="Y9" s="28" t="s">
        <v>119</v>
      </c>
      <c r="Z9" s="29"/>
      <c r="AA9" s="28" t="s">
        <v>349</v>
      </c>
      <c r="AB9" s="29"/>
      <c r="AC9" s="28" t="s">
        <v>349</v>
      </c>
      <c r="AD9" s="29"/>
      <c r="AE9" s="28" t="s">
        <v>349</v>
      </c>
      <c r="AF9" s="28" t="s">
        <v>349</v>
      </c>
      <c r="AG9" s="28" t="s">
        <v>349</v>
      </c>
      <c r="AH9" s="28" t="s">
        <v>349</v>
      </c>
    </row>
    <row r="10" spans="1:34">
      <c r="A10" s="140" t="s">
        <v>122</v>
      </c>
      <c r="B10" s="167">
        <v>97</v>
      </c>
      <c r="C10" s="167">
        <v>43</v>
      </c>
      <c r="D10" s="167">
        <v>43</v>
      </c>
      <c r="E10" s="167">
        <v>2</v>
      </c>
      <c r="F10" s="167">
        <v>2</v>
      </c>
      <c r="G10" s="167">
        <v>2</v>
      </c>
      <c r="H10" s="167">
        <v>2</v>
      </c>
      <c r="I10" s="167">
        <v>2</v>
      </c>
      <c r="J10" s="167"/>
      <c r="K10" s="167">
        <v>2</v>
      </c>
      <c r="L10" s="167">
        <v>43</v>
      </c>
      <c r="M10" s="167">
        <v>43</v>
      </c>
      <c r="N10" s="167">
        <v>117</v>
      </c>
      <c r="O10" s="167">
        <v>2</v>
      </c>
      <c r="P10" s="167">
        <v>43</v>
      </c>
      <c r="Q10" s="167">
        <v>43</v>
      </c>
      <c r="R10" s="167"/>
      <c r="S10" s="167">
        <v>43</v>
      </c>
      <c r="T10" s="167"/>
      <c r="U10" s="167">
        <v>43</v>
      </c>
      <c r="V10" s="167"/>
      <c r="W10" s="167"/>
      <c r="X10" s="167">
        <v>2</v>
      </c>
      <c r="Y10" s="167">
        <v>2</v>
      </c>
      <c r="Z10" s="167"/>
      <c r="AA10" s="167">
        <v>43</v>
      </c>
      <c r="AB10" s="167"/>
      <c r="AC10" s="167">
        <v>43</v>
      </c>
      <c r="AD10" s="167"/>
      <c r="AE10" s="167">
        <v>43</v>
      </c>
      <c r="AF10" s="167">
        <v>43</v>
      </c>
      <c r="AG10" s="167">
        <v>43</v>
      </c>
      <c r="AH10" s="167">
        <v>43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9" t="s">
        <v>124</v>
      </c>
      <c r="Q11" s="29" t="s">
        <v>124</v>
      </c>
      <c r="R11" s="28"/>
      <c r="S11" s="29" t="s">
        <v>124</v>
      </c>
      <c r="T11" s="28"/>
      <c r="U11" s="29" t="s">
        <v>124</v>
      </c>
      <c r="V11" s="28"/>
      <c r="W11" s="28"/>
      <c r="X11" s="28" t="s">
        <v>124</v>
      </c>
      <c r="Y11" s="28" t="s">
        <v>124</v>
      </c>
      <c r="Z11" s="28"/>
      <c r="AA11" s="29" t="s">
        <v>124</v>
      </c>
      <c r="AB11" s="28"/>
      <c r="AC11" s="29" t="s">
        <v>124</v>
      </c>
      <c r="AD11" s="28"/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/>
      <c r="S12" s="28" t="s">
        <v>124</v>
      </c>
      <c r="T12" s="28"/>
      <c r="U12" s="28" t="s">
        <v>124</v>
      </c>
      <c r="V12" s="28"/>
      <c r="W12" s="28"/>
      <c r="X12" s="28" t="s">
        <v>124</v>
      </c>
      <c r="Y12" s="28" t="s">
        <v>124</v>
      </c>
      <c r="Z12" s="28"/>
      <c r="AA12" s="28" t="s">
        <v>124</v>
      </c>
      <c r="AB12" s="28"/>
      <c r="AC12" s="28" t="s">
        <v>124</v>
      </c>
      <c r="AD12" s="28"/>
      <c r="AE12" s="28" t="s">
        <v>124</v>
      </c>
      <c r="AF12" s="28" t="s">
        <v>124</v>
      </c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/>
      <c r="S13" s="28" t="s">
        <v>127</v>
      </c>
      <c r="T13" s="28"/>
      <c r="U13" s="28" t="s">
        <v>127</v>
      </c>
      <c r="V13" s="28"/>
      <c r="W13" s="28"/>
      <c r="X13" s="28" t="s">
        <v>127</v>
      </c>
      <c r="Y13" s="28" t="s">
        <v>127</v>
      </c>
      <c r="Z13" s="28"/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/>
      <c r="S14" s="28" t="s">
        <v>127</v>
      </c>
      <c r="T14" s="28"/>
      <c r="U14" s="28" t="s">
        <v>127</v>
      </c>
      <c r="V14" s="28"/>
      <c r="W14" s="28"/>
      <c r="X14" s="28" t="s">
        <v>127</v>
      </c>
      <c r="Y14" s="28" t="s">
        <v>127</v>
      </c>
      <c r="Z14" s="28"/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352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/>
      <c r="S15" s="28" t="s">
        <v>118</v>
      </c>
      <c r="T15" s="28"/>
      <c r="U15" s="28" t="s">
        <v>118</v>
      </c>
      <c r="V15" s="28"/>
      <c r="W15" s="28"/>
      <c r="X15" s="28" t="s">
        <v>118</v>
      </c>
      <c r="Y15" s="28" t="s">
        <v>118</v>
      </c>
      <c r="Z15" s="28"/>
      <c r="AA15" s="28" t="s">
        <v>118</v>
      </c>
      <c r="AB15" s="28"/>
      <c r="AC15" s="28" t="s">
        <v>118</v>
      </c>
      <c r="AD15" s="28"/>
      <c r="AE15" s="28" t="s">
        <v>118</v>
      </c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0</v>
      </c>
      <c r="C16" s="30">
        <v>2.5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/>
      <c r="K16" s="30">
        <v>3</v>
      </c>
      <c r="L16" s="30">
        <v>2.5</v>
      </c>
      <c r="M16" s="30">
        <v>2.5</v>
      </c>
      <c r="N16" s="30">
        <f>AVERAGE(3,2.5)</f>
        <v>2.75</v>
      </c>
      <c r="O16" s="30">
        <v>3</v>
      </c>
      <c r="P16" s="30">
        <v>2.5</v>
      </c>
      <c r="Q16" s="30">
        <v>2.5</v>
      </c>
      <c r="R16" s="30"/>
      <c r="S16" s="30">
        <v>2.5</v>
      </c>
      <c r="T16" s="30"/>
      <c r="U16" s="30">
        <v>2.5</v>
      </c>
      <c r="V16" s="30"/>
      <c r="W16" s="30"/>
      <c r="X16" s="30">
        <v>3</v>
      </c>
      <c r="Y16" s="30">
        <v>3</v>
      </c>
      <c r="Z16" s="30"/>
      <c r="AA16" s="30">
        <v>2.5</v>
      </c>
      <c r="AB16" s="30"/>
      <c r="AC16" s="30">
        <v>2.5</v>
      </c>
      <c r="AD16" s="30"/>
      <c r="AE16" s="30">
        <v>2.5</v>
      </c>
      <c r="AF16" s="30">
        <v>2.5</v>
      </c>
      <c r="AG16" s="30">
        <v>2.5</v>
      </c>
      <c r="AH16" s="30">
        <v>2.5</v>
      </c>
    </row>
    <row r="17" spans="1:34">
      <c r="A17" s="26" t="s">
        <v>131</v>
      </c>
      <c r="B17" s="28" t="s">
        <v>280</v>
      </c>
      <c r="C17" s="28" t="s">
        <v>180</v>
      </c>
      <c r="D17" s="28" t="s">
        <v>180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/>
      <c r="K17" s="28" t="s">
        <v>132</v>
      </c>
      <c r="L17" s="28" t="s">
        <v>180</v>
      </c>
      <c r="M17" s="28" t="s">
        <v>180</v>
      </c>
      <c r="N17" s="28" t="s">
        <v>353</v>
      </c>
      <c r="O17" s="28" t="s">
        <v>132</v>
      </c>
      <c r="P17" s="28" t="s">
        <v>180</v>
      </c>
      <c r="Q17" s="28" t="s">
        <v>180</v>
      </c>
      <c r="R17" s="28"/>
      <c r="S17" s="28" t="s">
        <v>180</v>
      </c>
      <c r="T17" s="28"/>
      <c r="U17" s="28" t="s">
        <v>180</v>
      </c>
      <c r="V17" s="28"/>
      <c r="W17" s="28"/>
      <c r="X17" s="28" t="s">
        <v>132</v>
      </c>
      <c r="Y17" s="28" t="s">
        <v>132</v>
      </c>
      <c r="Z17" s="28"/>
      <c r="AA17" s="28" t="s">
        <v>180</v>
      </c>
      <c r="AB17" s="28"/>
      <c r="AC17" s="28" t="s">
        <v>180</v>
      </c>
      <c r="AD17" s="28"/>
      <c r="AE17" s="28" t="s">
        <v>180</v>
      </c>
      <c r="AF17" s="28" t="s">
        <v>180</v>
      </c>
      <c r="AG17" s="28" t="s">
        <v>180</v>
      </c>
      <c r="AH17" s="28" t="s">
        <v>180</v>
      </c>
    </row>
    <row r="18" spans="1:34">
      <c r="A18" s="26" t="s">
        <v>133</v>
      </c>
      <c r="B18" s="30">
        <v>0.5</v>
      </c>
      <c r="C18" s="30">
        <v>2</v>
      </c>
      <c r="D18" s="30">
        <v>2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/>
      <c r="K18" s="30">
        <v>4</v>
      </c>
      <c r="L18" s="30">
        <v>2</v>
      </c>
      <c r="M18" s="30">
        <v>2</v>
      </c>
      <c r="N18" s="30">
        <f>AVERAGE(4,2)</f>
        <v>3</v>
      </c>
      <c r="O18" s="30">
        <v>4</v>
      </c>
      <c r="P18" s="30">
        <v>2</v>
      </c>
      <c r="Q18" s="30">
        <v>2</v>
      </c>
      <c r="R18" s="30"/>
      <c r="S18" s="30">
        <v>2</v>
      </c>
      <c r="T18" s="30"/>
      <c r="U18" s="30">
        <v>2</v>
      </c>
      <c r="V18" s="30"/>
      <c r="W18" s="30"/>
      <c r="X18" s="30">
        <v>4</v>
      </c>
      <c r="Y18" s="30">
        <v>4</v>
      </c>
      <c r="Z18" s="30"/>
      <c r="AA18" s="30">
        <v>2</v>
      </c>
      <c r="AB18" s="30"/>
      <c r="AC18" s="30">
        <v>2</v>
      </c>
      <c r="AD18" s="30"/>
      <c r="AE18" s="30">
        <v>2</v>
      </c>
      <c r="AF18" s="30">
        <v>2</v>
      </c>
      <c r="AG18" s="30">
        <v>2</v>
      </c>
      <c r="AH18" s="30">
        <v>2</v>
      </c>
    </row>
    <row r="20" spans="1:34">
      <c r="A20" s="31" t="s">
        <v>134</v>
      </c>
    </row>
    <row r="21" spans="1:34">
      <c r="A21" s="93" t="s">
        <v>357</v>
      </c>
      <c r="B21" s="93" t="s">
        <v>355</v>
      </c>
    </row>
    <row r="22" spans="1:34">
      <c r="A22" s="218" t="s">
        <v>358</v>
      </c>
      <c r="B22" s="93" t="s">
        <v>355</v>
      </c>
    </row>
    <row r="23" spans="1:34">
      <c r="A23" s="218"/>
      <c r="B23" s="93" t="s">
        <v>359</v>
      </c>
    </row>
  </sheetData>
  <mergeCells count="6">
    <mergeCell ref="F3:O3"/>
    <mergeCell ref="F4:O5"/>
    <mergeCell ref="A22:A23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DC07-27E7-417C-8625-E14D3B84BE7C}">
  <dimension ref="A1:AJ25"/>
  <sheetViews>
    <sheetView topLeftCell="J1" workbookViewId="0">
      <selection activeCell="AA8" sqref="AA8:AA18"/>
    </sheetView>
  </sheetViews>
  <sheetFormatPr defaultColWidth="9.140625" defaultRowHeight="1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6">
      <c r="A1" s="25" t="s">
        <v>74</v>
      </c>
      <c r="D1" s="25" t="s">
        <v>75</v>
      </c>
      <c r="I1" s="25" t="s">
        <v>76</v>
      </c>
    </row>
    <row r="3" spans="1:36" ht="17.45">
      <c r="A3" s="25" t="s">
        <v>77</v>
      </c>
      <c r="B3" s="203">
        <v>21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360</v>
      </c>
      <c r="C4" s="203"/>
      <c r="D4" s="203"/>
      <c r="F4" s="204" t="s">
        <v>361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261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76" t="s">
        <v>116</v>
      </c>
    </row>
    <row r="8" spans="1:36" ht="15.75" customHeight="1">
      <c r="A8" s="26" t="s">
        <v>117</v>
      </c>
      <c r="B8" s="28" t="s">
        <v>362</v>
      </c>
      <c r="C8" s="28" t="s">
        <v>206</v>
      </c>
      <c r="D8" s="28" t="s">
        <v>206</v>
      </c>
      <c r="E8" s="28" t="s">
        <v>206</v>
      </c>
      <c r="F8" s="28" t="s">
        <v>206</v>
      </c>
      <c r="G8" s="28" t="s">
        <v>206</v>
      </c>
      <c r="H8" s="28" t="s">
        <v>206</v>
      </c>
      <c r="I8" s="28" t="s">
        <v>206</v>
      </c>
      <c r="J8" s="28" t="s">
        <v>206</v>
      </c>
      <c r="K8" s="28" t="s">
        <v>206</v>
      </c>
      <c r="L8" s="28" t="s">
        <v>206</v>
      </c>
      <c r="M8" s="28" t="s">
        <v>206</v>
      </c>
      <c r="N8" s="28" t="s">
        <v>206</v>
      </c>
      <c r="O8" s="28" t="s">
        <v>206</v>
      </c>
      <c r="P8" s="29" t="s">
        <v>206</v>
      </c>
      <c r="Q8" s="29" t="s">
        <v>206</v>
      </c>
      <c r="R8" s="29" t="s">
        <v>206</v>
      </c>
      <c r="S8" s="28" t="s">
        <v>206</v>
      </c>
      <c r="T8" s="28" t="s">
        <v>206</v>
      </c>
      <c r="U8" s="29" t="s">
        <v>206</v>
      </c>
      <c r="V8" s="29" t="s">
        <v>206</v>
      </c>
      <c r="W8" s="29" t="s">
        <v>206</v>
      </c>
      <c r="X8" s="29" t="s">
        <v>206</v>
      </c>
      <c r="Y8" s="28" t="s">
        <v>206</v>
      </c>
      <c r="Z8" s="28" t="s">
        <v>206</v>
      </c>
      <c r="AA8" s="28" t="s">
        <v>206</v>
      </c>
      <c r="AB8" s="28" t="s">
        <v>206</v>
      </c>
      <c r="AC8" s="28" t="s">
        <v>206</v>
      </c>
      <c r="AD8" s="28" t="s">
        <v>206</v>
      </c>
      <c r="AE8" s="28" t="s">
        <v>206</v>
      </c>
      <c r="AF8" s="29" t="s">
        <v>206</v>
      </c>
      <c r="AG8" s="29" t="s">
        <v>206</v>
      </c>
      <c r="AH8" s="29" t="s">
        <v>206</v>
      </c>
      <c r="AJ8" s="28" t="s">
        <v>363</v>
      </c>
    </row>
    <row r="9" spans="1:36" ht="15.75" customHeight="1">
      <c r="A9" s="26" t="s">
        <v>121</v>
      </c>
      <c r="B9" s="28" t="s">
        <v>210</v>
      </c>
      <c r="C9" s="115" t="s">
        <v>364</v>
      </c>
      <c r="D9" s="28" t="s">
        <v>206</v>
      </c>
      <c r="E9" s="28" t="s">
        <v>210</v>
      </c>
      <c r="F9" s="28" t="s">
        <v>210</v>
      </c>
      <c r="G9" s="28" t="s">
        <v>210</v>
      </c>
      <c r="H9" s="28" t="s">
        <v>209</v>
      </c>
      <c r="I9" s="28" t="s">
        <v>206</v>
      </c>
      <c r="J9" s="28" t="s">
        <v>210</v>
      </c>
      <c r="K9" s="28" t="s">
        <v>210</v>
      </c>
      <c r="L9" s="28" t="s">
        <v>210</v>
      </c>
      <c r="M9" s="28" t="s">
        <v>210</v>
      </c>
      <c r="N9" s="28" t="s">
        <v>210</v>
      </c>
      <c r="O9" s="28" t="s">
        <v>210</v>
      </c>
      <c r="P9" s="29" t="s">
        <v>211</v>
      </c>
      <c r="Q9" s="29" t="s">
        <v>211</v>
      </c>
      <c r="R9" s="29" t="s">
        <v>211</v>
      </c>
      <c r="S9" s="28" t="s">
        <v>206</v>
      </c>
      <c r="T9" s="28" t="s">
        <v>206</v>
      </c>
      <c r="U9" s="28" t="s">
        <v>210</v>
      </c>
      <c r="V9" s="28" t="s">
        <v>206</v>
      </c>
      <c r="W9" s="29" t="s">
        <v>365</v>
      </c>
      <c r="X9" s="28" t="s">
        <v>210</v>
      </c>
      <c r="Y9" s="115" t="s">
        <v>364</v>
      </c>
      <c r="Z9" s="28" t="s">
        <v>206</v>
      </c>
      <c r="AA9" s="28" t="s">
        <v>206</v>
      </c>
      <c r="AB9" s="28" t="s">
        <v>206</v>
      </c>
      <c r="AC9" s="28" t="s">
        <v>206</v>
      </c>
      <c r="AD9" s="28" t="s">
        <v>206</v>
      </c>
      <c r="AE9" s="28" t="s">
        <v>206</v>
      </c>
      <c r="AF9" s="28" t="s">
        <v>210</v>
      </c>
      <c r="AG9" s="29" t="s">
        <v>211</v>
      </c>
      <c r="AH9" s="29" t="s">
        <v>211</v>
      </c>
      <c r="AJ9" s="28" t="s">
        <v>231</v>
      </c>
    </row>
    <row r="10" spans="1:36" ht="15.75" customHeight="1">
      <c r="A10" s="140" t="s">
        <v>122</v>
      </c>
      <c r="B10" s="167">
        <v>52</v>
      </c>
      <c r="C10" s="167">
        <v>118</v>
      </c>
      <c r="D10" s="167">
        <v>50</v>
      </c>
      <c r="E10" s="167">
        <v>122</v>
      </c>
      <c r="F10" s="167">
        <v>52</v>
      </c>
      <c r="G10" s="167">
        <v>52</v>
      </c>
      <c r="H10" s="167">
        <v>46</v>
      </c>
      <c r="I10" s="167">
        <v>50</v>
      </c>
      <c r="J10" s="167">
        <v>52</v>
      </c>
      <c r="K10" s="167">
        <v>52</v>
      </c>
      <c r="L10" s="167">
        <v>52</v>
      </c>
      <c r="M10" s="167">
        <v>52</v>
      </c>
      <c r="N10" s="167">
        <v>52</v>
      </c>
      <c r="O10" s="167">
        <v>52</v>
      </c>
      <c r="P10" s="167">
        <v>48</v>
      </c>
      <c r="Q10" s="167">
        <v>48</v>
      </c>
      <c r="R10" s="167">
        <v>48</v>
      </c>
      <c r="S10" s="167">
        <v>50</v>
      </c>
      <c r="T10" s="167">
        <v>50</v>
      </c>
      <c r="U10" s="167">
        <v>52</v>
      </c>
      <c r="V10" s="167">
        <v>50</v>
      </c>
      <c r="W10" s="167">
        <v>161</v>
      </c>
      <c r="X10" s="167">
        <v>52</v>
      </c>
      <c r="Y10" s="167">
        <v>118</v>
      </c>
      <c r="Z10" s="167">
        <v>50</v>
      </c>
      <c r="AA10" s="167">
        <v>50</v>
      </c>
      <c r="AB10" s="167">
        <v>50</v>
      </c>
      <c r="AC10" s="167">
        <v>50</v>
      </c>
      <c r="AD10" s="167">
        <v>50</v>
      </c>
      <c r="AE10" s="167">
        <v>50</v>
      </c>
      <c r="AF10" s="167">
        <v>52</v>
      </c>
      <c r="AG10" s="167">
        <v>48</v>
      </c>
      <c r="AH10" s="167">
        <v>48</v>
      </c>
      <c r="AJ10" s="167">
        <v>56</v>
      </c>
    </row>
    <row r="11" spans="1:36" ht="15.75" customHeight="1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9" t="s">
        <v>124</v>
      </c>
      <c r="Q11" s="29" t="s">
        <v>124</v>
      </c>
      <c r="R11" s="29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9" t="s">
        <v>124</v>
      </c>
      <c r="AH11" s="29" t="s">
        <v>124</v>
      </c>
      <c r="AJ11" s="29" t="s">
        <v>124</v>
      </c>
    </row>
    <row r="12" spans="1:36" ht="15.75" customHeight="1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9" t="s">
        <v>127</v>
      </c>
    </row>
    <row r="13" spans="1:36" ht="15.75" customHeight="1">
      <c r="A13" s="26" t="s">
        <v>126</v>
      </c>
      <c r="B13" s="28" t="s">
        <v>124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28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28" t="s">
        <v>124</v>
      </c>
      <c r="T13" s="28" t="s">
        <v>124</v>
      </c>
      <c r="U13" s="28" t="s">
        <v>124</v>
      </c>
      <c r="V13" s="28" t="s">
        <v>124</v>
      </c>
      <c r="W13" s="28" t="s">
        <v>124</v>
      </c>
      <c r="X13" s="28" t="s">
        <v>124</v>
      </c>
      <c r="Y13" s="28" t="s">
        <v>124</v>
      </c>
      <c r="Z13" s="28" t="s">
        <v>124</v>
      </c>
      <c r="AA13" s="28" t="s">
        <v>124</v>
      </c>
      <c r="AB13" s="28" t="s">
        <v>124</v>
      </c>
      <c r="AC13" s="28" t="s">
        <v>124</v>
      </c>
      <c r="AD13" s="28" t="s">
        <v>124</v>
      </c>
      <c r="AE13" s="28" t="s">
        <v>124</v>
      </c>
      <c r="AF13" s="28" t="s">
        <v>124</v>
      </c>
      <c r="AG13" s="28" t="s">
        <v>124</v>
      </c>
      <c r="AH13" s="28" t="s">
        <v>124</v>
      </c>
      <c r="AJ13" s="28" t="s">
        <v>124</v>
      </c>
    </row>
    <row r="14" spans="1:36" ht="15.75" customHeight="1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</row>
    <row r="15" spans="1:36" ht="15.75" customHeight="1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149</v>
      </c>
      <c r="AG15" s="28" t="s">
        <v>149</v>
      </c>
      <c r="AH15" s="28" t="s">
        <v>149</v>
      </c>
      <c r="AJ15" s="28" t="s">
        <v>150</v>
      </c>
    </row>
    <row r="16" spans="1:36" ht="15.75" customHeight="1">
      <c r="A16" s="26" t="s">
        <v>130</v>
      </c>
      <c r="B16" s="30">
        <v>0.5</v>
      </c>
      <c r="C16" s="30">
        <f>AVERAGE(1,1,1,0.5)</f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>4/3</f>
        <v>1.3333333333333333</v>
      </c>
      <c r="S16" s="30">
        <v>1</v>
      </c>
      <c r="T16" s="30">
        <v>1</v>
      </c>
      <c r="U16" s="30">
        <v>0.5</v>
      </c>
      <c r="V16" s="30">
        <v>1</v>
      </c>
      <c r="W16" s="30">
        <f>AVERAGE(0.5,1)</f>
        <v>0.75</v>
      </c>
      <c r="X16" s="30">
        <v>0.5</v>
      </c>
      <c r="Y16" s="30">
        <f>AVERAGE(1,1,1,0.5)</f>
        <v>0.875</v>
      </c>
      <c r="Z16" s="30">
        <v>1</v>
      </c>
      <c r="AA16" s="30">
        <v>1</v>
      </c>
      <c r="AB16" s="30">
        <v>1</v>
      </c>
      <c r="AC16" s="30">
        <v>1</v>
      </c>
      <c r="AD16" s="30">
        <v>1</v>
      </c>
      <c r="AE16" s="30">
        <v>1</v>
      </c>
      <c r="AF16" s="30">
        <v>0.5</v>
      </c>
      <c r="AG16" s="30">
        <f>4/3</f>
        <v>1.3333333333333333</v>
      </c>
      <c r="AH16" s="30">
        <f>4/3</f>
        <v>1.3333333333333333</v>
      </c>
      <c r="AJ16" s="30">
        <v>-0.5</v>
      </c>
    </row>
    <row r="17" spans="1:36" ht="15.75" customHeight="1">
      <c r="A17" s="26" t="s">
        <v>131</v>
      </c>
      <c r="B17" s="28" t="s">
        <v>180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 t="s">
        <v>180</v>
      </c>
      <c r="U17" s="28" t="s">
        <v>180</v>
      </c>
      <c r="V17" s="28" t="s">
        <v>180</v>
      </c>
      <c r="W17" s="28" t="s">
        <v>180</v>
      </c>
      <c r="X17" s="28" t="s">
        <v>180</v>
      </c>
      <c r="Y17" s="28" t="s">
        <v>180</v>
      </c>
      <c r="Z17" s="28" t="s">
        <v>180</v>
      </c>
      <c r="AA17" s="28" t="s">
        <v>180</v>
      </c>
      <c r="AB17" s="28" t="s">
        <v>180</v>
      </c>
      <c r="AC17" s="28" t="s">
        <v>180</v>
      </c>
      <c r="AD17" s="28" t="s">
        <v>180</v>
      </c>
      <c r="AE17" s="28" t="s">
        <v>180</v>
      </c>
      <c r="AF17" s="28" t="s">
        <v>180</v>
      </c>
      <c r="AG17" s="28" t="s">
        <v>180</v>
      </c>
      <c r="AH17" s="28" t="s">
        <v>180</v>
      </c>
      <c r="AJ17" s="28" t="s">
        <v>180</v>
      </c>
    </row>
    <row r="18" spans="1:36" ht="15.75" customHeight="1">
      <c r="A18" s="26" t="s">
        <v>133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  <c r="AJ18" s="30">
        <v>2</v>
      </c>
    </row>
    <row r="19" spans="1:36">
      <c r="AH19" s="78" t="s">
        <v>366</v>
      </c>
      <c r="AJ19" s="78" t="s">
        <v>367</v>
      </c>
    </row>
    <row r="20" spans="1:36">
      <c r="A20" s="31" t="s">
        <v>134</v>
      </c>
    </row>
    <row r="21" spans="1:36">
      <c r="A21" s="93" t="s">
        <v>368</v>
      </c>
      <c r="B21" s="96" t="s">
        <v>369</v>
      </c>
    </row>
    <row r="22" spans="1:36">
      <c r="A22" s="218" t="s">
        <v>370</v>
      </c>
      <c r="B22" s="96" t="s">
        <v>369</v>
      </c>
    </row>
    <row r="23" spans="1:36">
      <c r="A23" s="218"/>
      <c r="B23" s="96" t="s">
        <v>371</v>
      </c>
    </row>
    <row r="25" spans="1:36" ht="51" customHeight="1">
      <c r="A25" s="55" t="s">
        <v>372</v>
      </c>
      <c r="B25" s="225" t="s">
        <v>373</v>
      </c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</row>
  </sheetData>
  <mergeCells count="7">
    <mergeCell ref="F3:O3"/>
    <mergeCell ref="F4:O5"/>
    <mergeCell ref="B25:P25"/>
    <mergeCell ref="A22:A23"/>
    <mergeCell ref="B3:D3"/>
    <mergeCell ref="B4:D4"/>
    <mergeCell ref="B5:D5"/>
  </mergeCells>
  <hyperlinks>
    <hyperlink ref="A25" r:id="rId1" xr:uid="{57E6F9B7-29E7-4128-8A81-F5C663B377A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DF48-B6F3-4DE3-B428-87046D96103B}">
  <dimension ref="A1:AJ25"/>
  <sheetViews>
    <sheetView workbookViewId="0">
      <selection activeCell="V8" sqref="V8:W18"/>
    </sheetView>
  </sheetViews>
  <sheetFormatPr defaultColWidth="9.140625" defaultRowHeight="1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6">
      <c r="A1" s="25" t="s">
        <v>74</v>
      </c>
      <c r="D1" s="25" t="s">
        <v>75</v>
      </c>
      <c r="I1" s="25" t="s">
        <v>76</v>
      </c>
    </row>
    <row r="3" spans="1:36" ht="17.45">
      <c r="A3" s="25" t="s">
        <v>77</v>
      </c>
      <c r="B3" s="203">
        <v>22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360</v>
      </c>
      <c r="C4" s="203"/>
      <c r="D4" s="203"/>
      <c r="F4" s="204" t="s">
        <v>374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375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53" t="s">
        <v>116</v>
      </c>
    </row>
    <row r="8" spans="1:36">
      <c r="A8" s="26" t="s">
        <v>117</v>
      </c>
      <c r="B8" s="28" t="s">
        <v>362</v>
      </c>
      <c r="C8" s="28" t="s">
        <v>206</v>
      </c>
      <c r="D8" s="28" t="s">
        <v>206</v>
      </c>
      <c r="E8" s="28" t="s">
        <v>206</v>
      </c>
      <c r="F8" s="28" t="s">
        <v>206</v>
      </c>
      <c r="G8" s="28" t="s">
        <v>206</v>
      </c>
      <c r="H8" s="28" t="s">
        <v>206</v>
      </c>
      <c r="I8" s="28" t="s">
        <v>206</v>
      </c>
      <c r="J8" s="28" t="s">
        <v>206</v>
      </c>
      <c r="K8" s="28" t="s">
        <v>206</v>
      </c>
      <c r="L8" s="28" t="s">
        <v>206</v>
      </c>
      <c r="M8" s="28" t="s">
        <v>206</v>
      </c>
      <c r="N8" s="28" t="s">
        <v>206</v>
      </c>
      <c r="O8" s="28" t="s">
        <v>206</v>
      </c>
      <c r="P8" s="29" t="s">
        <v>206</v>
      </c>
      <c r="Q8" s="29" t="s">
        <v>206</v>
      </c>
      <c r="R8" s="29" t="s">
        <v>206</v>
      </c>
      <c r="S8" s="28" t="s">
        <v>206</v>
      </c>
      <c r="T8" s="28" t="s">
        <v>206</v>
      </c>
      <c r="U8" s="29" t="s">
        <v>206</v>
      </c>
      <c r="V8" s="29" t="s">
        <v>206</v>
      </c>
      <c r="W8" s="29" t="s">
        <v>206</v>
      </c>
      <c r="X8" s="29" t="s">
        <v>206</v>
      </c>
      <c r="Y8" s="28" t="s">
        <v>206</v>
      </c>
      <c r="Z8" s="28" t="s">
        <v>206</v>
      </c>
      <c r="AA8" s="28" t="s">
        <v>206</v>
      </c>
      <c r="AB8" s="28" t="s">
        <v>206</v>
      </c>
      <c r="AC8" s="28" t="s">
        <v>206</v>
      </c>
      <c r="AD8" s="28" t="s">
        <v>206</v>
      </c>
      <c r="AE8" s="28" t="s">
        <v>206</v>
      </c>
      <c r="AF8" s="29" t="s">
        <v>206</v>
      </c>
      <c r="AG8" s="29" t="s">
        <v>206</v>
      </c>
      <c r="AH8" s="29" t="s">
        <v>206</v>
      </c>
      <c r="AJ8" s="28" t="s">
        <v>363</v>
      </c>
    </row>
    <row r="9" spans="1:36">
      <c r="A9" s="26" t="s">
        <v>121</v>
      </c>
      <c r="B9" s="28" t="s">
        <v>210</v>
      </c>
      <c r="C9" s="115" t="s">
        <v>364</v>
      </c>
      <c r="D9" s="28" t="s">
        <v>206</v>
      </c>
      <c r="E9" s="28" t="s">
        <v>210</v>
      </c>
      <c r="F9" s="28" t="s">
        <v>210</v>
      </c>
      <c r="G9" s="28" t="s">
        <v>210</v>
      </c>
      <c r="H9" s="28" t="s">
        <v>209</v>
      </c>
      <c r="I9" s="28" t="s">
        <v>206</v>
      </c>
      <c r="J9" s="28" t="s">
        <v>210</v>
      </c>
      <c r="K9" s="28" t="s">
        <v>210</v>
      </c>
      <c r="L9" s="28" t="s">
        <v>210</v>
      </c>
      <c r="M9" s="28" t="s">
        <v>210</v>
      </c>
      <c r="N9" s="28" t="s">
        <v>210</v>
      </c>
      <c r="O9" s="28" t="s">
        <v>210</v>
      </c>
      <c r="P9" s="29" t="s">
        <v>211</v>
      </c>
      <c r="Q9" s="29" t="s">
        <v>211</v>
      </c>
      <c r="R9" s="29" t="s">
        <v>211</v>
      </c>
      <c r="S9" s="28" t="s">
        <v>206</v>
      </c>
      <c r="T9" s="28" t="s">
        <v>206</v>
      </c>
      <c r="U9" s="28" t="s">
        <v>210</v>
      </c>
      <c r="V9" s="28" t="s">
        <v>206</v>
      </c>
      <c r="W9" s="29" t="s">
        <v>365</v>
      </c>
      <c r="X9" s="28" t="s">
        <v>210</v>
      </c>
      <c r="Y9" s="115" t="s">
        <v>364</v>
      </c>
      <c r="Z9" s="28" t="s">
        <v>206</v>
      </c>
      <c r="AA9" s="28" t="s">
        <v>206</v>
      </c>
      <c r="AB9" s="28" t="s">
        <v>206</v>
      </c>
      <c r="AC9" s="28" t="s">
        <v>206</v>
      </c>
      <c r="AD9" s="28" t="s">
        <v>206</v>
      </c>
      <c r="AE9" s="28" t="s">
        <v>206</v>
      </c>
      <c r="AF9" s="28" t="s">
        <v>210</v>
      </c>
      <c r="AG9" s="29" t="s">
        <v>211</v>
      </c>
      <c r="AH9" s="29" t="s">
        <v>211</v>
      </c>
      <c r="AJ9" s="28" t="s">
        <v>231</v>
      </c>
    </row>
    <row r="10" spans="1:36">
      <c r="A10" s="140" t="s">
        <v>122</v>
      </c>
      <c r="B10" s="167">
        <v>52</v>
      </c>
      <c r="C10" s="167">
        <v>118</v>
      </c>
      <c r="D10" s="167">
        <v>50</v>
      </c>
      <c r="E10" s="167">
        <v>122</v>
      </c>
      <c r="F10" s="167">
        <v>52</v>
      </c>
      <c r="G10" s="167">
        <v>52</v>
      </c>
      <c r="H10" s="167">
        <v>46</v>
      </c>
      <c r="I10" s="167">
        <v>50</v>
      </c>
      <c r="J10" s="167">
        <v>52</v>
      </c>
      <c r="K10" s="167">
        <v>52</v>
      </c>
      <c r="L10" s="167">
        <v>52</v>
      </c>
      <c r="M10" s="167">
        <v>52</v>
      </c>
      <c r="N10" s="167">
        <v>52</v>
      </c>
      <c r="O10" s="167">
        <v>52</v>
      </c>
      <c r="P10" s="167">
        <v>48</v>
      </c>
      <c r="Q10" s="167">
        <v>48</v>
      </c>
      <c r="R10" s="167">
        <v>48</v>
      </c>
      <c r="S10" s="167">
        <v>50</v>
      </c>
      <c r="T10" s="167">
        <v>50</v>
      </c>
      <c r="U10" s="167">
        <v>52</v>
      </c>
      <c r="V10" s="167">
        <v>50</v>
      </c>
      <c r="W10" s="167">
        <v>161</v>
      </c>
      <c r="X10" s="167">
        <v>52</v>
      </c>
      <c r="Y10" s="167">
        <v>118</v>
      </c>
      <c r="Z10" s="167">
        <v>50</v>
      </c>
      <c r="AA10" s="167">
        <v>50</v>
      </c>
      <c r="AB10" s="167">
        <v>50</v>
      </c>
      <c r="AC10" s="167">
        <v>50</v>
      </c>
      <c r="AD10" s="167">
        <v>50</v>
      </c>
      <c r="AE10" s="167">
        <v>50</v>
      </c>
      <c r="AF10" s="167">
        <v>52</v>
      </c>
      <c r="AG10" s="167">
        <v>48</v>
      </c>
      <c r="AH10" s="167">
        <v>48</v>
      </c>
      <c r="AJ10" s="167">
        <v>56</v>
      </c>
    </row>
    <row r="11" spans="1:36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9" t="s">
        <v>124</v>
      </c>
      <c r="Q11" s="29" t="s">
        <v>124</v>
      </c>
      <c r="R11" s="29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9" t="s">
        <v>124</v>
      </c>
      <c r="AH11" s="29" t="s">
        <v>124</v>
      </c>
      <c r="AJ11" s="29" t="s">
        <v>124</v>
      </c>
    </row>
    <row r="12" spans="1:36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9" t="s">
        <v>127</v>
      </c>
    </row>
    <row r="13" spans="1:36">
      <c r="A13" s="26" t="s">
        <v>126</v>
      </c>
      <c r="B13" s="28" t="s">
        <v>124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28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28" t="s">
        <v>124</v>
      </c>
      <c r="T13" s="28" t="s">
        <v>124</v>
      </c>
      <c r="U13" s="28" t="s">
        <v>124</v>
      </c>
      <c r="V13" s="28" t="s">
        <v>124</v>
      </c>
      <c r="W13" s="28" t="s">
        <v>124</v>
      </c>
      <c r="X13" s="28" t="s">
        <v>124</v>
      </c>
      <c r="Y13" s="28" t="s">
        <v>124</v>
      </c>
      <c r="Z13" s="28" t="s">
        <v>124</v>
      </c>
      <c r="AA13" s="28" t="s">
        <v>124</v>
      </c>
      <c r="AB13" s="28" t="s">
        <v>124</v>
      </c>
      <c r="AC13" s="28" t="s">
        <v>124</v>
      </c>
      <c r="AD13" s="28" t="s">
        <v>124</v>
      </c>
      <c r="AE13" s="28" t="s">
        <v>124</v>
      </c>
      <c r="AF13" s="28" t="s">
        <v>124</v>
      </c>
      <c r="AG13" s="28" t="s">
        <v>124</v>
      </c>
      <c r="AH13" s="28" t="s">
        <v>124</v>
      </c>
      <c r="AJ13" s="28" t="s">
        <v>124</v>
      </c>
    </row>
    <row r="14" spans="1:36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</row>
    <row r="15" spans="1:36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149</v>
      </c>
      <c r="AG15" s="28" t="s">
        <v>149</v>
      </c>
      <c r="AH15" s="28" t="s">
        <v>149</v>
      </c>
      <c r="AJ15" s="28" t="s">
        <v>150</v>
      </c>
    </row>
    <row r="16" spans="1:36">
      <c r="A16" s="26" t="s">
        <v>130</v>
      </c>
      <c r="B16" s="30">
        <v>0.5</v>
      </c>
      <c r="C16" s="30">
        <f>AVERAGE(1,1,1,0.5)</f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>4/3</f>
        <v>1.3333333333333333</v>
      </c>
      <c r="S16" s="30">
        <v>1</v>
      </c>
      <c r="T16" s="30">
        <v>1</v>
      </c>
      <c r="U16" s="30">
        <v>0.5</v>
      </c>
      <c r="V16" s="30">
        <v>1</v>
      </c>
      <c r="W16" s="30">
        <f>AVERAGE(0.5,1)</f>
        <v>0.75</v>
      </c>
      <c r="X16" s="30">
        <v>0.5</v>
      </c>
      <c r="Y16" s="30">
        <f>AVERAGE(1,1,1,0.5)</f>
        <v>0.875</v>
      </c>
      <c r="Z16" s="30">
        <v>1</v>
      </c>
      <c r="AA16" s="30">
        <v>1</v>
      </c>
      <c r="AB16" s="30">
        <v>1</v>
      </c>
      <c r="AC16" s="30">
        <v>1</v>
      </c>
      <c r="AD16" s="30">
        <v>1</v>
      </c>
      <c r="AE16" s="30">
        <v>1</v>
      </c>
      <c r="AF16" s="30">
        <v>0.5</v>
      </c>
      <c r="AG16" s="30">
        <f>4/3</f>
        <v>1.3333333333333333</v>
      </c>
      <c r="AH16" s="30">
        <f>4/3</f>
        <v>1.3333333333333333</v>
      </c>
      <c r="AJ16" s="30">
        <v>-0.5</v>
      </c>
    </row>
    <row r="17" spans="1:36">
      <c r="A17" s="26" t="s">
        <v>131</v>
      </c>
      <c r="B17" s="28" t="s">
        <v>180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 t="s">
        <v>180</v>
      </c>
      <c r="U17" s="28" t="s">
        <v>180</v>
      </c>
      <c r="V17" s="28" t="s">
        <v>180</v>
      </c>
      <c r="W17" s="28" t="s">
        <v>180</v>
      </c>
      <c r="X17" s="28" t="s">
        <v>180</v>
      </c>
      <c r="Y17" s="28" t="s">
        <v>180</v>
      </c>
      <c r="Z17" s="28" t="s">
        <v>180</v>
      </c>
      <c r="AA17" s="28" t="s">
        <v>180</v>
      </c>
      <c r="AB17" s="28" t="s">
        <v>180</v>
      </c>
      <c r="AC17" s="28" t="s">
        <v>180</v>
      </c>
      <c r="AD17" s="28" t="s">
        <v>180</v>
      </c>
      <c r="AE17" s="28" t="s">
        <v>180</v>
      </c>
      <c r="AF17" s="28" t="s">
        <v>180</v>
      </c>
      <c r="AG17" s="28" t="s">
        <v>180</v>
      </c>
      <c r="AH17" s="28" t="s">
        <v>180</v>
      </c>
      <c r="AJ17" s="28" t="s">
        <v>180</v>
      </c>
    </row>
    <row r="18" spans="1:36">
      <c r="A18" s="26" t="s">
        <v>133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  <c r="AJ18" s="30">
        <v>2</v>
      </c>
    </row>
    <row r="19" spans="1:36">
      <c r="AH19" s="78" t="s">
        <v>376</v>
      </c>
      <c r="AJ19" s="78" t="s">
        <v>377</v>
      </c>
    </row>
    <row r="20" spans="1:36">
      <c r="A20" s="31" t="s">
        <v>134</v>
      </c>
    </row>
    <row r="21" spans="1:36">
      <c r="A21" s="93" t="s">
        <v>378</v>
      </c>
      <c r="B21" s="96" t="s">
        <v>369</v>
      </c>
    </row>
    <row r="22" spans="1:36">
      <c r="A22" s="218" t="s">
        <v>379</v>
      </c>
      <c r="B22" s="96" t="s">
        <v>369</v>
      </c>
    </row>
    <row r="23" spans="1:36">
      <c r="A23" s="218"/>
      <c r="B23" s="96" t="s">
        <v>371</v>
      </c>
    </row>
    <row r="25" spans="1:36" ht="53.25" customHeight="1">
      <c r="A25" s="55" t="s">
        <v>372</v>
      </c>
      <c r="B25" s="225" t="s">
        <v>373</v>
      </c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</row>
  </sheetData>
  <mergeCells count="7">
    <mergeCell ref="F3:O3"/>
    <mergeCell ref="F4:O5"/>
    <mergeCell ref="B25:P25"/>
    <mergeCell ref="A22:A23"/>
    <mergeCell ref="B3:D3"/>
    <mergeCell ref="B4:D4"/>
    <mergeCell ref="B5:D5"/>
  </mergeCells>
  <hyperlinks>
    <hyperlink ref="A25" r:id="rId1" xr:uid="{3509802D-865B-48CB-9157-8371B052F66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1095-5C82-4E77-BCD1-FBEF162181BA}">
  <dimension ref="A1:AH21"/>
  <sheetViews>
    <sheetView topLeftCell="O1" workbookViewId="0">
      <selection activeCell="V8" sqref="V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23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360</v>
      </c>
      <c r="C4" s="203"/>
      <c r="D4" s="203"/>
      <c r="F4" s="204" t="s">
        <v>380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362</v>
      </c>
      <c r="C8" s="28" t="s">
        <v>206</v>
      </c>
      <c r="D8" s="28" t="s">
        <v>206</v>
      </c>
      <c r="E8" s="28" t="s">
        <v>206</v>
      </c>
      <c r="F8" s="28" t="s">
        <v>206</v>
      </c>
      <c r="G8" s="28" t="s">
        <v>206</v>
      </c>
      <c r="H8" s="28" t="s">
        <v>206</v>
      </c>
      <c r="I8" s="28" t="s">
        <v>206</v>
      </c>
      <c r="J8" s="28" t="s">
        <v>206</v>
      </c>
      <c r="K8" s="28" t="s">
        <v>206</v>
      </c>
      <c r="L8" s="28" t="s">
        <v>206</v>
      </c>
      <c r="M8" s="28" t="s">
        <v>206</v>
      </c>
      <c r="N8" s="28" t="s">
        <v>206</v>
      </c>
      <c r="O8" s="28" t="s">
        <v>206</v>
      </c>
      <c r="P8" s="29" t="s">
        <v>206</v>
      </c>
      <c r="Q8" s="29" t="s">
        <v>206</v>
      </c>
      <c r="R8" s="29" t="s">
        <v>206</v>
      </c>
      <c r="S8" s="28" t="s">
        <v>206</v>
      </c>
      <c r="T8" s="28" t="s">
        <v>206</v>
      </c>
      <c r="U8" s="29" t="s">
        <v>206</v>
      </c>
      <c r="V8" s="29" t="s">
        <v>206</v>
      </c>
      <c r="W8" s="29" t="s">
        <v>206</v>
      </c>
      <c r="X8" s="29" t="s">
        <v>206</v>
      </c>
      <c r="Y8" s="28" t="s">
        <v>206</v>
      </c>
      <c r="Z8" s="28" t="s">
        <v>206</v>
      </c>
      <c r="AA8" s="28" t="s">
        <v>206</v>
      </c>
      <c r="AB8" s="28" t="s">
        <v>206</v>
      </c>
      <c r="AC8" s="28" t="s">
        <v>206</v>
      </c>
      <c r="AD8" s="28" t="s">
        <v>206</v>
      </c>
      <c r="AE8" s="28" t="s">
        <v>206</v>
      </c>
      <c r="AF8" s="29" t="s">
        <v>206</v>
      </c>
      <c r="AG8" s="29" t="s">
        <v>206</v>
      </c>
      <c r="AH8" s="29" t="s">
        <v>206</v>
      </c>
    </row>
    <row r="9" spans="1:34">
      <c r="A9" s="26" t="s">
        <v>121</v>
      </c>
      <c r="B9" s="28" t="s">
        <v>210</v>
      </c>
      <c r="C9" s="115" t="s">
        <v>364</v>
      </c>
      <c r="D9" s="28" t="s">
        <v>206</v>
      </c>
      <c r="E9" s="28" t="s">
        <v>210</v>
      </c>
      <c r="F9" s="28" t="s">
        <v>210</v>
      </c>
      <c r="G9" s="28" t="s">
        <v>210</v>
      </c>
      <c r="H9" s="28" t="s">
        <v>209</v>
      </c>
      <c r="I9" s="28" t="s">
        <v>206</v>
      </c>
      <c r="J9" s="28" t="s">
        <v>210</v>
      </c>
      <c r="K9" s="28" t="s">
        <v>210</v>
      </c>
      <c r="L9" s="28" t="s">
        <v>210</v>
      </c>
      <c r="M9" s="28" t="s">
        <v>210</v>
      </c>
      <c r="N9" s="28" t="s">
        <v>210</v>
      </c>
      <c r="O9" s="28" t="s">
        <v>210</v>
      </c>
      <c r="P9" s="29" t="s">
        <v>211</v>
      </c>
      <c r="Q9" s="29" t="s">
        <v>211</v>
      </c>
      <c r="R9" s="29" t="s">
        <v>211</v>
      </c>
      <c r="S9" s="28" t="s">
        <v>206</v>
      </c>
      <c r="T9" s="28" t="s">
        <v>206</v>
      </c>
      <c r="U9" s="28" t="s">
        <v>210</v>
      </c>
      <c r="V9" s="28" t="s">
        <v>206</v>
      </c>
      <c r="W9" s="29" t="s">
        <v>365</v>
      </c>
      <c r="X9" s="28" t="s">
        <v>210</v>
      </c>
      <c r="Y9" s="115" t="s">
        <v>364</v>
      </c>
      <c r="Z9" s="28" t="s">
        <v>206</v>
      </c>
      <c r="AA9" s="28" t="s">
        <v>206</v>
      </c>
      <c r="AB9" s="28" t="s">
        <v>206</v>
      </c>
      <c r="AC9" s="28" t="s">
        <v>206</v>
      </c>
      <c r="AD9" s="28" t="s">
        <v>206</v>
      </c>
      <c r="AE9" s="28" t="s">
        <v>206</v>
      </c>
      <c r="AF9" s="28" t="s">
        <v>210</v>
      </c>
      <c r="AG9" s="29" t="s">
        <v>211</v>
      </c>
      <c r="AH9" s="29" t="s">
        <v>211</v>
      </c>
    </row>
    <row r="10" spans="1:34">
      <c r="A10" s="140" t="s">
        <v>122</v>
      </c>
      <c r="B10" s="167">
        <v>52</v>
      </c>
      <c r="C10" s="167">
        <v>118</v>
      </c>
      <c r="D10" s="167">
        <v>50</v>
      </c>
      <c r="E10" s="167">
        <v>122</v>
      </c>
      <c r="F10" s="167">
        <v>52</v>
      </c>
      <c r="G10" s="167">
        <v>52</v>
      </c>
      <c r="H10" s="167">
        <v>46</v>
      </c>
      <c r="I10" s="167">
        <v>50</v>
      </c>
      <c r="J10" s="167">
        <v>52</v>
      </c>
      <c r="K10" s="167">
        <v>52</v>
      </c>
      <c r="L10" s="167">
        <v>52</v>
      </c>
      <c r="M10" s="167">
        <v>52</v>
      </c>
      <c r="N10" s="167">
        <v>52</v>
      </c>
      <c r="O10" s="167">
        <v>52</v>
      </c>
      <c r="P10" s="167">
        <v>48</v>
      </c>
      <c r="Q10" s="167">
        <v>48</v>
      </c>
      <c r="R10" s="167">
        <v>48</v>
      </c>
      <c r="S10" s="167">
        <v>50</v>
      </c>
      <c r="T10" s="167">
        <v>50</v>
      </c>
      <c r="U10" s="167">
        <v>52</v>
      </c>
      <c r="V10" s="167">
        <v>50</v>
      </c>
      <c r="W10" s="167">
        <v>161</v>
      </c>
      <c r="X10" s="167">
        <v>52</v>
      </c>
      <c r="Y10" s="167">
        <v>118</v>
      </c>
      <c r="Z10" s="167">
        <v>50</v>
      </c>
      <c r="AA10" s="167">
        <v>50</v>
      </c>
      <c r="AB10" s="167">
        <v>50</v>
      </c>
      <c r="AC10" s="167">
        <v>50</v>
      </c>
      <c r="AD10" s="167">
        <v>50</v>
      </c>
      <c r="AE10" s="167">
        <v>50</v>
      </c>
      <c r="AF10" s="167">
        <v>52</v>
      </c>
      <c r="AG10" s="167">
        <v>48</v>
      </c>
      <c r="AH10" s="167">
        <v>48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9" t="s">
        <v>124</v>
      </c>
      <c r="Q11" s="29" t="s">
        <v>124</v>
      </c>
      <c r="R11" s="29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124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28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28" t="s">
        <v>124</v>
      </c>
      <c r="T13" s="28" t="s">
        <v>124</v>
      </c>
      <c r="U13" s="28" t="s">
        <v>124</v>
      </c>
      <c r="V13" s="28" t="s">
        <v>124</v>
      </c>
      <c r="W13" s="28" t="s">
        <v>124</v>
      </c>
      <c r="X13" s="28" t="s">
        <v>124</v>
      </c>
      <c r="Y13" s="28" t="s">
        <v>124</v>
      </c>
      <c r="Z13" s="28" t="s">
        <v>124</v>
      </c>
      <c r="AA13" s="28" t="s">
        <v>124</v>
      </c>
      <c r="AB13" s="28" t="s">
        <v>124</v>
      </c>
      <c r="AC13" s="28" t="s">
        <v>124</v>
      </c>
      <c r="AD13" s="28" t="s">
        <v>124</v>
      </c>
      <c r="AE13" s="28" t="s">
        <v>124</v>
      </c>
      <c r="AF13" s="28" t="s">
        <v>124</v>
      </c>
      <c r="AG13" s="28" t="s">
        <v>124</v>
      </c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149</v>
      </c>
      <c r="AG15" s="28" t="s">
        <v>149</v>
      </c>
      <c r="AH15" s="28" t="s">
        <v>149</v>
      </c>
    </row>
    <row r="16" spans="1:34">
      <c r="A16" s="26" t="s">
        <v>130</v>
      </c>
      <c r="B16" s="30">
        <v>0.5</v>
      </c>
      <c r="C16" s="30">
        <f>AVERAGE(1,1,1,0.5)</f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>4/3</f>
        <v>1.3333333333333333</v>
      </c>
      <c r="S16" s="30">
        <v>1</v>
      </c>
      <c r="T16" s="30">
        <v>1</v>
      </c>
      <c r="U16" s="30">
        <v>0.5</v>
      </c>
      <c r="V16" s="30">
        <v>1</v>
      </c>
      <c r="W16" s="30">
        <f>AVERAGE(0.5,1)</f>
        <v>0.75</v>
      </c>
      <c r="X16" s="30">
        <v>0.5</v>
      </c>
      <c r="Y16" s="30">
        <f>AVERAGE(1,1,1,0.5)</f>
        <v>0.875</v>
      </c>
      <c r="Z16" s="30">
        <v>1</v>
      </c>
      <c r="AA16" s="30">
        <v>1</v>
      </c>
      <c r="AB16" s="30">
        <v>1</v>
      </c>
      <c r="AC16" s="30">
        <v>1</v>
      </c>
      <c r="AD16" s="30">
        <v>1</v>
      </c>
      <c r="AE16" s="30">
        <v>1</v>
      </c>
      <c r="AF16" s="30">
        <v>0.5</v>
      </c>
      <c r="AG16" s="30">
        <f>4/3</f>
        <v>1.3333333333333333</v>
      </c>
      <c r="AH16" s="30">
        <f>4/3</f>
        <v>1.3333333333333333</v>
      </c>
    </row>
    <row r="17" spans="1:34">
      <c r="A17" s="26" t="s">
        <v>131</v>
      </c>
      <c r="B17" s="28" t="s">
        <v>180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 t="s">
        <v>180</v>
      </c>
      <c r="U17" s="28" t="s">
        <v>180</v>
      </c>
      <c r="V17" s="28" t="s">
        <v>180</v>
      </c>
      <c r="W17" s="28" t="s">
        <v>180</v>
      </c>
      <c r="X17" s="28" t="s">
        <v>180</v>
      </c>
      <c r="Y17" s="28" t="s">
        <v>180</v>
      </c>
      <c r="Z17" s="28" t="s">
        <v>180</v>
      </c>
      <c r="AA17" s="28" t="s">
        <v>180</v>
      </c>
      <c r="AB17" s="28" t="s">
        <v>180</v>
      </c>
      <c r="AC17" s="28" t="s">
        <v>180</v>
      </c>
      <c r="AD17" s="28" t="s">
        <v>180</v>
      </c>
      <c r="AE17" s="28" t="s">
        <v>180</v>
      </c>
      <c r="AF17" s="28" t="s">
        <v>180</v>
      </c>
      <c r="AG17" s="28" t="s">
        <v>180</v>
      </c>
      <c r="AH17" s="28" t="s">
        <v>180</v>
      </c>
    </row>
    <row r="18" spans="1:34">
      <c r="A18" s="26" t="s">
        <v>133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</row>
    <row r="20" spans="1:34">
      <c r="A20" s="31" t="s">
        <v>134</v>
      </c>
    </row>
    <row r="21" spans="1:34">
      <c r="A21" s="26" t="s">
        <v>381</v>
      </c>
      <c r="B21" s="56" t="s">
        <v>369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2913-AD26-493E-A568-B3C457FC6E1E}">
  <dimension ref="A1:AM23"/>
  <sheetViews>
    <sheetView workbookViewId="0">
      <selection activeCell="V8" sqref="V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9">
      <c r="A1" s="25" t="s">
        <v>74</v>
      </c>
      <c r="D1" s="25" t="s">
        <v>75</v>
      </c>
      <c r="I1" s="25" t="s">
        <v>76</v>
      </c>
    </row>
    <row r="3" spans="1:39" ht="17.45">
      <c r="A3" s="25" t="s">
        <v>77</v>
      </c>
      <c r="B3" s="203">
        <v>24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9" ht="17.45">
      <c r="A4" s="25" t="s">
        <v>79</v>
      </c>
      <c r="B4" s="203" t="s">
        <v>382</v>
      </c>
      <c r="C4" s="203"/>
      <c r="D4" s="203"/>
      <c r="F4" s="204" t="s">
        <v>383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9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9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  <c r="AJ7" s="66" t="s">
        <v>100</v>
      </c>
      <c r="AK7" s="72" t="s">
        <v>109</v>
      </c>
      <c r="AL7" s="73" t="s">
        <v>111</v>
      </c>
      <c r="AM7" s="74" t="s">
        <v>113</v>
      </c>
    </row>
    <row r="8" spans="1:39">
      <c r="A8" s="26" t="s">
        <v>117</v>
      </c>
      <c r="B8" s="115" t="s">
        <v>384</v>
      </c>
      <c r="C8" s="28" t="s">
        <v>286</v>
      </c>
      <c r="D8" s="28" t="s">
        <v>342</v>
      </c>
      <c r="E8" s="28" t="s">
        <v>342</v>
      </c>
      <c r="F8" s="28" t="s">
        <v>342</v>
      </c>
      <c r="G8" s="28" t="s">
        <v>342</v>
      </c>
      <c r="H8" s="28" t="s">
        <v>342</v>
      </c>
      <c r="I8" s="28" t="s">
        <v>342</v>
      </c>
      <c r="J8" s="28" t="s">
        <v>342</v>
      </c>
      <c r="K8" s="28" t="s">
        <v>342</v>
      </c>
      <c r="L8" s="28" t="s">
        <v>342</v>
      </c>
      <c r="M8" s="28" t="s">
        <v>342</v>
      </c>
      <c r="N8" s="28" t="s">
        <v>287</v>
      </c>
      <c r="O8" s="28" t="s">
        <v>287</v>
      </c>
      <c r="P8" s="28" t="s">
        <v>342</v>
      </c>
      <c r="Q8" s="28" t="s">
        <v>342</v>
      </c>
      <c r="R8" s="28" t="s">
        <v>341</v>
      </c>
      <c r="S8" s="28" t="s">
        <v>342</v>
      </c>
      <c r="T8" s="83"/>
      <c r="U8" s="28" t="s">
        <v>287</v>
      </c>
      <c r="V8" s="28" t="s">
        <v>287</v>
      </c>
      <c r="W8" s="28"/>
      <c r="X8" s="28" t="s">
        <v>287</v>
      </c>
      <c r="Y8" s="28" t="s">
        <v>287</v>
      </c>
      <c r="Z8" s="28" t="s">
        <v>287</v>
      </c>
      <c r="AA8" s="28" t="s">
        <v>287</v>
      </c>
      <c r="AB8" s="28" t="s">
        <v>287</v>
      </c>
      <c r="AC8" s="28" t="s">
        <v>287</v>
      </c>
      <c r="AD8" s="28" t="s">
        <v>287</v>
      </c>
      <c r="AE8" s="28" t="s">
        <v>287</v>
      </c>
      <c r="AF8" s="28" t="s">
        <v>287</v>
      </c>
      <c r="AG8" s="28" t="s">
        <v>287</v>
      </c>
      <c r="AH8" s="28" t="s">
        <v>287</v>
      </c>
      <c r="AJ8" s="28" t="s">
        <v>287</v>
      </c>
      <c r="AK8" s="28" t="s">
        <v>385</v>
      </c>
      <c r="AL8" s="28" t="s">
        <v>385</v>
      </c>
      <c r="AM8" s="28" t="s">
        <v>385</v>
      </c>
    </row>
    <row r="9" spans="1:39">
      <c r="A9" s="26" t="s">
        <v>121</v>
      </c>
      <c r="B9" s="28" t="s">
        <v>342</v>
      </c>
      <c r="C9" s="28" t="s">
        <v>287</v>
      </c>
      <c r="D9" s="28" t="s">
        <v>287</v>
      </c>
      <c r="E9" s="28" t="s">
        <v>287</v>
      </c>
      <c r="F9" s="28" t="s">
        <v>287</v>
      </c>
      <c r="G9" s="28" t="s">
        <v>287</v>
      </c>
      <c r="H9" s="28" t="s">
        <v>287</v>
      </c>
      <c r="I9" s="28" t="s">
        <v>287</v>
      </c>
      <c r="J9" s="28" t="s">
        <v>287</v>
      </c>
      <c r="K9" s="28" t="s">
        <v>287</v>
      </c>
      <c r="L9" s="28" t="s">
        <v>287</v>
      </c>
      <c r="M9" s="28" t="s">
        <v>287</v>
      </c>
      <c r="N9" s="28" t="s">
        <v>287</v>
      </c>
      <c r="O9" s="28" t="s">
        <v>287</v>
      </c>
      <c r="P9" s="28" t="s">
        <v>287</v>
      </c>
      <c r="Q9" s="28" t="s">
        <v>287</v>
      </c>
      <c r="R9" s="28" t="s">
        <v>342</v>
      </c>
      <c r="S9" s="28" t="s">
        <v>287</v>
      </c>
      <c r="T9" s="83" t="s">
        <v>287</v>
      </c>
      <c r="U9" s="28" t="s">
        <v>287</v>
      </c>
      <c r="V9" s="28" t="s">
        <v>287</v>
      </c>
      <c r="W9" s="28" t="s">
        <v>287</v>
      </c>
      <c r="X9" s="28" t="s">
        <v>287</v>
      </c>
      <c r="Y9" s="28" t="s">
        <v>287</v>
      </c>
      <c r="Z9" s="28" t="s">
        <v>287</v>
      </c>
      <c r="AA9" s="28" t="s">
        <v>287</v>
      </c>
      <c r="AB9" s="28" t="s">
        <v>287</v>
      </c>
      <c r="AC9" s="28" t="s">
        <v>287</v>
      </c>
      <c r="AD9" s="28" t="s">
        <v>287</v>
      </c>
      <c r="AE9" s="28" t="s">
        <v>287</v>
      </c>
      <c r="AF9" s="28" t="s">
        <v>287</v>
      </c>
      <c r="AG9" s="28" t="s">
        <v>287</v>
      </c>
      <c r="AH9" s="28" t="s">
        <v>287</v>
      </c>
      <c r="AJ9" s="28" t="s">
        <v>287</v>
      </c>
      <c r="AK9" s="28" t="s">
        <v>287</v>
      </c>
      <c r="AL9" s="28" t="s">
        <v>287</v>
      </c>
      <c r="AM9" s="28" t="s">
        <v>287</v>
      </c>
    </row>
    <row r="10" spans="1:39">
      <c r="A10" s="140" t="s">
        <v>122</v>
      </c>
      <c r="B10" s="167">
        <v>116</v>
      </c>
      <c r="C10" s="167" t="s">
        <v>287</v>
      </c>
      <c r="D10" s="167" t="s">
        <v>287</v>
      </c>
      <c r="E10" s="167" t="s">
        <v>287</v>
      </c>
      <c r="F10" s="167" t="s">
        <v>287</v>
      </c>
      <c r="G10" s="167" t="s">
        <v>287</v>
      </c>
      <c r="H10" s="167" t="s">
        <v>287</v>
      </c>
      <c r="I10" s="167" t="s">
        <v>287</v>
      </c>
      <c r="J10" s="167" t="s">
        <v>287</v>
      </c>
      <c r="K10" s="167" t="s">
        <v>287</v>
      </c>
      <c r="L10" s="167" t="s">
        <v>287</v>
      </c>
      <c r="M10" s="167" t="s">
        <v>287</v>
      </c>
      <c r="N10" s="167" t="s">
        <v>287</v>
      </c>
      <c r="O10" s="167" t="s">
        <v>287</v>
      </c>
      <c r="P10" s="167" t="s">
        <v>287</v>
      </c>
      <c r="Q10" s="167" t="s">
        <v>287</v>
      </c>
      <c r="R10" s="167">
        <v>116</v>
      </c>
      <c r="S10" s="167" t="s">
        <v>287</v>
      </c>
      <c r="T10" s="168" t="s">
        <v>287</v>
      </c>
      <c r="U10" s="167" t="s">
        <v>287</v>
      </c>
      <c r="V10" s="167" t="s">
        <v>287</v>
      </c>
      <c r="W10" s="167" t="s">
        <v>287</v>
      </c>
      <c r="X10" s="167" t="s">
        <v>287</v>
      </c>
      <c r="Y10" s="167" t="s">
        <v>287</v>
      </c>
      <c r="Z10" s="167" t="s">
        <v>287</v>
      </c>
      <c r="AA10" s="167" t="s">
        <v>287</v>
      </c>
      <c r="AB10" s="167" t="s">
        <v>287</v>
      </c>
      <c r="AC10" s="167" t="s">
        <v>287</v>
      </c>
      <c r="AD10" s="167" t="s">
        <v>287</v>
      </c>
      <c r="AE10" s="167" t="s">
        <v>287</v>
      </c>
      <c r="AF10" s="167" t="s">
        <v>287</v>
      </c>
      <c r="AG10" s="167" t="s">
        <v>287</v>
      </c>
      <c r="AH10" s="167" t="s">
        <v>287</v>
      </c>
      <c r="AJ10" s="167" t="s">
        <v>287</v>
      </c>
      <c r="AK10" s="167" t="s">
        <v>287</v>
      </c>
      <c r="AL10" s="167" t="s">
        <v>287</v>
      </c>
      <c r="AM10" s="167" t="s">
        <v>287</v>
      </c>
    </row>
    <row r="11" spans="1:39">
      <c r="A11" s="26" t="s">
        <v>123</v>
      </c>
      <c r="B11" s="28" t="s">
        <v>127</v>
      </c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28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28" t="s">
        <v>127</v>
      </c>
      <c r="S11" s="28" t="s">
        <v>127</v>
      </c>
      <c r="T11" s="83" t="s">
        <v>127</v>
      </c>
      <c r="U11" s="28" t="s">
        <v>127</v>
      </c>
      <c r="V11" s="28" t="s">
        <v>127</v>
      </c>
      <c r="W11" s="28" t="s">
        <v>127</v>
      </c>
      <c r="X11" s="28" t="s">
        <v>127</v>
      </c>
      <c r="Y11" s="28" t="s">
        <v>127</v>
      </c>
      <c r="Z11" s="28" t="s">
        <v>127</v>
      </c>
      <c r="AA11" s="28" t="s">
        <v>127</v>
      </c>
      <c r="AB11" s="28" t="s">
        <v>127</v>
      </c>
      <c r="AC11" s="28" t="s">
        <v>127</v>
      </c>
      <c r="AD11" s="28" t="s">
        <v>127</v>
      </c>
      <c r="AE11" s="28" t="s">
        <v>127</v>
      </c>
      <c r="AF11" s="28" t="s">
        <v>127</v>
      </c>
      <c r="AG11" s="28" t="s">
        <v>127</v>
      </c>
      <c r="AH11" s="28" t="s">
        <v>127</v>
      </c>
      <c r="AJ11" s="28" t="s">
        <v>127</v>
      </c>
      <c r="AK11" s="28" t="s">
        <v>127</v>
      </c>
      <c r="AL11" s="28" t="s">
        <v>127</v>
      </c>
      <c r="AM11" s="28" t="s">
        <v>127</v>
      </c>
    </row>
    <row r="12" spans="1:39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8" t="s">
        <v>127</v>
      </c>
      <c r="AK12" s="28" t="s">
        <v>127</v>
      </c>
      <c r="AL12" s="28" t="s">
        <v>127</v>
      </c>
      <c r="AM12" s="28" t="s">
        <v>127</v>
      </c>
    </row>
    <row r="13" spans="1:39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83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127</v>
      </c>
      <c r="AK13" s="28" t="s">
        <v>127</v>
      </c>
      <c r="AL13" s="28" t="s">
        <v>127</v>
      </c>
      <c r="AM13" s="28" t="s">
        <v>127</v>
      </c>
    </row>
    <row r="14" spans="1:39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83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K14" s="28" t="s">
        <v>127</v>
      </c>
      <c r="AL14" s="28" t="s">
        <v>127</v>
      </c>
      <c r="AM14" s="28" t="s">
        <v>127</v>
      </c>
    </row>
    <row r="15" spans="1:39">
      <c r="A15" s="26" t="s">
        <v>129</v>
      </c>
      <c r="B15" s="28" t="s">
        <v>343</v>
      </c>
      <c r="C15" s="28" t="s">
        <v>343</v>
      </c>
      <c r="D15" s="28" t="s">
        <v>343</v>
      </c>
      <c r="E15" s="28" t="s">
        <v>343</v>
      </c>
      <c r="F15" s="28" t="s">
        <v>343</v>
      </c>
      <c r="G15" s="28" t="s">
        <v>343</v>
      </c>
      <c r="H15" s="28" t="s">
        <v>343</v>
      </c>
      <c r="I15" s="28" t="s">
        <v>343</v>
      </c>
      <c r="J15" s="28" t="s">
        <v>343</v>
      </c>
      <c r="K15" s="28" t="s">
        <v>343</v>
      </c>
      <c r="L15" s="28" t="s">
        <v>343</v>
      </c>
      <c r="M15" s="28" t="s">
        <v>343</v>
      </c>
      <c r="N15" s="28" t="s">
        <v>343</v>
      </c>
      <c r="O15" s="28" t="s">
        <v>343</v>
      </c>
      <c r="P15" s="28" t="s">
        <v>343</v>
      </c>
      <c r="Q15" s="28" t="s">
        <v>343</v>
      </c>
      <c r="R15" s="28" t="s">
        <v>343</v>
      </c>
      <c r="S15" s="28" t="s">
        <v>343</v>
      </c>
      <c r="T15" s="83" t="s">
        <v>343</v>
      </c>
      <c r="U15" s="28" t="s">
        <v>343</v>
      </c>
      <c r="V15" s="28" t="s">
        <v>343</v>
      </c>
      <c r="W15" s="28" t="s">
        <v>343</v>
      </c>
      <c r="X15" s="28" t="s">
        <v>343</v>
      </c>
      <c r="Y15" s="28" t="s">
        <v>343</v>
      </c>
      <c r="Z15" s="28" t="s">
        <v>343</v>
      </c>
      <c r="AA15" s="28" t="s">
        <v>343</v>
      </c>
      <c r="AB15" s="28" t="s">
        <v>343</v>
      </c>
      <c r="AC15" s="28" t="s">
        <v>343</v>
      </c>
      <c r="AD15" s="28" t="s">
        <v>343</v>
      </c>
      <c r="AE15" s="28" t="s">
        <v>343</v>
      </c>
      <c r="AF15" s="28" t="s">
        <v>343</v>
      </c>
      <c r="AG15" s="28" t="s">
        <v>343</v>
      </c>
      <c r="AH15" s="28" t="s">
        <v>343</v>
      </c>
      <c r="AJ15" s="28" t="s">
        <v>343</v>
      </c>
      <c r="AK15" s="28" t="s">
        <v>343</v>
      </c>
      <c r="AL15" s="28" t="s">
        <v>343</v>
      </c>
      <c r="AM15" s="28" t="s">
        <v>343</v>
      </c>
    </row>
    <row r="16" spans="1:39">
      <c r="A16" s="26" t="s">
        <v>130</v>
      </c>
      <c r="B16" s="30">
        <v>-6</v>
      </c>
      <c r="C16" s="30">
        <v>-6</v>
      </c>
      <c r="D16" s="30">
        <v>-6</v>
      </c>
      <c r="E16" s="30">
        <v>-6</v>
      </c>
      <c r="F16" s="30">
        <v>-6</v>
      </c>
      <c r="G16" s="30">
        <v>-6</v>
      </c>
      <c r="H16" s="30">
        <v>-6</v>
      </c>
      <c r="I16" s="30">
        <v>-6</v>
      </c>
      <c r="J16" s="30">
        <v>-6</v>
      </c>
      <c r="K16" s="30">
        <v>-6</v>
      </c>
      <c r="L16" s="30">
        <v>-6</v>
      </c>
      <c r="M16" s="30">
        <v>-6</v>
      </c>
      <c r="N16" s="30">
        <v>-6</v>
      </c>
      <c r="O16" s="30">
        <v>-6</v>
      </c>
      <c r="P16" s="30">
        <v>-6</v>
      </c>
      <c r="Q16" s="30">
        <v>-6</v>
      </c>
      <c r="R16" s="30">
        <v>-6</v>
      </c>
      <c r="S16" s="30">
        <v>-6</v>
      </c>
      <c r="T16" s="88">
        <v>-6</v>
      </c>
      <c r="U16" s="30">
        <v>-6</v>
      </c>
      <c r="V16" s="30">
        <v>-6</v>
      </c>
      <c r="W16" s="30">
        <v>-6</v>
      </c>
      <c r="X16" s="30">
        <v>-6</v>
      </c>
      <c r="Y16" s="30">
        <v>-6</v>
      </c>
      <c r="Z16" s="30">
        <v>-6</v>
      </c>
      <c r="AA16" s="30">
        <v>-6</v>
      </c>
      <c r="AB16" s="30">
        <v>-6</v>
      </c>
      <c r="AC16" s="30">
        <v>-6</v>
      </c>
      <c r="AD16" s="30">
        <v>-6</v>
      </c>
      <c r="AE16" s="30">
        <v>-6</v>
      </c>
      <c r="AF16" s="30">
        <v>-6</v>
      </c>
      <c r="AG16" s="30">
        <v>-6</v>
      </c>
      <c r="AH16" s="30">
        <v>-6</v>
      </c>
      <c r="AJ16" s="30">
        <v>-6</v>
      </c>
      <c r="AK16" s="30">
        <v>-6</v>
      </c>
      <c r="AL16" s="30">
        <v>-6</v>
      </c>
      <c r="AM16" s="30">
        <v>-6</v>
      </c>
    </row>
    <row r="17" spans="1:39">
      <c r="A17" s="26" t="s">
        <v>131</v>
      </c>
      <c r="B17" s="28" t="s">
        <v>344</v>
      </c>
      <c r="C17" s="28" t="s">
        <v>287</v>
      </c>
      <c r="D17" s="28" t="s">
        <v>287</v>
      </c>
      <c r="E17" s="28" t="s">
        <v>287</v>
      </c>
      <c r="F17" s="28" t="s">
        <v>287</v>
      </c>
      <c r="G17" s="28" t="s">
        <v>287</v>
      </c>
      <c r="H17" s="28" t="s">
        <v>287</v>
      </c>
      <c r="I17" s="28" t="s">
        <v>287</v>
      </c>
      <c r="J17" s="28" t="s">
        <v>287</v>
      </c>
      <c r="K17" s="28" t="s">
        <v>287</v>
      </c>
      <c r="L17" s="28" t="s">
        <v>287</v>
      </c>
      <c r="M17" s="28" t="s">
        <v>287</v>
      </c>
      <c r="N17" s="28" t="s">
        <v>287</v>
      </c>
      <c r="O17" s="28" t="s">
        <v>287</v>
      </c>
      <c r="P17" s="28" t="s">
        <v>287</v>
      </c>
      <c r="Q17" s="28" t="s">
        <v>287</v>
      </c>
      <c r="R17" s="28" t="s">
        <v>344</v>
      </c>
      <c r="S17" s="28" t="s">
        <v>287</v>
      </c>
      <c r="T17" s="83" t="s">
        <v>287</v>
      </c>
      <c r="U17" s="28" t="s">
        <v>287</v>
      </c>
      <c r="V17" s="28" t="s">
        <v>287</v>
      </c>
      <c r="W17" s="28" t="s">
        <v>287</v>
      </c>
      <c r="X17" s="28" t="s">
        <v>287</v>
      </c>
      <c r="Y17" s="28" t="s">
        <v>287</v>
      </c>
      <c r="Z17" s="28" t="s">
        <v>287</v>
      </c>
      <c r="AA17" s="28" t="s">
        <v>287</v>
      </c>
      <c r="AB17" s="28" t="s">
        <v>287</v>
      </c>
      <c r="AC17" s="28" t="s">
        <v>287</v>
      </c>
      <c r="AD17" s="28" t="s">
        <v>287</v>
      </c>
      <c r="AE17" s="28" t="s">
        <v>287</v>
      </c>
      <c r="AF17" s="28" t="s">
        <v>287</v>
      </c>
      <c r="AG17" s="28" t="s">
        <v>287</v>
      </c>
      <c r="AH17" s="28" t="s">
        <v>287</v>
      </c>
      <c r="AJ17" s="28" t="s">
        <v>287</v>
      </c>
      <c r="AK17" s="28" t="s">
        <v>287</v>
      </c>
      <c r="AL17" s="28" t="s">
        <v>287</v>
      </c>
      <c r="AM17" s="28" t="s">
        <v>287</v>
      </c>
    </row>
    <row r="18" spans="1:39">
      <c r="A18" s="26" t="s">
        <v>133</v>
      </c>
      <c r="B18" s="30">
        <v>1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</v>
      </c>
      <c r="S18" s="30">
        <v>0</v>
      </c>
      <c r="T18" s="88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J18" s="30">
        <v>0</v>
      </c>
      <c r="AK18" s="30">
        <v>0</v>
      </c>
      <c r="AL18" s="30">
        <v>0</v>
      </c>
      <c r="AM18" s="30">
        <v>0</v>
      </c>
    </row>
    <row r="19" spans="1:39">
      <c r="R19" s="78" t="s">
        <v>386</v>
      </c>
      <c r="AJ19" s="217" t="s">
        <v>387</v>
      </c>
      <c r="AK19" s="217"/>
      <c r="AL19" s="217"/>
      <c r="AM19" s="217"/>
    </row>
    <row r="20" spans="1:39">
      <c r="A20" s="31" t="s">
        <v>134</v>
      </c>
    </row>
    <row r="21" spans="1:39">
      <c r="A21" s="26" t="s">
        <v>388</v>
      </c>
      <c r="B21" s="56" t="s">
        <v>389</v>
      </c>
    </row>
    <row r="22" spans="1:39">
      <c r="A22" s="56" t="s">
        <v>390</v>
      </c>
      <c r="B22" s="56"/>
    </row>
    <row r="23" spans="1:39">
      <c r="A23" s="56" t="s">
        <v>391</v>
      </c>
      <c r="B23" s="56"/>
    </row>
  </sheetData>
  <mergeCells count="6">
    <mergeCell ref="AJ19:AM19"/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0721-1E8C-4CBD-9098-8B04723931C1}">
  <dimension ref="A1:AH23"/>
  <sheetViews>
    <sheetView topLeftCell="B5" workbookViewId="0">
      <selection activeCell="N9" sqref="N9:S1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25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392</v>
      </c>
      <c r="C4" s="203"/>
      <c r="D4" s="203"/>
      <c r="F4" s="204" t="s">
        <v>393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 ht="15.75" customHeight="1">
      <c r="A8" s="26" t="s">
        <v>117</v>
      </c>
      <c r="B8" s="28" t="s">
        <v>394</v>
      </c>
      <c r="C8" s="28" t="s">
        <v>395</v>
      </c>
      <c r="D8" s="28" t="s">
        <v>395</v>
      </c>
      <c r="E8" s="28" t="s">
        <v>395</v>
      </c>
      <c r="F8" s="28" t="s">
        <v>395</v>
      </c>
      <c r="G8" s="28" t="s">
        <v>395</v>
      </c>
      <c r="H8" s="28" t="s">
        <v>395</v>
      </c>
      <c r="I8" s="28" t="s">
        <v>395</v>
      </c>
      <c r="J8" s="28" t="s">
        <v>395</v>
      </c>
      <c r="K8" s="28" t="s">
        <v>395</v>
      </c>
      <c r="L8" s="28" t="s">
        <v>395</v>
      </c>
      <c r="M8" s="28" t="s">
        <v>395</v>
      </c>
      <c r="N8" s="28" t="s">
        <v>395</v>
      </c>
      <c r="O8" s="28" t="s">
        <v>395</v>
      </c>
      <c r="P8" s="28" t="s">
        <v>395</v>
      </c>
      <c r="Q8" s="28" t="s">
        <v>395</v>
      </c>
      <c r="R8" s="28" t="s">
        <v>395</v>
      </c>
      <c r="S8" s="28" t="s">
        <v>395</v>
      </c>
      <c r="T8" s="28" t="s">
        <v>395</v>
      </c>
      <c r="U8" s="28" t="s">
        <v>395</v>
      </c>
      <c r="V8" s="28" t="s">
        <v>395</v>
      </c>
      <c r="W8" s="28" t="s">
        <v>395</v>
      </c>
      <c r="X8" s="28" t="s">
        <v>395</v>
      </c>
      <c r="Y8" s="28" t="s">
        <v>395</v>
      </c>
      <c r="Z8" s="28" t="s">
        <v>395</v>
      </c>
      <c r="AA8" s="28" t="s">
        <v>395</v>
      </c>
      <c r="AB8" s="28" t="s">
        <v>395</v>
      </c>
      <c r="AC8" s="28" t="s">
        <v>395</v>
      </c>
      <c r="AD8" s="28" t="s">
        <v>395</v>
      </c>
      <c r="AE8" s="29" t="s">
        <v>395</v>
      </c>
      <c r="AF8" s="28" t="s">
        <v>395</v>
      </c>
      <c r="AG8" s="28" t="s">
        <v>395</v>
      </c>
      <c r="AH8" s="28" t="s">
        <v>395</v>
      </c>
    </row>
    <row r="9" spans="1:34" ht="15.75" customHeight="1">
      <c r="A9" s="26" t="s">
        <v>121</v>
      </c>
      <c r="B9" s="28" t="s">
        <v>395</v>
      </c>
      <c r="C9" s="138" t="s">
        <v>396</v>
      </c>
      <c r="D9" s="28" t="s">
        <v>397</v>
      </c>
      <c r="E9" s="28" t="s">
        <v>395</v>
      </c>
      <c r="F9" s="28" t="s">
        <v>395</v>
      </c>
      <c r="G9" s="28" t="s">
        <v>395</v>
      </c>
      <c r="H9" s="28" t="s">
        <v>395</v>
      </c>
      <c r="I9" s="28" t="s">
        <v>395</v>
      </c>
      <c r="J9" s="28" t="s">
        <v>395</v>
      </c>
      <c r="K9" s="28" t="s">
        <v>398</v>
      </c>
      <c r="L9" s="28" t="s">
        <v>398</v>
      </c>
      <c r="M9" s="28" t="s">
        <v>398</v>
      </c>
      <c r="N9" s="115" t="s">
        <v>399</v>
      </c>
      <c r="O9" s="28" t="s">
        <v>395</v>
      </c>
      <c r="P9" s="115" t="s">
        <v>400</v>
      </c>
      <c r="Q9" s="115" t="s">
        <v>400</v>
      </c>
      <c r="R9" s="29" t="s">
        <v>401</v>
      </c>
      <c r="S9" s="115" t="s">
        <v>399</v>
      </c>
      <c r="T9" s="28" t="s">
        <v>395</v>
      </c>
      <c r="U9" s="28" t="s">
        <v>395</v>
      </c>
      <c r="V9" s="115" t="s">
        <v>402</v>
      </c>
      <c r="W9" s="28" t="s">
        <v>395</v>
      </c>
      <c r="X9" s="28" t="s">
        <v>395</v>
      </c>
      <c r="Y9" s="28" t="s">
        <v>395</v>
      </c>
      <c r="Z9" s="28" t="s">
        <v>395</v>
      </c>
      <c r="AA9" s="28" t="s">
        <v>395</v>
      </c>
      <c r="AB9" s="28" t="s">
        <v>395</v>
      </c>
      <c r="AC9" s="28" t="s">
        <v>395</v>
      </c>
      <c r="AD9" s="28" t="s">
        <v>395</v>
      </c>
      <c r="AE9" s="94" t="s">
        <v>403</v>
      </c>
      <c r="AF9" s="28" t="s">
        <v>395</v>
      </c>
      <c r="AG9" s="28" t="s">
        <v>404</v>
      </c>
      <c r="AH9" s="28" t="s">
        <v>404</v>
      </c>
    </row>
    <row r="10" spans="1:34" ht="15.75" customHeight="1">
      <c r="A10" s="140" t="s">
        <v>122</v>
      </c>
      <c r="B10" s="167">
        <v>79</v>
      </c>
      <c r="C10" s="167">
        <v>123</v>
      </c>
      <c r="D10" s="167">
        <v>124</v>
      </c>
      <c r="E10" s="167">
        <v>79</v>
      </c>
      <c r="F10" s="167">
        <v>79</v>
      </c>
      <c r="G10" s="167">
        <v>79</v>
      </c>
      <c r="H10" s="167">
        <v>79</v>
      </c>
      <c r="I10" s="167">
        <v>79</v>
      </c>
      <c r="J10" s="167">
        <v>79</v>
      </c>
      <c r="K10" s="167">
        <v>141</v>
      </c>
      <c r="L10" s="167">
        <v>141</v>
      </c>
      <c r="M10" s="167">
        <v>141</v>
      </c>
      <c r="N10" s="167">
        <v>127</v>
      </c>
      <c r="O10" s="167">
        <v>79</v>
      </c>
      <c r="P10" s="167">
        <v>142</v>
      </c>
      <c r="Q10" s="167">
        <v>142</v>
      </c>
      <c r="R10" s="167">
        <v>81</v>
      </c>
      <c r="S10" s="167">
        <v>127</v>
      </c>
      <c r="T10" s="167">
        <v>79</v>
      </c>
      <c r="U10" s="167">
        <v>79</v>
      </c>
      <c r="V10" s="167">
        <v>132</v>
      </c>
      <c r="W10" s="167">
        <v>79</v>
      </c>
      <c r="X10" s="167">
        <v>79</v>
      </c>
      <c r="Y10" s="167">
        <v>79</v>
      </c>
      <c r="Z10" s="167">
        <v>79</v>
      </c>
      <c r="AA10" s="167">
        <v>79</v>
      </c>
      <c r="AB10" s="167">
        <v>79</v>
      </c>
      <c r="AC10" s="167">
        <v>79</v>
      </c>
      <c r="AD10" s="167">
        <v>79</v>
      </c>
      <c r="AE10" s="167">
        <v>128</v>
      </c>
      <c r="AF10" s="167">
        <v>79</v>
      </c>
      <c r="AG10" s="167">
        <v>78</v>
      </c>
      <c r="AH10" s="167">
        <v>78</v>
      </c>
    </row>
    <row r="11" spans="1:34" ht="15.75" customHeight="1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 ht="15.75" customHeight="1">
      <c r="A12" s="26" t="s">
        <v>125</v>
      </c>
      <c r="B12" s="28" t="s">
        <v>124</v>
      </c>
      <c r="C12" s="28" t="s">
        <v>124</v>
      </c>
      <c r="D12" s="28" t="s">
        <v>127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 t="s">
        <v>124</v>
      </c>
      <c r="AA12" s="28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8" t="s">
        <v>124</v>
      </c>
      <c r="AG12" s="28" t="s">
        <v>124</v>
      </c>
      <c r="AH12" s="28" t="s">
        <v>124</v>
      </c>
    </row>
    <row r="13" spans="1:34" ht="15.75" customHeight="1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215</v>
      </c>
      <c r="AF13" s="28" t="s">
        <v>127</v>
      </c>
      <c r="AG13" s="28" t="s">
        <v>127</v>
      </c>
      <c r="AH13" s="28" t="s">
        <v>127</v>
      </c>
    </row>
    <row r="14" spans="1:34" ht="15.75" customHeight="1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 ht="15.75" customHeight="1">
      <c r="A15" s="26" t="s">
        <v>129</v>
      </c>
      <c r="B15" s="28" t="s">
        <v>149</v>
      </c>
      <c r="C15" s="115" t="s">
        <v>405</v>
      </c>
      <c r="D15" s="28" t="s">
        <v>406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150</v>
      </c>
      <c r="L15" s="28" t="s">
        <v>150</v>
      </c>
      <c r="M15" s="28" t="s">
        <v>150</v>
      </c>
      <c r="N15" s="115" t="s">
        <v>407</v>
      </c>
      <c r="O15" s="28" t="s">
        <v>149</v>
      </c>
      <c r="P15" s="28" t="s">
        <v>408</v>
      </c>
      <c r="Q15" s="28" t="s">
        <v>408</v>
      </c>
      <c r="R15" s="28" t="s">
        <v>408</v>
      </c>
      <c r="S15" s="115" t="s">
        <v>407</v>
      </c>
      <c r="T15" s="28" t="s">
        <v>149</v>
      </c>
      <c r="U15" s="28" t="s">
        <v>149</v>
      </c>
      <c r="V15" s="115" t="s">
        <v>407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217</v>
      </c>
      <c r="AF15" s="28" t="s">
        <v>149</v>
      </c>
      <c r="AG15" s="28" t="s">
        <v>149</v>
      </c>
      <c r="AH15" s="28" t="s">
        <v>149</v>
      </c>
    </row>
    <row r="16" spans="1:34" ht="15.75" customHeight="1">
      <c r="A16" s="26" t="s">
        <v>130</v>
      </c>
      <c r="B16" s="30">
        <v>0.75</v>
      </c>
      <c r="C16" s="30">
        <f>AVERAGE(-4,-4,0.75)</f>
        <v>-2.4166666666666665</v>
      </c>
      <c r="D16" s="30">
        <f>AVERAGE(-3,-6)</f>
        <v>-4.5</v>
      </c>
      <c r="E16" s="30">
        <v>0.75</v>
      </c>
      <c r="F16" s="30">
        <v>0.75</v>
      </c>
      <c r="G16" s="30">
        <v>0.75</v>
      </c>
      <c r="H16" s="30">
        <v>0.75</v>
      </c>
      <c r="I16" s="30">
        <v>0.75</v>
      </c>
      <c r="J16" s="30">
        <v>0.75</v>
      </c>
      <c r="K16" s="30">
        <v>-0.5</v>
      </c>
      <c r="L16" s="30">
        <v>-0.5</v>
      </c>
      <c r="M16" s="30">
        <v>-0.5</v>
      </c>
      <c r="N16" s="30">
        <f>AVERAGE(0.75,0.75,-4)</f>
        <v>-0.83333333333333337</v>
      </c>
      <c r="O16" s="30">
        <v>0.75</v>
      </c>
      <c r="P16" s="30">
        <v>-4</v>
      </c>
      <c r="Q16" s="30">
        <v>-4</v>
      </c>
      <c r="R16" s="30">
        <v>-4</v>
      </c>
      <c r="S16" s="30">
        <f>AVERAGE(0.75,0.75,-4)</f>
        <v>-0.83333333333333337</v>
      </c>
      <c r="T16" s="30">
        <v>0.75</v>
      </c>
      <c r="U16" s="30">
        <v>0.75</v>
      </c>
      <c r="V16" s="30">
        <f>AVERAGE(0.75,0.75,-4)</f>
        <v>-0.83333333333333337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f>AVERAGE(-1.25,0.75)</f>
        <v>-0.25</v>
      </c>
      <c r="AF16" s="30">
        <v>0.75</v>
      </c>
      <c r="AG16" s="88">
        <f>5/3</f>
        <v>1.6666666666666667</v>
      </c>
      <c r="AH16" s="88">
        <f>5/3</f>
        <v>1.6666666666666667</v>
      </c>
    </row>
    <row r="17" spans="1:34" ht="15.75" customHeight="1">
      <c r="A17" s="26" t="s">
        <v>131</v>
      </c>
      <c r="B17" s="28" t="s">
        <v>409</v>
      </c>
      <c r="C17" s="115" t="s">
        <v>410</v>
      </c>
      <c r="D17" s="28" t="s">
        <v>180</v>
      </c>
      <c r="E17" s="28" t="s">
        <v>409</v>
      </c>
      <c r="F17" s="28" t="s">
        <v>409</v>
      </c>
      <c r="G17" s="28" t="s">
        <v>409</v>
      </c>
      <c r="H17" s="28" t="s">
        <v>409</v>
      </c>
      <c r="I17" s="28" t="s">
        <v>409</v>
      </c>
      <c r="J17" s="28" t="s">
        <v>409</v>
      </c>
      <c r="K17" s="28" t="s">
        <v>409</v>
      </c>
      <c r="L17" s="28" t="s">
        <v>409</v>
      </c>
      <c r="M17" s="28" t="s">
        <v>409</v>
      </c>
      <c r="N17" s="28" t="s">
        <v>409</v>
      </c>
      <c r="O17" s="28" t="s">
        <v>409</v>
      </c>
      <c r="P17" s="115" t="s">
        <v>411</v>
      </c>
      <c r="Q17" s="115" t="s">
        <v>411</v>
      </c>
      <c r="R17" s="28" t="s">
        <v>409</v>
      </c>
      <c r="S17" s="28" t="s">
        <v>409</v>
      </c>
      <c r="T17" s="28" t="s">
        <v>409</v>
      </c>
      <c r="U17" s="28" t="s">
        <v>409</v>
      </c>
      <c r="V17" s="115" t="s">
        <v>410</v>
      </c>
      <c r="W17" s="28" t="s">
        <v>409</v>
      </c>
      <c r="X17" s="28" t="s">
        <v>409</v>
      </c>
      <c r="Y17" s="28" t="s">
        <v>409</v>
      </c>
      <c r="Z17" s="28" t="s">
        <v>409</v>
      </c>
      <c r="AA17" s="28" t="s">
        <v>409</v>
      </c>
      <c r="AB17" s="28" t="s">
        <v>409</v>
      </c>
      <c r="AC17" s="28" t="s">
        <v>409</v>
      </c>
      <c r="AD17" s="28" t="s">
        <v>409</v>
      </c>
      <c r="AE17" s="132" t="s">
        <v>412</v>
      </c>
      <c r="AF17" s="28" t="s">
        <v>409</v>
      </c>
      <c r="AG17" s="83" t="s">
        <v>409</v>
      </c>
      <c r="AH17" s="83" t="s">
        <v>409</v>
      </c>
    </row>
    <row r="18" spans="1:34" ht="15.75" customHeight="1">
      <c r="A18" s="26" t="s">
        <v>133</v>
      </c>
      <c r="B18" s="30">
        <v>1.25</v>
      </c>
      <c r="C18" s="30">
        <f>AVERAGE(1.25,1.25,2)</f>
        <v>1.5</v>
      </c>
      <c r="D18" s="30">
        <v>2</v>
      </c>
      <c r="E18" s="30">
        <v>1.25</v>
      </c>
      <c r="F18" s="30">
        <v>1.25</v>
      </c>
      <c r="G18" s="30">
        <v>1.25</v>
      </c>
      <c r="H18" s="30">
        <v>1.25</v>
      </c>
      <c r="I18" s="30">
        <v>1.25</v>
      </c>
      <c r="J18" s="30">
        <v>1.25</v>
      </c>
      <c r="K18" s="30">
        <v>1.25</v>
      </c>
      <c r="L18" s="30">
        <v>1.25</v>
      </c>
      <c r="M18" s="30">
        <v>1.25</v>
      </c>
      <c r="N18" s="30">
        <v>1.25</v>
      </c>
      <c r="O18" s="30">
        <v>1.25</v>
      </c>
      <c r="P18" s="30">
        <f>AVERAGE(2,2,1.25)</f>
        <v>1.75</v>
      </c>
      <c r="Q18" s="30">
        <f>AVERAGE(2,2,1.25)</f>
        <v>1.75</v>
      </c>
      <c r="R18" s="30">
        <v>1.25</v>
      </c>
      <c r="S18" s="30">
        <v>1.25</v>
      </c>
      <c r="T18" s="30">
        <v>1.25</v>
      </c>
      <c r="U18" s="30">
        <v>1.25</v>
      </c>
      <c r="V18" s="30">
        <f>AVERAGE(1.25,1.25,2)</f>
        <v>1.5</v>
      </c>
      <c r="W18" s="30">
        <v>1.25</v>
      </c>
      <c r="X18" s="30">
        <v>1.25</v>
      </c>
      <c r="Y18" s="30">
        <v>1.25</v>
      </c>
      <c r="Z18" s="30">
        <v>1.25</v>
      </c>
      <c r="AA18" s="30">
        <v>1.25</v>
      </c>
      <c r="AB18" s="30">
        <v>1.25</v>
      </c>
      <c r="AC18" s="30">
        <v>1.25</v>
      </c>
      <c r="AD18" s="30">
        <v>1.25</v>
      </c>
      <c r="AE18" s="30">
        <f>AVERAGE(2.5,25/16)</f>
        <v>2.03125</v>
      </c>
      <c r="AF18" s="30">
        <v>1.25</v>
      </c>
      <c r="AG18" s="88">
        <v>1.25</v>
      </c>
      <c r="AH18" s="88">
        <v>1.25</v>
      </c>
    </row>
    <row r="20" spans="1:34">
      <c r="A20" s="31" t="s">
        <v>134</v>
      </c>
    </row>
    <row r="21" spans="1:34">
      <c r="A21" s="223" t="s">
        <v>413</v>
      </c>
      <c r="B21" s="56" t="s">
        <v>414</v>
      </c>
    </row>
    <row r="22" spans="1:34">
      <c r="A22" s="223"/>
      <c r="B22" s="93" t="s">
        <v>415</v>
      </c>
    </row>
    <row r="23" spans="1:34">
      <c r="A23" s="223"/>
      <c r="B23" s="93" t="s">
        <v>416</v>
      </c>
    </row>
  </sheetData>
  <mergeCells count="6">
    <mergeCell ref="F3:O3"/>
    <mergeCell ref="F4:O5"/>
    <mergeCell ref="A21:A23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CC5A-1FF3-4CF8-AE97-A2B59E2F872F}">
  <dimension ref="A1:AK26"/>
  <sheetViews>
    <sheetView workbookViewId="0">
      <selection activeCell="C8" sqref="C8:E1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7">
      <c r="A1" s="25" t="s">
        <v>74</v>
      </c>
      <c r="D1" s="25" t="s">
        <v>75</v>
      </c>
      <c r="I1" s="25" t="s">
        <v>76</v>
      </c>
    </row>
    <row r="3" spans="1:37" ht="17.45">
      <c r="A3" s="25" t="s">
        <v>77</v>
      </c>
      <c r="B3" s="203">
        <v>26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417</v>
      </c>
      <c r="C4" s="203"/>
      <c r="D4" s="203"/>
      <c r="F4" s="204" t="s">
        <v>418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7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43" t="s">
        <v>6</v>
      </c>
      <c r="AK7" s="46" t="s">
        <v>104</v>
      </c>
    </row>
    <row r="8" spans="1:37">
      <c r="A8" s="26" t="s">
        <v>117</v>
      </c>
      <c r="B8" s="28" t="s">
        <v>409</v>
      </c>
      <c r="C8" s="28" t="s">
        <v>419</v>
      </c>
      <c r="D8" s="28" t="s">
        <v>419</v>
      </c>
      <c r="E8" s="28" t="s">
        <v>419</v>
      </c>
      <c r="F8" s="115" t="s">
        <v>420</v>
      </c>
      <c r="G8" s="28" t="s">
        <v>419</v>
      </c>
      <c r="H8" s="28" t="s">
        <v>419</v>
      </c>
      <c r="I8" s="28" t="s">
        <v>419</v>
      </c>
      <c r="J8" s="115" t="s">
        <v>421</v>
      </c>
      <c r="K8" s="28" t="s">
        <v>422</v>
      </c>
      <c r="L8" s="28" t="s">
        <v>422</v>
      </c>
      <c r="M8" s="28" t="s">
        <v>422</v>
      </c>
      <c r="N8" s="85" t="s">
        <v>419</v>
      </c>
      <c r="O8" s="29" t="s">
        <v>419</v>
      </c>
      <c r="P8" s="29" t="s">
        <v>419</v>
      </c>
      <c r="Q8" s="29" t="s">
        <v>419</v>
      </c>
      <c r="R8" s="29" t="s">
        <v>419</v>
      </c>
      <c r="S8" s="29" t="s">
        <v>419</v>
      </c>
      <c r="T8" s="29" t="s">
        <v>419</v>
      </c>
      <c r="U8" s="29" t="s">
        <v>419</v>
      </c>
      <c r="V8" s="29" t="s">
        <v>419</v>
      </c>
      <c r="W8" s="29" t="s">
        <v>419</v>
      </c>
      <c r="X8" s="29" t="s">
        <v>419</v>
      </c>
      <c r="Y8" s="29" t="s">
        <v>419</v>
      </c>
      <c r="Z8" s="29" t="s">
        <v>419</v>
      </c>
      <c r="AA8" s="28" t="s">
        <v>419</v>
      </c>
      <c r="AB8" s="29" t="s">
        <v>419</v>
      </c>
      <c r="AC8" s="29" t="s">
        <v>419</v>
      </c>
      <c r="AD8" s="29" t="s">
        <v>419</v>
      </c>
      <c r="AE8" s="29" t="s">
        <v>419</v>
      </c>
      <c r="AF8" s="29" t="s">
        <v>423</v>
      </c>
      <c r="AG8" s="29" t="s">
        <v>419</v>
      </c>
      <c r="AH8" s="29" t="s">
        <v>419</v>
      </c>
      <c r="AJ8" s="29" t="s">
        <v>409</v>
      </c>
      <c r="AK8" s="28" t="s">
        <v>424</v>
      </c>
    </row>
    <row r="9" spans="1:37">
      <c r="A9" s="26" t="s">
        <v>121</v>
      </c>
      <c r="B9" s="28" t="s">
        <v>425</v>
      </c>
      <c r="C9" s="28" t="s">
        <v>425</v>
      </c>
      <c r="D9" s="28" t="s">
        <v>419</v>
      </c>
      <c r="E9" s="28" t="s">
        <v>419</v>
      </c>
      <c r="F9" s="115" t="s">
        <v>426</v>
      </c>
      <c r="G9" s="28" t="s">
        <v>419</v>
      </c>
      <c r="H9" s="28" t="s">
        <v>419</v>
      </c>
      <c r="I9" s="28" t="s">
        <v>419</v>
      </c>
      <c r="J9" s="115" t="s">
        <v>427</v>
      </c>
      <c r="K9" s="115" t="s">
        <v>428</v>
      </c>
      <c r="L9" s="115" t="s">
        <v>428</v>
      </c>
      <c r="M9" s="115" t="s">
        <v>428</v>
      </c>
      <c r="N9" s="83" t="s">
        <v>419</v>
      </c>
      <c r="O9" s="28" t="s">
        <v>419</v>
      </c>
      <c r="P9" s="28" t="s">
        <v>419</v>
      </c>
      <c r="Q9" s="28" t="s">
        <v>419</v>
      </c>
      <c r="R9" s="28" t="s">
        <v>419</v>
      </c>
      <c r="S9" s="28" t="s">
        <v>419</v>
      </c>
      <c r="T9" s="28" t="s">
        <v>419</v>
      </c>
      <c r="U9" s="28" t="s">
        <v>419</v>
      </c>
      <c r="V9" s="28" t="s">
        <v>419</v>
      </c>
      <c r="W9" s="28" t="s">
        <v>419</v>
      </c>
      <c r="X9" s="28" t="s">
        <v>419</v>
      </c>
      <c r="Y9" s="28" t="s">
        <v>419</v>
      </c>
      <c r="Z9" s="28" t="s">
        <v>419</v>
      </c>
      <c r="AA9" s="28" t="s">
        <v>419</v>
      </c>
      <c r="AB9" s="28" t="s">
        <v>419</v>
      </c>
      <c r="AC9" s="28" t="s">
        <v>419</v>
      </c>
      <c r="AD9" s="28" t="s">
        <v>419</v>
      </c>
      <c r="AE9" s="28" t="s">
        <v>419</v>
      </c>
      <c r="AF9" s="29" t="s">
        <v>429</v>
      </c>
      <c r="AG9" s="28" t="s">
        <v>419</v>
      </c>
      <c r="AH9" s="28" t="s">
        <v>419</v>
      </c>
      <c r="AJ9" s="28" t="s">
        <v>430</v>
      </c>
      <c r="AK9" s="113" t="s">
        <v>428</v>
      </c>
    </row>
    <row r="10" spans="1:37">
      <c r="A10" s="140" t="s">
        <v>122</v>
      </c>
      <c r="B10" s="167">
        <v>87</v>
      </c>
      <c r="C10" s="167">
        <v>87</v>
      </c>
      <c r="D10" s="167">
        <v>85</v>
      </c>
      <c r="E10" s="167">
        <v>85</v>
      </c>
      <c r="F10" s="167">
        <v>129</v>
      </c>
      <c r="G10" s="167">
        <v>85</v>
      </c>
      <c r="H10" s="167">
        <v>85</v>
      </c>
      <c r="I10" s="167">
        <v>85</v>
      </c>
      <c r="J10" s="167">
        <v>130</v>
      </c>
      <c r="K10" s="167">
        <v>86</v>
      </c>
      <c r="L10" s="167">
        <v>86</v>
      </c>
      <c r="M10" s="167">
        <v>86</v>
      </c>
      <c r="N10" s="168">
        <v>85</v>
      </c>
      <c r="O10" s="167">
        <v>85</v>
      </c>
      <c r="P10" s="167">
        <v>85</v>
      </c>
      <c r="Q10" s="167">
        <v>85</v>
      </c>
      <c r="R10" s="167">
        <v>85</v>
      </c>
      <c r="S10" s="167">
        <v>85</v>
      </c>
      <c r="T10" s="167">
        <v>85</v>
      </c>
      <c r="U10" s="167">
        <v>85</v>
      </c>
      <c r="V10" s="167">
        <v>85</v>
      </c>
      <c r="W10" s="167">
        <v>85</v>
      </c>
      <c r="X10" s="167">
        <v>85</v>
      </c>
      <c r="Y10" s="167">
        <v>85</v>
      </c>
      <c r="Z10" s="167">
        <v>85</v>
      </c>
      <c r="AA10" s="167">
        <v>85</v>
      </c>
      <c r="AB10" s="167">
        <v>85</v>
      </c>
      <c r="AC10" s="167">
        <v>85</v>
      </c>
      <c r="AD10" s="167">
        <v>85</v>
      </c>
      <c r="AE10" s="167">
        <v>85</v>
      </c>
      <c r="AF10" s="167">
        <v>131</v>
      </c>
      <c r="AG10" s="167">
        <v>85</v>
      </c>
      <c r="AH10" s="167">
        <v>85</v>
      </c>
      <c r="AJ10" s="167">
        <v>139</v>
      </c>
      <c r="AK10" s="167">
        <v>86</v>
      </c>
    </row>
    <row r="11" spans="1:37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83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  <c r="AK11" s="28" t="s">
        <v>124</v>
      </c>
    </row>
    <row r="12" spans="1:37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118" t="s">
        <v>236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83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 t="s">
        <v>124</v>
      </c>
      <c r="AA12" s="28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8" t="s">
        <v>124</v>
      </c>
      <c r="AG12" s="28" t="s">
        <v>124</v>
      </c>
      <c r="AH12" s="28" t="s">
        <v>124</v>
      </c>
      <c r="AJ12" s="28" t="s">
        <v>124</v>
      </c>
      <c r="AK12" s="28" t="s">
        <v>124</v>
      </c>
    </row>
    <row r="13" spans="1:37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115" t="s">
        <v>431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83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127</v>
      </c>
      <c r="AK13" s="28" t="s">
        <v>127</v>
      </c>
    </row>
    <row r="14" spans="1:37">
      <c r="A14" s="26" t="s">
        <v>128</v>
      </c>
      <c r="B14" s="28" t="s">
        <v>124</v>
      </c>
      <c r="C14" s="28" t="s">
        <v>124</v>
      </c>
      <c r="D14" s="28" t="s">
        <v>124</v>
      </c>
      <c r="E14" s="28" t="s">
        <v>124</v>
      </c>
      <c r="F14" s="118" t="s">
        <v>236</v>
      </c>
      <c r="G14" s="28" t="s">
        <v>124</v>
      </c>
      <c r="H14" s="28" t="s">
        <v>124</v>
      </c>
      <c r="I14" s="28" t="s">
        <v>124</v>
      </c>
      <c r="J14" s="28" t="s">
        <v>124</v>
      </c>
      <c r="K14" s="28" t="s">
        <v>124</v>
      </c>
      <c r="L14" s="28" t="s">
        <v>124</v>
      </c>
      <c r="M14" s="28" t="s">
        <v>124</v>
      </c>
      <c r="N14" s="83" t="s">
        <v>124</v>
      </c>
      <c r="O14" s="28" t="s">
        <v>124</v>
      </c>
      <c r="P14" s="28" t="s">
        <v>124</v>
      </c>
      <c r="Q14" s="28" t="s">
        <v>124</v>
      </c>
      <c r="R14" s="28" t="s">
        <v>124</v>
      </c>
      <c r="S14" s="28" t="s">
        <v>124</v>
      </c>
      <c r="T14" s="28" t="s">
        <v>124</v>
      </c>
      <c r="U14" s="28" t="s">
        <v>124</v>
      </c>
      <c r="V14" s="28" t="s">
        <v>124</v>
      </c>
      <c r="W14" s="28" t="s">
        <v>124</v>
      </c>
      <c r="X14" s="28" t="s">
        <v>124</v>
      </c>
      <c r="Y14" s="28" t="s">
        <v>124</v>
      </c>
      <c r="Z14" s="28" t="s">
        <v>124</v>
      </c>
      <c r="AA14" s="28" t="s">
        <v>124</v>
      </c>
      <c r="AB14" s="28" t="s">
        <v>124</v>
      </c>
      <c r="AC14" s="28" t="s">
        <v>124</v>
      </c>
      <c r="AD14" s="28" t="s">
        <v>124</v>
      </c>
      <c r="AE14" s="28" t="s">
        <v>124</v>
      </c>
      <c r="AF14" s="28" t="s">
        <v>215</v>
      </c>
      <c r="AG14" s="28" t="s">
        <v>124</v>
      </c>
      <c r="AH14" s="28" t="s">
        <v>124</v>
      </c>
      <c r="AJ14" s="28" t="s">
        <v>124</v>
      </c>
      <c r="AK14" s="28" t="s">
        <v>124</v>
      </c>
    </row>
    <row r="15" spans="1:37">
      <c r="A15" s="26" t="s">
        <v>129</v>
      </c>
      <c r="B15" s="28" t="s">
        <v>432</v>
      </c>
      <c r="C15" s="28" t="s">
        <v>432</v>
      </c>
      <c r="D15" s="28" t="s">
        <v>149</v>
      </c>
      <c r="E15" s="28" t="s">
        <v>149</v>
      </c>
      <c r="F15" s="28" t="s">
        <v>150</v>
      </c>
      <c r="G15" s="28" t="s">
        <v>149</v>
      </c>
      <c r="H15" s="28" t="s">
        <v>149</v>
      </c>
      <c r="I15" s="28" t="s">
        <v>149</v>
      </c>
      <c r="J15" s="115" t="s">
        <v>433</v>
      </c>
      <c r="K15" s="28" t="s">
        <v>150</v>
      </c>
      <c r="L15" s="28" t="s">
        <v>150</v>
      </c>
      <c r="M15" s="28" t="s">
        <v>150</v>
      </c>
      <c r="N15" s="83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434</v>
      </c>
      <c r="AG15" s="28" t="s">
        <v>149</v>
      </c>
      <c r="AH15" s="28" t="s">
        <v>149</v>
      </c>
      <c r="AJ15" s="28" t="s">
        <v>150</v>
      </c>
      <c r="AK15" s="28" t="s">
        <v>150</v>
      </c>
    </row>
    <row r="16" spans="1:37">
      <c r="A16" s="26" t="s">
        <v>130</v>
      </c>
      <c r="B16" s="30">
        <f>-7/6</f>
        <v>-1.1666666666666667</v>
      </c>
      <c r="C16" s="30">
        <f>-7/6</f>
        <v>-1.1666666666666667</v>
      </c>
      <c r="D16" s="30">
        <v>0.75</v>
      </c>
      <c r="E16" s="30">
        <v>0.75</v>
      </c>
      <c r="F16" s="30">
        <f>AVERAGE(0,0,-1.25)</f>
        <v>-0.41666666666666669</v>
      </c>
      <c r="G16" s="30">
        <v>0.75</v>
      </c>
      <c r="H16" s="30">
        <v>0.75</v>
      </c>
      <c r="I16" s="30">
        <v>0.75</v>
      </c>
      <c r="J16" s="30">
        <f>AVERAGE(0.75,0.75,0.75,0)</f>
        <v>0.5625</v>
      </c>
      <c r="K16" s="30">
        <v>0</v>
      </c>
      <c r="L16" s="30">
        <v>0</v>
      </c>
      <c r="M16" s="30">
        <v>0</v>
      </c>
      <c r="N16" s="88">
        <v>0.75</v>
      </c>
      <c r="O16" s="30">
        <v>0.75</v>
      </c>
      <c r="P16" s="30">
        <v>0.75</v>
      </c>
      <c r="Q16" s="30">
        <v>0.75</v>
      </c>
      <c r="R16" s="30">
        <v>0.75</v>
      </c>
      <c r="S16" s="30">
        <v>0.75</v>
      </c>
      <c r="T16" s="30">
        <v>0.75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f>AVERAGE(0.75,-3)</f>
        <v>-1.125</v>
      </c>
      <c r="AG16" s="30">
        <v>0.75</v>
      </c>
      <c r="AH16" s="30">
        <v>0.75</v>
      </c>
      <c r="AJ16" s="30">
        <f>-1/6</f>
        <v>-0.16666666666666666</v>
      </c>
      <c r="AK16" s="30">
        <v>0</v>
      </c>
    </row>
    <row r="17" spans="1:37">
      <c r="A17" s="26" t="s">
        <v>131</v>
      </c>
      <c r="B17" s="29" t="s">
        <v>435</v>
      </c>
      <c r="C17" s="29" t="s">
        <v>435</v>
      </c>
      <c r="D17" s="29" t="s">
        <v>435</v>
      </c>
      <c r="E17" s="29" t="s">
        <v>435</v>
      </c>
      <c r="F17" s="77" t="s">
        <v>436</v>
      </c>
      <c r="G17" s="29" t="s">
        <v>435</v>
      </c>
      <c r="H17" s="29" t="s">
        <v>435</v>
      </c>
      <c r="I17" s="29" t="s">
        <v>435</v>
      </c>
      <c r="J17" s="29" t="s">
        <v>435</v>
      </c>
      <c r="K17" s="29" t="s">
        <v>435</v>
      </c>
      <c r="L17" s="29" t="s">
        <v>435</v>
      </c>
      <c r="M17" s="29" t="s">
        <v>435</v>
      </c>
      <c r="N17" s="28" t="s">
        <v>435</v>
      </c>
      <c r="O17" s="28" t="s">
        <v>435</v>
      </c>
      <c r="P17" s="28" t="s">
        <v>435</v>
      </c>
      <c r="Q17" s="28" t="s">
        <v>435</v>
      </c>
      <c r="R17" s="28" t="s">
        <v>435</v>
      </c>
      <c r="S17" s="28" t="s">
        <v>435</v>
      </c>
      <c r="T17" s="28" t="s">
        <v>435</v>
      </c>
      <c r="U17" s="28" t="s">
        <v>435</v>
      </c>
      <c r="V17" s="28" t="s">
        <v>435</v>
      </c>
      <c r="W17" s="28" t="s">
        <v>435</v>
      </c>
      <c r="X17" s="28" t="s">
        <v>435</v>
      </c>
      <c r="Y17" s="28" t="s">
        <v>435</v>
      </c>
      <c r="Z17" s="28" t="s">
        <v>435</v>
      </c>
      <c r="AA17" s="28" t="s">
        <v>435</v>
      </c>
      <c r="AB17" s="28" t="s">
        <v>435</v>
      </c>
      <c r="AC17" s="28" t="s">
        <v>435</v>
      </c>
      <c r="AD17" s="28" t="s">
        <v>435</v>
      </c>
      <c r="AE17" s="28" t="s">
        <v>435</v>
      </c>
      <c r="AF17" s="124" t="s">
        <v>437</v>
      </c>
      <c r="AG17" s="28" t="s">
        <v>435</v>
      </c>
      <c r="AH17" s="28" t="s">
        <v>435</v>
      </c>
      <c r="AJ17" s="28" t="s">
        <v>435</v>
      </c>
      <c r="AK17" s="28" t="s">
        <v>435</v>
      </c>
    </row>
    <row r="18" spans="1:37">
      <c r="A18" s="26" t="s">
        <v>133</v>
      </c>
      <c r="B18" s="30">
        <v>0.75</v>
      </c>
      <c r="C18" s="30">
        <v>0.75</v>
      </c>
      <c r="D18" s="30">
        <v>0.75</v>
      </c>
      <c r="E18" s="30">
        <v>0.75</v>
      </c>
      <c r="F18" s="30">
        <f>AVERAGE(0.75,0.75,3)</f>
        <v>1.5</v>
      </c>
      <c r="G18" s="30">
        <v>0.75</v>
      </c>
      <c r="H18" s="30">
        <v>0.75</v>
      </c>
      <c r="I18" s="30">
        <v>0.75</v>
      </c>
      <c r="J18" s="30">
        <v>0.75</v>
      </c>
      <c r="K18" s="30">
        <v>0.75</v>
      </c>
      <c r="L18" s="30">
        <v>0.75</v>
      </c>
      <c r="M18" s="30">
        <v>0.75</v>
      </c>
      <c r="N18" s="30">
        <v>0.75</v>
      </c>
      <c r="O18" s="30">
        <v>0.75</v>
      </c>
      <c r="P18" s="30">
        <v>0.75</v>
      </c>
      <c r="Q18" s="30">
        <v>0.75</v>
      </c>
      <c r="R18" s="30">
        <v>0.75</v>
      </c>
      <c r="S18" s="30">
        <v>0.75</v>
      </c>
      <c r="T18" s="30">
        <v>0.75</v>
      </c>
      <c r="U18" s="30">
        <v>0.75</v>
      </c>
      <c r="V18" s="30">
        <v>0.75</v>
      </c>
      <c r="W18" s="30">
        <v>0.75</v>
      </c>
      <c r="X18" s="30">
        <v>0.75</v>
      </c>
      <c r="Y18" s="30">
        <v>0.75</v>
      </c>
      <c r="Z18" s="30">
        <v>0.75</v>
      </c>
      <c r="AA18" s="30">
        <v>0.75</v>
      </c>
      <c r="AB18" s="30">
        <v>0.75</v>
      </c>
      <c r="AC18" s="30">
        <v>0.75</v>
      </c>
      <c r="AD18" s="30">
        <v>0.75</v>
      </c>
      <c r="AE18" s="30">
        <v>0.75</v>
      </c>
      <c r="AF18" s="30">
        <f>AVERAGE(0.75,1/3)</f>
        <v>0.54166666666666663</v>
      </c>
      <c r="AG18" s="30">
        <v>0.75</v>
      </c>
      <c r="AH18" s="30">
        <v>0.75</v>
      </c>
      <c r="AJ18" s="30">
        <v>0.75</v>
      </c>
      <c r="AK18" s="30">
        <v>0.75</v>
      </c>
    </row>
    <row r="19" spans="1:37">
      <c r="B19" s="78" t="s">
        <v>438</v>
      </c>
      <c r="V19" s="78" t="s">
        <v>439</v>
      </c>
      <c r="AJ19" s="78" t="s">
        <v>440</v>
      </c>
      <c r="AK19" s="78" t="s">
        <v>441</v>
      </c>
    </row>
    <row r="20" spans="1:37">
      <c r="A20" s="31" t="s">
        <v>134</v>
      </c>
    </row>
    <row r="21" spans="1:37">
      <c r="A21" s="223" t="s">
        <v>442</v>
      </c>
      <c r="B21" s="56" t="s">
        <v>443</v>
      </c>
    </row>
    <row r="22" spans="1:37">
      <c r="A22" s="223"/>
      <c r="B22" s="93" t="s">
        <v>444</v>
      </c>
    </row>
    <row r="23" spans="1:37">
      <c r="A23" s="223" t="s">
        <v>445</v>
      </c>
      <c r="B23" s="56" t="s">
        <v>443</v>
      </c>
    </row>
    <row r="24" spans="1:37">
      <c r="A24" s="223"/>
      <c r="B24" s="93" t="s">
        <v>444</v>
      </c>
    </row>
    <row r="25" spans="1:37">
      <c r="A25" s="223" t="s">
        <v>446</v>
      </c>
      <c r="B25" s="56" t="s">
        <v>443</v>
      </c>
    </row>
    <row r="26" spans="1:37">
      <c r="A26" s="223"/>
      <c r="B26" s="93" t="s">
        <v>447</v>
      </c>
    </row>
  </sheetData>
  <mergeCells count="8">
    <mergeCell ref="A25:A26"/>
    <mergeCell ref="A23:A24"/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FA89-BE7C-4EB3-AAB4-ABBDA266147B}">
  <dimension ref="A1:AJ24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>
      <c r="A1" s="25" t="s">
        <v>74</v>
      </c>
      <c r="D1" s="25" t="s">
        <v>75</v>
      </c>
      <c r="I1" s="25" t="s">
        <v>76</v>
      </c>
    </row>
    <row r="3" spans="1:36" ht="17.45">
      <c r="A3" s="25" t="s">
        <v>77</v>
      </c>
      <c r="B3" s="203">
        <v>27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417</v>
      </c>
      <c r="C4" s="203"/>
      <c r="D4" s="203"/>
      <c r="F4" s="204" t="s">
        <v>448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46" t="s">
        <v>104</v>
      </c>
    </row>
    <row r="8" spans="1:36" ht="15.75" customHeight="1">
      <c r="A8" s="26" t="s">
        <v>117</v>
      </c>
      <c r="B8" s="28" t="s">
        <v>409</v>
      </c>
      <c r="C8" s="28" t="s">
        <v>419</v>
      </c>
      <c r="D8" s="28" t="s">
        <v>419</v>
      </c>
      <c r="E8" s="28" t="s">
        <v>419</v>
      </c>
      <c r="F8" s="115" t="s">
        <v>420</v>
      </c>
      <c r="G8" s="28" t="s">
        <v>419</v>
      </c>
      <c r="H8" s="28" t="s">
        <v>419</v>
      </c>
      <c r="I8" s="28" t="s">
        <v>419</v>
      </c>
      <c r="J8" s="115" t="s">
        <v>421</v>
      </c>
      <c r="K8" s="28" t="s">
        <v>422</v>
      </c>
      <c r="L8" s="83" t="s">
        <v>422</v>
      </c>
      <c r="M8" s="28" t="s">
        <v>422</v>
      </c>
      <c r="N8" s="29" t="s">
        <v>419</v>
      </c>
      <c r="O8" s="29" t="s">
        <v>419</v>
      </c>
      <c r="P8" s="29" t="s">
        <v>419</v>
      </c>
      <c r="Q8" s="29" t="s">
        <v>419</v>
      </c>
      <c r="R8" s="29" t="s">
        <v>419</v>
      </c>
      <c r="S8" s="29" t="s">
        <v>419</v>
      </c>
      <c r="T8" s="29" t="s">
        <v>419</v>
      </c>
      <c r="U8" s="29" t="s">
        <v>419</v>
      </c>
      <c r="V8" s="29" t="s">
        <v>419</v>
      </c>
      <c r="W8" s="29" t="s">
        <v>419</v>
      </c>
      <c r="X8" s="29" t="s">
        <v>419</v>
      </c>
      <c r="Y8" s="29" t="s">
        <v>419</v>
      </c>
      <c r="Z8" s="29" t="s">
        <v>419</v>
      </c>
      <c r="AA8" s="28" t="s">
        <v>419</v>
      </c>
      <c r="AB8" s="28" t="s">
        <v>419</v>
      </c>
      <c r="AC8" s="29" t="s">
        <v>419</v>
      </c>
      <c r="AD8" s="28" t="s">
        <v>419</v>
      </c>
      <c r="AE8" s="29" t="s">
        <v>419</v>
      </c>
      <c r="AF8" s="29" t="s">
        <v>423</v>
      </c>
      <c r="AG8" s="29" t="s">
        <v>419</v>
      </c>
      <c r="AH8" s="28" t="s">
        <v>419</v>
      </c>
      <c r="AJ8" s="28" t="s">
        <v>424</v>
      </c>
    </row>
    <row r="9" spans="1:36" ht="15.75" customHeight="1">
      <c r="A9" s="26" t="s">
        <v>121</v>
      </c>
      <c r="B9" s="28" t="s">
        <v>425</v>
      </c>
      <c r="C9" s="28" t="s">
        <v>425</v>
      </c>
      <c r="D9" s="28" t="s">
        <v>419</v>
      </c>
      <c r="E9" s="28" t="s">
        <v>419</v>
      </c>
      <c r="F9" s="115" t="s">
        <v>426</v>
      </c>
      <c r="G9" s="28" t="s">
        <v>419</v>
      </c>
      <c r="H9" s="28" t="s">
        <v>419</v>
      </c>
      <c r="I9" s="28" t="s">
        <v>419</v>
      </c>
      <c r="J9" s="115" t="s">
        <v>427</v>
      </c>
      <c r="K9" s="115" t="s">
        <v>428</v>
      </c>
      <c r="L9" s="169" t="s">
        <v>428</v>
      </c>
      <c r="M9" s="113" t="s">
        <v>428</v>
      </c>
      <c r="N9" s="28" t="s">
        <v>419</v>
      </c>
      <c r="O9" s="28" t="s">
        <v>419</v>
      </c>
      <c r="P9" s="28" t="s">
        <v>419</v>
      </c>
      <c r="Q9" s="28" t="s">
        <v>419</v>
      </c>
      <c r="R9" s="28" t="s">
        <v>419</v>
      </c>
      <c r="S9" s="28" t="s">
        <v>419</v>
      </c>
      <c r="T9" s="28" t="s">
        <v>419</v>
      </c>
      <c r="U9" s="28" t="s">
        <v>419</v>
      </c>
      <c r="V9" s="28" t="s">
        <v>419</v>
      </c>
      <c r="W9" s="28" t="s">
        <v>419</v>
      </c>
      <c r="X9" s="28" t="s">
        <v>419</v>
      </c>
      <c r="Y9" s="28" t="s">
        <v>419</v>
      </c>
      <c r="Z9" s="28" t="s">
        <v>419</v>
      </c>
      <c r="AA9" s="28" t="s">
        <v>419</v>
      </c>
      <c r="AB9" s="28" t="s">
        <v>419</v>
      </c>
      <c r="AC9" s="28" t="s">
        <v>419</v>
      </c>
      <c r="AD9" s="28" t="s">
        <v>419</v>
      </c>
      <c r="AE9" s="28" t="s">
        <v>419</v>
      </c>
      <c r="AF9" s="29" t="s">
        <v>429</v>
      </c>
      <c r="AG9" s="28" t="s">
        <v>419</v>
      </c>
      <c r="AH9" s="28" t="s">
        <v>419</v>
      </c>
      <c r="AJ9" s="113" t="s">
        <v>428</v>
      </c>
    </row>
    <row r="10" spans="1:36" ht="15.75" customHeight="1">
      <c r="A10" s="140" t="s">
        <v>122</v>
      </c>
      <c r="B10" s="167">
        <v>87</v>
      </c>
      <c r="C10" s="167">
        <v>87</v>
      </c>
      <c r="D10" s="167">
        <v>85</v>
      </c>
      <c r="E10" s="167">
        <v>85</v>
      </c>
      <c r="F10" s="167">
        <v>129</v>
      </c>
      <c r="G10" s="167">
        <v>85</v>
      </c>
      <c r="H10" s="167">
        <v>85</v>
      </c>
      <c r="I10" s="167">
        <v>85</v>
      </c>
      <c r="J10" s="167">
        <v>130</v>
      </c>
      <c r="K10" s="167">
        <v>86</v>
      </c>
      <c r="L10" s="168">
        <v>86</v>
      </c>
      <c r="M10" s="167">
        <v>86</v>
      </c>
      <c r="N10" s="167">
        <v>85</v>
      </c>
      <c r="O10" s="167">
        <v>85</v>
      </c>
      <c r="P10" s="167">
        <v>85</v>
      </c>
      <c r="Q10" s="167">
        <v>85</v>
      </c>
      <c r="R10" s="167">
        <v>85</v>
      </c>
      <c r="S10" s="167">
        <v>85</v>
      </c>
      <c r="T10" s="167">
        <v>85</v>
      </c>
      <c r="U10" s="167">
        <v>85</v>
      </c>
      <c r="V10" s="167">
        <v>85</v>
      </c>
      <c r="W10" s="167">
        <v>85</v>
      </c>
      <c r="X10" s="167">
        <v>85</v>
      </c>
      <c r="Y10" s="167">
        <v>85</v>
      </c>
      <c r="Z10" s="167">
        <v>85</v>
      </c>
      <c r="AA10" s="167">
        <v>85</v>
      </c>
      <c r="AB10" s="167">
        <v>85</v>
      </c>
      <c r="AC10" s="167">
        <v>85</v>
      </c>
      <c r="AD10" s="167">
        <v>85</v>
      </c>
      <c r="AE10" s="167">
        <v>85</v>
      </c>
      <c r="AF10" s="167">
        <v>131</v>
      </c>
      <c r="AG10" s="167">
        <v>85</v>
      </c>
      <c r="AH10" s="167">
        <v>85</v>
      </c>
      <c r="AJ10" s="167">
        <v>86</v>
      </c>
    </row>
    <row r="11" spans="1:36" ht="15.75" customHeight="1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83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</row>
    <row r="12" spans="1:36" ht="15.75" customHeight="1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118" t="s">
        <v>236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83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 t="s">
        <v>124</v>
      </c>
      <c r="AA12" s="28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8" t="s">
        <v>124</v>
      </c>
      <c r="AG12" s="28" t="s">
        <v>124</v>
      </c>
      <c r="AH12" s="28" t="s">
        <v>124</v>
      </c>
      <c r="AJ12" s="28" t="s">
        <v>124</v>
      </c>
    </row>
    <row r="13" spans="1:36" ht="15.75" customHeight="1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115" t="s">
        <v>431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83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127</v>
      </c>
    </row>
    <row r="14" spans="1:36" ht="15.75" customHeight="1">
      <c r="A14" s="26" t="s">
        <v>128</v>
      </c>
      <c r="B14" s="28" t="s">
        <v>124</v>
      </c>
      <c r="C14" s="28" t="s">
        <v>124</v>
      </c>
      <c r="D14" s="28" t="s">
        <v>124</v>
      </c>
      <c r="E14" s="28" t="s">
        <v>124</v>
      </c>
      <c r="F14" s="118" t="s">
        <v>236</v>
      </c>
      <c r="G14" s="28" t="s">
        <v>124</v>
      </c>
      <c r="H14" s="28" t="s">
        <v>124</v>
      </c>
      <c r="I14" s="28" t="s">
        <v>124</v>
      </c>
      <c r="J14" s="28" t="s">
        <v>124</v>
      </c>
      <c r="K14" s="28" t="s">
        <v>124</v>
      </c>
      <c r="L14" s="83" t="s">
        <v>124</v>
      </c>
      <c r="M14" s="28" t="s">
        <v>124</v>
      </c>
      <c r="N14" s="28" t="s">
        <v>124</v>
      </c>
      <c r="O14" s="28" t="s">
        <v>124</v>
      </c>
      <c r="P14" s="28" t="s">
        <v>124</v>
      </c>
      <c r="Q14" s="28" t="s">
        <v>124</v>
      </c>
      <c r="R14" s="28" t="s">
        <v>124</v>
      </c>
      <c r="S14" s="28" t="s">
        <v>124</v>
      </c>
      <c r="T14" s="28" t="s">
        <v>124</v>
      </c>
      <c r="U14" s="28" t="s">
        <v>124</v>
      </c>
      <c r="V14" s="28" t="s">
        <v>124</v>
      </c>
      <c r="W14" s="28" t="s">
        <v>124</v>
      </c>
      <c r="X14" s="28" t="s">
        <v>124</v>
      </c>
      <c r="Y14" s="28" t="s">
        <v>124</v>
      </c>
      <c r="Z14" s="28" t="s">
        <v>124</v>
      </c>
      <c r="AA14" s="28" t="s">
        <v>124</v>
      </c>
      <c r="AB14" s="28" t="s">
        <v>124</v>
      </c>
      <c r="AC14" s="28" t="s">
        <v>124</v>
      </c>
      <c r="AD14" s="28" t="s">
        <v>124</v>
      </c>
      <c r="AE14" s="28" t="s">
        <v>124</v>
      </c>
      <c r="AF14" s="28" t="s">
        <v>215</v>
      </c>
      <c r="AG14" s="28" t="s">
        <v>124</v>
      </c>
      <c r="AH14" s="28" t="s">
        <v>124</v>
      </c>
      <c r="AJ14" s="28" t="s">
        <v>124</v>
      </c>
    </row>
    <row r="15" spans="1:36" ht="15.75" customHeight="1">
      <c r="A15" s="26" t="s">
        <v>129</v>
      </c>
      <c r="B15" s="29" t="s">
        <v>432</v>
      </c>
      <c r="C15" s="29" t="s">
        <v>432</v>
      </c>
      <c r="D15" s="29" t="s">
        <v>149</v>
      </c>
      <c r="E15" s="29" t="s">
        <v>149</v>
      </c>
      <c r="F15" s="29" t="s">
        <v>150</v>
      </c>
      <c r="G15" s="29" t="s">
        <v>149</v>
      </c>
      <c r="H15" s="29" t="s">
        <v>149</v>
      </c>
      <c r="I15" s="29" t="s">
        <v>149</v>
      </c>
      <c r="J15" s="113" t="s">
        <v>433</v>
      </c>
      <c r="K15" s="29" t="s">
        <v>150</v>
      </c>
      <c r="L15" s="28" t="s">
        <v>150</v>
      </c>
      <c r="M15" s="28" t="s">
        <v>150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149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434</v>
      </c>
      <c r="AG15" s="28" t="s">
        <v>149</v>
      </c>
      <c r="AH15" s="28" t="s">
        <v>149</v>
      </c>
      <c r="AJ15" s="28" t="s">
        <v>150</v>
      </c>
    </row>
    <row r="16" spans="1:36" ht="15.75" customHeight="1">
      <c r="A16" s="26" t="s">
        <v>130</v>
      </c>
      <c r="B16" s="30">
        <f>-7/6</f>
        <v>-1.1666666666666667</v>
      </c>
      <c r="C16" s="30">
        <f>-7/6</f>
        <v>-1.1666666666666667</v>
      </c>
      <c r="D16" s="30">
        <v>0.75</v>
      </c>
      <c r="E16" s="30">
        <v>0.75</v>
      </c>
      <c r="F16" s="30">
        <f>AVERAGE(0,0,-1.25)</f>
        <v>-0.41666666666666669</v>
      </c>
      <c r="G16" s="30">
        <v>0.75</v>
      </c>
      <c r="H16" s="30">
        <v>0.75</v>
      </c>
      <c r="I16" s="30">
        <v>0.75</v>
      </c>
      <c r="J16" s="30">
        <f>AVERAGE(0.75,0.75,0.75,0)</f>
        <v>0.5625</v>
      </c>
      <c r="K16" s="30">
        <v>0</v>
      </c>
      <c r="L16" s="30">
        <v>0</v>
      </c>
      <c r="M16" s="30">
        <v>0</v>
      </c>
      <c r="N16" s="30">
        <v>0.75</v>
      </c>
      <c r="O16" s="30">
        <v>0.75</v>
      </c>
      <c r="P16" s="30">
        <v>0.75</v>
      </c>
      <c r="Q16" s="30">
        <v>0.75</v>
      </c>
      <c r="R16" s="30">
        <v>0.75</v>
      </c>
      <c r="S16" s="30">
        <v>0.75</v>
      </c>
      <c r="T16" s="30">
        <v>0.75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f>AVERAGE(0.75,-3)</f>
        <v>-1.125</v>
      </c>
      <c r="AG16" s="30">
        <v>0.75</v>
      </c>
      <c r="AH16" s="30">
        <v>0.75</v>
      </c>
      <c r="AJ16" s="30">
        <v>0</v>
      </c>
    </row>
    <row r="17" spans="1:36" ht="15.75" customHeight="1">
      <c r="A17" s="26" t="s">
        <v>131</v>
      </c>
      <c r="B17" s="28" t="s">
        <v>435</v>
      </c>
      <c r="C17" s="28" t="s">
        <v>435</v>
      </c>
      <c r="D17" s="28" t="s">
        <v>435</v>
      </c>
      <c r="E17" s="28" t="s">
        <v>435</v>
      </c>
      <c r="F17" s="77" t="s">
        <v>436</v>
      </c>
      <c r="G17" s="28" t="s">
        <v>435</v>
      </c>
      <c r="H17" s="28" t="s">
        <v>435</v>
      </c>
      <c r="I17" s="28" t="s">
        <v>435</v>
      </c>
      <c r="J17" s="28" t="s">
        <v>435</v>
      </c>
      <c r="K17" s="28" t="s">
        <v>435</v>
      </c>
      <c r="L17" s="28" t="s">
        <v>435</v>
      </c>
      <c r="M17" s="28" t="s">
        <v>435</v>
      </c>
      <c r="N17" s="28" t="s">
        <v>435</v>
      </c>
      <c r="O17" s="28" t="s">
        <v>435</v>
      </c>
      <c r="P17" s="28" t="s">
        <v>435</v>
      </c>
      <c r="Q17" s="28" t="s">
        <v>435</v>
      </c>
      <c r="R17" s="28" t="s">
        <v>435</v>
      </c>
      <c r="S17" s="28" t="s">
        <v>435</v>
      </c>
      <c r="T17" s="28" t="s">
        <v>435</v>
      </c>
      <c r="U17" s="28" t="s">
        <v>435</v>
      </c>
      <c r="V17" s="28" t="s">
        <v>435</v>
      </c>
      <c r="W17" s="28" t="s">
        <v>435</v>
      </c>
      <c r="X17" s="28" t="s">
        <v>435</v>
      </c>
      <c r="Y17" s="28" t="s">
        <v>435</v>
      </c>
      <c r="Z17" s="28" t="s">
        <v>435</v>
      </c>
      <c r="AA17" s="28" t="s">
        <v>435</v>
      </c>
      <c r="AB17" s="28" t="s">
        <v>435</v>
      </c>
      <c r="AC17" s="28" t="s">
        <v>435</v>
      </c>
      <c r="AD17" s="28" t="s">
        <v>435</v>
      </c>
      <c r="AE17" s="28" t="s">
        <v>435</v>
      </c>
      <c r="AF17" s="124" t="s">
        <v>437</v>
      </c>
      <c r="AG17" s="28" t="s">
        <v>435</v>
      </c>
      <c r="AH17" s="28" t="s">
        <v>435</v>
      </c>
      <c r="AJ17" s="28" t="s">
        <v>435</v>
      </c>
    </row>
    <row r="18" spans="1:36" ht="15.75" customHeight="1">
      <c r="A18" s="26" t="s">
        <v>133</v>
      </c>
      <c r="B18" s="30">
        <v>0.75</v>
      </c>
      <c r="C18" s="30">
        <v>0.75</v>
      </c>
      <c r="D18" s="30">
        <v>0.75</v>
      </c>
      <c r="E18" s="30">
        <v>0.75</v>
      </c>
      <c r="F18" s="30">
        <f>AVERAGE(0.75,0.75,3)</f>
        <v>1.5</v>
      </c>
      <c r="G18" s="30">
        <v>0.75</v>
      </c>
      <c r="H18" s="30">
        <v>0.75</v>
      </c>
      <c r="I18" s="30">
        <v>0.75</v>
      </c>
      <c r="J18" s="30">
        <v>0.75</v>
      </c>
      <c r="K18" s="30">
        <v>0.75</v>
      </c>
      <c r="L18" s="30">
        <v>0.75</v>
      </c>
      <c r="M18" s="30">
        <v>0.75</v>
      </c>
      <c r="N18" s="30">
        <v>0.75</v>
      </c>
      <c r="O18" s="30">
        <v>0.75</v>
      </c>
      <c r="P18" s="30">
        <v>0.75</v>
      </c>
      <c r="Q18" s="30">
        <v>0.75</v>
      </c>
      <c r="R18" s="30">
        <v>0.75</v>
      </c>
      <c r="S18" s="30">
        <v>0.75</v>
      </c>
      <c r="T18" s="30">
        <v>0.75</v>
      </c>
      <c r="U18" s="30">
        <v>0.75</v>
      </c>
      <c r="V18" s="30">
        <v>0.75</v>
      </c>
      <c r="W18" s="30">
        <v>0.75</v>
      </c>
      <c r="X18" s="30">
        <v>0.75</v>
      </c>
      <c r="Y18" s="30">
        <v>0.75</v>
      </c>
      <c r="Z18" s="30">
        <v>0.75</v>
      </c>
      <c r="AA18" s="30">
        <v>0.75</v>
      </c>
      <c r="AB18" s="30">
        <v>0.75</v>
      </c>
      <c r="AC18" s="30">
        <v>0.75</v>
      </c>
      <c r="AD18" s="30">
        <v>0.75</v>
      </c>
      <c r="AE18" s="30">
        <v>0.75</v>
      </c>
      <c r="AF18" s="30">
        <f>AVERAGE(0.75,1/3)</f>
        <v>0.54166666666666663</v>
      </c>
      <c r="AG18" s="30">
        <v>0.75</v>
      </c>
      <c r="AH18" s="30">
        <v>0.75</v>
      </c>
      <c r="AJ18" s="30">
        <v>0.75</v>
      </c>
    </row>
    <row r="19" spans="1:36">
      <c r="V19" s="78" t="s">
        <v>449</v>
      </c>
      <c r="AJ19" s="78" t="s">
        <v>450</v>
      </c>
    </row>
    <row r="20" spans="1:36">
      <c r="A20" s="31" t="s">
        <v>134</v>
      </c>
    </row>
    <row r="21" spans="1:36">
      <c r="A21" s="224" t="s">
        <v>451</v>
      </c>
      <c r="B21" s="56" t="s">
        <v>443</v>
      </c>
    </row>
    <row r="22" spans="1:36">
      <c r="A22" s="224"/>
      <c r="B22" s="93" t="s">
        <v>444</v>
      </c>
    </row>
    <row r="23" spans="1:36">
      <c r="A23" s="223" t="s">
        <v>452</v>
      </c>
      <c r="B23" s="56" t="s">
        <v>443</v>
      </c>
    </row>
    <row r="24" spans="1:36">
      <c r="A24" s="223"/>
      <c r="B24" s="93" t="s">
        <v>447</v>
      </c>
    </row>
  </sheetData>
  <mergeCells count="7">
    <mergeCell ref="A23:A24"/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47E6-7522-4DA3-B7A9-6A748288E100}">
  <dimension ref="A1:AH22"/>
  <sheetViews>
    <sheetView workbookViewId="0">
      <selection activeCell="T9" sqref="T9:T16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28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453</v>
      </c>
      <c r="C4" s="203"/>
      <c r="D4" s="203"/>
      <c r="F4" s="204" t="s">
        <v>454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308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455</v>
      </c>
      <c r="C8" s="29" t="s">
        <v>269</v>
      </c>
      <c r="D8" s="29" t="s">
        <v>269</v>
      </c>
      <c r="E8" s="28" t="s">
        <v>263</v>
      </c>
      <c r="F8" s="28" t="s">
        <v>263</v>
      </c>
      <c r="G8" s="29" t="s">
        <v>269</v>
      </c>
      <c r="H8" s="29" t="s">
        <v>269</v>
      </c>
      <c r="I8" s="29" t="s">
        <v>269</v>
      </c>
      <c r="J8" s="29" t="s">
        <v>203</v>
      </c>
      <c r="K8" s="29" t="s">
        <v>269</v>
      </c>
      <c r="L8" s="29" t="s">
        <v>269</v>
      </c>
      <c r="M8" s="29" t="s">
        <v>269</v>
      </c>
      <c r="N8" s="29" t="s">
        <v>250</v>
      </c>
      <c r="O8" s="28" t="s">
        <v>250</v>
      </c>
      <c r="P8" s="29" t="s">
        <v>269</v>
      </c>
      <c r="Q8" s="29" t="s">
        <v>269</v>
      </c>
      <c r="R8" s="29" t="s">
        <v>265</v>
      </c>
      <c r="S8" s="29" t="s">
        <v>293</v>
      </c>
      <c r="T8" s="29" t="s">
        <v>173</v>
      </c>
      <c r="U8" s="29" t="s">
        <v>266</v>
      </c>
      <c r="V8" s="29" t="s">
        <v>294</v>
      </c>
      <c r="W8" s="29" t="s">
        <v>173</v>
      </c>
      <c r="X8" s="29" t="s">
        <v>269</v>
      </c>
      <c r="Y8" s="29" t="s">
        <v>294</v>
      </c>
      <c r="Z8" s="29"/>
      <c r="AA8" s="29" t="s">
        <v>294</v>
      </c>
      <c r="AB8" s="29"/>
      <c r="AC8" s="29"/>
      <c r="AD8" s="29"/>
      <c r="AE8" s="29" t="s">
        <v>269</v>
      </c>
      <c r="AF8" s="29"/>
      <c r="AG8" s="29"/>
      <c r="AH8" s="29" t="s">
        <v>269</v>
      </c>
    </row>
    <row r="9" spans="1:34">
      <c r="A9" s="26" t="s">
        <v>121</v>
      </c>
      <c r="B9" s="29" t="s">
        <v>269</v>
      </c>
      <c r="C9" s="28" t="s">
        <v>271</v>
      </c>
      <c r="D9" s="28" t="s">
        <v>271</v>
      </c>
      <c r="E9" s="29" t="s">
        <v>231</v>
      </c>
      <c r="F9" s="29" t="s">
        <v>231</v>
      </c>
      <c r="G9" s="29" t="s">
        <v>263</v>
      </c>
      <c r="H9" s="28" t="s">
        <v>341</v>
      </c>
      <c r="I9" s="28" t="s">
        <v>341</v>
      </c>
      <c r="J9" s="29" t="s">
        <v>148</v>
      </c>
      <c r="K9" s="28" t="s">
        <v>271</v>
      </c>
      <c r="L9" s="28" t="s">
        <v>178</v>
      </c>
      <c r="M9" s="28" t="s">
        <v>271</v>
      </c>
      <c r="N9" s="28" t="s">
        <v>178</v>
      </c>
      <c r="O9" s="28" t="s">
        <v>271</v>
      </c>
      <c r="P9" s="28" t="s">
        <v>271</v>
      </c>
      <c r="Q9" s="28" t="s">
        <v>271</v>
      </c>
      <c r="R9" s="28" t="s">
        <v>178</v>
      </c>
      <c r="S9" s="29" t="s">
        <v>273</v>
      </c>
      <c r="T9" s="113" t="s">
        <v>274</v>
      </c>
      <c r="U9" s="29" t="s">
        <v>275</v>
      </c>
      <c r="V9" s="29"/>
      <c r="W9" s="29"/>
      <c r="X9" s="29" t="s">
        <v>269</v>
      </c>
      <c r="Y9" s="28" t="s">
        <v>178</v>
      </c>
      <c r="Z9" s="29"/>
      <c r="AA9" s="28" t="s">
        <v>178</v>
      </c>
      <c r="AB9" s="29"/>
      <c r="AC9" s="28"/>
      <c r="AD9" s="29"/>
      <c r="AE9" s="29" t="s">
        <v>269</v>
      </c>
      <c r="AF9" s="29"/>
      <c r="AG9" s="29"/>
      <c r="AH9" s="28" t="s">
        <v>271</v>
      </c>
    </row>
    <row r="10" spans="1:34">
      <c r="A10" s="140" t="s">
        <v>122</v>
      </c>
      <c r="B10" s="167">
        <v>98</v>
      </c>
      <c r="C10" s="167">
        <v>57</v>
      </c>
      <c r="D10" s="167">
        <v>57</v>
      </c>
      <c r="E10" s="167">
        <v>56</v>
      </c>
      <c r="F10" s="167">
        <v>56</v>
      </c>
      <c r="G10" s="167">
        <v>63</v>
      </c>
      <c r="H10" s="167">
        <v>68</v>
      </c>
      <c r="I10" s="167">
        <v>68</v>
      </c>
      <c r="J10" s="167">
        <v>34</v>
      </c>
      <c r="K10" s="167">
        <v>57</v>
      </c>
      <c r="L10" s="167">
        <v>35</v>
      </c>
      <c r="M10" s="167">
        <v>57</v>
      </c>
      <c r="N10" s="167">
        <v>35</v>
      </c>
      <c r="O10" s="167">
        <v>57</v>
      </c>
      <c r="P10" s="167">
        <v>57</v>
      </c>
      <c r="Q10" s="167">
        <v>57</v>
      </c>
      <c r="R10" s="167">
        <v>35</v>
      </c>
      <c r="S10" s="167">
        <v>107</v>
      </c>
      <c r="T10" s="167">
        <v>111</v>
      </c>
      <c r="U10" s="167">
        <v>108</v>
      </c>
      <c r="V10" s="167"/>
      <c r="W10" s="167"/>
      <c r="X10" s="167">
        <v>98</v>
      </c>
      <c r="Y10" s="167">
        <v>35</v>
      </c>
      <c r="Z10" s="167"/>
      <c r="AA10" s="167">
        <v>35</v>
      </c>
      <c r="AB10" s="167"/>
      <c r="AC10" s="167"/>
      <c r="AD10" s="167"/>
      <c r="AE10" s="167">
        <v>98</v>
      </c>
      <c r="AF10" s="167"/>
      <c r="AG10" s="167"/>
      <c r="AH10" s="167">
        <v>57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9" t="s">
        <v>124</v>
      </c>
      <c r="H11" s="29" t="s">
        <v>124</v>
      </c>
      <c r="I11" s="29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/>
      <c r="X11" s="28" t="s">
        <v>124</v>
      </c>
      <c r="Y11" s="28" t="s">
        <v>124</v>
      </c>
      <c r="Z11" s="28"/>
      <c r="AA11" s="28" t="s">
        <v>124</v>
      </c>
      <c r="AB11" s="28"/>
      <c r="AC11" s="29"/>
      <c r="AD11" s="28"/>
      <c r="AE11" s="28" t="s">
        <v>124</v>
      </c>
      <c r="AF11" s="28"/>
      <c r="AG11" s="28"/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127</v>
      </c>
      <c r="F12" s="28" t="s">
        <v>127</v>
      </c>
      <c r="G12" s="28" t="s">
        <v>127</v>
      </c>
      <c r="H12" s="29" t="s">
        <v>124</v>
      </c>
      <c r="I12" s="29" t="s">
        <v>124</v>
      </c>
      <c r="J12" s="28" t="s">
        <v>127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/>
      <c r="W12" s="28"/>
      <c r="X12" s="28" t="s">
        <v>124</v>
      </c>
      <c r="Y12" s="28" t="s">
        <v>124</v>
      </c>
      <c r="Z12" s="28"/>
      <c r="AA12" s="28" t="s">
        <v>124</v>
      </c>
      <c r="AB12" s="28"/>
      <c r="AC12" s="28"/>
      <c r="AD12" s="28"/>
      <c r="AE12" s="28" t="s">
        <v>124</v>
      </c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127</v>
      </c>
      <c r="H13" s="28" t="s">
        <v>127</v>
      </c>
      <c r="I13" s="28" t="s">
        <v>127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139" t="s">
        <v>215</v>
      </c>
      <c r="T13" s="28" t="s">
        <v>124</v>
      </c>
      <c r="U13" s="28" t="s">
        <v>124</v>
      </c>
      <c r="V13" s="28"/>
      <c r="W13" s="28"/>
      <c r="X13" s="28" t="s">
        <v>127</v>
      </c>
      <c r="Y13" s="28" t="s">
        <v>124</v>
      </c>
      <c r="Z13" s="28"/>
      <c r="AA13" s="28" t="s">
        <v>124</v>
      </c>
      <c r="AB13" s="28"/>
      <c r="AC13" s="28"/>
      <c r="AD13" s="28"/>
      <c r="AE13" s="28" t="s">
        <v>127</v>
      </c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/>
      <c r="X14" s="28" t="s">
        <v>127</v>
      </c>
      <c r="Y14" s="28" t="s">
        <v>127</v>
      </c>
      <c r="Z14" s="28"/>
      <c r="AA14" s="28" t="s">
        <v>127</v>
      </c>
      <c r="AB14" s="28"/>
      <c r="AC14" s="28"/>
      <c r="AD14" s="28"/>
      <c r="AE14" s="28" t="s">
        <v>127</v>
      </c>
      <c r="AF14" s="28"/>
      <c r="AG14" s="28"/>
      <c r="AH14" s="28" t="s">
        <v>127</v>
      </c>
    </row>
    <row r="15" spans="1:34">
      <c r="A15" s="26" t="s">
        <v>129</v>
      </c>
      <c r="B15" s="28" t="s">
        <v>150</v>
      </c>
      <c r="C15" s="28" t="s">
        <v>150</v>
      </c>
      <c r="D15" s="28" t="s">
        <v>150</v>
      </c>
      <c r="E15" s="28" t="s">
        <v>150</v>
      </c>
      <c r="F15" s="28" t="s">
        <v>150</v>
      </c>
      <c r="G15" s="28" t="s">
        <v>216</v>
      </c>
      <c r="H15" s="28" t="s">
        <v>343</v>
      </c>
      <c r="I15" s="28" t="s">
        <v>343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 t="s">
        <v>150</v>
      </c>
      <c r="O15" s="28" t="s">
        <v>150</v>
      </c>
      <c r="P15" s="28" t="s">
        <v>150</v>
      </c>
      <c r="Q15" s="28" t="s">
        <v>150</v>
      </c>
      <c r="R15" s="28" t="s">
        <v>150</v>
      </c>
      <c r="S15" s="28" t="s">
        <v>149</v>
      </c>
      <c r="T15" s="28" t="s">
        <v>149</v>
      </c>
      <c r="U15" s="28" t="s">
        <v>217</v>
      </c>
      <c r="V15" s="28"/>
      <c r="W15" s="28"/>
      <c r="X15" s="28" t="s">
        <v>150</v>
      </c>
      <c r="Y15" s="28" t="s">
        <v>150</v>
      </c>
      <c r="Z15" s="28"/>
      <c r="AA15" s="28" t="s">
        <v>150</v>
      </c>
      <c r="AB15" s="28"/>
      <c r="AC15" s="28"/>
      <c r="AD15" s="28"/>
      <c r="AE15" s="28" t="s">
        <v>150</v>
      </c>
      <c r="AF15" s="28"/>
      <c r="AG15" s="28"/>
      <c r="AH15" s="28" t="s">
        <v>150</v>
      </c>
    </row>
    <row r="16" spans="1:34">
      <c r="A16" s="26" t="s">
        <v>130</v>
      </c>
      <c r="B16" s="30">
        <v>-2</v>
      </c>
      <c r="C16" s="30">
        <v>-0.5</v>
      </c>
      <c r="D16" s="30">
        <v>-0.5</v>
      </c>
      <c r="E16" s="30">
        <v>-0.5</v>
      </c>
      <c r="F16" s="30">
        <v>-0.5</v>
      </c>
      <c r="G16" s="30">
        <v>-3</v>
      </c>
      <c r="H16" s="30">
        <v>-6</v>
      </c>
      <c r="I16" s="30">
        <v>-6</v>
      </c>
      <c r="J16" s="30">
        <v>-0.5</v>
      </c>
      <c r="K16" s="30">
        <v>-0.5</v>
      </c>
      <c r="L16" s="30">
        <v>-0.5</v>
      </c>
      <c r="M16" s="30">
        <v>-0.5</v>
      </c>
      <c r="N16" s="30">
        <v>-0.5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>
        <v>-2</v>
      </c>
      <c r="Y16" s="30">
        <v>-0.5</v>
      </c>
      <c r="Z16" s="30"/>
      <c r="AA16" s="30">
        <v>-0.5</v>
      </c>
      <c r="AB16" s="30"/>
      <c r="AC16" s="30"/>
      <c r="AD16" s="30"/>
      <c r="AE16" s="30">
        <v>-2</v>
      </c>
      <c r="AF16" s="30"/>
      <c r="AG16" s="30"/>
      <c r="AH16" s="30">
        <v>-0.5</v>
      </c>
    </row>
    <row r="17" spans="1:34">
      <c r="A17" s="26" t="s">
        <v>131</v>
      </c>
      <c r="B17" s="28" t="s">
        <v>280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151</v>
      </c>
      <c r="K17" s="28" t="s">
        <v>180</v>
      </c>
      <c r="L17" s="28" t="s">
        <v>151</v>
      </c>
      <c r="M17" s="28" t="s">
        <v>180</v>
      </c>
      <c r="N17" s="28" t="s">
        <v>151</v>
      </c>
      <c r="O17" s="28" t="s">
        <v>180</v>
      </c>
      <c r="P17" s="28" t="s">
        <v>180</v>
      </c>
      <c r="Q17" s="28" t="s">
        <v>180</v>
      </c>
      <c r="R17" s="28" t="s">
        <v>151</v>
      </c>
      <c r="S17" s="28" t="s">
        <v>240</v>
      </c>
      <c r="T17" s="115" t="s">
        <v>279</v>
      </c>
      <c r="U17" s="28" t="s">
        <v>240</v>
      </c>
      <c r="V17" s="28"/>
      <c r="W17" s="28"/>
      <c r="X17" s="28" t="s">
        <v>280</v>
      </c>
      <c r="Y17" s="28" t="s">
        <v>151</v>
      </c>
      <c r="Z17" s="28"/>
      <c r="AA17" s="28" t="s">
        <v>151</v>
      </c>
      <c r="AB17" s="28"/>
      <c r="AC17" s="28"/>
      <c r="AD17" s="28"/>
      <c r="AE17" s="28" t="s">
        <v>280</v>
      </c>
      <c r="AF17" s="28"/>
      <c r="AG17" s="28"/>
      <c r="AH17" s="28" t="s">
        <v>180</v>
      </c>
    </row>
    <row r="18" spans="1:34">
      <c r="A18" s="26" t="s">
        <v>133</v>
      </c>
      <c r="B18" s="30">
        <v>0.5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>
        <v>0.5</v>
      </c>
      <c r="Y18" s="30">
        <v>3</v>
      </c>
      <c r="Z18" s="30"/>
      <c r="AA18" s="30">
        <v>3</v>
      </c>
      <c r="AB18" s="30"/>
      <c r="AC18" s="30"/>
      <c r="AD18" s="30"/>
      <c r="AE18" s="30">
        <v>0.5</v>
      </c>
      <c r="AF18" s="30"/>
      <c r="AG18" s="30"/>
      <c r="AH18" s="30">
        <v>2</v>
      </c>
    </row>
    <row r="20" spans="1:34">
      <c r="A20" s="31" t="s">
        <v>134</v>
      </c>
    </row>
    <row r="21" spans="1:34">
      <c r="A21" s="223" t="s">
        <v>456</v>
      </c>
      <c r="B21" s="56" t="s">
        <v>282</v>
      </c>
    </row>
    <row r="22" spans="1:34">
      <c r="A22" s="223"/>
      <c r="B22" s="93" t="s">
        <v>457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0085-DAB6-49D9-A317-410E53C92CB5}">
  <dimension ref="A1:AH22"/>
  <sheetViews>
    <sheetView workbookViewId="0">
      <selection activeCell="T9" sqref="T9:T16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29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453</v>
      </c>
      <c r="C4" s="203"/>
      <c r="D4" s="203"/>
      <c r="F4" s="204" t="s">
        <v>458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459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455</v>
      </c>
      <c r="C8" s="29" t="s">
        <v>269</v>
      </c>
      <c r="D8" s="29" t="s">
        <v>269</v>
      </c>
      <c r="E8" s="28" t="s">
        <v>263</v>
      </c>
      <c r="F8" s="28" t="s">
        <v>263</v>
      </c>
      <c r="G8" s="29" t="s">
        <v>287</v>
      </c>
      <c r="H8" s="29" t="s">
        <v>287</v>
      </c>
      <c r="I8" s="29" t="s">
        <v>287</v>
      </c>
      <c r="J8" s="29" t="s">
        <v>203</v>
      </c>
      <c r="K8" s="29" t="s">
        <v>269</v>
      </c>
      <c r="L8" s="29" t="s">
        <v>269</v>
      </c>
      <c r="M8" s="29" t="s">
        <v>269</v>
      </c>
      <c r="N8" s="29" t="s">
        <v>250</v>
      </c>
      <c r="O8" s="28" t="s">
        <v>250</v>
      </c>
      <c r="P8" s="29" t="s">
        <v>293</v>
      </c>
      <c r="Q8" s="29" t="s">
        <v>293</v>
      </c>
      <c r="R8" s="29" t="s">
        <v>265</v>
      </c>
      <c r="S8" s="29" t="s">
        <v>293</v>
      </c>
      <c r="T8" s="29" t="s">
        <v>173</v>
      </c>
      <c r="U8" s="29" t="s">
        <v>266</v>
      </c>
      <c r="V8" s="29" t="s">
        <v>460</v>
      </c>
      <c r="W8" s="29" t="s">
        <v>173</v>
      </c>
      <c r="X8" s="29" t="s">
        <v>461</v>
      </c>
      <c r="Y8" s="29" t="s">
        <v>294</v>
      </c>
      <c r="Z8" s="29"/>
      <c r="AA8" s="29" t="s">
        <v>294</v>
      </c>
      <c r="AB8" s="29"/>
      <c r="AC8" s="29"/>
      <c r="AD8" s="29"/>
      <c r="AE8" s="29" t="s">
        <v>269</v>
      </c>
      <c r="AF8" s="29"/>
      <c r="AG8" s="29"/>
      <c r="AH8" s="29" t="s">
        <v>269</v>
      </c>
    </row>
    <row r="9" spans="1:34">
      <c r="A9" s="26" t="s">
        <v>121</v>
      </c>
      <c r="B9" s="29" t="s">
        <v>269</v>
      </c>
      <c r="C9" s="28" t="s">
        <v>271</v>
      </c>
      <c r="D9" s="28" t="s">
        <v>271</v>
      </c>
      <c r="E9" s="29" t="s">
        <v>231</v>
      </c>
      <c r="F9" s="29" t="s">
        <v>231</v>
      </c>
      <c r="G9" s="29" t="s">
        <v>287</v>
      </c>
      <c r="H9" s="29" t="s">
        <v>287</v>
      </c>
      <c r="I9" s="29" t="s">
        <v>287</v>
      </c>
      <c r="J9" s="29" t="s">
        <v>148</v>
      </c>
      <c r="K9" s="28" t="s">
        <v>271</v>
      </c>
      <c r="L9" s="28" t="s">
        <v>178</v>
      </c>
      <c r="M9" s="28" t="s">
        <v>271</v>
      </c>
      <c r="N9" s="28" t="s">
        <v>178</v>
      </c>
      <c r="O9" s="28" t="s">
        <v>271</v>
      </c>
      <c r="P9" s="28" t="s">
        <v>271</v>
      </c>
      <c r="Q9" s="28" t="s">
        <v>271</v>
      </c>
      <c r="R9" s="28" t="s">
        <v>178</v>
      </c>
      <c r="S9" s="29" t="s">
        <v>273</v>
      </c>
      <c r="T9" s="113" t="s">
        <v>274</v>
      </c>
      <c r="U9" s="29" t="s">
        <v>275</v>
      </c>
      <c r="V9" s="29"/>
      <c r="W9" s="29"/>
      <c r="X9" s="29"/>
      <c r="Y9" s="29"/>
      <c r="Z9" s="29"/>
      <c r="AA9" s="28" t="s">
        <v>178</v>
      </c>
      <c r="AB9" s="29"/>
      <c r="AC9" s="28"/>
      <c r="AD9" s="29"/>
      <c r="AE9" s="29" t="s">
        <v>269</v>
      </c>
      <c r="AF9" s="29"/>
      <c r="AG9" s="29"/>
      <c r="AH9" s="28" t="s">
        <v>271</v>
      </c>
    </row>
    <row r="10" spans="1:34">
      <c r="A10" s="140" t="s">
        <v>122</v>
      </c>
      <c r="B10" s="167">
        <v>98</v>
      </c>
      <c r="C10" s="167">
        <v>57</v>
      </c>
      <c r="D10" s="167">
        <v>57</v>
      </c>
      <c r="E10" s="167">
        <v>56</v>
      </c>
      <c r="F10" s="167">
        <v>56</v>
      </c>
      <c r="G10" s="167" t="s">
        <v>287</v>
      </c>
      <c r="H10" s="167" t="s">
        <v>287</v>
      </c>
      <c r="I10" s="167" t="s">
        <v>287</v>
      </c>
      <c r="J10" s="167">
        <v>34</v>
      </c>
      <c r="K10" s="167">
        <v>57</v>
      </c>
      <c r="L10" s="167">
        <v>35</v>
      </c>
      <c r="M10" s="167">
        <v>57</v>
      </c>
      <c r="N10" s="167">
        <v>35</v>
      </c>
      <c r="O10" s="167">
        <v>57</v>
      </c>
      <c r="P10" s="167">
        <v>57</v>
      </c>
      <c r="Q10" s="167">
        <v>57</v>
      </c>
      <c r="R10" s="167">
        <v>35</v>
      </c>
      <c r="S10" s="167">
        <v>107</v>
      </c>
      <c r="T10" s="167">
        <v>111</v>
      </c>
      <c r="U10" s="167">
        <v>108</v>
      </c>
      <c r="V10" s="167"/>
      <c r="W10" s="167"/>
      <c r="X10" s="167"/>
      <c r="Y10" s="167"/>
      <c r="Z10" s="167"/>
      <c r="AA10" s="167">
        <v>35</v>
      </c>
      <c r="AB10" s="167"/>
      <c r="AC10" s="167"/>
      <c r="AD10" s="167"/>
      <c r="AE10" s="167">
        <v>98</v>
      </c>
      <c r="AF10" s="167"/>
      <c r="AG10" s="167"/>
      <c r="AH10" s="167">
        <v>57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127</v>
      </c>
      <c r="H11" s="28" t="s">
        <v>127</v>
      </c>
      <c r="I11" s="28" t="s">
        <v>127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8" t="s">
        <v>124</v>
      </c>
      <c r="AF11" s="28"/>
      <c r="AG11" s="28"/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127</v>
      </c>
      <c r="F12" s="28" t="s">
        <v>127</v>
      </c>
      <c r="G12" s="28" t="s">
        <v>124</v>
      </c>
      <c r="H12" s="28" t="s">
        <v>124</v>
      </c>
      <c r="I12" s="28" t="s">
        <v>124</v>
      </c>
      <c r="J12" s="28" t="s">
        <v>127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 t="s">
        <v>124</v>
      </c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127</v>
      </c>
      <c r="H13" s="28" t="s">
        <v>127</v>
      </c>
      <c r="I13" s="28" t="s">
        <v>127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139" t="s">
        <v>215</v>
      </c>
      <c r="T13" s="28" t="s">
        <v>124</v>
      </c>
      <c r="U13" s="28" t="s">
        <v>124</v>
      </c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 t="s">
        <v>127</v>
      </c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 t="s">
        <v>127</v>
      </c>
      <c r="AF14" s="28"/>
      <c r="AG14" s="28"/>
      <c r="AH14" s="28" t="s">
        <v>127</v>
      </c>
    </row>
    <row r="15" spans="1:34">
      <c r="A15" s="26" t="s">
        <v>129</v>
      </c>
      <c r="B15" s="28" t="s">
        <v>150</v>
      </c>
      <c r="C15" s="28" t="s">
        <v>150</v>
      </c>
      <c r="D15" s="28" t="s">
        <v>150</v>
      </c>
      <c r="E15" s="28" t="s">
        <v>150</v>
      </c>
      <c r="F15" s="28" t="s">
        <v>150</v>
      </c>
      <c r="G15" s="28" t="s">
        <v>150</v>
      </c>
      <c r="H15" s="28" t="s">
        <v>150</v>
      </c>
      <c r="I15" s="28" t="s">
        <v>150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 t="s">
        <v>150</v>
      </c>
      <c r="O15" s="28" t="s">
        <v>150</v>
      </c>
      <c r="P15" s="28" t="s">
        <v>150</v>
      </c>
      <c r="Q15" s="28" t="s">
        <v>150</v>
      </c>
      <c r="R15" s="28" t="s">
        <v>150</v>
      </c>
      <c r="S15" s="28" t="s">
        <v>149</v>
      </c>
      <c r="T15" s="28" t="s">
        <v>149</v>
      </c>
      <c r="U15" s="28" t="s">
        <v>217</v>
      </c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 t="s">
        <v>150</v>
      </c>
      <c r="AF15" s="28"/>
      <c r="AG15" s="28"/>
      <c r="AH15" s="28" t="s">
        <v>150</v>
      </c>
    </row>
    <row r="16" spans="1:34">
      <c r="A16" s="26" t="s">
        <v>130</v>
      </c>
      <c r="B16" s="30">
        <v>-2</v>
      </c>
      <c r="C16" s="30">
        <v>-0.5</v>
      </c>
      <c r="D16" s="30">
        <v>-0.5</v>
      </c>
      <c r="E16" s="30">
        <v>-0.5</v>
      </c>
      <c r="F16" s="30">
        <v>-0.5</v>
      </c>
      <c r="G16" s="30">
        <v>-2</v>
      </c>
      <c r="H16" s="30">
        <v>-2</v>
      </c>
      <c r="I16" s="30">
        <v>-2</v>
      </c>
      <c r="J16" s="30">
        <v>-0.5</v>
      </c>
      <c r="K16" s="30">
        <v>-0.5</v>
      </c>
      <c r="L16" s="30">
        <v>-0.5</v>
      </c>
      <c r="M16" s="30">
        <v>-0.5</v>
      </c>
      <c r="N16" s="30">
        <v>-0.5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>
        <v>-2</v>
      </c>
      <c r="AF16" s="30"/>
      <c r="AG16" s="30"/>
      <c r="AH16" s="30">
        <v>-0.5</v>
      </c>
    </row>
    <row r="17" spans="1:34">
      <c r="A17" s="26" t="s">
        <v>131</v>
      </c>
      <c r="B17" s="28" t="s">
        <v>280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287</v>
      </c>
      <c r="H17" s="28" t="s">
        <v>287</v>
      </c>
      <c r="I17" s="28" t="s">
        <v>287</v>
      </c>
      <c r="J17" s="28" t="s">
        <v>151</v>
      </c>
      <c r="K17" s="28" t="s">
        <v>180</v>
      </c>
      <c r="L17" s="28" t="s">
        <v>151</v>
      </c>
      <c r="M17" s="28" t="s">
        <v>180</v>
      </c>
      <c r="N17" s="28" t="s">
        <v>151</v>
      </c>
      <c r="O17" s="28" t="s">
        <v>180</v>
      </c>
      <c r="P17" s="28" t="s">
        <v>180</v>
      </c>
      <c r="Q17" s="28" t="s">
        <v>180</v>
      </c>
      <c r="R17" s="28" t="s">
        <v>151</v>
      </c>
      <c r="S17" s="28" t="s">
        <v>240</v>
      </c>
      <c r="T17" s="115" t="s">
        <v>279</v>
      </c>
      <c r="U17" s="28" t="s">
        <v>240</v>
      </c>
      <c r="V17" s="28"/>
      <c r="W17" s="28"/>
      <c r="X17" s="28"/>
      <c r="Y17" s="28"/>
      <c r="Z17" s="28"/>
      <c r="AA17" s="28" t="s">
        <v>151</v>
      </c>
      <c r="AB17" s="28"/>
      <c r="AC17" s="28"/>
      <c r="AD17" s="28"/>
      <c r="AE17" s="28" t="s">
        <v>280</v>
      </c>
      <c r="AF17" s="28"/>
      <c r="AG17" s="28"/>
      <c r="AH17" s="28" t="s">
        <v>180</v>
      </c>
    </row>
    <row r="18" spans="1:34">
      <c r="A18" s="26" t="s">
        <v>133</v>
      </c>
      <c r="B18" s="30">
        <v>0.5</v>
      </c>
      <c r="C18" s="30">
        <v>2</v>
      </c>
      <c r="D18" s="30">
        <v>2</v>
      </c>
      <c r="E18" s="30">
        <v>2</v>
      </c>
      <c r="F18" s="30">
        <v>2</v>
      </c>
      <c r="G18" s="30">
        <v>0</v>
      </c>
      <c r="H18" s="30">
        <v>0</v>
      </c>
      <c r="I18" s="30">
        <v>0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/>
      <c r="Y18" s="30"/>
      <c r="Z18" s="30"/>
      <c r="AA18" s="30">
        <v>3</v>
      </c>
      <c r="AB18" s="30"/>
      <c r="AC18" s="30"/>
      <c r="AD18" s="30"/>
      <c r="AE18" s="30">
        <v>0.5</v>
      </c>
      <c r="AF18" s="30"/>
      <c r="AG18" s="30"/>
      <c r="AH18" s="30">
        <v>2</v>
      </c>
    </row>
    <row r="20" spans="1:34">
      <c r="A20" s="31" t="s">
        <v>134</v>
      </c>
    </row>
    <row r="21" spans="1:34">
      <c r="A21" s="223" t="s">
        <v>462</v>
      </c>
      <c r="B21" s="56" t="s">
        <v>282</v>
      </c>
    </row>
    <row r="22" spans="1:34">
      <c r="A22" s="223"/>
      <c r="B22" s="93" t="s">
        <v>289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F06A-65D3-4801-9F81-F6844FE0A97A}">
  <dimension ref="A1:AH22"/>
  <sheetViews>
    <sheetView workbookViewId="0">
      <selection activeCell="T9" sqref="T9:T16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>
        <v>30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453</v>
      </c>
      <c r="C4" s="203"/>
      <c r="D4" s="203"/>
      <c r="F4" s="204" t="s">
        <v>463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464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455</v>
      </c>
      <c r="C8" s="29" t="s">
        <v>269</v>
      </c>
      <c r="D8" s="29" t="s">
        <v>269</v>
      </c>
      <c r="E8" s="28" t="s">
        <v>263</v>
      </c>
      <c r="F8" s="28" t="s">
        <v>263</v>
      </c>
      <c r="G8" s="29" t="s">
        <v>264</v>
      </c>
      <c r="H8" s="29" t="s">
        <v>264</v>
      </c>
      <c r="I8" s="29" t="s">
        <v>264</v>
      </c>
      <c r="J8" s="29" t="s">
        <v>203</v>
      </c>
      <c r="K8" s="29" t="s">
        <v>269</v>
      </c>
      <c r="L8" s="29" t="s">
        <v>269</v>
      </c>
      <c r="M8" s="29" t="s">
        <v>269</v>
      </c>
      <c r="N8" s="29" t="s">
        <v>250</v>
      </c>
      <c r="O8" s="28" t="s">
        <v>250</v>
      </c>
      <c r="P8" s="29" t="s">
        <v>293</v>
      </c>
      <c r="Q8" s="29" t="s">
        <v>293</v>
      </c>
      <c r="R8" s="29" t="s">
        <v>265</v>
      </c>
      <c r="S8" s="29" t="s">
        <v>293</v>
      </c>
      <c r="T8" s="29" t="s">
        <v>173</v>
      </c>
      <c r="U8" s="29" t="s">
        <v>266</v>
      </c>
      <c r="V8" s="29"/>
      <c r="W8" s="29"/>
      <c r="X8" s="29"/>
      <c r="Y8" s="29" t="s">
        <v>294</v>
      </c>
      <c r="Z8" s="29"/>
      <c r="AA8" s="29" t="s">
        <v>294</v>
      </c>
      <c r="AB8" s="29"/>
      <c r="AC8" s="29"/>
      <c r="AD8" s="29"/>
      <c r="AE8" s="29" t="s">
        <v>269</v>
      </c>
      <c r="AF8" s="29"/>
      <c r="AG8" s="29" t="s">
        <v>172</v>
      </c>
      <c r="AH8" s="29" t="s">
        <v>269</v>
      </c>
    </row>
    <row r="9" spans="1:34">
      <c r="A9" s="26" t="s">
        <v>121</v>
      </c>
      <c r="B9" s="29" t="s">
        <v>269</v>
      </c>
      <c r="C9" s="28" t="s">
        <v>271</v>
      </c>
      <c r="D9" s="28" t="s">
        <v>271</v>
      </c>
      <c r="E9" s="29" t="s">
        <v>231</v>
      </c>
      <c r="F9" s="29" t="s">
        <v>231</v>
      </c>
      <c r="G9" s="28" t="s">
        <v>272</v>
      </c>
      <c r="H9" s="28" t="s">
        <v>272</v>
      </c>
      <c r="I9" s="28" t="s">
        <v>272</v>
      </c>
      <c r="J9" s="29" t="s">
        <v>148</v>
      </c>
      <c r="K9" s="28" t="s">
        <v>271</v>
      </c>
      <c r="L9" s="28" t="s">
        <v>178</v>
      </c>
      <c r="M9" s="28" t="s">
        <v>271</v>
      </c>
      <c r="N9" s="28" t="s">
        <v>178</v>
      </c>
      <c r="O9" s="28" t="s">
        <v>271</v>
      </c>
      <c r="P9" s="28" t="s">
        <v>271</v>
      </c>
      <c r="Q9" s="28" t="s">
        <v>271</v>
      </c>
      <c r="R9" s="28" t="s">
        <v>178</v>
      </c>
      <c r="S9" s="29" t="s">
        <v>273</v>
      </c>
      <c r="T9" s="113" t="s">
        <v>274</v>
      </c>
      <c r="U9" s="29" t="s">
        <v>275</v>
      </c>
      <c r="V9" s="29"/>
      <c r="W9" s="29"/>
      <c r="X9" s="29"/>
      <c r="Y9" s="28" t="s">
        <v>178</v>
      </c>
      <c r="Z9" s="29"/>
      <c r="AA9" s="28" t="s">
        <v>178</v>
      </c>
      <c r="AB9" s="29"/>
      <c r="AC9" s="28"/>
      <c r="AD9" s="29"/>
      <c r="AE9" s="29" t="s">
        <v>269</v>
      </c>
      <c r="AF9" s="29"/>
      <c r="AG9" s="29"/>
      <c r="AH9" s="28" t="s">
        <v>271</v>
      </c>
    </row>
    <row r="10" spans="1:34">
      <c r="A10" s="140" t="s">
        <v>122</v>
      </c>
      <c r="B10" s="167">
        <v>98</v>
      </c>
      <c r="C10" s="167">
        <v>57</v>
      </c>
      <c r="D10" s="167">
        <v>57</v>
      </c>
      <c r="E10" s="167">
        <v>56</v>
      </c>
      <c r="F10" s="167">
        <v>56</v>
      </c>
      <c r="G10" s="167">
        <v>39</v>
      </c>
      <c r="H10" s="167">
        <v>39</v>
      </c>
      <c r="I10" s="167">
        <v>39</v>
      </c>
      <c r="J10" s="167">
        <v>34</v>
      </c>
      <c r="K10" s="167">
        <v>57</v>
      </c>
      <c r="L10" s="167">
        <v>35</v>
      </c>
      <c r="M10" s="167">
        <v>57</v>
      </c>
      <c r="N10" s="167">
        <v>35</v>
      </c>
      <c r="O10" s="167">
        <v>57</v>
      </c>
      <c r="P10" s="167">
        <v>57</v>
      </c>
      <c r="Q10" s="167">
        <v>57</v>
      </c>
      <c r="R10" s="167">
        <v>35</v>
      </c>
      <c r="S10" s="167">
        <v>107</v>
      </c>
      <c r="T10" s="167">
        <v>111</v>
      </c>
      <c r="U10" s="167">
        <v>108</v>
      </c>
      <c r="V10" s="167"/>
      <c r="W10" s="167"/>
      <c r="X10" s="167"/>
      <c r="Y10" s="167">
        <v>35</v>
      </c>
      <c r="Z10" s="167"/>
      <c r="AA10" s="167">
        <v>35</v>
      </c>
      <c r="AB10" s="167"/>
      <c r="AC10" s="167"/>
      <c r="AD10" s="167"/>
      <c r="AE10" s="167">
        <v>98</v>
      </c>
      <c r="AF10" s="167"/>
      <c r="AG10" s="167"/>
      <c r="AH10" s="167">
        <v>57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/>
      <c r="W11" s="28"/>
      <c r="X11" s="28"/>
      <c r="Y11" s="28" t="s">
        <v>124</v>
      </c>
      <c r="Z11" s="28"/>
      <c r="AA11" s="28" t="s">
        <v>124</v>
      </c>
      <c r="AB11" s="28"/>
      <c r="AC11" s="29"/>
      <c r="AD11" s="28"/>
      <c r="AE11" s="28" t="s">
        <v>124</v>
      </c>
      <c r="AF11" s="28"/>
      <c r="AG11" s="28"/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127</v>
      </c>
      <c r="F12" s="28" t="s">
        <v>127</v>
      </c>
      <c r="G12" s="28" t="s">
        <v>124</v>
      </c>
      <c r="H12" s="28" t="s">
        <v>124</v>
      </c>
      <c r="I12" s="28" t="s">
        <v>124</v>
      </c>
      <c r="J12" s="28" t="s">
        <v>127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/>
      <c r="W12" s="28"/>
      <c r="X12" s="28"/>
      <c r="Y12" s="28" t="s">
        <v>124</v>
      </c>
      <c r="Z12" s="28"/>
      <c r="AA12" s="28" t="s">
        <v>124</v>
      </c>
      <c r="AB12" s="28"/>
      <c r="AC12" s="28"/>
      <c r="AD12" s="28"/>
      <c r="AE12" s="28" t="s">
        <v>124</v>
      </c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127</v>
      </c>
      <c r="H13" s="28" t="s">
        <v>127</v>
      </c>
      <c r="I13" s="28" t="s">
        <v>127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28" t="s">
        <v>124</v>
      </c>
      <c r="S13" s="139" t="s">
        <v>215</v>
      </c>
      <c r="T13" s="28" t="s">
        <v>124</v>
      </c>
      <c r="U13" s="28" t="s">
        <v>124</v>
      </c>
      <c r="V13" s="28"/>
      <c r="W13" s="28"/>
      <c r="X13" s="28"/>
      <c r="Y13" s="28" t="s">
        <v>124</v>
      </c>
      <c r="Z13" s="28"/>
      <c r="AA13" s="28" t="s">
        <v>124</v>
      </c>
      <c r="AB13" s="28"/>
      <c r="AC13" s="28"/>
      <c r="AD13" s="28"/>
      <c r="AE13" s="28" t="s">
        <v>127</v>
      </c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/>
      <c r="W14" s="28"/>
      <c r="X14" s="28"/>
      <c r="Y14" s="28" t="s">
        <v>127</v>
      </c>
      <c r="Z14" s="28"/>
      <c r="AA14" s="28" t="s">
        <v>127</v>
      </c>
      <c r="AB14" s="28"/>
      <c r="AC14" s="28"/>
      <c r="AD14" s="28"/>
      <c r="AE14" s="28" t="s">
        <v>127</v>
      </c>
      <c r="AF14" s="28"/>
      <c r="AG14" s="28"/>
      <c r="AH14" s="28" t="s">
        <v>127</v>
      </c>
    </row>
    <row r="15" spans="1:34">
      <c r="A15" s="26" t="s">
        <v>129</v>
      </c>
      <c r="B15" s="28" t="s">
        <v>150</v>
      </c>
      <c r="C15" s="28" t="s">
        <v>150</v>
      </c>
      <c r="D15" s="28" t="s">
        <v>150</v>
      </c>
      <c r="E15" s="28" t="s">
        <v>150</v>
      </c>
      <c r="F15" s="28" t="s">
        <v>150</v>
      </c>
      <c r="G15" s="28" t="s">
        <v>150</v>
      </c>
      <c r="H15" s="28" t="s">
        <v>150</v>
      </c>
      <c r="I15" s="28" t="s">
        <v>150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 t="s">
        <v>150</v>
      </c>
      <c r="O15" s="28" t="s">
        <v>150</v>
      </c>
      <c r="P15" s="28" t="s">
        <v>150</v>
      </c>
      <c r="Q15" s="28" t="s">
        <v>150</v>
      </c>
      <c r="R15" s="28" t="s">
        <v>150</v>
      </c>
      <c r="S15" s="28" t="s">
        <v>149</v>
      </c>
      <c r="T15" s="28" t="s">
        <v>149</v>
      </c>
      <c r="U15" s="28" t="s">
        <v>217</v>
      </c>
      <c r="V15" s="28"/>
      <c r="W15" s="28"/>
      <c r="X15" s="28"/>
      <c r="Y15" s="28" t="s">
        <v>150</v>
      </c>
      <c r="Z15" s="28"/>
      <c r="AA15" s="28" t="s">
        <v>150</v>
      </c>
      <c r="AB15" s="28"/>
      <c r="AC15" s="28"/>
      <c r="AD15" s="28"/>
      <c r="AE15" s="28" t="s">
        <v>150</v>
      </c>
      <c r="AF15" s="28"/>
      <c r="AG15" s="28"/>
      <c r="AH15" s="28" t="s">
        <v>150</v>
      </c>
    </row>
    <row r="16" spans="1:34">
      <c r="A16" s="26" t="s">
        <v>130</v>
      </c>
      <c r="B16" s="30">
        <v>-2</v>
      </c>
      <c r="C16" s="30">
        <v>-0.5</v>
      </c>
      <c r="D16" s="30">
        <v>-0.5</v>
      </c>
      <c r="E16" s="30">
        <v>-0.5</v>
      </c>
      <c r="F16" s="30">
        <v>-0.5</v>
      </c>
      <c r="G16" s="30">
        <v>-2</v>
      </c>
      <c r="H16" s="30">
        <v>-2</v>
      </c>
      <c r="I16" s="30">
        <v>-2</v>
      </c>
      <c r="J16" s="30">
        <v>-0.5</v>
      </c>
      <c r="K16" s="30">
        <v>-0.5</v>
      </c>
      <c r="L16" s="30">
        <v>-0.5</v>
      </c>
      <c r="M16" s="30">
        <v>-0.5</v>
      </c>
      <c r="N16" s="30">
        <v>-0.5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/>
      <c r="Y16" s="30">
        <v>-0.5</v>
      </c>
      <c r="Z16" s="30"/>
      <c r="AA16" s="30">
        <v>-0.5</v>
      </c>
      <c r="AB16" s="30"/>
      <c r="AC16" s="30"/>
      <c r="AD16" s="30"/>
      <c r="AE16" s="30">
        <v>-2</v>
      </c>
      <c r="AF16" s="30"/>
      <c r="AG16" s="30"/>
      <c r="AH16" s="30">
        <v>-0.5</v>
      </c>
    </row>
    <row r="17" spans="1:34">
      <c r="A17" s="26" t="s">
        <v>131</v>
      </c>
      <c r="B17" s="28" t="s">
        <v>280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151</v>
      </c>
      <c r="H17" s="28" t="s">
        <v>151</v>
      </c>
      <c r="I17" s="28" t="s">
        <v>151</v>
      </c>
      <c r="J17" s="28" t="s">
        <v>151</v>
      </c>
      <c r="K17" s="28" t="s">
        <v>180</v>
      </c>
      <c r="L17" s="28" t="s">
        <v>151</v>
      </c>
      <c r="M17" s="28" t="s">
        <v>180</v>
      </c>
      <c r="N17" s="28" t="s">
        <v>151</v>
      </c>
      <c r="O17" s="28" t="s">
        <v>180</v>
      </c>
      <c r="P17" s="28" t="s">
        <v>180</v>
      </c>
      <c r="Q17" s="28" t="s">
        <v>180</v>
      </c>
      <c r="R17" s="28" t="s">
        <v>151</v>
      </c>
      <c r="S17" s="28" t="s">
        <v>240</v>
      </c>
      <c r="T17" s="115" t="s">
        <v>279</v>
      </c>
      <c r="U17" s="28" t="s">
        <v>240</v>
      </c>
      <c r="V17" s="28"/>
      <c r="W17" s="28"/>
      <c r="X17" s="28"/>
      <c r="Y17" s="28" t="s">
        <v>151</v>
      </c>
      <c r="Z17" s="28"/>
      <c r="AA17" s="28" t="s">
        <v>151</v>
      </c>
      <c r="AB17" s="28"/>
      <c r="AC17" s="28"/>
      <c r="AD17" s="28"/>
      <c r="AE17" s="28" t="s">
        <v>280</v>
      </c>
      <c r="AF17" s="28"/>
      <c r="AG17" s="28"/>
      <c r="AH17" s="28" t="s">
        <v>180</v>
      </c>
    </row>
    <row r="18" spans="1:34">
      <c r="A18" s="26" t="s">
        <v>133</v>
      </c>
      <c r="B18" s="30">
        <v>0.5</v>
      </c>
      <c r="C18" s="30">
        <v>2</v>
      </c>
      <c r="D18" s="30">
        <v>2</v>
      </c>
      <c r="E18" s="30">
        <v>2</v>
      </c>
      <c r="F18" s="30">
        <v>2</v>
      </c>
      <c r="G18" s="30">
        <v>3</v>
      </c>
      <c r="H18" s="30">
        <v>3</v>
      </c>
      <c r="I18" s="30">
        <v>3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/>
      <c r="Y18" s="30">
        <v>3</v>
      </c>
      <c r="Z18" s="30"/>
      <c r="AA18" s="30">
        <v>3</v>
      </c>
      <c r="AB18" s="30"/>
      <c r="AC18" s="30"/>
      <c r="AD18" s="30"/>
      <c r="AE18" s="30">
        <v>0.5</v>
      </c>
      <c r="AF18" s="30"/>
      <c r="AG18" s="30"/>
      <c r="AH18" s="30">
        <v>2</v>
      </c>
    </row>
    <row r="20" spans="1:34">
      <c r="A20" s="31" t="s">
        <v>134</v>
      </c>
    </row>
    <row r="21" spans="1:34">
      <c r="A21" s="223" t="s">
        <v>465</v>
      </c>
      <c r="B21" s="56" t="s">
        <v>282</v>
      </c>
    </row>
    <row r="22" spans="1:34">
      <c r="A22" s="223"/>
      <c r="B22" s="93" t="s">
        <v>283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835E-C493-43DD-A315-948C566EF2BC}">
  <dimension ref="A1:AH35"/>
  <sheetViews>
    <sheetView topLeftCell="A2" workbookViewId="0">
      <selection activeCell="V20" sqref="V20:V3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 t="s">
        <v>466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467</v>
      </c>
      <c r="C4" s="203"/>
      <c r="D4" s="203"/>
      <c r="F4" s="204" t="s">
        <v>468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</row>
    <row r="8" spans="1:34">
      <c r="A8" s="26" t="s">
        <v>117</v>
      </c>
      <c r="B8" s="80"/>
      <c r="C8" s="83" t="s">
        <v>469</v>
      </c>
      <c r="D8" s="28" t="s">
        <v>469</v>
      </c>
      <c r="E8" s="28" t="s">
        <v>469</v>
      </c>
      <c r="F8" s="28" t="s">
        <v>469</v>
      </c>
      <c r="G8" s="28" t="s">
        <v>469</v>
      </c>
      <c r="H8" s="28" t="s">
        <v>469</v>
      </c>
      <c r="I8" s="28" t="s">
        <v>469</v>
      </c>
      <c r="J8" s="28" t="s">
        <v>469</v>
      </c>
      <c r="K8" s="28" t="s">
        <v>469</v>
      </c>
      <c r="L8" s="28" t="s">
        <v>469</v>
      </c>
      <c r="M8" s="28" t="s">
        <v>469</v>
      </c>
      <c r="N8" s="28" t="s">
        <v>469</v>
      </c>
      <c r="O8" s="28" t="s">
        <v>469</v>
      </c>
      <c r="P8" s="28" t="s">
        <v>469</v>
      </c>
      <c r="Q8" s="28" t="s">
        <v>469</v>
      </c>
      <c r="R8" s="80"/>
      <c r="S8" s="28" t="s">
        <v>469</v>
      </c>
      <c r="T8" s="28" t="s">
        <v>250</v>
      </c>
      <c r="U8" s="28" t="s">
        <v>250</v>
      </c>
      <c r="V8" s="28" t="s">
        <v>250</v>
      </c>
      <c r="W8" s="28" t="s">
        <v>349</v>
      </c>
      <c r="X8" s="28" t="s">
        <v>250</v>
      </c>
      <c r="Y8" s="28" t="s">
        <v>250</v>
      </c>
      <c r="Z8" s="28" t="s">
        <v>469</v>
      </c>
      <c r="AA8" s="28" t="s">
        <v>250</v>
      </c>
      <c r="AB8" s="28"/>
      <c r="AC8" s="28" t="s">
        <v>470</v>
      </c>
      <c r="AD8" s="86"/>
      <c r="AE8" s="28"/>
      <c r="AF8" s="28" t="s">
        <v>470</v>
      </c>
      <c r="AG8" s="28"/>
      <c r="AH8" s="80"/>
    </row>
    <row r="9" spans="1:34">
      <c r="A9" s="26" t="s">
        <v>121</v>
      </c>
      <c r="B9" s="81"/>
      <c r="C9" s="29" t="s">
        <v>251</v>
      </c>
      <c r="D9" s="29" t="s">
        <v>251</v>
      </c>
      <c r="E9" s="29" t="s">
        <v>251</v>
      </c>
      <c r="F9" s="29" t="s">
        <v>251</v>
      </c>
      <c r="G9" s="29" t="s">
        <v>251</v>
      </c>
      <c r="H9" s="29" t="s">
        <v>251</v>
      </c>
      <c r="I9" s="29" t="s">
        <v>251</v>
      </c>
      <c r="J9" s="29" t="s">
        <v>251</v>
      </c>
      <c r="K9" s="29" t="s">
        <v>251</v>
      </c>
      <c r="L9" s="29" t="s">
        <v>251</v>
      </c>
      <c r="M9" s="29" t="s">
        <v>251</v>
      </c>
      <c r="N9" s="29" t="s">
        <v>251</v>
      </c>
      <c r="O9" s="29" t="s">
        <v>251</v>
      </c>
      <c r="P9" s="29" t="s">
        <v>251</v>
      </c>
      <c r="Q9" s="29" t="s">
        <v>251</v>
      </c>
      <c r="R9" s="81"/>
      <c r="S9" s="29" t="s">
        <v>251</v>
      </c>
      <c r="T9" s="29" t="s">
        <v>251</v>
      </c>
      <c r="U9" s="29" t="s">
        <v>251</v>
      </c>
      <c r="V9" s="29" t="s">
        <v>251</v>
      </c>
      <c r="W9" s="29" t="s">
        <v>471</v>
      </c>
      <c r="X9" s="29" t="s">
        <v>251</v>
      </c>
      <c r="Y9" s="29" t="s">
        <v>251</v>
      </c>
      <c r="Z9" s="29" t="s">
        <v>472</v>
      </c>
      <c r="AA9" s="29" t="s">
        <v>251</v>
      </c>
      <c r="AB9" s="29"/>
      <c r="AC9" s="28" t="s">
        <v>473</v>
      </c>
      <c r="AD9" s="91"/>
      <c r="AE9" s="28"/>
      <c r="AF9" s="28" t="s">
        <v>473</v>
      </c>
      <c r="AG9" s="29"/>
      <c r="AH9" s="81"/>
    </row>
    <row r="10" spans="1:34">
      <c r="A10" s="140" t="s">
        <v>122</v>
      </c>
      <c r="B10" s="81"/>
      <c r="C10" s="167">
        <v>20</v>
      </c>
      <c r="D10" s="167">
        <v>20</v>
      </c>
      <c r="E10" s="167">
        <v>20</v>
      </c>
      <c r="F10" s="167">
        <v>20</v>
      </c>
      <c r="G10" s="167">
        <v>20</v>
      </c>
      <c r="H10" s="167">
        <v>20</v>
      </c>
      <c r="I10" s="167">
        <v>20</v>
      </c>
      <c r="J10" s="167">
        <v>20</v>
      </c>
      <c r="K10" s="167">
        <v>20</v>
      </c>
      <c r="L10" s="167">
        <v>20</v>
      </c>
      <c r="M10" s="167">
        <v>20</v>
      </c>
      <c r="N10" s="167">
        <v>20</v>
      </c>
      <c r="O10" s="167">
        <v>20</v>
      </c>
      <c r="P10" s="167">
        <v>20</v>
      </c>
      <c r="Q10" s="167">
        <v>20</v>
      </c>
      <c r="R10" s="81"/>
      <c r="S10" s="167">
        <v>20</v>
      </c>
      <c r="T10" s="167">
        <v>20</v>
      </c>
      <c r="U10" s="167">
        <v>20</v>
      </c>
      <c r="V10" s="167">
        <v>20</v>
      </c>
      <c r="W10" s="167">
        <v>138</v>
      </c>
      <c r="X10" s="167">
        <v>20</v>
      </c>
      <c r="Y10" s="167">
        <v>20</v>
      </c>
      <c r="Z10" s="167">
        <v>16</v>
      </c>
      <c r="AA10" s="167">
        <v>20</v>
      </c>
      <c r="AB10" s="167"/>
      <c r="AC10" s="167">
        <v>136</v>
      </c>
      <c r="AD10" s="171"/>
      <c r="AE10" s="167"/>
      <c r="AF10" s="167">
        <v>136</v>
      </c>
      <c r="AG10" s="167"/>
      <c r="AH10" s="81"/>
    </row>
    <row r="11" spans="1:34">
      <c r="A11" s="26" t="s">
        <v>123</v>
      </c>
      <c r="B11" s="80"/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80"/>
      <c r="S11" s="29" t="s">
        <v>124</v>
      </c>
      <c r="T11" s="29" t="s">
        <v>124</v>
      </c>
      <c r="U11" s="29" t="s">
        <v>124</v>
      </c>
      <c r="V11" s="29" t="s">
        <v>124</v>
      </c>
      <c r="W11" s="28" t="s">
        <v>215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8"/>
      <c r="AC11" s="28" t="s">
        <v>215</v>
      </c>
      <c r="AD11" s="86"/>
      <c r="AE11" s="28"/>
      <c r="AF11" s="28" t="s">
        <v>215</v>
      </c>
      <c r="AG11" s="28"/>
      <c r="AH11" s="80"/>
    </row>
    <row r="12" spans="1:34">
      <c r="A12" s="26" t="s">
        <v>125</v>
      </c>
      <c r="B12" s="80"/>
      <c r="C12" s="29" t="s">
        <v>124</v>
      </c>
      <c r="D12" s="29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9" t="s">
        <v>124</v>
      </c>
      <c r="O12" s="29" t="s">
        <v>124</v>
      </c>
      <c r="P12" s="29" t="s">
        <v>124</v>
      </c>
      <c r="Q12" s="29" t="s">
        <v>124</v>
      </c>
      <c r="R12" s="80"/>
      <c r="S12" s="29" t="s">
        <v>124</v>
      </c>
      <c r="T12" s="29" t="s">
        <v>124</v>
      </c>
      <c r="U12" s="29" t="s">
        <v>124</v>
      </c>
      <c r="V12" s="29" t="s">
        <v>124</v>
      </c>
      <c r="W12" s="28" t="s">
        <v>215</v>
      </c>
      <c r="X12" s="29" t="s">
        <v>124</v>
      </c>
      <c r="Y12" s="29" t="s">
        <v>124</v>
      </c>
      <c r="Z12" s="29" t="s">
        <v>124</v>
      </c>
      <c r="AA12" s="29" t="s">
        <v>124</v>
      </c>
      <c r="AB12" s="28"/>
      <c r="AC12" s="28" t="s">
        <v>215</v>
      </c>
      <c r="AD12" s="86"/>
      <c r="AE12" s="28"/>
      <c r="AF12" s="28" t="s">
        <v>215</v>
      </c>
      <c r="AG12" s="28"/>
      <c r="AH12" s="80"/>
    </row>
    <row r="13" spans="1:34">
      <c r="A13" s="26" t="s">
        <v>126</v>
      </c>
      <c r="B13" s="80"/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80"/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 t="s">
        <v>127</v>
      </c>
      <c r="AD13" s="86"/>
      <c r="AE13" s="28"/>
      <c r="AF13" s="28" t="s">
        <v>127</v>
      </c>
      <c r="AG13" s="28"/>
      <c r="AH13" s="80"/>
    </row>
    <row r="14" spans="1:34">
      <c r="A14" s="26" t="s">
        <v>128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86"/>
      <c r="AE14" s="28"/>
      <c r="AF14" s="28" t="s">
        <v>127</v>
      </c>
      <c r="AG14" s="28"/>
      <c r="AH14" s="80"/>
    </row>
    <row r="15" spans="1:34">
      <c r="A15" s="26" t="s">
        <v>129</v>
      </c>
      <c r="B15" s="80"/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80"/>
      <c r="S15" s="28" t="s">
        <v>216</v>
      </c>
      <c r="T15" s="28" t="s">
        <v>216</v>
      </c>
      <c r="U15" s="28" t="s">
        <v>216</v>
      </c>
      <c r="V15" s="28" t="s">
        <v>216</v>
      </c>
      <c r="W15" s="28" t="s">
        <v>118</v>
      </c>
      <c r="X15" s="28" t="s">
        <v>216</v>
      </c>
      <c r="Y15" s="28" t="s">
        <v>216</v>
      </c>
      <c r="Z15" s="28" t="s">
        <v>352</v>
      </c>
      <c r="AA15" s="28" t="s">
        <v>216</v>
      </c>
      <c r="AB15" s="28"/>
      <c r="AC15" s="28" t="s">
        <v>216</v>
      </c>
      <c r="AD15" s="28"/>
      <c r="AE15" s="29"/>
      <c r="AF15" s="28" t="s">
        <v>216</v>
      </c>
      <c r="AG15" s="28"/>
      <c r="AH15" s="80"/>
    </row>
    <row r="16" spans="1:34">
      <c r="A16" s="26" t="s">
        <v>130</v>
      </c>
      <c r="B16" s="82"/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82"/>
      <c r="S16" s="30">
        <v>-3</v>
      </c>
      <c r="T16" s="30">
        <v>-3</v>
      </c>
      <c r="U16" s="30">
        <v>-3</v>
      </c>
      <c r="V16" s="30">
        <v>-3</v>
      </c>
      <c r="W16" s="30">
        <v>2.5</v>
      </c>
      <c r="X16" s="30">
        <v>-3</v>
      </c>
      <c r="Y16" s="30">
        <v>-3</v>
      </c>
      <c r="Z16" s="30">
        <v>-1.5</v>
      </c>
      <c r="AA16" s="30">
        <v>-3</v>
      </c>
      <c r="AB16" s="30"/>
      <c r="AC16" s="30">
        <v>-3</v>
      </c>
      <c r="AD16" s="30"/>
      <c r="AE16" s="30"/>
      <c r="AF16" s="30">
        <v>-3</v>
      </c>
      <c r="AG16" s="30"/>
      <c r="AH16" s="82"/>
    </row>
    <row r="17" spans="1:34">
      <c r="A17" s="26" t="s">
        <v>131</v>
      </c>
      <c r="B17" s="80"/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80"/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344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 t="s">
        <v>474</v>
      </c>
      <c r="AD17" s="28"/>
      <c r="AE17" s="28"/>
      <c r="AF17" s="28" t="s">
        <v>474</v>
      </c>
      <c r="AG17" s="28"/>
      <c r="AH17" s="80"/>
    </row>
    <row r="18" spans="1:34">
      <c r="A18" s="26" t="s">
        <v>133</v>
      </c>
      <c r="B18" s="82"/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82"/>
      <c r="S18" s="30">
        <v>4</v>
      </c>
      <c r="T18" s="30">
        <v>4</v>
      </c>
      <c r="U18" s="30">
        <v>4</v>
      </c>
      <c r="V18" s="30">
        <v>4</v>
      </c>
      <c r="W18" s="30">
        <f>AVERAGE(2,0)</f>
        <v>1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f>AVERAGE(4,0)</f>
        <v>2</v>
      </c>
      <c r="AD18" s="30"/>
      <c r="AE18" s="30"/>
      <c r="AF18" s="30">
        <f>AVERAGE(4,0)</f>
        <v>2</v>
      </c>
      <c r="AG18" s="30"/>
      <c r="AH18" s="82"/>
    </row>
    <row r="20" spans="1:34">
      <c r="A20" s="26" t="s">
        <v>117</v>
      </c>
      <c r="B20" s="28" t="s">
        <v>475</v>
      </c>
      <c r="C20" s="84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28" t="s">
        <v>350</v>
      </c>
      <c r="S20" s="80"/>
      <c r="T20" s="28" t="s">
        <v>476</v>
      </c>
      <c r="U20" s="28" t="s">
        <v>477</v>
      </c>
      <c r="V20" s="28" t="s">
        <v>478</v>
      </c>
      <c r="W20" s="28" t="s">
        <v>477</v>
      </c>
      <c r="X20" s="28" t="s">
        <v>478</v>
      </c>
      <c r="Y20" s="28" t="s">
        <v>477</v>
      </c>
      <c r="Z20" s="80"/>
      <c r="AA20" s="28" t="s">
        <v>477</v>
      </c>
      <c r="AB20" s="28"/>
      <c r="AC20" s="28" t="s">
        <v>479</v>
      </c>
      <c r="AD20" s="28"/>
      <c r="AE20" s="28"/>
      <c r="AF20" s="28" t="s">
        <v>479</v>
      </c>
      <c r="AG20" s="28"/>
      <c r="AH20" s="80"/>
    </row>
    <row r="21" spans="1:34">
      <c r="A21" s="26" t="s">
        <v>121</v>
      </c>
      <c r="B21" s="29" t="s">
        <v>350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29" t="s">
        <v>350</v>
      </c>
      <c r="S21" s="81"/>
      <c r="T21" s="29" t="s">
        <v>350</v>
      </c>
      <c r="U21" s="29" t="s">
        <v>350</v>
      </c>
      <c r="V21" s="105" t="s">
        <v>480</v>
      </c>
      <c r="W21" s="29" t="s">
        <v>350</v>
      </c>
      <c r="X21" s="105" t="s">
        <v>480</v>
      </c>
      <c r="Y21" s="29" t="s">
        <v>350</v>
      </c>
      <c r="Z21" s="81"/>
      <c r="AA21" s="29" t="s">
        <v>350</v>
      </c>
      <c r="AB21" s="29"/>
      <c r="AC21" s="29" t="s">
        <v>481</v>
      </c>
      <c r="AD21" s="29"/>
      <c r="AE21" s="29"/>
      <c r="AF21" s="29" t="s">
        <v>481</v>
      </c>
      <c r="AG21" s="29"/>
      <c r="AH21" s="81"/>
    </row>
    <row r="22" spans="1:34">
      <c r="A22" s="140" t="s">
        <v>122</v>
      </c>
      <c r="B22" s="167">
        <v>97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167">
        <v>97</v>
      </c>
      <c r="S22" s="81"/>
      <c r="T22" s="167">
        <v>97</v>
      </c>
      <c r="U22" s="167">
        <v>97</v>
      </c>
      <c r="V22" s="167">
        <v>134</v>
      </c>
      <c r="W22" s="167">
        <v>97</v>
      </c>
      <c r="X22" s="167">
        <v>134</v>
      </c>
      <c r="Y22" s="167">
        <v>97</v>
      </c>
      <c r="Z22" s="174"/>
      <c r="AA22" s="167">
        <v>97</v>
      </c>
      <c r="AB22" s="167"/>
      <c r="AC22" s="167">
        <v>137</v>
      </c>
      <c r="AD22" s="167"/>
      <c r="AE22" s="167"/>
      <c r="AF22" s="167">
        <v>137</v>
      </c>
      <c r="AG22" s="167"/>
      <c r="AH22" s="81"/>
    </row>
    <row r="23" spans="1:34">
      <c r="A23" s="26" t="s">
        <v>123</v>
      </c>
      <c r="B23" s="28" t="s">
        <v>124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28" t="s">
        <v>124</v>
      </c>
      <c r="S23" s="80"/>
      <c r="T23" s="28" t="s">
        <v>124</v>
      </c>
      <c r="U23" s="28" t="s">
        <v>124</v>
      </c>
      <c r="V23" s="28" t="s">
        <v>215</v>
      </c>
      <c r="W23" s="28" t="s">
        <v>124</v>
      </c>
      <c r="X23" s="28" t="s">
        <v>215</v>
      </c>
      <c r="Y23" s="28" t="s">
        <v>124</v>
      </c>
      <c r="Z23" s="80"/>
      <c r="AA23" s="28" t="s">
        <v>124</v>
      </c>
      <c r="AB23" s="28"/>
      <c r="AC23" s="28" t="s">
        <v>124</v>
      </c>
      <c r="AD23" s="28"/>
      <c r="AE23" s="29"/>
      <c r="AF23" s="28" t="s">
        <v>124</v>
      </c>
      <c r="AG23" s="28"/>
      <c r="AH23" s="80"/>
    </row>
    <row r="24" spans="1:34">
      <c r="A24" s="26" t="s">
        <v>125</v>
      </c>
      <c r="B24" s="28" t="s">
        <v>124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28" t="s">
        <v>124</v>
      </c>
      <c r="S24" s="80"/>
      <c r="T24" s="28" t="s">
        <v>124</v>
      </c>
      <c r="U24" s="28" t="s">
        <v>124</v>
      </c>
      <c r="V24" s="28" t="s">
        <v>215</v>
      </c>
      <c r="W24" s="28" t="s">
        <v>124</v>
      </c>
      <c r="X24" s="28" t="s">
        <v>215</v>
      </c>
      <c r="Y24" s="28" t="s">
        <v>124</v>
      </c>
      <c r="Z24" s="80"/>
      <c r="AA24" s="28" t="s">
        <v>124</v>
      </c>
      <c r="AB24" s="28"/>
      <c r="AC24" s="28" t="s">
        <v>124</v>
      </c>
      <c r="AD24" s="28"/>
      <c r="AE24" s="28"/>
      <c r="AF24" s="28" t="s">
        <v>124</v>
      </c>
      <c r="AG24" s="28"/>
      <c r="AH24" s="80"/>
    </row>
    <row r="25" spans="1:34">
      <c r="A25" s="26" t="s">
        <v>126</v>
      </c>
      <c r="B25" s="28" t="s">
        <v>127</v>
      </c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28" t="s">
        <v>127</v>
      </c>
      <c r="S25" s="80"/>
      <c r="T25" s="28" t="s">
        <v>127</v>
      </c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80"/>
      <c r="AA25" s="28" t="s">
        <v>127</v>
      </c>
      <c r="AB25" s="28"/>
      <c r="AC25" s="28" t="s">
        <v>127</v>
      </c>
      <c r="AD25" s="28"/>
      <c r="AE25" s="28"/>
      <c r="AF25" s="28" t="s">
        <v>127</v>
      </c>
      <c r="AG25" s="28"/>
      <c r="AH25" s="80"/>
    </row>
    <row r="26" spans="1:34">
      <c r="A26" s="26" t="s">
        <v>128</v>
      </c>
      <c r="B26" s="28" t="s">
        <v>127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28" t="s">
        <v>127</v>
      </c>
      <c r="S26" s="80"/>
      <c r="T26" s="28" t="s">
        <v>127</v>
      </c>
      <c r="U26" s="28" t="s">
        <v>127</v>
      </c>
      <c r="V26" s="28" t="s">
        <v>127</v>
      </c>
      <c r="W26" s="28" t="s">
        <v>127</v>
      </c>
      <c r="X26" s="28" t="s">
        <v>127</v>
      </c>
      <c r="Y26" s="28" t="s">
        <v>127</v>
      </c>
      <c r="Z26" s="80"/>
      <c r="AA26" s="28" t="s">
        <v>127</v>
      </c>
      <c r="AB26" s="28"/>
      <c r="AC26" s="28" t="s">
        <v>127</v>
      </c>
      <c r="AD26" s="28"/>
      <c r="AE26" s="28"/>
      <c r="AF26" s="28" t="s">
        <v>127</v>
      </c>
      <c r="AG26" s="28"/>
      <c r="AH26" s="80"/>
    </row>
    <row r="27" spans="1:34">
      <c r="A27" s="26" t="s">
        <v>129</v>
      </c>
      <c r="B27" s="28" t="s">
        <v>352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28" t="s">
        <v>352</v>
      </c>
      <c r="S27" s="80"/>
      <c r="T27" s="28" t="s">
        <v>352</v>
      </c>
      <c r="U27" s="28" t="s">
        <v>352</v>
      </c>
      <c r="V27" s="28" t="s">
        <v>352</v>
      </c>
      <c r="W27" s="28" t="s">
        <v>352</v>
      </c>
      <c r="X27" s="28" t="s">
        <v>352</v>
      </c>
      <c r="Y27" s="28" t="s">
        <v>352</v>
      </c>
      <c r="Z27" s="80"/>
      <c r="AA27" s="28" t="s">
        <v>352</v>
      </c>
      <c r="AB27" s="28"/>
      <c r="AC27" s="173" t="s">
        <v>482</v>
      </c>
      <c r="AD27" s="28"/>
      <c r="AE27" s="28"/>
      <c r="AF27" s="173" t="s">
        <v>482</v>
      </c>
      <c r="AG27" s="28"/>
      <c r="AH27" s="80"/>
    </row>
    <row r="28" spans="1:34">
      <c r="A28" s="26" t="s">
        <v>130</v>
      </c>
      <c r="B28" s="30">
        <v>0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30">
        <v>0</v>
      </c>
      <c r="S28" s="82"/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82"/>
      <c r="AA28" s="30">
        <v>0</v>
      </c>
      <c r="AB28" s="30"/>
      <c r="AC28" s="30">
        <f>AVERAGE(0,2.5)</f>
        <v>1.25</v>
      </c>
      <c r="AD28" s="30"/>
      <c r="AE28" s="30"/>
      <c r="AF28" s="30">
        <f>AVERAGE(0,2.5)</f>
        <v>1.25</v>
      </c>
      <c r="AG28" s="30"/>
      <c r="AH28" s="82"/>
    </row>
    <row r="29" spans="1:34">
      <c r="A29" s="26" t="s">
        <v>131</v>
      </c>
      <c r="B29" s="28" t="s">
        <v>280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28" t="s">
        <v>280</v>
      </c>
      <c r="S29" s="80"/>
      <c r="T29" s="28" t="s">
        <v>280</v>
      </c>
      <c r="U29" s="28" t="s">
        <v>280</v>
      </c>
      <c r="V29" s="103" t="s">
        <v>483</v>
      </c>
      <c r="W29" s="28" t="s">
        <v>280</v>
      </c>
      <c r="X29" s="103" t="s">
        <v>483</v>
      </c>
      <c r="Y29" s="28" t="s">
        <v>280</v>
      </c>
      <c r="Z29" s="80"/>
      <c r="AA29" s="28" t="s">
        <v>280</v>
      </c>
      <c r="AB29" s="28"/>
      <c r="AC29" s="28" t="s">
        <v>484</v>
      </c>
      <c r="AD29" s="28"/>
      <c r="AE29" s="28"/>
      <c r="AF29" s="28" t="s">
        <v>484</v>
      </c>
      <c r="AG29" s="28"/>
      <c r="AH29" s="80"/>
    </row>
    <row r="30" spans="1:34">
      <c r="A30" s="26" t="s">
        <v>133</v>
      </c>
      <c r="B30" s="30">
        <v>0.5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30">
        <v>0.5</v>
      </c>
      <c r="S30" s="82"/>
      <c r="T30" s="30">
        <v>0.5</v>
      </c>
      <c r="U30" s="30">
        <v>0.5</v>
      </c>
      <c r="V30" s="30">
        <f>AVERAGE(1/3,0)</f>
        <v>0.16666666666666666</v>
      </c>
      <c r="W30" s="30">
        <v>0.5</v>
      </c>
      <c r="X30" s="30">
        <f>AVERAGE(1/3,0)</f>
        <v>0.16666666666666666</v>
      </c>
      <c r="Y30" s="30">
        <v>0.5</v>
      </c>
      <c r="Z30" s="82"/>
      <c r="AA30" s="30">
        <v>0.5</v>
      </c>
      <c r="AB30" s="30"/>
      <c r="AC30" s="30">
        <f>AVERAGE(0.5,2.5)</f>
        <v>1.5</v>
      </c>
      <c r="AD30" s="30"/>
      <c r="AE30" s="30"/>
      <c r="AF30" s="30">
        <f>AVERAGE(0.5,2.5)</f>
        <v>1.5</v>
      </c>
      <c r="AG30" s="30"/>
      <c r="AH30" s="82"/>
    </row>
    <row r="32" spans="1:34">
      <c r="A32" s="31" t="s">
        <v>134</v>
      </c>
    </row>
    <row r="33" spans="1:2">
      <c r="A33" s="223" t="s">
        <v>485</v>
      </c>
      <c r="B33" s="56" t="s">
        <v>246</v>
      </c>
    </row>
    <row r="34" spans="1:2">
      <c r="A34" s="223"/>
      <c r="B34" s="56" t="s">
        <v>486</v>
      </c>
    </row>
    <row r="35" spans="1:2">
      <c r="A35" s="79" t="s">
        <v>487</v>
      </c>
    </row>
  </sheetData>
  <mergeCells count="6">
    <mergeCell ref="F3:O3"/>
    <mergeCell ref="F4:O5"/>
    <mergeCell ref="A33:A34"/>
    <mergeCell ref="B3:D3"/>
    <mergeCell ref="B4:D4"/>
    <mergeCell ref="B5:D5"/>
  </mergeCells>
  <hyperlinks>
    <hyperlink ref="A35" r:id="rId1" xr:uid="{59C264C5-60CF-4967-9E26-04C64B5BE583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E865-7805-43A6-9D42-764DEC3F64D1}">
  <dimension ref="A1:AH46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76</v>
      </c>
    </row>
    <row r="3" spans="1:34" ht="17.45">
      <c r="A3" s="25" t="s">
        <v>77</v>
      </c>
      <c r="B3" s="203" t="s">
        <v>488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467</v>
      </c>
      <c r="C4" s="203"/>
      <c r="D4" s="203"/>
      <c r="F4" s="204" t="s">
        <v>489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226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</row>
    <row r="8" spans="1:34">
      <c r="A8" s="26" t="s">
        <v>117</v>
      </c>
      <c r="B8" s="80"/>
      <c r="C8" s="28" t="s">
        <v>250</v>
      </c>
      <c r="D8" s="28" t="s">
        <v>250</v>
      </c>
      <c r="E8" s="28" t="s">
        <v>250</v>
      </c>
      <c r="F8" s="28" t="s">
        <v>250</v>
      </c>
      <c r="G8" s="28" t="s">
        <v>250</v>
      </c>
      <c r="H8" s="28" t="s">
        <v>250</v>
      </c>
      <c r="I8" s="28" t="s">
        <v>250</v>
      </c>
      <c r="J8" s="28"/>
      <c r="K8" s="86" t="s">
        <v>250</v>
      </c>
      <c r="L8" s="28" t="s">
        <v>250</v>
      </c>
      <c r="M8" s="28" t="s">
        <v>250</v>
      </c>
      <c r="N8" s="28" t="s">
        <v>250</v>
      </c>
      <c r="O8" s="28" t="s">
        <v>250</v>
      </c>
      <c r="P8" s="28" t="s">
        <v>250</v>
      </c>
      <c r="Q8" s="28" t="s">
        <v>250</v>
      </c>
      <c r="R8" s="80"/>
      <c r="S8" s="80"/>
      <c r="T8" s="28" t="s">
        <v>250</v>
      </c>
      <c r="U8" s="28" t="s">
        <v>250</v>
      </c>
      <c r="V8" s="28" t="s">
        <v>250</v>
      </c>
      <c r="W8" s="28" t="s">
        <v>349</v>
      </c>
      <c r="X8" s="28" t="s">
        <v>250</v>
      </c>
      <c r="Y8" s="28" t="s">
        <v>250</v>
      </c>
      <c r="Z8" s="28" t="s">
        <v>469</v>
      </c>
      <c r="AA8" s="28" t="s">
        <v>250</v>
      </c>
      <c r="AB8" s="28"/>
      <c r="AC8" s="28" t="s">
        <v>470</v>
      </c>
      <c r="AD8" s="86"/>
      <c r="AE8" s="28"/>
      <c r="AF8" s="28" t="s">
        <v>470</v>
      </c>
      <c r="AG8" s="28"/>
      <c r="AH8" s="84"/>
    </row>
    <row r="9" spans="1:34">
      <c r="A9" s="26" t="s">
        <v>121</v>
      </c>
      <c r="B9" s="81"/>
      <c r="C9" s="29" t="s">
        <v>251</v>
      </c>
      <c r="D9" s="29" t="s">
        <v>251</v>
      </c>
      <c r="E9" s="29" t="s">
        <v>251</v>
      </c>
      <c r="F9" s="29" t="s">
        <v>251</v>
      </c>
      <c r="G9" s="29" t="s">
        <v>251</v>
      </c>
      <c r="H9" s="29" t="s">
        <v>251</v>
      </c>
      <c r="I9" s="29" t="s">
        <v>251</v>
      </c>
      <c r="J9" s="29"/>
      <c r="K9" s="29" t="s">
        <v>251</v>
      </c>
      <c r="L9" s="29" t="s">
        <v>251</v>
      </c>
      <c r="M9" s="29" t="s">
        <v>251</v>
      </c>
      <c r="N9" s="29" t="s">
        <v>251</v>
      </c>
      <c r="O9" s="28" t="s">
        <v>473</v>
      </c>
      <c r="P9" s="29" t="s">
        <v>251</v>
      </c>
      <c r="Q9" s="29" t="s">
        <v>251</v>
      </c>
      <c r="R9" s="81"/>
      <c r="S9" s="81"/>
      <c r="T9" s="29" t="s">
        <v>251</v>
      </c>
      <c r="U9" s="29" t="s">
        <v>251</v>
      </c>
      <c r="V9" s="29" t="s">
        <v>251</v>
      </c>
      <c r="W9" s="29" t="s">
        <v>471</v>
      </c>
      <c r="X9" s="29" t="s">
        <v>251</v>
      </c>
      <c r="Y9" s="29" t="s">
        <v>251</v>
      </c>
      <c r="Z9" s="29" t="s">
        <v>472</v>
      </c>
      <c r="AA9" s="29" t="s">
        <v>251</v>
      </c>
      <c r="AB9" s="29"/>
      <c r="AC9" s="28" t="s">
        <v>473</v>
      </c>
      <c r="AD9" s="91"/>
      <c r="AE9" s="28"/>
      <c r="AF9" s="28" t="s">
        <v>473</v>
      </c>
      <c r="AG9" s="28"/>
      <c r="AH9" s="172"/>
    </row>
    <row r="10" spans="1:34">
      <c r="A10" s="140" t="s">
        <v>122</v>
      </c>
      <c r="B10" s="81"/>
      <c r="C10" s="167">
        <v>20</v>
      </c>
      <c r="D10" s="167">
        <v>20</v>
      </c>
      <c r="E10" s="167">
        <v>20</v>
      </c>
      <c r="F10" s="167">
        <v>20</v>
      </c>
      <c r="G10" s="167">
        <v>20</v>
      </c>
      <c r="H10" s="167">
        <v>20</v>
      </c>
      <c r="I10" s="167">
        <v>20</v>
      </c>
      <c r="J10" s="167"/>
      <c r="K10" s="167">
        <v>20</v>
      </c>
      <c r="L10" s="167">
        <v>20</v>
      </c>
      <c r="M10" s="167">
        <v>20</v>
      </c>
      <c r="N10" s="167">
        <v>20</v>
      </c>
      <c r="O10" s="167">
        <v>136</v>
      </c>
      <c r="P10" s="167">
        <v>20</v>
      </c>
      <c r="Q10" s="167">
        <v>20</v>
      </c>
      <c r="R10" s="81"/>
      <c r="S10" s="81"/>
      <c r="T10" s="167">
        <v>20</v>
      </c>
      <c r="U10" s="167">
        <v>20</v>
      </c>
      <c r="V10" s="167">
        <v>20</v>
      </c>
      <c r="W10" s="167">
        <v>138</v>
      </c>
      <c r="X10" s="167">
        <v>20</v>
      </c>
      <c r="Y10" s="167">
        <v>20</v>
      </c>
      <c r="Z10" s="167">
        <v>16</v>
      </c>
      <c r="AA10" s="167">
        <v>20</v>
      </c>
      <c r="AB10" s="167"/>
      <c r="AC10" s="167">
        <v>136</v>
      </c>
      <c r="AD10" s="171"/>
      <c r="AE10" s="167"/>
      <c r="AF10" s="167">
        <v>136</v>
      </c>
      <c r="AG10" s="167"/>
      <c r="AH10" s="172"/>
    </row>
    <row r="11" spans="1:34">
      <c r="A11" s="26" t="s">
        <v>123</v>
      </c>
      <c r="B11" s="80"/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9" t="s">
        <v>124</v>
      </c>
      <c r="O11" s="28" t="s">
        <v>215</v>
      </c>
      <c r="P11" s="29" t="s">
        <v>124</v>
      </c>
      <c r="Q11" s="29" t="s">
        <v>124</v>
      </c>
      <c r="R11" s="80"/>
      <c r="S11" s="80"/>
      <c r="T11" s="29" t="s">
        <v>124</v>
      </c>
      <c r="U11" s="29" t="s">
        <v>124</v>
      </c>
      <c r="V11" s="29" t="s">
        <v>124</v>
      </c>
      <c r="W11" s="28" t="s">
        <v>215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8"/>
      <c r="AC11" s="28" t="s">
        <v>215</v>
      </c>
      <c r="AD11" s="86"/>
      <c r="AE11" s="28"/>
      <c r="AF11" s="28" t="s">
        <v>215</v>
      </c>
      <c r="AG11" s="28"/>
      <c r="AH11" s="84"/>
    </row>
    <row r="12" spans="1:34">
      <c r="A12" s="26" t="s">
        <v>125</v>
      </c>
      <c r="B12" s="80"/>
      <c r="C12" s="29" t="s">
        <v>124</v>
      </c>
      <c r="D12" s="29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8"/>
      <c r="K12" s="29" t="s">
        <v>124</v>
      </c>
      <c r="L12" s="29" t="s">
        <v>124</v>
      </c>
      <c r="M12" s="29" t="s">
        <v>124</v>
      </c>
      <c r="N12" s="29" t="s">
        <v>124</v>
      </c>
      <c r="O12" s="28" t="s">
        <v>215</v>
      </c>
      <c r="P12" s="29" t="s">
        <v>124</v>
      </c>
      <c r="Q12" s="29" t="s">
        <v>124</v>
      </c>
      <c r="R12" s="80"/>
      <c r="S12" s="80"/>
      <c r="T12" s="29" t="s">
        <v>124</v>
      </c>
      <c r="U12" s="29" t="s">
        <v>124</v>
      </c>
      <c r="V12" s="29" t="s">
        <v>124</v>
      </c>
      <c r="W12" s="28" t="s">
        <v>215</v>
      </c>
      <c r="X12" s="29" t="s">
        <v>124</v>
      </c>
      <c r="Y12" s="29" t="s">
        <v>124</v>
      </c>
      <c r="Z12" s="29" t="s">
        <v>124</v>
      </c>
      <c r="AA12" s="29" t="s">
        <v>124</v>
      </c>
      <c r="AB12" s="28"/>
      <c r="AC12" s="28" t="s">
        <v>215</v>
      </c>
      <c r="AD12" s="86"/>
      <c r="AE12" s="28"/>
      <c r="AF12" s="28" t="s">
        <v>215</v>
      </c>
      <c r="AG12" s="28"/>
      <c r="AH12" s="84"/>
    </row>
    <row r="13" spans="1:34">
      <c r="A13" s="26" t="s">
        <v>126</v>
      </c>
      <c r="B13" s="80"/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80"/>
      <c r="S13" s="80"/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 t="s">
        <v>127</v>
      </c>
      <c r="AD13" s="86"/>
      <c r="AE13" s="28"/>
      <c r="AF13" s="28" t="s">
        <v>127</v>
      </c>
      <c r="AG13" s="28"/>
      <c r="AH13" s="84"/>
    </row>
    <row r="14" spans="1:34">
      <c r="A14" s="26" t="s">
        <v>128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80"/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86"/>
      <c r="AE14" s="28"/>
      <c r="AF14" s="28" t="s">
        <v>127</v>
      </c>
      <c r="AG14" s="28"/>
      <c r="AH14" s="84"/>
    </row>
    <row r="15" spans="1:34">
      <c r="A15" s="26" t="s">
        <v>129</v>
      </c>
      <c r="B15" s="80"/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/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80"/>
      <c r="S15" s="80"/>
      <c r="T15" s="28" t="s">
        <v>216</v>
      </c>
      <c r="U15" s="28" t="s">
        <v>216</v>
      </c>
      <c r="V15" s="28" t="s">
        <v>216</v>
      </c>
      <c r="W15" s="28" t="s">
        <v>118</v>
      </c>
      <c r="X15" s="28" t="s">
        <v>216</v>
      </c>
      <c r="Y15" s="28" t="s">
        <v>216</v>
      </c>
      <c r="Z15" s="28" t="s">
        <v>352</v>
      </c>
      <c r="AA15" s="28" t="s">
        <v>216</v>
      </c>
      <c r="AB15" s="28"/>
      <c r="AC15" s="28" t="s">
        <v>216</v>
      </c>
      <c r="AD15" s="28"/>
      <c r="AE15" s="29"/>
      <c r="AF15" s="28" t="s">
        <v>216</v>
      </c>
      <c r="AG15" s="29"/>
      <c r="AH15" s="80"/>
    </row>
    <row r="16" spans="1:34">
      <c r="A16" s="26" t="s">
        <v>130</v>
      </c>
      <c r="B16" s="82"/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/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82"/>
      <c r="S16" s="82"/>
      <c r="T16" s="30">
        <v>-3</v>
      </c>
      <c r="U16" s="30">
        <v>-3</v>
      </c>
      <c r="V16" s="30">
        <v>-3</v>
      </c>
      <c r="W16" s="30">
        <v>2.5</v>
      </c>
      <c r="X16" s="30">
        <v>-3</v>
      </c>
      <c r="Y16" s="30">
        <v>-3</v>
      </c>
      <c r="Z16" s="30">
        <v>-1.5</v>
      </c>
      <c r="AA16" s="30">
        <v>-3</v>
      </c>
      <c r="AB16" s="30"/>
      <c r="AC16" s="30">
        <v>-3</v>
      </c>
      <c r="AD16" s="30"/>
      <c r="AE16" s="30"/>
      <c r="AF16" s="30">
        <v>-3</v>
      </c>
      <c r="AG16" s="30"/>
      <c r="AH16" s="82"/>
    </row>
    <row r="17" spans="1:34">
      <c r="A17" s="26" t="s">
        <v>131</v>
      </c>
      <c r="B17" s="80"/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/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474</v>
      </c>
      <c r="P17" s="28" t="s">
        <v>132</v>
      </c>
      <c r="Q17" s="28" t="s">
        <v>132</v>
      </c>
      <c r="R17" s="80"/>
      <c r="S17" s="80"/>
      <c r="T17" s="28" t="s">
        <v>132</v>
      </c>
      <c r="U17" s="28" t="s">
        <v>132</v>
      </c>
      <c r="V17" s="28" t="s">
        <v>132</v>
      </c>
      <c r="W17" s="28" t="s">
        <v>344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 t="s">
        <v>474</v>
      </c>
      <c r="AD17" s="28"/>
      <c r="AE17" s="28"/>
      <c r="AF17" s="28" t="s">
        <v>474</v>
      </c>
      <c r="AG17" s="28"/>
      <c r="AH17" s="80"/>
    </row>
    <row r="18" spans="1:34">
      <c r="A18" s="26" t="s">
        <v>133</v>
      </c>
      <c r="B18" s="82"/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/>
      <c r="K18" s="30">
        <v>4</v>
      </c>
      <c r="L18" s="30">
        <v>4</v>
      </c>
      <c r="M18" s="30">
        <v>4</v>
      </c>
      <c r="N18" s="30">
        <v>4</v>
      </c>
      <c r="O18" s="30">
        <f>AVERAGE(4,0)</f>
        <v>2</v>
      </c>
      <c r="P18" s="30">
        <v>4</v>
      </c>
      <c r="Q18" s="30">
        <v>4</v>
      </c>
      <c r="R18" s="82"/>
      <c r="S18" s="82"/>
      <c r="T18" s="30">
        <v>4</v>
      </c>
      <c r="U18" s="30">
        <v>4</v>
      </c>
      <c r="V18" s="30">
        <v>4</v>
      </c>
      <c r="W18" s="30">
        <f>AVERAGE(2,0)</f>
        <v>1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f>AVERAGE(4,0)</f>
        <v>2</v>
      </c>
      <c r="AD18" s="30"/>
      <c r="AE18" s="30"/>
      <c r="AF18" s="30">
        <f>AVERAGE(4,0)</f>
        <v>2</v>
      </c>
      <c r="AG18" s="30"/>
      <c r="AH18" s="82"/>
    </row>
    <row r="20" spans="1:34">
      <c r="A20" s="26" t="s">
        <v>117</v>
      </c>
      <c r="B20" s="28" t="s">
        <v>475</v>
      </c>
      <c r="C20" s="83" t="s">
        <v>477</v>
      </c>
      <c r="D20" s="28" t="s">
        <v>477</v>
      </c>
      <c r="E20" s="28" t="s">
        <v>478</v>
      </c>
      <c r="F20" s="28" t="s">
        <v>477</v>
      </c>
      <c r="G20" s="28" t="s">
        <v>477</v>
      </c>
      <c r="H20" s="28" t="s">
        <v>477</v>
      </c>
      <c r="I20" s="86" t="s">
        <v>477</v>
      </c>
      <c r="J20" s="28"/>
      <c r="K20" s="28" t="s">
        <v>477</v>
      </c>
      <c r="L20" s="28" t="s">
        <v>477</v>
      </c>
      <c r="M20" s="28" t="s">
        <v>477</v>
      </c>
      <c r="N20" s="80"/>
      <c r="O20" s="28" t="s">
        <v>478</v>
      </c>
      <c r="P20" s="80"/>
      <c r="Q20" s="80"/>
      <c r="R20" s="28" t="s">
        <v>350</v>
      </c>
      <c r="S20" s="28" t="s">
        <v>476</v>
      </c>
      <c r="T20" s="28" t="s">
        <v>476</v>
      </c>
      <c r="U20" s="28" t="s">
        <v>477</v>
      </c>
      <c r="V20" s="28" t="s">
        <v>478</v>
      </c>
      <c r="W20" s="28" t="s">
        <v>477</v>
      </c>
      <c r="X20" s="28" t="s">
        <v>478</v>
      </c>
      <c r="Y20" s="28" t="s">
        <v>477</v>
      </c>
      <c r="Z20" s="80"/>
      <c r="AA20" s="28" t="s">
        <v>477</v>
      </c>
      <c r="AB20" s="28"/>
      <c r="AC20" s="28" t="s">
        <v>479</v>
      </c>
      <c r="AD20" s="28"/>
      <c r="AE20" s="28"/>
      <c r="AF20" s="28" t="s">
        <v>479</v>
      </c>
      <c r="AG20" s="28"/>
      <c r="AH20" s="80"/>
    </row>
    <row r="21" spans="1:34">
      <c r="A21" s="26" t="s">
        <v>121</v>
      </c>
      <c r="B21" s="29" t="s">
        <v>350</v>
      </c>
      <c r="C21" s="29" t="s">
        <v>350</v>
      </c>
      <c r="D21" s="29" t="s">
        <v>350</v>
      </c>
      <c r="E21" s="105" t="s">
        <v>480</v>
      </c>
      <c r="F21" s="29" t="s">
        <v>350</v>
      </c>
      <c r="G21" s="29" t="s">
        <v>350</v>
      </c>
      <c r="H21" s="29" t="s">
        <v>350</v>
      </c>
      <c r="I21" s="29" t="s">
        <v>350</v>
      </c>
      <c r="J21" s="29"/>
      <c r="K21" s="29" t="s">
        <v>350</v>
      </c>
      <c r="L21" s="29" t="s">
        <v>350</v>
      </c>
      <c r="M21" s="29" t="s">
        <v>350</v>
      </c>
      <c r="N21" s="81"/>
      <c r="O21" s="105" t="s">
        <v>480</v>
      </c>
      <c r="P21" s="81"/>
      <c r="Q21" s="81"/>
      <c r="R21" s="29" t="s">
        <v>350</v>
      </c>
      <c r="S21" s="29" t="s">
        <v>490</v>
      </c>
      <c r="T21" s="29" t="s">
        <v>350</v>
      </c>
      <c r="U21" s="29" t="s">
        <v>350</v>
      </c>
      <c r="V21" s="105" t="s">
        <v>480</v>
      </c>
      <c r="W21" s="29" t="s">
        <v>350</v>
      </c>
      <c r="X21" s="105" t="s">
        <v>480</v>
      </c>
      <c r="Y21" s="29" t="s">
        <v>350</v>
      </c>
      <c r="Z21" s="81"/>
      <c r="AA21" s="29" t="s">
        <v>350</v>
      </c>
      <c r="AB21" s="29"/>
      <c r="AC21" s="29" t="s">
        <v>481</v>
      </c>
      <c r="AD21" s="29"/>
      <c r="AE21" s="29"/>
      <c r="AF21" s="29" t="s">
        <v>481</v>
      </c>
      <c r="AG21" s="29"/>
      <c r="AH21" s="81"/>
    </row>
    <row r="22" spans="1:34">
      <c r="A22" s="140" t="s">
        <v>122</v>
      </c>
      <c r="B22" s="167">
        <v>97</v>
      </c>
      <c r="C22" s="167">
        <v>97</v>
      </c>
      <c r="D22" s="167">
        <v>97</v>
      </c>
      <c r="E22" s="167">
        <v>134</v>
      </c>
      <c r="F22" s="167">
        <v>97</v>
      </c>
      <c r="G22" s="167">
        <v>97</v>
      </c>
      <c r="H22" s="167">
        <v>97</v>
      </c>
      <c r="I22" s="167">
        <v>97</v>
      </c>
      <c r="J22" s="167"/>
      <c r="K22" s="167">
        <v>97</v>
      </c>
      <c r="L22" s="167">
        <v>97</v>
      </c>
      <c r="M22" s="167">
        <v>97</v>
      </c>
      <c r="N22" s="174"/>
      <c r="O22" s="167">
        <v>134</v>
      </c>
      <c r="P22" s="81"/>
      <c r="Q22" s="81"/>
      <c r="R22" s="167">
        <v>97</v>
      </c>
      <c r="S22" s="167">
        <v>135</v>
      </c>
      <c r="T22" s="167">
        <v>97</v>
      </c>
      <c r="U22" s="167">
        <v>97</v>
      </c>
      <c r="V22" s="167">
        <v>134</v>
      </c>
      <c r="W22" s="167">
        <v>97</v>
      </c>
      <c r="X22" s="167">
        <v>134</v>
      </c>
      <c r="Y22" s="167">
        <v>97</v>
      </c>
      <c r="Z22" s="174"/>
      <c r="AA22" s="167">
        <v>97</v>
      </c>
      <c r="AB22" s="167"/>
      <c r="AC22" s="167">
        <v>137</v>
      </c>
      <c r="AD22" s="167"/>
      <c r="AE22" s="167"/>
      <c r="AF22" s="167">
        <v>137</v>
      </c>
      <c r="AG22" s="167"/>
      <c r="AH22" s="81"/>
    </row>
    <row r="23" spans="1:34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215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/>
      <c r="K23" s="28" t="s">
        <v>124</v>
      </c>
      <c r="L23" s="28" t="s">
        <v>124</v>
      </c>
      <c r="M23" s="28" t="s">
        <v>124</v>
      </c>
      <c r="N23" s="80"/>
      <c r="O23" s="28" t="s">
        <v>215</v>
      </c>
      <c r="P23" s="80"/>
      <c r="Q23" s="80"/>
      <c r="R23" s="28" t="s">
        <v>124</v>
      </c>
      <c r="S23" s="28" t="s">
        <v>124</v>
      </c>
      <c r="T23" s="28" t="s">
        <v>124</v>
      </c>
      <c r="U23" s="28" t="s">
        <v>124</v>
      </c>
      <c r="V23" s="28" t="s">
        <v>215</v>
      </c>
      <c r="W23" s="28" t="s">
        <v>124</v>
      </c>
      <c r="X23" s="28" t="s">
        <v>215</v>
      </c>
      <c r="Y23" s="28" t="s">
        <v>124</v>
      </c>
      <c r="Z23" s="80"/>
      <c r="AA23" s="28" t="s">
        <v>124</v>
      </c>
      <c r="AB23" s="28"/>
      <c r="AC23" s="28" t="s">
        <v>124</v>
      </c>
      <c r="AD23" s="28"/>
      <c r="AE23" s="29"/>
      <c r="AF23" s="28" t="s">
        <v>124</v>
      </c>
      <c r="AG23" s="28"/>
      <c r="AH23" s="80"/>
    </row>
    <row r="24" spans="1:34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215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/>
      <c r="K24" s="28" t="s">
        <v>124</v>
      </c>
      <c r="L24" s="28" t="s">
        <v>124</v>
      </c>
      <c r="M24" s="28" t="s">
        <v>124</v>
      </c>
      <c r="N24" s="80"/>
      <c r="O24" s="28" t="s">
        <v>215</v>
      </c>
      <c r="P24" s="80"/>
      <c r="Q24" s="80"/>
      <c r="R24" s="28" t="s">
        <v>124</v>
      </c>
      <c r="S24" s="28" t="s">
        <v>124</v>
      </c>
      <c r="T24" s="28" t="s">
        <v>124</v>
      </c>
      <c r="U24" s="28" t="s">
        <v>124</v>
      </c>
      <c r="V24" s="28" t="s">
        <v>215</v>
      </c>
      <c r="W24" s="28" t="s">
        <v>124</v>
      </c>
      <c r="X24" s="28" t="s">
        <v>215</v>
      </c>
      <c r="Y24" s="28" t="s">
        <v>124</v>
      </c>
      <c r="Z24" s="80"/>
      <c r="AA24" s="28" t="s">
        <v>124</v>
      </c>
      <c r="AB24" s="28"/>
      <c r="AC24" s="28" t="s">
        <v>124</v>
      </c>
      <c r="AD24" s="28"/>
      <c r="AE24" s="28"/>
      <c r="AF24" s="28" t="s">
        <v>124</v>
      </c>
      <c r="AG24" s="28"/>
      <c r="AH24" s="80"/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/>
      <c r="K25" s="28" t="s">
        <v>127</v>
      </c>
      <c r="L25" s="28" t="s">
        <v>127</v>
      </c>
      <c r="M25" s="28" t="s">
        <v>127</v>
      </c>
      <c r="N25" s="80"/>
      <c r="O25" s="28" t="s">
        <v>127</v>
      </c>
      <c r="P25" s="80"/>
      <c r="Q25" s="80"/>
      <c r="R25" s="28" t="s">
        <v>127</v>
      </c>
      <c r="S25" s="28" t="s">
        <v>127</v>
      </c>
      <c r="T25" s="28" t="s">
        <v>127</v>
      </c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80"/>
      <c r="AA25" s="28" t="s">
        <v>127</v>
      </c>
      <c r="AB25" s="28"/>
      <c r="AC25" s="28" t="s">
        <v>127</v>
      </c>
      <c r="AD25" s="28"/>
      <c r="AE25" s="28"/>
      <c r="AF25" s="28" t="s">
        <v>127</v>
      </c>
      <c r="AG25" s="28"/>
      <c r="AH25" s="80"/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 t="s">
        <v>127</v>
      </c>
      <c r="G26" s="28" t="s">
        <v>127</v>
      </c>
      <c r="H26" s="28" t="s">
        <v>127</v>
      </c>
      <c r="I26" s="28" t="s">
        <v>127</v>
      </c>
      <c r="J26" s="28"/>
      <c r="K26" s="28" t="s">
        <v>127</v>
      </c>
      <c r="L26" s="28" t="s">
        <v>127</v>
      </c>
      <c r="M26" s="28" t="s">
        <v>127</v>
      </c>
      <c r="N26" s="80"/>
      <c r="O26" s="28" t="s">
        <v>127</v>
      </c>
      <c r="P26" s="80"/>
      <c r="Q26" s="80"/>
      <c r="R26" s="28" t="s">
        <v>127</v>
      </c>
      <c r="S26" s="28" t="s">
        <v>127</v>
      </c>
      <c r="T26" s="28" t="s">
        <v>127</v>
      </c>
      <c r="U26" s="28" t="s">
        <v>127</v>
      </c>
      <c r="V26" s="28" t="s">
        <v>127</v>
      </c>
      <c r="W26" s="28" t="s">
        <v>127</v>
      </c>
      <c r="X26" s="28" t="s">
        <v>127</v>
      </c>
      <c r="Y26" s="28" t="s">
        <v>127</v>
      </c>
      <c r="Z26" s="80"/>
      <c r="AA26" s="28" t="s">
        <v>127</v>
      </c>
      <c r="AB26" s="28"/>
      <c r="AC26" s="28" t="s">
        <v>127</v>
      </c>
      <c r="AD26" s="28"/>
      <c r="AE26" s="28"/>
      <c r="AF26" s="28" t="s">
        <v>127</v>
      </c>
      <c r="AG26" s="28"/>
      <c r="AH26" s="80"/>
    </row>
    <row r="27" spans="1:34">
      <c r="A27" s="26" t="s">
        <v>129</v>
      </c>
      <c r="B27" s="28" t="s">
        <v>352</v>
      </c>
      <c r="C27" s="28" t="s">
        <v>352</v>
      </c>
      <c r="D27" s="28" t="s">
        <v>352</v>
      </c>
      <c r="E27" s="28" t="s">
        <v>352</v>
      </c>
      <c r="F27" s="28" t="s">
        <v>352</v>
      </c>
      <c r="G27" s="28" t="s">
        <v>352</v>
      </c>
      <c r="H27" s="28" t="s">
        <v>352</v>
      </c>
      <c r="I27" s="28" t="s">
        <v>352</v>
      </c>
      <c r="J27" s="28"/>
      <c r="K27" s="28" t="s">
        <v>352</v>
      </c>
      <c r="L27" s="28" t="s">
        <v>352</v>
      </c>
      <c r="M27" s="28" t="s">
        <v>352</v>
      </c>
      <c r="N27" s="80"/>
      <c r="O27" s="28" t="s">
        <v>352</v>
      </c>
      <c r="P27" s="80"/>
      <c r="Q27" s="80"/>
      <c r="R27" s="28" t="s">
        <v>352</v>
      </c>
      <c r="S27" s="94" t="s">
        <v>491</v>
      </c>
      <c r="T27" s="28" t="s">
        <v>352</v>
      </c>
      <c r="U27" s="28" t="s">
        <v>352</v>
      </c>
      <c r="V27" s="28" t="s">
        <v>352</v>
      </c>
      <c r="W27" s="28" t="s">
        <v>352</v>
      </c>
      <c r="X27" s="28" t="s">
        <v>352</v>
      </c>
      <c r="Y27" s="28" t="s">
        <v>352</v>
      </c>
      <c r="Z27" s="80"/>
      <c r="AA27" s="28" t="s">
        <v>352</v>
      </c>
      <c r="AB27" s="28"/>
      <c r="AC27" s="173" t="s">
        <v>482</v>
      </c>
      <c r="AD27" s="28"/>
      <c r="AE27" s="28"/>
      <c r="AF27" s="173" t="s">
        <v>482</v>
      </c>
      <c r="AG27" s="28"/>
      <c r="AH27" s="80"/>
    </row>
    <row r="28" spans="1:34">
      <c r="A28" s="26" t="s">
        <v>130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/>
      <c r="K28" s="30">
        <v>0</v>
      </c>
      <c r="L28" s="30">
        <v>0</v>
      </c>
      <c r="M28" s="30">
        <v>0</v>
      </c>
      <c r="N28" s="82"/>
      <c r="O28" s="30">
        <v>0</v>
      </c>
      <c r="P28" s="82"/>
      <c r="Q28" s="82"/>
      <c r="R28" s="30">
        <v>0</v>
      </c>
      <c r="S28" s="30">
        <f>AVERAGE(-3,0)</f>
        <v>-1.5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82"/>
      <c r="AA28" s="30">
        <v>0</v>
      </c>
      <c r="AB28" s="30"/>
      <c r="AC28" s="30">
        <f>AVERAGE(0,2.5)</f>
        <v>1.25</v>
      </c>
      <c r="AD28" s="30"/>
      <c r="AE28" s="30"/>
      <c r="AF28" s="30">
        <f>AVERAGE(0,2.5)</f>
        <v>1.25</v>
      </c>
      <c r="AG28" s="30"/>
      <c r="AH28" s="82"/>
    </row>
    <row r="29" spans="1:34">
      <c r="A29" s="26" t="s">
        <v>131</v>
      </c>
      <c r="B29" s="28" t="s">
        <v>280</v>
      </c>
      <c r="C29" s="28" t="s">
        <v>280</v>
      </c>
      <c r="D29" s="28" t="s">
        <v>280</v>
      </c>
      <c r="E29" s="103" t="s">
        <v>483</v>
      </c>
      <c r="F29" s="28" t="s">
        <v>280</v>
      </c>
      <c r="G29" s="28" t="s">
        <v>280</v>
      </c>
      <c r="H29" s="28" t="s">
        <v>280</v>
      </c>
      <c r="I29" s="28" t="s">
        <v>280</v>
      </c>
      <c r="J29" s="28"/>
      <c r="K29" s="28" t="s">
        <v>280</v>
      </c>
      <c r="L29" s="28" t="s">
        <v>280</v>
      </c>
      <c r="M29" s="28" t="s">
        <v>280</v>
      </c>
      <c r="N29" s="80"/>
      <c r="O29" s="103" t="s">
        <v>483</v>
      </c>
      <c r="P29" s="80"/>
      <c r="Q29" s="80"/>
      <c r="R29" s="28" t="s">
        <v>280</v>
      </c>
      <c r="S29" s="28" t="s">
        <v>304</v>
      </c>
      <c r="T29" s="28" t="s">
        <v>280</v>
      </c>
      <c r="U29" s="28" t="s">
        <v>280</v>
      </c>
      <c r="V29" s="103" t="s">
        <v>483</v>
      </c>
      <c r="W29" s="28" t="s">
        <v>280</v>
      </c>
      <c r="X29" s="103" t="s">
        <v>483</v>
      </c>
      <c r="Y29" s="28" t="s">
        <v>280</v>
      </c>
      <c r="Z29" s="80"/>
      <c r="AA29" s="28" t="s">
        <v>280</v>
      </c>
      <c r="AB29" s="28"/>
      <c r="AC29" s="28" t="s">
        <v>484</v>
      </c>
      <c r="AD29" s="28"/>
      <c r="AE29" s="28"/>
      <c r="AF29" s="28" t="s">
        <v>484</v>
      </c>
      <c r="AG29" s="28"/>
      <c r="AH29" s="80"/>
    </row>
    <row r="30" spans="1:34">
      <c r="A30" s="26" t="s">
        <v>133</v>
      </c>
      <c r="B30" s="30">
        <v>0.5</v>
      </c>
      <c r="C30" s="30">
        <v>0.5</v>
      </c>
      <c r="D30" s="30">
        <v>0.5</v>
      </c>
      <c r="E30" s="30">
        <f>AVERAGE(1/3,0)</f>
        <v>0.16666666666666666</v>
      </c>
      <c r="F30" s="30">
        <v>0.5</v>
      </c>
      <c r="G30" s="30">
        <v>0.5</v>
      </c>
      <c r="H30" s="30">
        <v>0.5</v>
      </c>
      <c r="I30" s="30">
        <v>0.5</v>
      </c>
      <c r="J30" s="30"/>
      <c r="K30" s="30">
        <v>0.5</v>
      </c>
      <c r="L30" s="30">
        <v>0.5</v>
      </c>
      <c r="M30" s="30">
        <v>0.5</v>
      </c>
      <c r="N30" s="82"/>
      <c r="O30" s="30">
        <f>AVERAGE(1/3,0)</f>
        <v>0.16666666666666666</v>
      </c>
      <c r="P30" s="82"/>
      <c r="Q30" s="82"/>
      <c r="R30" s="30">
        <v>0.5</v>
      </c>
      <c r="S30" s="30">
        <f>AVERAGE(4,0.5)</f>
        <v>2.25</v>
      </c>
      <c r="T30" s="30">
        <v>0.5</v>
      </c>
      <c r="U30" s="30">
        <v>0.5</v>
      </c>
      <c r="V30" s="30">
        <f>AVERAGE(1/3,0)</f>
        <v>0.16666666666666666</v>
      </c>
      <c r="W30" s="30">
        <v>0.5</v>
      </c>
      <c r="X30" s="30">
        <f>AVERAGE(1/3,0)</f>
        <v>0.16666666666666666</v>
      </c>
      <c r="Y30" s="30">
        <v>0.5</v>
      </c>
      <c r="Z30" s="82"/>
      <c r="AA30" s="30">
        <v>0.5</v>
      </c>
      <c r="AB30" s="30"/>
      <c r="AC30" s="30">
        <f>AVERAGE(0.5,2.5)</f>
        <v>1.5</v>
      </c>
      <c r="AD30" s="30"/>
      <c r="AE30" s="30"/>
      <c r="AF30" s="30">
        <f>AVERAGE(0.5,2.5)</f>
        <v>1.5</v>
      </c>
      <c r="AG30" s="30"/>
      <c r="AH30" s="82"/>
    </row>
    <row r="32" spans="1:34">
      <c r="A32" s="31" t="s">
        <v>134</v>
      </c>
    </row>
    <row r="33" spans="1:33">
      <c r="A33" s="218" t="s">
        <v>492</v>
      </c>
      <c r="B33" s="56" t="s">
        <v>493</v>
      </c>
    </row>
    <row r="34" spans="1:33">
      <c r="A34" s="218"/>
      <c r="B34" s="56" t="s">
        <v>494</v>
      </c>
    </row>
    <row r="35" spans="1:33">
      <c r="A35" s="79" t="s">
        <v>487</v>
      </c>
      <c r="B35" s="79"/>
    </row>
    <row r="41" spans="1:33">
      <c r="W41" s="77"/>
    </row>
    <row r="46" spans="1:33">
      <c r="E46" s="170"/>
      <c r="F46" s="170"/>
      <c r="J46" s="170"/>
      <c r="AG46" s="170"/>
    </row>
  </sheetData>
  <mergeCells count="6">
    <mergeCell ref="F3:O3"/>
    <mergeCell ref="F4:O5"/>
    <mergeCell ref="A33:A34"/>
    <mergeCell ref="B3:D3"/>
    <mergeCell ref="B4:D4"/>
    <mergeCell ref="B5:D5"/>
  </mergeCells>
  <hyperlinks>
    <hyperlink ref="A35" r:id="rId1" xr:uid="{0AF5A141-CED4-4EAF-AE70-207827CD3F3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0914-3AD2-4777-B2C6-AE66B202FA4D}">
  <dimension ref="A1:AJ36"/>
  <sheetViews>
    <sheetView workbookViewId="0">
      <selection activeCell="AC8" sqref="AC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>
      <c r="A1" s="25" t="s">
        <v>74</v>
      </c>
      <c r="D1" s="25" t="s">
        <v>75</v>
      </c>
      <c r="I1" s="25" t="s">
        <v>495</v>
      </c>
    </row>
    <row r="3" spans="1:36" ht="17.45">
      <c r="A3" s="25" t="s">
        <v>77</v>
      </c>
      <c r="B3" s="203">
        <v>32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496</v>
      </c>
      <c r="C4" s="203"/>
      <c r="D4" s="203"/>
      <c r="F4" s="204" t="s">
        <v>497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  <c r="AJ7" s="57" t="s">
        <v>6</v>
      </c>
    </row>
    <row r="8" spans="1:36" ht="15.75" customHeight="1">
      <c r="A8" s="26" t="s">
        <v>117</v>
      </c>
      <c r="B8" s="28" t="s">
        <v>132</v>
      </c>
      <c r="C8" s="28" t="s">
        <v>203</v>
      </c>
      <c r="D8" s="28" t="s">
        <v>203</v>
      </c>
      <c r="E8" s="28" t="s">
        <v>203</v>
      </c>
      <c r="F8" s="80"/>
      <c r="G8" s="80"/>
      <c r="H8" s="84"/>
      <c r="I8" s="80"/>
      <c r="J8" s="28" t="s">
        <v>498</v>
      </c>
      <c r="K8" s="28" t="s">
        <v>498</v>
      </c>
      <c r="L8" s="28" t="s">
        <v>498</v>
      </c>
      <c r="M8" s="28" t="s">
        <v>498</v>
      </c>
      <c r="N8" s="28" t="s">
        <v>498</v>
      </c>
      <c r="O8" s="28" t="s">
        <v>498</v>
      </c>
      <c r="P8" s="28" t="s">
        <v>498</v>
      </c>
      <c r="Q8" s="28" t="s">
        <v>498</v>
      </c>
      <c r="R8" s="28" t="s">
        <v>498</v>
      </c>
      <c r="S8" s="28" t="s">
        <v>498</v>
      </c>
      <c r="T8" s="28" t="s">
        <v>499</v>
      </c>
      <c r="U8" s="28" t="s">
        <v>498</v>
      </c>
      <c r="V8" s="28" t="s">
        <v>498</v>
      </c>
      <c r="W8" s="28" t="s">
        <v>498</v>
      </c>
      <c r="X8" s="28" t="s">
        <v>498</v>
      </c>
      <c r="Y8" s="28" t="s">
        <v>498</v>
      </c>
      <c r="Z8" s="28" t="s">
        <v>498</v>
      </c>
      <c r="AA8" s="28" t="s">
        <v>498</v>
      </c>
      <c r="AB8" s="28" t="s">
        <v>498</v>
      </c>
      <c r="AC8" s="28" t="s">
        <v>500</v>
      </c>
      <c r="AD8" s="28" t="s">
        <v>500</v>
      </c>
      <c r="AE8" s="28" t="s">
        <v>500</v>
      </c>
      <c r="AF8" s="28" t="s">
        <v>498</v>
      </c>
      <c r="AG8" s="28" t="s">
        <v>498</v>
      </c>
      <c r="AH8" s="28" t="s">
        <v>498</v>
      </c>
      <c r="AJ8" s="28" t="s">
        <v>132</v>
      </c>
    </row>
    <row r="9" spans="1:36" ht="15.75" customHeight="1">
      <c r="A9" s="26" t="s">
        <v>121</v>
      </c>
      <c r="B9" s="28" t="s">
        <v>498</v>
      </c>
      <c r="C9" s="28" t="s">
        <v>231</v>
      </c>
      <c r="D9" s="28" t="s">
        <v>231</v>
      </c>
      <c r="E9" s="28" t="s">
        <v>148</v>
      </c>
      <c r="F9" s="80"/>
      <c r="G9" s="80"/>
      <c r="H9" s="84"/>
      <c r="I9" s="80"/>
      <c r="J9" s="29" t="s">
        <v>498</v>
      </c>
      <c r="K9" s="29" t="s">
        <v>498</v>
      </c>
      <c r="L9" s="29" t="s">
        <v>498</v>
      </c>
      <c r="M9" s="29" t="s">
        <v>498</v>
      </c>
      <c r="N9" s="29" t="s">
        <v>498</v>
      </c>
      <c r="O9" s="29" t="s">
        <v>498</v>
      </c>
      <c r="P9" s="29" t="s">
        <v>498</v>
      </c>
      <c r="Q9" s="29" t="s">
        <v>498</v>
      </c>
      <c r="R9" s="29" t="s">
        <v>498</v>
      </c>
      <c r="S9" s="29" t="s">
        <v>498</v>
      </c>
      <c r="T9" s="28" t="s">
        <v>148</v>
      </c>
      <c r="U9" s="29" t="s">
        <v>498</v>
      </c>
      <c r="V9" s="29" t="s">
        <v>498</v>
      </c>
      <c r="W9" s="29" t="s">
        <v>498</v>
      </c>
      <c r="X9" s="29" t="s">
        <v>498</v>
      </c>
      <c r="Y9" s="29" t="s">
        <v>498</v>
      </c>
      <c r="Z9" s="29" t="s">
        <v>498</v>
      </c>
      <c r="AA9" s="29" t="s">
        <v>498</v>
      </c>
      <c r="AB9" s="29" t="s">
        <v>498</v>
      </c>
      <c r="AC9" s="29" t="s">
        <v>200</v>
      </c>
      <c r="AD9" s="29" t="s">
        <v>200</v>
      </c>
      <c r="AE9" s="29" t="s">
        <v>200</v>
      </c>
      <c r="AF9" s="29" t="s">
        <v>498</v>
      </c>
      <c r="AG9" s="29" t="s">
        <v>498</v>
      </c>
      <c r="AH9" s="29" t="s">
        <v>498</v>
      </c>
      <c r="AJ9" s="29" t="s">
        <v>498</v>
      </c>
    </row>
    <row r="10" spans="1:36" ht="15.75" customHeight="1">
      <c r="A10" s="140" t="s">
        <v>122</v>
      </c>
      <c r="B10" s="167">
        <v>1</v>
      </c>
      <c r="C10" s="167">
        <v>56</v>
      </c>
      <c r="D10" s="167">
        <v>56</v>
      </c>
      <c r="E10" s="167">
        <v>34</v>
      </c>
      <c r="F10" s="174"/>
      <c r="G10" s="174"/>
      <c r="H10" s="175"/>
      <c r="I10" s="174"/>
      <c r="J10" s="167">
        <v>1</v>
      </c>
      <c r="K10" s="167">
        <v>1</v>
      </c>
      <c r="L10" s="167">
        <v>1</v>
      </c>
      <c r="M10" s="167">
        <v>1</v>
      </c>
      <c r="N10" s="167">
        <v>1</v>
      </c>
      <c r="O10" s="167">
        <v>1</v>
      </c>
      <c r="P10" s="167">
        <v>1</v>
      </c>
      <c r="Q10" s="167">
        <v>1</v>
      </c>
      <c r="R10" s="167">
        <v>1</v>
      </c>
      <c r="S10" s="167">
        <v>1</v>
      </c>
      <c r="T10" s="167">
        <v>34</v>
      </c>
      <c r="U10" s="167">
        <v>1</v>
      </c>
      <c r="V10" s="167">
        <v>1</v>
      </c>
      <c r="W10" s="167">
        <v>1</v>
      </c>
      <c r="X10" s="167">
        <v>1</v>
      </c>
      <c r="Y10" s="167">
        <v>1</v>
      </c>
      <c r="Z10" s="167">
        <v>1</v>
      </c>
      <c r="AA10" s="167">
        <v>1</v>
      </c>
      <c r="AB10" s="167">
        <v>1</v>
      </c>
      <c r="AC10" s="167">
        <v>17</v>
      </c>
      <c r="AD10" s="167">
        <v>17</v>
      </c>
      <c r="AE10" s="167">
        <v>17</v>
      </c>
      <c r="AF10" s="167">
        <v>1</v>
      </c>
      <c r="AG10" s="167">
        <v>1</v>
      </c>
      <c r="AH10" s="167">
        <v>1</v>
      </c>
      <c r="AJ10" s="167">
        <v>1</v>
      </c>
    </row>
    <row r="11" spans="1:36" ht="15.75" customHeight="1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80"/>
      <c r="G11" s="80"/>
      <c r="H11" s="84"/>
      <c r="I11" s="80"/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</row>
    <row r="12" spans="1:36" ht="15.75" customHeight="1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80"/>
      <c r="G12" s="80"/>
      <c r="H12" s="84"/>
      <c r="I12" s="80"/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8" t="s">
        <v>127</v>
      </c>
    </row>
    <row r="13" spans="1:36" ht="15.75" customHeight="1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80"/>
      <c r="G13" s="80"/>
      <c r="H13" s="84"/>
      <c r="I13" s="80"/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124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127</v>
      </c>
    </row>
    <row r="14" spans="1:36" ht="15.75" customHeight="1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80"/>
      <c r="G14" s="80"/>
      <c r="H14" s="84"/>
      <c r="I14" s="80"/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</row>
    <row r="15" spans="1:36" ht="15.75" customHeight="1">
      <c r="A15" s="26" t="s">
        <v>129</v>
      </c>
      <c r="B15" s="28" t="s">
        <v>118</v>
      </c>
      <c r="C15" s="28" t="s">
        <v>150</v>
      </c>
      <c r="D15" s="28" t="s">
        <v>150</v>
      </c>
      <c r="E15" s="28" t="s">
        <v>150</v>
      </c>
      <c r="F15" s="80"/>
      <c r="G15" s="80"/>
      <c r="H15" s="84"/>
      <c r="I15" s="80"/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150</v>
      </c>
      <c r="U15" s="28" t="s">
        <v>118</v>
      </c>
      <c r="V15" s="28" t="s">
        <v>118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8" t="s">
        <v>118</v>
      </c>
      <c r="AB15" s="28" t="s">
        <v>118</v>
      </c>
      <c r="AC15" s="28" t="s">
        <v>150</v>
      </c>
      <c r="AD15" s="28" t="s">
        <v>150</v>
      </c>
      <c r="AE15" s="28" t="s">
        <v>150</v>
      </c>
      <c r="AF15" s="28" t="s">
        <v>118</v>
      </c>
      <c r="AG15" s="28" t="s">
        <v>118</v>
      </c>
      <c r="AH15" s="28" t="s">
        <v>118</v>
      </c>
      <c r="AJ15" s="28" t="s">
        <v>118</v>
      </c>
    </row>
    <row r="16" spans="1:36" ht="15.75" customHeight="1">
      <c r="A16" s="26" t="s">
        <v>130</v>
      </c>
      <c r="B16" s="128">
        <v>3</v>
      </c>
      <c r="C16" s="128">
        <v>-0.5</v>
      </c>
      <c r="D16" s="128">
        <v>-0.5</v>
      </c>
      <c r="E16" s="128">
        <v>-0.5</v>
      </c>
      <c r="F16" s="176"/>
      <c r="G16" s="176"/>
      <c r="H16" s="82"/>
      <c r="I16" s="82"/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128">
        <v>-0.5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3</v>
      </c>
      <c r="AC16" s="30">
        <v>-2</v>
      </c>
      <c r="AD16" s="30">
        <v>-2</v>
      </c>
      <c r="AE16" s="30">
        <v>-2</v>
      </c>
      <c r="AF16" s="30">
        <v>3</v>
      </c>
      <c r="AG16" s="30">
        <v>3</v>
      </c>
      <c r="AH16" s="30">
        <v>3</v>
      </c>
      <c r="AJ16" s="30">
        <v>3</v>
      </c>
    </row>
    <row r="17" spans="1:36" ht="15.75" customHeight="1">
      <c r="A17" s="26" t="s">
        <v>131</v>
      </c>
      <c r="B17" s="28" t="s">
        <v>132</v>
      </c>
      <c r="C17" s="28" t="s">
        <v>180</v>
      </c>
      <c r="D17" s="28" t="s">
        <v>180</v>
      </c>
      <c r="E17" s="28" t="s">
        <v>151</v>
      </c>
      <c r="F17" s="80"/>
      <c r="G17" s="80"/>
      <c r="H17" s="80"/>
      <c r="I17" s="80"/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151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  <c r="AJ17" s="28" t="s">
        <v>132</v>
      </c>
    </row>
    <row r="18" spans="1:36" ht="15.75" customHeight="1">
      <c r="A18" s="26" t="s">
        <v>133</v>
      </c>
      <c r="B18" s="30">
        <v>4</v>
      </c>
      <c r="C18" s="30">
        <v>2</v>
      </c>
      <c r="D18" s="30">
        <v>2</v>
      </c>
      <c r="E18" s="30">
        <v>3</v>
      </c>
      <c r="F18" s="82"/>
      <c r="G18" s="82"/>
      <c r="H18" s="82"/>
      <c r="I18" s="82"/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3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</row>
    <row r="19" spans="1:36" ht="15.75" customHeight="1"/>
    <row r="20" spans="1:36" ht="15.75" customHeight="1">
      <c r="A20" s="26" t="s">
        <v>117</v>
      </c>
      <c r="B20" s="28" t="s">
        <v>409</v>
      </c>
      <c r="C20" s="80"/>
      <c r="D20" s="80"/>
      <c r="E20" s="80"/>
      <c r="F20" s="115" t="s">
        <v>420</v>
      </c>
      <c r="G20" s="28" t="s">
        <v>422</v>
      </c>
      <c r="H20" s="28" t="s">
        <v>422</v>
      </c>
      <c r="I20" s="28" t="s">
        <v>422</v>
      </c>
      <c r="J20" s="115" t="s">
        <v>421</v>
      </c>
      <c r="K20" s="28" t="s">
        <v>419</v>
      </c>
      <c r="L20" s="28" t="s">
        <v>419</v>
      </c>
      <c r="M20" s="28" t="s">
        <v>419</v>
      </c>
      <c r="N20" s="28" t="s">
        <v>419</v>
      </c>
      <c r="O20" s="28" t="s">
        <v>419</v>
      </c>
      <c r="P20" s="28" t="s">
        <v>419</v>
      </c>
      <c r="Q20" s="28" t="s">
        <v>419</v>
      </c>
      <c r="R20" s="28" t="s">
        <v>419</v>
      </c>
      <c r="S20" s="28" t="s">
        <v>501</v>
      </c>
      <c r="T20" s="80"/>
      <c r="U20" s="28" t="s">
        <v>502</v>
      </c>
      <c r="V20" s="28" t="s">
        <v>419</v>
      </c>
      <c r="W20" s="28" t="s">
        <v>419</v>
      </c>
      <c r="X20" s="28" t="s">
        <v>395</v>
      </c>
      <c r="Y20" s="28" t="s">
        <v>395</v>
      </c>
      <c r="Z20" s="28" t="s">
        <v>502</v>
      </c>
      <c r="AA20" s="28" t="s">
        <v>502</v>
      </c>
      <c r="AB20" s="28" t="s">
        <v>502</v>
      </c>
      <c r="AC20" s="80"/>
      <c r="AD20" s="80"/>
      <c r="AE20" s="80"/>
      <c r="AF20" s="28" t="s">
        <v>502</v>
      </c>
      <c r="AG20" s="28" t="s">
        <v>419</v>
      </c>
      <c r="AH20" s="28" t="s">
        <v>419</v>
      </c>
      <c r="AJ20" s="28" t="s">
        <v>409</v>
      </c>
    </row>
    <row r="21" spans="1:36" ht="15.75" customHeight="1">
      <c r="A21" s="26" t="s">
        <v>121</v>
      </c>
      <c r="B21" s="28" t="s">
        <v>425</v>
      </c>
      <c r="C21" s="80"/>
      <c r="D21" s="80"/>
      <c r="E21" s="81"/>
      <c r="F21" s="115" t="s">
        <v>426</v>
      </c>
      <c r="G21" s="28" t="s">
        <v>503</v>
      </c>
      <c r="H21" s="28" t="s">
        <v>272</v>
      </c>
      <c r="I21" s="28" t="s">
        <v>272</v>
      </c>
      <c r="J21" s="115" t="s">
        <v>427</v>
      </c>
      <c r="K21" s="29" t="s">
        <v>419</v>
      </c>
      <c r="L21" s="28" t="s">
        <v>504</v>
      </c>
      <c r="M21" s="28" t="s">
        <v>505</v>
      </c>
      <c r="N21" s="29" t="s">
        <v>419</v>
      </c>
      <c r="O21" s="29" t="s">
        <v>419</v>
      </c>
      <c r="P21" s="29" t="s">
        <v>419</v>
      </c>
      <c r="Q21" s="29" t="s">
        <v>419</v>
      </c>
      <c r="R21" s="29" t="s">
        <v>419</v>
      </c>
      <c r="S21" s="113" t="s">
        <v>506</v>
      </c>
      <c r="T21" s="81"/>
      <c r="U21" s="28" t="s">
        <v>269</v>
      </c>
      <c r="V21" s="29" t="s">
        <v>419</v>
      </c>
      <c r="W21" s="29" t="s">
        <v>419</v>
      </c>
      <c r="X21" s="28" t="s">
        <v>507</v>
      </c>
      <c r="Y21" s="28" t="s">
        <v>507</v>
      </c>
      <c r="Z21" s="28" t="s">
        <v>269</v>
      </c>
      <c r="AA21" s="28" t="s">
        <v>269</v>
      </c>
      <c r="AB21" s="28" t="s">
        <v>269</v>
      </c>
      <c r="AC21" s="81"/>
      <c r="AD21" s="81"/>
      <c r="AE21" s="81"/>
      <c r="AF21" s="28" t="s">
        <v>269</v>
      </c>
      <c r="AG21" s="29" t="s">
        <v>419</v>
      </c>
      <c r="AH21" s="29" t="s">
        <v>419</v>
      </c>
      <c r="AJ21" s="28" t="s">
        <v>430</v>
      </c>
    </row>
    <row r="22" spans="1:36" ht="15.75" customHeight="1">
      <c r="A22" s="140" t="s">
        <v>122</v>
      </c>
      <c r="B22" s="167">
        <v>87</v>
      </c>
      <c r="C22" s="174"/>
      <c r="D22" s="174"/>
      <c r="E22" s="174"/>
      <c r="F22" s="167">
        <v>129</v>
      </c>
      <c r="G22" s="167">
        <v>90</v>
      </c>
      <c r="H22" s="167">
        <v>39</v>
      </c>
      <c r="I22" s="167">
        <v>39</v>
      </c>
      <c r="J22" s="167">
        <v>130</v>
      </c>
      <c r="K22" s="167">
        <v>85</v>
      </c>
      <c r="L22" s="167">
        <v>87</v>
      </c>
      <c r="M22" s="167">
        <v>140</v>
      </c>
      <c r="N22" s="167">
        <v>85</v>
      </c>
      <c r="O22" s="167">
        <v>85</v>
      </c>
      <c r="P22" s="167">
        <v>85</v>
      </c>
      <c r="Q22" s="167">
        <v>85</v>
      </c>
      <c r="R22" s="167">
        <v>85</v>
      </c>
      <c r="S22" s="167">
        <v>133</v>
      </c>
      <c r="T22" s="174"/>
      <c r="U22" s="167">
        <v>98</v>
      </c>
      <c r="V22" s="167">
        <v>85</v>
      </c>
      <c r="W22" s="167">
        <v>85</v>
      </c>
      <c r="X22" s="167">
        <v>83</v>
      </c>
      <c r="Y22" s="167">
        <v>83</v>
      </c>
      <c r="Z22" s="167">
        <v>98</v>
      </c>
      <c r="AA22" s="167">
        <v>98</v>
      </c>
      <c r="AB22" s="167">
        <v>98</v>
      </c>
      <c r="AC22" s="174"/>
      <c r="AD22" s="174"/>
      <c r="AE22" s="174"/>
      <c r="AF22" s="167">
        <v>98</v>
      </c>
      <c r="AG22" s="167">
        <v>85</v>
      </c>
      <c r="AH22" s="167">
        <v>85</v>
      </c>
      <c r="AJ22" s="167">
        <v>139</v>
      </c>
    </row>
    <row r="23" spans="1:36" ht="15.75" customHeight="1">
      <c r="A23" s="26" t="s">
        <v>123</v>
      </c>
      <c r="B23" s="28" t="s">
        <v>124</v>
      </c>
      <c r="C23" s="80"/>
      <c r="D23" s="80"/>
      <c r="E23" s="80"/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80"/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81"/>
      <c r="AD23" s="80"/>
      <c r="AE23" s="81"/>
      <c r="AF23" s="28" t="s">
        <v>124</v>
      </c>
      <c r="AG23" s="28" t="s">
        <v>124</v>
      </c>
      <c r="AH23" s="28" t="s">
        <v>124</v>
      </c>
      <c r="AJ23" s="28" t="s">
        <v>124</v>
      </c>
    </row>
    <row r="24" spans="1:36" ht="15.75" customHeight="1">
      <c r="A24" s="26" t="s">
        <v>125</v>
      </c>
      <c r="B24" s="28" t="s">
        <v>124</v>
      </c>
      <c r="C24" s="80"/>
      <c r="D24" s="80"/>
      <c r="E24" s="80"/>
      <c r="F24" s="118" t="s">
        <v>236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87" t="s">
        <v>124</v>
      </c>
      <c r="S24" s="87" t="s">
        <v>124</v>
      </c>
      <c r="T24" s="80"/>
      <c r="U24" s="28" t="s">
        <v>124</v>
      </c>
      <c r="V24" s="87" t="s">
        <v>124</v>
      </c>
      <c r="W24" s="87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80"/>
      <c r="AD24" s="80"/>
      <c r="AE24" s="80"/>
      <c r="AF24" s="28" t="s">
        <v>124</v>
      </c>
      <c r="AG24" s="28" t="s">
        <v>124</v>
      </c>
      <c r="AH24" s="28" t="s">
        <v>124</v>
      </c>
      <c r="AJ24" s="28" t="s">
        <v>124</v>
      </c>
    </row>
    <row r="25" spans="1:36" ht="15.75" customHeight="1">
      <c r="A25" s="26" t="s">
        <v>126</v>
      </c>
      <c r="B25" s="28" t="s">
        <v>127</v>
      </c>
      <c r="C25" s="80"/>
      <c r="D25" s="80"/>
      <c r="E25" s="80"/>
      <c r="F25" s="115" t="s">
        <v>431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86" t="s">
        <v>127</v>
      </c>
      <c r="R25" s="28" t="s">
        <v>127</v>
      </c>
      <c r="S25" s="28" t="s">
        <v>127</v>
      </c>
      <c r="T25" s="80"/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80"/>
      <c r="AD25" s="80"/>
      <c r="AE25" s="80"/>
      <c r="AF25" s="28" t="s">
        <v>127</v>
      </c>
      <c r="AG25" s="28" t="s">
        <v>127</v>
      </c>
      <c r="AH25" s="28" t="s">
        <v>127</v>
      </c>
      <c r="AJ25" s="28" t="s">
        <v>127</v>
      </c>
    </row>
    <row r="26" spans="1:36" ht="15.75" customHeight="1">
      <c r="A26" s="26" t="s">
        <v>128</v>
      </c>
      <c r="B26" s="28" t="s">
        <v>124</v>
      </c>
      <c r="C26" s="80"/>
      <c r="D26" s="80"/>
      <c r="E26" s="80"/>
      <c r="F26" s="118" t="s">
        <v>236</v>
      </c>
      <c r="G26" s="28" t="s">
        <v>124</v>
      </c>
      <c r="H26" s="28" t="s">
        <v>127</v>
      </c>
      <c r="I26" s="28" t="s">
        <v>127</v>
      </c>
      <c r="J26" s="28" t="s">
        <v>124</v>
      </c>
      <c r="K26" s="28" t="s">
        <v>124</v>
      </c>
      <c r="L26" s="28" t="s">
        <v>124</v>
      </c>
      <c r="M26" s="28" t="s">
        <v>124</v>
      </c>
      <c r="N26" s="28" t="s">
        <v>124</v>
      </c>
      <c r="O26" s="28" t="s">
        <v>124</v>
      </c>
      <c r="P26" s="28" t="s">
        <v>124</v>
      </c>
      <c r="Q26" s="86" t="s">
        <v>124</v>
      </c>
      <c r="R26" s="28" t="s">
        <v>124</v>
      </c>
      <c r="S26" s="118" t="s">
        <v>236</v>
      </c>
      <c r="T26" s="80"/>
      <c r="U26" s="28" t="s">
        <v>127</v>
      </c>
      <c r="V26" s="28" t="s">
        <v>124</v>
      </c>
      <c r="W26" s="28" t="s">
        <v>124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80"/>
      <c r="AD26" s="80"/>
      <c r="AE26" s="80"/>
      <c r="AF26" s="28" t="s">
        <v>127</v>
      </c>
      <c r="AG26" s="28" t="s">
        <v>124</v>
      </c>
      <c r="AH26" s="28" t="s">
        <v>124</v>
      </c>
      <c r="AJ26" s="28" t="s">
        <v>124</v>
      </c>
    </row>
    <row r="27" spans="1:36" ht="15.75" customHeight="1">
      <c r="A27" s="26" t="s">
        <v>129</v>
      </c>
      <c r="B27" s="28" t="s">
        <v>432</v>
      </c>
      <c r="C27" s="80"/>
      <c r="D27" s="80"/>
      <c r="E27" s="80"/>
      <c r="F27" s="28" t="s">
        <v>150</v>
      </c>
      <c r="G27" s="28" t="s">
        <v>150</v>
      </c>
      <c r="H27" s="28" t="s">
        <v>150</v>
      </c>
      <c r="I27" s="28" t="s">
        <v>150</v>
      </c>
      <c r="J27" s="113" t="s">
        <v>433</v>
      </c>
      <c r="K27" s="28" t="s">
        <v>149</v>
      </c>
      <c r="L27" s="28" t="s">
        <v>432</v>
      </c>
      <c r="M27" s="28" t="s">
        <v>216</v>
      </c>
      <c r="N27" s="28" t="s">
        <v>149</v>
      </c>
      <c r="O27" s="28" t="s">
        <v>149</v>
      </c>
      <c r="P27" s="28" t="s">
        <v>149</v>
      </c>
      <c r="Q27" s="86" t="s">
        <v>149</v>
      </c>
      <c r="R27" s="28" t="s">
        <v>149</v>
      </c>
      <c r="S27" s="113" t="s">
        <v>433</v>
      </c>
      <c r="T27" s="80"/>
      <c r="U27" s="28" t="s">
        <v>150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150</v>
      </c>
      <c r="AA27" s="28" t="s">
        <v>150</v>
      </c>
      <c r="AB27" s="28" t="s">
        <v>150</v>
      </c>
      <c r="AC27" s="80"/>
      <c r="AD27" s="80"/>
      <c r="AE27" s="80"/>
      <c r="AF27" s="28" t="s">
        <v>150</v>
      </c>
      <c r="AG27" s="28" t="s">
        <v>149</v>
      </c>
      <c r="AH27" s="28" t="s">
        <v>149</v>
      </c>
      <c r="AJ27" s="28" t="s">
        <v>150</v>
      </c>
    </row>
    <row r="28" spans="1:36" ht="15.75" customHeight="1">
      <c r="A28" s="26" t="s">
        <v>130</v>
      </c>
      <c r="B28" s="30">
        <f>-7/6</f>
        <v>-1.1666666666666667</v>
      </c>
      <c r="C28" s="82"/>
      <c r="D28" s="82"/>
      <c r="E28" s="82"/>
      <c r="F28" s="128">
        <f>AVERAGE(0,0,-1.25)</f>
        <v>-0.41666666666666669</v>
      </c>
      <c r="G28" s="30">
        <v>-2</v>
      </c>
      <c r="H28" s="30">
        <v>-2</v>
      </c>
      <c r="I28" s="30">
        <v>-2</v>
      </c>
      <c r="J28" s="30">
        <f>AVERAGE(0.75,0.75,0.75,0)</f>
        <v>0.5625</v>
      </c>
      <c r="K28" s="30">
        <v>0.75</v>
      </c>
      <c r="L28" s="30">
        <f>-7/6</f>
        <v>-1.1666666666666667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128">
        <v>0.75</v>
      </c>
      <c r="S28" s="30">
        <f>AVERAGE(0.75,0.75,(AVERAGE(0,-2)))</f>
        <v>0.16666666666666666</v>
      </c>
      <c r="T28" s="82"/>
      <c r="U28" s="30">
        <v>-2</v>
      </c>
      <c r="V28" s="128">
        <v>0.75</v>
      </c>
      <c r="W28" s="128">
        <v>0.75</v>
      </c>
      <c r="X28" s="30">
        <v>0.75</v>
      </c>
      <c r="Y28" s="30">
        <v>0.75</v>
      </c>
      <c r="Z28" s="30">
        <v>-2</v>
      </c>
      <c r="AA28" s="30">
        <v>-2</v>
      </c>
      <c r="AB28" s="30">
        <v>-2</v>
      </c>
      <c r="AC28" s="82"/>
      <c r="AD28" s="82"/>
      <c r="AE28" s="82"/>
      <c r="AF28" s="30">
        <v>-2</v>
      </c>
      <c r="AG28" s="30">
        <v>0.75</v>
      </c>
      <c r="AH28" s="30">
        <v>0.75</v>
      </c>
      <c r="AJ28" s="30">
        <f>-1/6</f>
        <v>-0.16666666666666666</v>
      </c>
    </row>
    <row r="29" spans="1:36" ht="15.75" customHeight="1">
      <c r="A29" s="26" t="s">
        <v>131</v>
      </c>
      <c r="B29" s="28" t="s">
        <v>435</v>
      </c>
      <c r="C29" s="80"/>
      <c r="D29" s="80"/>
      <c r="E29" s="80"/>
      <c r="F29" s="77" t="s">
        <v>436</v>
      </c>
      <c r="G29" s="28" t="s">
        <v>409</v>
      </c>
      <c r="H29" s="28" t="s">
        <v>151</v>
      </c>
      <c r="I29" s="28" t="s">
        <v>151</v>
      </c>
      <c r="J29" s="28" t="s">
        <v>435</v>
      </c>
      <c r="K29" s="28" t="s">
        <v>435</v>
      </c>
      <c r="L29" s="28" t="s">
        <v>435</v>
      </c>
      <c r="M29" s="28" t="s">
        <v>435</v>
      </c>
      <c r="N29" s="28" t="s">
        <v>435</v>
      </c>
      <c r="O29" s="28" t="s">
        <v>435</v>
      </c>
      <c r="P29" s="28" t="s">
        <v>435</v>
      </c>
      <c r="Q29" s="28" t="s">
        <v>435</v>
      </c>
      <c r="R29" s="28" t="s">
        <v>435</v>
      </c>
      <c r="S29" s="115" t="s">
        <v>508</v>
      </c>
      <c r="T29" s="80"/>
      <c r="U29" s="28" t="s">
        <v>280</v>
      </c>
      <c r="V29" s="28" t="s">
        <v>435</v>
      </c>
      <c r="W29" s="28" t="s">
        <v>435</v>
      </c>
      <c r="X29" s="28" t="s">
        <v>409</v>
      </c>
      <c r="Y29" s="28" t="s">
        <v>409</v>
      </c>
      <c r="Z29" s="28" t="s">
        <v>280</v>
      </c>
      <c r="AA29" s="28" t="s">
        <v>280</v>
      </c>
      <c r="AB29" s="28" t="s">
        <v>280</v>
      </c>
      <c r="AC29" s="80"/>
      <c r="AD29" s="80"/>
      <c r="AE29" s="80"/>
      <c r="AF29" s="28" t="s">
        <v>280</v>
      </c>
      <c r="AG29" s="28" t="s">
        <v>435</v>
      </c>
      <c r="AH29" s="28" t="s">
        <v>435</v>
      </c>
      <c r="AJ29" s="28" t="s">
        <v>435</v>
      </c>
    </row>
    <row r="30" spans="1:36" ht="15.75" customHeight="1">
      <c r="A30" s="26" t="s">
        <v>133</v>
      </c>
      <c r="B30" s="30">
        <v>0.75</v>
      </c>
      <c r="C30" s="82"/>
      <c r="D30" s="82"/>
      <c r="E30" s="82"/>
      <c r="F30" s="30">
        <f>AVERAGE(0.75,0.75,3)</f>
        <v>1.5</v>
      </c>
      <c r="G30" s="30">
        <v>0.75</v>
      </c>
      <c r="H30" s="30">
        <v>3</v>
      </c>
      <c r="I30" s="30">
        <v>3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2/3</f>
        <v>0.66666666666666663</v>
      </c>
      <c r="T30" s="82"/>
      <c r="U30" s="30">
        <v>0.5</v>
      </c>
      <c r="V30" s="30">
        <v>0.75</v>
      </c>
      <c r="W30" s="30">
        <v>0.75</v>
      </c>
      <c r="X30" s="30">
        <v>0.875</v>
      </c>
      <c r="Y30" s="30">
        <v>0.875</v>
      </c>
      <c r="Z30" s="30">
        <v>0.5</v>
      </c>
      <c r="AA30" s="30">
        <v>0.5</v>
      </c>
      <c r="AB30" s="30">
        <v>0.5</v>
      </c>
      <c r="AC30" s="82"/>
      <c r="AD30" s="82"/>
      <c r="AE30" s="82"/>
      <c r="AF30" s="30">
        <v>0.5</v>
      </c>
      <c r="AG30" s="30">
        <v>0.75</v>
      </c>
      <c r="AH30" s="30">
        <v>0.75</v>
      </c>
      <c r="AJ30" s="30">
        <v>0.75</v>
      </c>
    </row>
    <row r="31" spans="1:36" ht="15.75" customHeight="1">
      <c r="B31" s="78" t="s">
        <v>509</v>
      </c>
      <c r="AJ31" s="78" t="s">
        <v>510</v>
      </c>
    </row>
    <row r="32" spans="1:36">
      <c r="A32" s="31" t="s">
        <v>134</v>
      </c>
    </row>
    <row r="33" spans="1:2">
      <c r="A33" s="226" t="s">
        <v>511</v>
      </c>
      <c r="B33" s="95" t="s">
        <v>512</v>
      </c>
    </row>
    <row r="34" spans="1:2">
      <c r="A34" s="220"/>
      <c r="B34" s="95" t="s">
        <v>513</v>
      </c>
    </row>
    <row r="35" spans="1:2">
      <c r="A35" s="220"/>
      <c r="B35" s="95" t="s">
        <v>514</v>
      </c>
    </row>
    <row r="36" spans="1:2">
      <c r="A36" s="220"/>
      <c r="B36" s="96" t="s">
        <v>515</v>
      </c>
    </row>
  </sheetData>
  <mergeCells count="6">
    <mergeCell ref="F3:O3"/>
    <mergeCell ref="F4:O5"/>
    <mergeCell ref="A33:A36"/>
    <mergeCell ref="B3:D3"/>
    <mergeCell ref="B4:D4"/>
    <mergeCell ref="B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EC59-0495-4144-82A6-2EB8D5335698}">
  <dimension ref="A1:AH33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33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516</v>
      </c>
      <c r="C4" s="203"/>
      <c r="D4" s="203"/>
      <c r="F4" s="204" t="s">
        <v>517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</row>
    <row r="8" spans="1:34">
      <c r="A8" s="26" t="s">
        <v>117</v>
      </c>
      <c r="B8" s="28" t="s">
        <v>118</v>
      </c>
      <c r="C8" s="28" t="s">
        <v>119</v>
      </c>
      <c r="D8" s="28" t="s">
        <v>119</v>
      </c>
      <c r="E8" s="28" t="s">
        <v>119</v>
      </c>
      <c r="F8" s="28" t="s">
        <v>119</v>
      </c>
      <c r="G8" s="28" t="s">
        <v>119</v>
      </c>
      <c r="H8" s="28" t="s">
        <v>119</v>
      </c>
      <c r="I8" s="28" t="s">
        <v>119</v>
      </c>
      <c r="J8" s="28" t="s">
        <v>119</v>
      </c>
      <c r="K8" s="28" t="s">
        <v>119</v>
      </c>
      <c r="L8" s="28" t="s">
        <v>119</v>
      </c>
      <c r="M8" s="28" t="s">
        <v>119</v>
      </c>
      <c r="N8" s="28" t="s">
        <v>119</v>
      </c>
      <c r="O8" s="28" t="s">
        <v>119</v>
      </c>
      <c r="P8" s="28" t="s">
        <v>119</v>
      </c>
      <c r="Q8" s="28" t="s">
        <v>119</v>
      </c>
      <c r="R8" s="28" t="s">
        <v>119</v>
      </c>
      <c r="S8" s="28" t="s">
        <v>119</v>
      </c>
      <c r="T8" s="28" t="s">
        <v>119</v>
      </c>
      <c r="U8" s="28" t="s">
        <v>119</v>
      </c>
      <c r="V8" s="28" t="s">
        <v>119</v>
      </c>
      <c r="W8" s="28" t="s">
        <v>119</v>
      </c>
      <c r="X8" s="28" t="s">
        <v>119</v>
      </c>
      <c r="Y8" s="28" t="s">
        <v>119</v>
      </c>
      <c r="Z8" s="28" t="s">
        <v>119</v>
      </c>
      <c r="AA8" s="28" t="s">
        <v>119</v>
      </c>
      <c r="AB8" s="28" t="s">
        <v>349</v>
      </c>
      <c r="AC8" s="28" t="s">
        <v>349</v>
      </c>
      <c r="AD8" s="28" t="s">
        <v>349</v>
      </c>
      <c r="AE8" s="28" t="s">
        <v>349</v>
      </c>
      <c r="AF8" s="28" t="s">
        <v>119</v>
      </c>
      <c r="AG8" s="28" t="s">
        <v>119</v>
      </c>
      <c r="AH8" s="28" t="s">
        <v>119</v>
      </c>
    </row>
    <row r="9" spans="1:34">
      <c r="A9" s="26" t="s">
        <v>121</v>
      </c>
      <c r="B9" s="28" t="s">
        <v>119</v>
      </c>
      <c r="C9" s="28" t="s">
        <v>119</v>
      </c>
      <c r="D9" s="28" t="s">
        <v>119</v>
      </c>
      <c r="E9" s="28" t="s">
        <v>119</v>
      </c>
      <c r="F9" s="28" t="s">
        <v>119</v>
      </c>
      <c r="G9" s="28" t="s">
        <v>119</v>
      </c>
      <c r="H9" s="28" t="s">
        <v>119</v>
      </c>
      <c r="I9" s="28" t="s">
        <v>119</v>
      </c>
      <c r="J9" s="28" t="s">
        <v>119</v>
      </c>
      <c r="K9" s="28" t="s">
        <v>119</v>
      </c>
      <c r="L9" s="28" t="s">
        <v>119</v>
      </c>
      <c r="M9" s="28" t="s">
        <v>119</v>
      </c>
      <c r="N9" s="28" t="s">
        <v>119</v>
      </c>
      <c r="O9" s="28" t="s">
        <v>119</v>
      </c>
      <c r="P9" s="28" t="s">
        <v>119</v>
      </c>
      <c r="Q9" s="28" t="s">
        <v>119</v>
      </c>
      <c r="R9" s="28" t="s">
        <v>119</v>
      </c>
      <c r="S9" s="28" t="s">
        <v>119</v>
      </c>
      <c r="T9" s="28" t="s">
        <v>119</v>
      </c>
      <c r="U9" s="28" t="s">
        <v>119</v>
      </c>
      <c r="V9" s="28" t="s">
        <v>119</v>
      </c>
      <c r="W9" s="28" t="s">
        <v>119</v>
      </c>
      <c r="X9" s="28" t="s">
        <v>119</v>
      </c>
      <c r="Y9" s="28" t="s">
        <v>119</v>
      </c>
      <c r="Z9" s="28" t="s">
        <v>119</v>
      </c>
      <c r="AA9" s="28" t="s">
        <v>119</v>
      </c>
      <c r="AB9" s="28" t="s">
        <v>349</v>
      </c>
      <c r="AC9" s="28" t="s">
        <v>349</v>
      </c>
      <c r="AD9" s="28" t="s">
        <v>349</v>
      </c>
      <c r="AE9" s="28" t="s">
        <v>349</v>
      </c>
      <c r="AF9" s="28" t="s">
        <v>119</v>
      </c>
      <c r="AG9" s="28" t="s">
        <v>119</v>
      </c>
      <c r="AH9" s="28" t="s">
        <v>119</v>
      </c>
    </row>
    <row r="10" spans="1:34">
      <c r="A10" s="140" t="s">
        <v>122</v>
      </c>
      <c r="B10" s="167">
        <v>2</v>
      </c>
      <c r="C10" s="167">
        <v>2</v>
      </c>
      <c r="D10" s="167">
        <v>2</v>
      </c>
      <c r="E10" s="167">
        <v>2</v>
      </c>
      <c r="F10" s="167">
        <v>2</v>
      </c>
      <c r="G10" s="167">
        <v>2</v>
      </c>
      <c r="H10" s="167">
        <v>2</v>
      </c>
      <c r="I10" s="167">
        <v>2</v>
      </c>
      <c r="J10" s="167">
        <v>2</v>
      </c>
      <c r="K10" s="167">
        <v>2</v>
      </c>
      <c r="L10" s="167">
        <v>2</v>
      </c>
      <c r="M10" s="167">
        <v>2</v>
      </c>
      <c r="N10" s="167">
        <v>2</v>
      </c>
      <c r="O10" s="167">
        <v>2</v>
      </c>
      <c r="P10" s="167">
        <v>2</v>
      </c>
      <c r="Q10" s="167">
        <v>2</v>
      </c>
      <c r="R10" s="167">
        <v>2</v>
      </c>
      <c r="S10" s="167">
        <v>2</v>
      </c>
      <c r="T10" s="167">
        <v>2</v>
      </c>
      <c r="U10" s="167">
        <v>2</v>
      </c>
      <c r="V10" s="167">
        <v>2</v>
      </c>
      <c r="W10" s="167">
        <v>2</v>
      </c>
      <c r="X10" s="167">
        <v>2</v>
      </c>
      <c r="Y10" s="167">
        <v>2</v>
      </c>
      <c r="Z10" s="167">
        <v>2</v>
      </c>
      <c r="AA10" s="167">
        <v>2</v>
      </c>
      <c r="AB10" s="141">
        <v>43</v>
      </c>
      <c r="AC10" s="141">
        <v>43</v>
      </c>
      <c r="AD10" s="141">
        <v>43</v>
      </c>
      <c r="AE10" s="141">
        <v>43</v>
      </c>
      <c r="AF10" s="167">
        <v>2</v>
      </c>
      <c r="AG10" s="167">
        <v>2</v>
      </c>
      <c r="AH10" s="167">
        <v>2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9" t="s">
        <v>124</v>
      </c>
      <c r="AC11" s="29" t="s">
        <v>124</v>
      </c>
      <c r="AD11" s="29" t="s">
        <v>124</v>
      </c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9" t="s">
        <v>124</v>
      </c>
      <c r="C12" s="29" t="s">
        <v>124</v>
      </c>
      <c r="D12" s="29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9" t="s">
        <v>124</v>
      </c>
      <c r="O12" s="29" t="s">
        <v>124</v>
      </c>
      <c r="P12" s="29" t="s">
        <v>124</v>
      </c>
      <c r="Q12" s="29" t="s">
        <v>124</v>
      </c>
      <c r="R12" s="29" t="s">
        <v>124</v>
      </c>
      <c r="S12" s="29" t="s">
        <v>124</v>
      </c>
      <c r="T12" s="29" t="s">
        <v>124</v>
      </c>
      <c r="U12" s="29" t="s">
        <v>124</v>
      </c>
      <c r="V12" s="29" t="s">
        <v>124</v>
      </c>
      <c r="W12" s="29" t="s">
        <v>124</v>
      </c>
      <c r="X12" s="29" t="s">
        <v>124</v>
      </c>
      <c r="Y12" s="29" t="s">
        <v>124</v>
      </c>
      <c r="Z12" s="29" t="s">
        <v>124</v>
      </c>
      <c r="AA12" s="29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9" t="s">
        <v>124</v>
      </c>
      <c r="AG12" s="29" t="s">
        <v>124</v>
      </c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118</v>
      </c>
      <c r="U15" s="28" t="s">
        <v>118</v>
      </c>
      <c r="V15" s="28" t="s">
        <v>118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8" t="s">
        <v>118</v>
      </c>
      <c r="AB15" s="28" t="s">
        <v>118</v>
      </c>
      <c r="AC15" s="28" t="s">
        <v>118</v>
      </c>
      <c r="AD15" s="28" t="s">
        <v>118</v>
      </c>
      <c r="AE15" s="28" t="s">
        <v>118</v>
      </c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2.5</v>
      </c>
      <c r="AC16" s="30">
        <v>2.5</v>
      </c>
      <c r="AD16" s="30">
        <v>2.5</v>
      </c>
      <c r="AE16" s="30">
        <v>2.5</v>
      </c>
      <c r="AF16" s="30">
        <v>3</v>
      </c>
      <c r="AG16" s="30">
        <v>3</v>
      </c>
      <c r="AH16" s="30">
        <v>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180</v>
      </c>
      <c r="AC17" s="28" t="s">
        <v>180</v>
      </c>
      <c r="AD17" s="28" t="s">
        <v>180</v>
      </c>
      <c r="AE17" s="28" t="s">
        <v>180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2</v>
      </c>
      <c r="AC18" s="30">
        <v>2</v>
      </c>
      <c r="AD18" s="30">
        <v>2</v>
      </c>
      <c r="AE18" s="30">
        <v>2</v>
      </c>
      <c r="AF18" s="30">
        <v>4</v>
      </c>
      <c r="AG18" s="30">
        <v>4</v>
      </c>
      <c r="AH18" s="30">
        <v>4</v>
      </c>
    </row>
    <row r="20" spans="1:34">
      <c r="A20" s="26" t="s">
        <v>117</v>
      </c>
      <c r="B20" s="28" t="s">
        <v>394</v>
      </c>
      <c r="C20" s="28" t="s">
        <v>395</v>
      </c>
      <c r="D20" s="28" t="s">
        <v>395</v>
      </c>
      <c r="E20" s="28" t="s">
        <v>395</v>
      </c>
      <c r="F20" s="28" t="s">
        <v>395</v>
      </c>
      <c r="G20" s="28" t="s">
        <v>395</v>
      </c>
      <c r="H20" s="28" t="s">
        <v>395</v>
      </c>
      <c r="I20" s="28" t="s">
        <v>395</v>
      </c>
      <c r="J20" s="28" t="s">
        <v>395</v>
      </c>
      <c r="K20" s="28" t="s">
        <v>395</v>
      </c>
      <c r="L20" s="28" t="s">
        <v>395</v>
      </c>
      <c r="M20" s="28" t="s">
        <v>395</v>
      </c>
      <c r="N20" s="28" t="s">
        <v>395</v>
      </c>
      <c r="O20" s="28" t="s">
        <v>395</v>
      </c>
      <c r="P20" s="28" t="s">
        <v>395</v>
      </c>
      <c r="Q20" s="28" t="s">
        <v>395</v>
      </c>
      <c r="R20" s="28" t="s">
        <v>395</v>
      </c>
      <c r="S20" s="28" t="s">
        <v>395</v>
      </c>
      <c r="T20" s="28" t="s">
        <v>395</v>
      </c>
      <c r="U20" s="28" t="s">
        <v>395</v>
      </c>
      <c r="V20" s="28" t="s">
        <v>395</v>
      </c>
      <c r="W20" s="28" t="s">
        <v>395</v>
      </c>
      <c r="X20" s="28" t="s">
        <v>395</v>
      </c>
      <c r="Y20" s="28" t="s">
        <v>395</v>
      </c>
      <c r="Z20" s="28" t="s">
        <v>395</v>
      </c>
      <c r="AA20" s="28" t="s">
        <v>395</v>
      </c>
      <c r="AB20" s="28" t="s">
        <v>395</v>
      </c>
      <c r="AC20" s="28" t="s">
        <v>395</v>
      </c>
      <c r="AD20" s="28" t="s">
        <v>395</v>
      </c>
      <c r="AE20" s="28" t="s">
        <v>395</v>
      </c>
      <c r="AF20" s="28" t="s">
        <v>395</v>
      </c>
      <c r="AG20" s="28" t="s">
        <v>395</v>
      </c>
      <c r="AH20" s="28" t="s">
        <v>395</v>
      </c>
    </row>
    <row r="21" spans="1:34">
      <c r="A21" s="26" t="s">
        <v>121</v>
      </c>
      <c r="B21" s="29" t="s">
        <v>507</v>
      </c>
      <c r="C21" s="29" t="s">
        <v>507</v>
      </c>
      <c r="D21" s="29" t="s">
        <v>507</v>
      </c>
      <c r="E21" s="29" t="s">
        <v>507</v>
      </c>
      <c r="F21" s="29" t="s">
        <v>507</v>
      </c>
      <c r="G21" s="29" t="s">
        <v>507</v>
      </c>
      <c r="H21" s="29" t="s">
        <v>507</v>
      </c>
      <c r="I21" s="29" t="s">
        <v>507</v>
      </c>
      <c r="J21" s="29" t="s">
        <v>507</v>
      </c>
      <c r="K21" s="29" t="s">
        <v>507</v>
      </c>
      <c r="L21" s="29" t="s">
        <v>507</v>
      </c>
      <c r="M21" s="29" t="s">
        <v>507</v>
      </c>
      <c r="N21" s="115" t="s">
        <v>518</v>
      </c>
      <c r="O21" s="29" t="s">
        <v>507</v>
      </c>
      <c r="P21" s="115" t="s">
        <v>400</v>
      </c>
      <c r="Q21" s="115" t="s">
        <v>400</v>
      </c>
      <c r="R21" s="29" t="s">
        <v>401</v>
      </c>
      <c r="S21" s="115" t="s">
        <v>518</v>
      </c>
      <c r="T21" s="29" t="s">
        <v>507</v>
      </c>
      <c r="U21" s="29" t="s">
        <v>507</v>
      </c>
      <c r="V21" s="29" t="s">
        <v>507</v>
      </c>
      <c r="W21" s="29" t="s">
        <v>507</v>
      </c>
      <c r="X21" s="29" t="s">
        <v>507</v>
      </c>
      <c r="Y21" s="29" t="s">
        <v>507</v>
      </c>
      <c r="Z21" s="29" t="s">
        <v>507</v>
      </c>
      <c r="AA21" s="29" t="s">
        <v>507</v>
      </c>
      <c r="AB21" s="29" t="s">
        <v>507</v>
      </c>
      <c r="AC21" s="29" t="s">
        <v>507</v>
      </c>
      <c r="AD21" s="29" t="s">
        <v>507</v>
      </c>
      <c r="AE21" s="29" t="s">
        <v>507</v>
      </c>
      <c r="AF21" s="29" t="s">
        <v>507</v>
      </c>
      <c r="AG21" s="29" t="s">
        <v>507</v>
      </c>
      <c r="AH21" s="29" t="s">
        <v>507</v>
      </c>
    </row>
    <row r="22" spans="1:34">
      <c r="A22" s="140" t="s">
        <v>122</v>
      </c>
      <c r="B22" s="167">
        <v>83</v>
      </c>
      <c r="C22" s="167">
        <v>83</v>
      </c>
      <c r="D22" s="167">
        <v>83</v>
      </c>
      <c r="E22" s="167">
        <v>83</v>
      </c>
      <c r="F22" s="167">
        <v>83</v>
      </c>
      <c r="G22" s="167">
        <v>83</v>
      </c>
      <c r="H22" s="167">
        <v>83</v>
      </c>
      <c r="I22" s="167">
        <v>83</v>
      </c>
      <c r="J22" s="167">
        <v>83</v>
      </c>
      <c r="K22" s="167">
        <v>83</v>
      </c>
      <c r="L22" s="167">
        <v>83</v>
      </c>
      <c r="M22" s="167">
        <v>83</v>
      </c>
      <c r="N22" s="167">
        <v>143</v>
      </c>
      <c r="O22" s="167">
        <v>83</v>
      </c>
      <c r="P22" s="167">
        <v>142</v>
      </c>
      <c r="Q22" s="167">
        <v>142</v>
      </c>
      <c r="R22" s="167">
        <v>81</v>
      </c>
      <c r="S22" s="167">
        <v>143</v>
      </c>
      <c r="T22" s="167">
        <v>83</v>
      </c>
      <c r="U22" s="167">
        <v>83</v>
      </c>
      <c r="V22" s="167">
        <v>83</v>
      </c>
      <c r="W22" s="167">
        <v>83</v>
      </c>
      <c r="X22" s="167">
        <v>83</v>
      </c>
      <c r="Y22" s="167">
        <v>83</v>
      </c>
      <c r="Z22" s="167">
        <v>83</v>
      </c>
      <c r="AA22" s="167">
        <v>83</v>
      </c>
      <c r="AB22" s="167">
        <v>83</v>
      </c>
      <c r="AC22" s="167">
        <v>83</v>
      </c>
      <c r="AD22" s="167">
        <v>83</v>
      </c>
      <c r="AE22" s="167">
        <v>83</v>
      </c>
      <c r="AF22" s="167">
        <v>83</v>
      </c>
      <c r="AG22" s="167">
        <v>83</v>
      </c>
      <c r="AH22" s="167">
        <v>83</v>
      </c>
    </row>
    <row r="23" spans="1:34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124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28" t="s">
        <v>124</v>
      </c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28" t="s">
        <v>124</v>
      </c>
      <c r="AH23" s="28" t="s">
        <v>124</v>
      </c>
    </row>
    <row r="24" spans="1:34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28" t="s">
        <v>124</v>
      </c>
      <c r="T24" s="28" t="s">
        <v>124</v>
      </c>
      <c r="U24" s="28" t="s">
        <v>124</v>
      </c>
      <c r="V24" s="28" t="s">
        <v>124</v>
      </c>
      <c r="W24" s="28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28" t="s">
        <v>124</v>
      </c>
      <c r="AH24" s="28" t="s">
        <v>124</v>
      </c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28" t="s">
        <v>127</v>
      </c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28" t="s">
        <v>127</v>
      </c>
      <c r="AH25" s="28" t="s">
        <v>127</v>
      </c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 t="s">
        <v>127</v>
      </c>
      <c r="G26" s="28" t="s">
        <v>127</v>
      </c>
      <c r="H26" s="28" t="s">
        <v>127</v>
      </c>
      <c r="I26" s="28" t="s">
        <v>127</v>
      </c>
      <c r="J26" s="28" t="s">
        <v>127</v>
      </c>
      <c r="K26" s="28" t="s">
        <v>127</v>
      </c>
      <c r="L26" s="28" t="s">
        <v>127</v>
      </c>
      <c r="M26" s="28" t="s">
        <v>127</v>
      </c>
      <c r="N26" s="28" t="s">
        <v>127</v>
      </c>
      <c r="O26" s="28" t="s">
        <v>127</v>
      </c>
      <c r="P26" s="28" t="s">
        <v>127</v>
      </c>
      <c r="Q26" s="28" t="s">
        <v>127</v>
      </c>
      <c r="R26" s="28" t="s">
        <v>127</v>
      </c>
      <c r="S26" s="28" t="s">
        <v>127</v>
      </c>
      <c r="T26" s="28" t="s">
        <v>127</v>
      </c>
      <c r="U26" s="28" t="s">
        <v>127</v>
      </c>
      <c r="V26" s="28" t="s">
        <v>127</v>
      </c>
      <c r="W26" s="28" t="s">
        <v>127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28" t="s">
        <v>127</v>
      </c>
      <c r="AH26" s="28" t="s">
        <v>127</v>
      </c>
    </row>
    <row r="27" spans="1:34">
      <c r="A27" s="26" t="s">
        <v>129</v>
      </c>
      <c r="B27" s="28" t="s">
        <v>149</v>
      </c>
      <c r="C27" s="28" t="s">
        <v>149</v>
      </c>
      <c r="D27" s="28" t="s">
        <v>149</v>
      </c>
      <c r="E27" s="28" t="s">
        <v>149</v>
      </c>
      <c r="F27" s="28" t="s">
        <v>149</v>
      </c>
      <c r="G27" s="28" t="s">
        <v>149</v>
      </c>
      <c r="H27" s="28" t="s">
        <v>149</v>
      </c>
      <c r="I27" s="28" t="s">
        <v>149</v>
      </c>
      <c r="J27" s="28" t="s">
        <v>149</v>
      </c>
      <c r="K27" s="28" t="s">
        <v>149</v>
      </c>
      <c r="L27" s="28" t="s">
        <v>149</v>
      </c>
      <c r="M27" s="28" t="s">
        <v>149</v>
      </c>
      <c r="N27" s="115" t="s">
        <v>407</v>
      </c>
      <c r="O27" s="28" t="s">
        <v>149</v>
      </c>
      <c r="P27" s="28" t="s">
        <v>408</v>
      </c>
      <c r="Q27" s="28" t="s">
        <v>408</v>
      </c>
      <c r="R27" s="28" t="s">
        <v>408</v>
      </c>
      <c r="S27" s="115" t="s">
        <v>407</v>
      </c>
      <c r="T27" s="28" t="s">
        <v>149</v>
      </c>
      <c r="U27" s="28" t="s">
        <v>149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149</v>
      </c>
      <c r="AA27" s="28" t="s">
        <v>149</v>
      </c>
      <c r="AB27" s="28" t="s">
        <v>149</v>
      </c>
      <c r="AC27" s="28" t="s">
        <v>149</v>
      </c>
      <c r="AD27" s="28" t="s">
        <v>149</v>
      </c>
      <c r="AE27" s="28" t="s">
        <v>149</v>
      </c>
      <c r="AF27" s="28" t="s">
        <v>149</v>
      </c>
      <c r="AG27" s="28" t="s">
        <v>149</v>
      </c>
      <c r="AH27" s="28" t="s">
        <v>149</v>
      </c>
    </row>
    <row r="28" spans="1:34">
      <c r="A28" s="26" t="s">
        <v>130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v>0.75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0.75</v>
      </c>
      <c r="AF28" s="30">
        <v>0.75</v>
      </c>
      <c r="AG28" s="30">
        <v>0.75</v>
      </c>
      <c r="AH28" s="30">
        <v>0.75</v>
      </c>
    </row>
    <row r="29" spans="1:34">
      <c r="A29" s="26" t="s">
        <v>131</v>
      </c>
      <c r="B29" s="28" t="s">
        <v>409</v>
      </c>
      <c r="C29" s="28" t="s">
        <v>409</v>
      </c>
      <c r="D29" s="28" t="s">
        <v>409</v>
      </c>
      <c r="E29" s="28" t="s">
        <v>409</v>
      </c>
      <c r="F29" s="28" t="s">
        <v>409</v>
      </c>
      <c r="G29" s="28" t="s">
        <v>409</v>
      </c>
      <c r="H29" s="28" t="s">
        <v>409</v>
      </c>
      <c r="I29" s="28" t="s">
        <v>409</v>
      </c>
      <c r="J29" s="28" t="s">
        <v>409</v>
      </c>
      <c r="K29" s="28" t="s">
        <v>409</v>
      </c>
      <c r="L29" s="28" t="s">
        <v>409</v>
      </c>
      <c r="M29" s="28" t="s">
        <v>409</v>
      </c>
      <c r="N29" s="28" t="s">
        <v>409</v>
      </c>
      <c r="O29" s="28" t="s">
        <v>409</v>
      </c>
      <c r="P29" s="115" t="s">
        <v>411</v>
      </c>
      <c r="Q29" s="115" t="s">
        <v>411</v>
      </c>
      <c r="R29" s="28" t="s">
        <v>409</v>
      </c>
      <c r="S29" s="28" t="s">
        <v>409</v>
      </c>
      <c r="T29" s="28" t="s">
        <v>409</v>
      </c>
      <c r="U29" s="28" t="s">
        <v>409</v>
      </c>
      <c r="V29" s="28" t="s">
        <v>409</v>
      </c>
      <c r="W29" s="28" t="s">
        <v>409</v>
      </c>
      <c r="X29" s="28" t="s">
        <v>409</v>
      </c>
      <c r="Y29" s="28" t="s">
        <v>409</v>
      </c>
      <c r="Z29" s="28" t="s">
        <v>409</v>
      </c>
      <c r="AA29" s="28" t="s">
        <v>409</v>
      </c>
      <c r="AB29" s="28" t="s">
        <v>409</v>
      </c>
      <c r="AC29" s="28" t="s">
        <v>409</v>
      </c>
      <c r="AD29" s="28" t="s">
        <v>409</v>
      </c>
      <c r="AE29" s="28" t="s">
        <v>409</v>
      </c>
      <c r="AF29" s="28" t="s">
        <v>409</v>
      </c>
      <c r="AG29" s="28" t="s">
        <v>409</v>
      </c>
      <c r="AH29" s="28" t="s">
        <v>409</v>
      </c>
    </row>
    <row r="30" spans="1:34">
      <c r="A30" s="26" t="s">
        <v>133</v>
      </c>
      <c r="B30" s="30">
        <v>0.875</v>
      </c>
      <c r="C30" s="30">
        <v>0.875</v>
      </c>
      <c r="D30" s="30">
        <v>0.875</v>
      </c>
      <c r="E30" s="30">
        <v>0.875</v>
      </c>
      <c r="F30" s="30">
        <v>0.875</v>
      </c>
      <c r="G30" s="30">
        <v>0.875</v>
      </c>
      <c r="H30" s="30">
        <v>0.875</v>
      </c>
      <c r="I30" s="30">
        <v>0.875</v>
      </c>
      <c r="J30" s="30">
        <v>0.875</v>
      </c>
      <c r="K30" s="30">
        <v>0.875</v>
      </c>
      <c r="L30" s="30">
        <v>0.875</v>
      </c>
      <c r="M30" s="30">
        <v>0.875</v>
      </c>
      <c r="N30" s="30">
        <f>AVERAGE(0.875,0.875,1.25)</f>
        <v>1</v>
      </c>
      <c r="O30" s="30">
        <v>0.875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AVERAGE(0.875,0.875,1.25)</f>
        <v>1</v>
      </c>
      <c r="T30" s="30">
        <v>0.875</v>
      </c>
      <c r="U30" s="30">
        <v>0.875</v>
      </c>
      <c r="V30" s="30">
        <v>0.875</v>
      </c>
      <c r="W30" s="30">
        <v>0.875</v>
      </c>
      <c r="X30" s="30">
        <v>0.875</v>
      </c>
      <c r="Y30" s="30">
        <v>0.875</v>
      </c>
      <c r="Z30" s="30">
        <v>0.875</v>
      </c>
      <c r="AA30" s="30">
        <v>0.875</v>
      </c>
      <c r="AB30" s="30">
        <v>0.875</v>
      </c>
      <c r="AC30" s="30">
        <v>0.875</v>
      </c>
      <c r="AD30" s="30">
        <v>0.875</v>
      </c>
      <c r="AE30" s="30">
        <v>0.875</v>
      </c>
      <c r="AF30" s="30">
        <v>0.875</v>
      </c>
      <c r="AG30" s="30">
        <v>0.875</v>
      </c>
      <c r="AH30" s="30">
        <v>0.875</v>
      </c>
    </row>
    <row r="32" spans="1:34">
      <c r="A32" s="31" t="s">
        <v>134</v>
      </c>
    </row>
    <row r="33" spans="1:2">
      <c r="A33" s="26" t="s">
        <v>519</v>
      </c>
      <c r="B33" s="93" t="s">
        <v>520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5E6E-19C7-48C8-974D-55A435DD93AF}">
  <dimension ref="A1:AR37"/>
  <sheetViews>
    <sheetView topLeftCell="A12" workbookViewId="0">
      <selection activeCell="F20" sqref="F20:F3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44">
      <c r="A1" s="25" t="s">
        <v>74</v>
      </c>
      <c r="D1" s="25" t="s">
        <v>75</v>
      </c>
      <c r="I1" s="25" t="s">
        <v>495</v>
      </c>
    </row>
    <row r="3" spans="1:44" ht="17.45">
      <c r="A3" s="25" t="s">
        <v>77</v>
      </c>
      <c r="B3" s="203">
        <v>34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4" ht="17.45">
      <c r="A4" s="25" t="s">
        <v>79</v>
      </c>
      <c r="B4" s="203" t="s">
        <v>521</v>
      </c>
      <c r="C4" s="203"/>
      <c r="D4" s="203"/>
      <c r="F4" s="204" t="s">
        <v>522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4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  <c r="AJ7" s="57" t="s">
        <v>6</v>
      </c>
      <c r="AL7" s="58" t="s">
        <v>85</v>
      </c>
      <c r="AM7" s="58" t="s">
        <v>86</v>
      </c>
      <c r="AN7" s="59" t="s">
        <v>87</v>
      </c>
      <c r="AO7" s="60" t="s">
        <v>88</v>
      </c>
      <c r="AP7" s="61" t="s">
        <v>89</v>
      </c>
      <c r="AQ7" s="61" t="s">
        <v>90</v>
      </c>
      <c r="AR7" s="62" t="s">
        <v>91</v>
      </c>
    </row>
    <row r="8" spans="1:44">
      <c r="A8" s="26" t="s">
        <v>117</v>
      </c>
      <c r="B8" s="28" t="s">
        <v>118</v>
      </c>
      <c r="C8" s="28" t="s">
        <v>119</v>
      </c>
      <c r="D8" s="28" t="s">
        <v>119</v>
      </c>
      <c r="E8" s="28" t="s">
        <v>119</v>
      </c>
      <c r="F8" s="28" t="s">
        <v>119</v>
      </c>
      <c r="G8" s="28" t="s">
        <v>119</v>
      </c>
      <c r="H8" s="28" t="s">
        <v>119</v>
      </c>
      <c r="I8" s="28" t="s">
        <v>119</v>
      </c>
      <c r="J8" s="28" t="s">
        <v>119</v>
      </c>
      <c r="K8" s="28" t="s">
        <v>119</v>
      </c>
      <c r="L8" s="28" t="s">
        <v>119</v>
      </c>
      <c r="M8" s="28" t="s">
        <v>119</v>
      </c>
      <c r="N8" s="28" t="s">
        <v>119</v>
      </c>
      <c r="O8" s="28" t="s">
        <v>119</v>
      </c>
      <c r="P8" s="28" t="s">
        <v>119</v>
      </c>
      <c r="Q8" s="28" t="s">
        <v>119</v>
      </c>
      <c r="R8" s="28" t="s">
        <v>119</v>
      </c>
      <c r="S8" s="28" t="s">
        <v>119</v>
      </c>
      <c r="T8" s="28" t="s">
        <v>294</v>
      </c>
      <c r="U8" s="28" t="s">
        <v>119</v>
      </c>
      <c r="V8" s="28" t="s">
        <v>119</v>
      </c>
      <c r="W8" s="28" t="s">
        <v>119</v>
      </c>
      <c r="X8" s="28" t="s">
        <v>119</v>
      </c>
      <c r="Y8" s="28" t="s">
        <v>119</v>
      </c>
      <c r="Z8" s="28" t="s">
        <v>119</v>
      </c>
      <c r="AA8" s="28" t="s">
        <v>119</v>
      </c>
      <c r="AB8" s="28" t="s">
        <v>119</v>
      </c>
      <c r="AC8" s="80"/>
      <c r="AD8" s="80"/>
      <c r="AE8" s="80"/>
      <c r="AF8" s="28" t="s">
        <v>119</v>
      </c>
      <c r="AG8" s="28" t="s">
        <v>119</v>
      </c>
      <c r="AH8" s="28" t="s">
        <v>119</v>
      </c>
      <c r="AJ8" s="28" t="s">
        <v>118</v>
      </c>
      <c r="AL8" s="80"/>
      <c r="AM8" s="80"/>
      <c r="AN8" s="80"/>
      <c r="AO8" s="80"/>
      <c r="AP8" s="80"/>
      <c r="AQ8" s="80"/>
      <c r="AR8" s="80"/>
    </row>
    <row r="9" spans="1:44">
      <c r="A9" s="26" t="s">
        <v>121</v>
      </c>
      <c r="B9" s="28" t="s">
        <v>119</v>
      </c>
      <c r="C9" s="28" t="s">
        <v>119</v>
      </c>
      <c r="D9" s="28" t="s">
        <v>119</v>
      </c>
      <c r="E9" s="28" t="s">
        <v>119</v>
      </c>
      <c r="F9" s="28" t="s">
        <v>119</v>
      </c>
      <c r="G9" s="28" t="s">
        <v>119</v>
      </c>
      <c r="H9" s="28" t="s">
        <v>119</v>
      </c>
      <c r="I9" s="28" t="s">
        <v>119</v>
      </c>
      <c r="J9" s="28" t="s">
        <v>119</v>
      </c>
      <c r="K9" s="28" t="s">
        <v>119</v>
      </c>
      <c r="L9" s="28" t="s">
        <v>119</v>
      </c>
      <c r="M9" s="28" t="s">
        <v>119</v>
      </c>
      <c r="N9" s="28" t="s">
        <v>119</v>
      </c>
      <c r="O9" s="28" t="s">
        <v>119</v>
      </c>
      <c r="P9" s="28" t="s">
        <v>119</v>
      </c>
      <c r="Q9" s="28" t="s">
        <v>119</v>
      </c>
      <c r="R9" s="28" t="s">
        <v>119</v>
      </c>
      <c r="S9" s="28" t="s">
        <v>119</v>
      </c>
      <c r="T9" s="29" t="s">
        <v>178</v>
      </c>
      <c r="U9" s="28" t="s">
        <v>119</v>
      </c>
      <c r="V9" s="28" t="s">
        <v>119</v>
      </c>
      <c r="W9" s="28" t="s">
        <v>119</v>
      </c>
      <c r="X9" s="28" t="s">
        <v>119</v>
      </c>
      <c r="Y9" s="28" t="s">
        <v>119</v>
      </c>
      <c r="Z9" s="28" t="s">
        <v>119</v>
      </c>
      <c r="AA9" s="28" t="s">
        <v>119</v>
      </c>
      <c r="AB9" s="28" t="s">
        <v>119</v>
      </c>
      <c r="AC9" s="81"/>
      <c r="AD9" s="81"/>
      <c r="AE9" s="81"/>
      <c r="AF9" s="28" t="s">
        <v>119</v>
      </c>
      <c r="AG9" s="28" t="s">
        <v>119</v>
      </c>
      <c r="AH9" s="28" t="s">
        <v>119</v>
      </c>
      <c r="AJ9" s="28" t="s">
        <v>119</v>
      </c>
      <c r="AL9" s="81"/>
      <c r="AM9" s="81"/>
      <c r="AN9" s="81"/>
      <c r="AO9" s="81"/>
      <c r="AP9" s="81"/>
      <c r="AQ9" s="81"/>
      <c r="AR9" s="81"/>
    </row>
    <row r="10" spans="1:44">
      <c r="A10" s="140" t="s">
        <v>122</v>
      </c>
      <c r="B10" s="167">
        <v>2</v>
      </c>
      <c r="C10" s="167">
        <v>2</v>
      </c>
      <c r="D10" s="167">
        <v>2</v>
      </c>
      <c r="E10" s="167">
        <v>2</v>
      </c>
      <c r="F10" s="167">
        <v>2</v>
      </c>
      <c r="G10" s="167">
        <v>2</v>
      </c>
      <c r="H10" s="167">
        <v>2</v>
      </c>
      <c r="I10" s="167">
        <v>2</v>
      </c>
      <c r="J10" s="167">
        <v>2</v>
      </c>
      <c r="K10" s="167">
        <v>2</v>
      </c>
      <c r="L10" s="167">
        <v>2</v>
      </c>
      <c r="M10" s="167">
        <v>2</v>
      </c>
      <c r="N10" s="167">
        <v>2</v>
      </c>
      <c r="O10" s="167">
        <v>2</v>
      </c>
      <c r="P10" s="167">
        <v>2</v>
      </c>
      <c r="Q10" s="167">
        <v>2</v>
      </c>
      <c r="R10" s="167">
        <v>2</v>
      </c>
      <c r="S10" s="167">
        <v>2</v>
      </c>
      <c r="T10" s="167">
        <v>35</v>
      </c>
      <c r="U10" s="167">
        <v>2</v>
      </c>
      <c r="V10" s="167">
        <v>2</v>
      </c>
      <c r="W10" s="167">
        <v>2</v>
      </c>
      <c r="X10" s="167">
        <v>2</v>
      </c>
      <c r="Y10" s="167">
        <v>2</v>
      </c>
      <c r="Z10" s="167">
        <v>2</v>
      </c>
      <c r="AA10" s="167">
        <v>2</v>
      </c>
      <c r="AB10" s="167">
        <v>2</v>
      </c>
      <c r="AC10" s="174"/>
      <c r="AD10" s="174"/>
      <c r="AE10" s="174"/>
      <c r="AF10" s="167">
        <v>2</v>
      </c>
      <c r="AG10" s="167">
        <v>2</v>
      </c>
      <c r="AH10" s="167">
        <v>2</v>
      </c>
      <c r="AJ10" s="167">
        <v>2</v>
      </c>
      <c r="AL10" s="174"/>
      <c r="AM10" s="174"/>
      <c r="AN10" s="174"/>
      <c r="AO10" s="174"/>
      <c r="AP10" s="174"/>
      <c r="AQ10" s="174"/>
      <c r="AR10" s="174"/>
    </row>
    <row r="11" spans="1:4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9" t="s">
        <v>124</v>
      </c>
      <c r="AC11" s="81"/>
      <c r="AD11" s="81"/>
      <c r="AE11" s="81"/>
      <c r="AF11" s="29" t="s">
        <v>124</v>
      </c>
      <c r="AG11" s="29" t="s">
        <v>124</v>
      </c>
      <c r="AH11" s="29" t="s">
        <v>124</v>
      </c>
      <c r="AJ11" s="29" t="s">
        <v>124</v>
      </c>
      <c r="AL11" s="81"/>
      <c r="AM11" s="81"/>
      <c r="AN11" s="81"/>
      <c r="AO11" s="81"/>
      <c r="AP11" s="81"/>
      <c r="AQ11" s="81"/>
      <c r="AR11" s="81"/>
    </row>
    <row r="12" spans="1:44">
      <c r="A12" s="26" t="s">
        <v>125</v>
      </c>
      <c r="B12" s="29" t="s">
        <v>124</v>
      </c>
      <c r="C12" s="29" t="s">
        <v>124</v>
      </c>
      <c r="D12" s="29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9" t="s">
        <v>124</v>
      </c>
      <c r="O12" s="29" t="s">
        <v>124</v>
      </c>
      <c r="P12" s="29" t="s">
        <v>124</v>
      </c>
      <c r="Q12" s="29" t="s">
        <v>124</v>
      </c>
      <c r="R12" s="29" t="s">
        <v>124</v>
      </c>
      <c r="S12" s="29" t="s">
        <v>124</v>
      </c>
      <c r="T12" s="29" t="s">
        <v>124</v>
      </c>
      <c r="U12" s="29" t="s">
        <v>124</v>
      </c>
      <c r="V12" s="29" t="s">
        <v>124</v>
      </c>
      <c r="W12" s="29" t="s">
        <v>124</v>
      </c>
      <c r="X12" s="29" t="s">
        <v>124</v>
      </c>
      <c r="Y12" s="29" t="s">
        <v>124</v>
      </c>
      <c r="Z12" s="29" t="s">
        <v>124</v>
      </c>
      <c r="AA12" s="29" t="s">
        <v>124</v>
      </c>
      <c r="AB12" s="29" t="s">
        <v>124</v>
      </c>
      <c r="AC12" s="80"/>
      <c r="AD12" s="80"/>
      <c r="AE12" s="80"/>
      <c r="AF12" s="29" t="s">
        <v>124</v>
      </c>
      <c r="AG12" s="29" t="s">
        <v>124</v>
      </c>
      <c r="AH12" s="29" t="s">
        <v>124</v>
      </c>
      <c r="AJ12" s="29" t="s">
        <v>124</v>
      </c>
      <c r="AL12" s="80"/>
      <c r="AM12" s="80"/>
      <c r="AN12" s="80"/>
      <c r="AO12" s="80"/>
      <c r="AP12" s="80"/>
      <c r="AQ12" s="80"/>
      <c r="AR12" s="80"/>
    </row>
    <row r="13" spans="1:4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124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80"/>
      <c r="AD13" s="80"/>
      <c r="AE13" s="80"/>
      <c r="AF13" s="28" t="s">
        <v>127</v>
      </c>
      <c r="AG13" s="28" t="s">
        <v>127</v>
      </c>
      <c r="AH13" s="28" t="s">
        <v>127</v>
      </c>
      <c r="AJ13" s="28" t="s">
        <v>127</v>
      </c>
      <c r="AL13" s="80"/>
      <c r="AM13" s="80"/>
      <c r="AN13" s="80"/>
      <c r="AO13" s="80"/>
      <c r="AP13" s="80"/>
      <c r="AQ13" s="80"/>
      <c r="AR13" s="80"/>
    </row>
    <row r="14" spans="1:4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80"/>
      <c r="AD14" s="80"/>
      <c r="AE14" s="80"/>
      <c r="AF14" s="28" t="s">
        <v>127</v>
      </c>
      <c r="AG14" s="28" t="s">
        <v>127</v>
      </c>
      <c r="AH14" s="28" t="s">
        <v>127</v>
      </c>
      <c r="AJ14" s="28" t="s">
        <v>127</v>
      </c>
      <c r="AL14" s="80"/>
      <c r="AM14" s="80"/>
      <c r="AN14" s="80"/>
      <c r="AO14" s="80"/>
      <c r="AP14" s="80"/>
      <c r="AQ14" s="80"/>
      <c r="AR14" s="80"/>
    </row>
    <row r="15" spans="1:4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150</v>
      </c>
      <c r="U15" s="28" t="s">
        <v>118</v>
      </c>
      <c r="V15" s="28" t="s">
        <v>118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8" t="s">
        <v>118</v>
      </c>
      <c r="AB15" s="28" t="s">
        <v>118</v>
      </c>
      <c r="AC15" s="80"/>
      <c r="AD15" s="80"/>
      <c r="AE15" s="80"/>
      <c r="AF15" s="28" t="s">
        <v>118</v>
      </c>
      <c r="AG15" s="28" t="s">
        <v>118</v>
      </c>
      <c r="AH15" s="28" t="s">
        <v>118</v>
      </c>
      <c r="AJ15" s="28" t="s">
        <v>118</v>
      </c>
      <c r="AL15" s="80"/>
      <c r="AM15" s="80"/>
      <c r="AN15" s="80"/>
      <c r="AO15" s="80"/>
      <c r="AP15" s="80"/>
      <c r="AQ15" s="80"/>
      <c r="AR15" s="80"/>
    </row>
    <row r="16" spans="1:4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128">
        <v>-0.5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3</v>
      </c>
      <c r="AC16" s="82"/>
      <c r="AD16" s="82"/>
      <c r="AE16" s="82"/>
      <c r="AF16" s="30">
        <v>3</v>
      </c>
      <c r="AG16" s="30">
        <v>3</v>
      </c>
      <c r="AH16" s="30">
        <v>3</v>
      </c>
      <c r="AJ16" s="30">
        <v>3</v>
      </c>
      <c r="AL16" s="82"/>
      <c r="AM16" s="82"/>
      <c r="AN16" s="82"/>
      <c r="AO16" s="82"/>
      <c r="AP16" s="82"/>
      <c r="AQ16" s="82"/>
      <c r="AR16" s="82"/>
    </row>
    <row r="17" spans="1:4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151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80"/>
      <c r="AD17" s="80"/>
      <c r="AE17" s="80"/>
      <c r="AF17" s="28" t="s">
        <v>132</v>
      </c>
      <c r="AG17" s="28" t="s">
        <v>132</v>
      </c>
      <c r="AH17" s="28" t="s">
        <v>132</v>
      </c>
      <c r="AJ17" s="28" t="s">
        <v>132</v>
      </c>
      <c r="AL17" s="80"/>
      <c r="AM17" s="80"/>
      <c r="AN17" s="80"/>
      <c r="AO17" s="80"/>
      <c r="AP17" s="80"/>
      <c r="AQ17" s="80"/>
      <c r="AR17" s="80"/>
    </row>
    <row r="18" spans="1:4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3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82"/>
      <c r="AD18" s="82"/>
      <c r="AE18" s="82"/>
      <c r="AF18" s="30">
        <v>4</v>
      </c>
      <c r="AG18" s="30">
        <v>4</v>
      </c>
      <c r="AH18" s="30">
        <v>4</v>
      </c>
      <c r="AJ18" s="30">
        <v>4</v>
      </c>
      <c r="AL18" s="82"/>
      <c r="AM18" s="82"/>
      <c r="AN18" s="82"/>
      <c r="AO18" s="82"/>
      <c r="AP18" s="82"/>
      <c r="AQ18" s="82"/>
      <c r="AR18" s="82"/>
    </row>
    <row r="20" spans="1:44">
      <c r="A20" s="26" t="s">
        <v>117</v>
      </c>
      <c r="B20" s="28" t="s">
        <v>409</v>
      </c>
      <c r="C20" s="28" t="s">
        <v>395</v>
      </c>
      <c r="D20" s="28" t="s">
        <v>395</v>
      </c>
      <c r="E20" s="28" t="s">
        <v>395</v>
      </c>
      <c r="F20" s="86" t="s">
        <v>419</v>
      </c>
      <c r="G20" s="86" t="s">
        <v>419</v>
      </c>
      <c r="H20" s="28" t="s">
        <v>419</v>
      </c>
      <c r="I20" s="28" t="s">
        <v>419</v>
      </c>
      <c r="J20" s="115" t="s">
        <v>421</v>
      </c>
      <c r="K20" s="28" t="s">
        <v>419</v>
      </c>
      <c r="L20" s="28" t="s">
        <v>419</v>
      </c>
      <c r="M20" s="28" t="s">
        <v>419</v>
      </c>
      <c r="N20" s="28" t="s">
        <v>419</v>
      </c>
      <c r="O20" s="28" t="s">
        <v>419</v>
      </c>
      <c r="P20" s="28" t="s">
        <v>419</v>
      </c>
      <c r="Q20" s="28" t="s">
        <v>419</v>
      </c>
      <c r="R20" s="28" t="s">
        <v>419</v>
      </c>
      <c r="S20" s="28" t="s">
        <v>501</v>
      </c>
      <c r="T20" s="80"/>
      <c r="U20" s="28" t="s">
        <v>502</v>
      </c>
      <c r="V20" s="28" t="s">
        <v>419</v>
      </c>
      <c r="W20" s="28" t="s">
        <v>419</v>
      </c>
      <c r="X20" s="28" t="s">
        <v>395</v>
      </c>
      <c r="Y20" s="28" t="s">
        <v>395</v>
      </c>
      <c r="Z20" s="28" t="s">
        <v>502</v>
      </c>
      <c r="AA20" s="28" t="s">
        <v>502</v>
      </c>
      <c r="AB20" s="28" t="s">
        <v>502</v>
      </c>
      <c r="AC20" s="28" t="s">
        <v>269</v>
      </c>
      <c r="AD20" s="28" t="s">
        <v>269</v>
      </c>
      <c r="AE20" s="28" t="s">
        <v>269</v>
      </c>
      <c r="AF20" s="28" t="s">
        <v>502</v>
      </c>
      <c r="AG20" s="28" t="s">
        <v>419</v>
      </c>
      <c r="AH20" s="28" t="s">
        <v>419</v>
      </c>
      <c r="AJ20" s="28" t="s">
        <v>409</v>
      </c>
      <c r="AL20" s="28" t="s">
        <v>419</v>
      </c>
      <c r="AM20" s="28" t="s">
        <v>419</v>
      </c>
      <c r="AN20" s="86" t="s">
        <v>419</v>
      </c>
      <c r="AO20" s="86" t="s">
        <v>419</v>
      </c>
      <c r="AP20" s="86" t="s">
        <v>419</v>
      </c>
      <c r="AQ20" s="28" t="s">
        <v>419</v>
      </c>
      <c r="AR20" s="28" t="s">
        <v>419</v>
      </c>
    </row>
    <row r="21" spans="1:44">
      <c r="A21" s="26" t="s">
        <v>121</v>
      </c>
      <c r="B21" s="28" t="s">
        <v>425</v>
      </c>
      <c r="C21" s="29" t="s">
        <v>507</v>
      </c>
      <c r="D21" s="29" t="s">
        <v>507</v>
      </c>
      <c r="E21" s="29" t="s">
        <v>507</v>
      </c>
      <c r="F21" s="29" t="s">
        <v>419</v>
      </c>
      <c r="G21" s="29" t="s">
        <v>419</v>
      </c>
      <c r="H21" s="29" t="s">
        <v>419</v>
      </c>
      <c r="I21" s="29" t="s">
        <v>419</v>
      </c>
      <c r="J21" s="115" t="s">
        <v>427</v>
      </c>
      <c r="K21" s="29" t="s">
        <v>419</v>
      </c>
      <c r="L21" s="28" t="s">
        <v>504</v>
      </c>
      <c r="M21" s="28" t="s">
        <v>505</v>
      </c>
      <c r="N21" s="29" t="s">
        <v>419</v>
      </c>
      <c r="O21" s="29" t="s">
        <v>419</v>
      </c>
      <c r="P21" s="29" t="s">
        <v>419</v>
      </c>
      <c r="Q21" s="29" t="s">
        <v>419</v>
      </c>
      <c r="R21" s="29" t="s">
        <v>419</v>
      </c>
      <c r="S21" s="113" t="s">
        <v>506</v>
      </c>
      <c r="T21" s="81"/>
      <c r="U21" s="28" t="s">
        <v>269</v>
      </c>
      <c r="V21" s="29" t="s">
        <v>419</v>
      </c>
      <c r="W21" s="29" t="s">
        <v>419</v>
      </c>
      <c r="X21" s="28" t="s">
        <v>507</v>
      </c>
      <c r="Y21" s="28" t="s">
        <v>507</v>
      </c>
      <c r="Z21" s="28" t="s">
        <v>269</v>
      </c>
      <c r="AA21" s="28" t="s">
        <v>269</v>
      </c>
      <c r="AB21" s="28" t="s">
        <v>269</v>
      </c>
      <c r="AC21" s="28" t="s">
        <v>269</v>
      </c>
      <c r="AD21" s="28" t="s">
        <v>269</v>
      </c>
      <c r="AE21" s="28" t="s">
        <v>269</v>
      </c>
      <c r="AF21" s="28" t="s">
        <v>269</v>
      </c>
      <c r="AG21" s="29" t="s">
        <v>419</v>
      </c>
      <c r="AH21" s="29" t="s">
        <v>419</v>
      </c>
      <c r="AJ21" s="28" t="s">
        <v>430</v>
      </c>
      <c r="AL21" s="28" t="s">
        <v>425</v>
      </c>
      <c r="AM21" s="28" t="s">
        <v>419</v>
      </c>
      <c r="AN21" s="29" t="s">
        <v>419</v>
      </c>
      <c r="AO21" s="29" t="s">
        <v>419</v>
      </c>
      <c r="AP21" s="29" t="s">
        <v>419</v>
      </c>
      <c r="AQ21" s="29" t="s">
        <v>419</v>
      </c>
      <c r="AR21" s="29" t="s">
        <v>419</v>
      </c>
    </row>
    <row r="22" spans="1:44">
      <c r="A22" s="140" t="s">
        <v>122</v>
      </c>
      <c r="B22" s="167">
        <v>87</v>
      </c>
      <c r="C22" s="167">
        <v>83</v>
      </c>
      <c r="D22" s="167">
        <v>83</v>
      </c>
      <c r="E22" s="167">
        <v>83</v>
      </c>
      <c r="F22" s="167">
        <v>85</v>
      </c>
      <c r="G22" s="167">
        <v>85</v>
      </c>
      <c r="H22" s="167">
        <v>85</v>
      </c>
      <c r="I22" s="167">
        <v>85</v>
      </c>
      <c r="J22" s="167">
        <v>130</v>
      </c>
      <c r="K22" s="167">
        <v>85</v>
      </c>
      <c r="L22" s="167">
        <v>87</v>
      </c>
      <c r="M22" s="167">
        <v>140</v>
      </c>
      <c r="N22" s="167">
        <v>85</v>
      </c>
      <c r="O22" s="167">
        <v>85</v>
      </c>
      <c r="P22" s="167">
        <v>85</v>
      </c>
      <c r="Q22" s="167">
        <v>85</v>
      </c>
      <c r="R22" s="167">
        <v>85</v>
      </c>
      <c r="S22" s="167">
        <v>133</v>
      </c>
      <c r="T22" s="174"/>
      <c r="U22" s="167">
        <v>98</v>
      </c>
      <c r="V22" s="167">
        <v>85</v>
      </c>
      <c r="W22" s="167">
        <v>85</v>
      </c>
      <c r="X22" s="167">
        <v>83</v>
      </c>
      <c r="Y22" s="167">
        <v>83</v>
      </c>
      <c r="Z22" s="167">
        <v>98</v>
      </c>
      <c r="AA22" s="167">
        <v>98</v>
      </c>
      <c r="AB22" s="167">
        <v>98</v>
      </c>
      <c r="AC22" s="167">
        <v>98</v>
      </c>
      <c r="AD22" s="167">
        <v>98</v>
      </c>
      <c r="AE22" s="167">
        <v>98</v>
      </c>
      <c r="AF22" s="167">
        <v>98</v>
      </c>
      <c r="AG22" s="167">
        <v>85</v>
      </c>
      <c r="AH22" s="167">
        <v>85</v>
      </c>
      <c r="AJ22" s="167">
        <v>139</v>
      </c>
      <c r="AL22" s="167">
        <v>87</v>
      </c>
      <c r="AM22" s="167">
        <v>85</v>
      </c>
      <c r="AN22" s="167">
        <v>85</v>
      </c>
      <c r="AO22" s="167">
        <v>85</v>
      </c>
      <c r="AP22" s="167">
        <v>85</v>
      </c>
      <c r="AQ22" s="167">
        <v>85</v>
      </c>
      <c r="AR22" s="167">
        <v>85</v>
      </c>
    </row>
    <row r="23" spans="1:44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124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80"/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28" t="s">
        <v>124</v>
      </c>
      <c r="AH23" s="28" t="s">
        <v>124</v>
      </c>
      <c r="AJ23" s="28" t="s">
        <v>124</v>
      </c>
      <c r="AL23" s="28" t="s">
        <v>124</v>
      </c>
      <c r="AM23" s="28" t="s">
        <v>124</v>
      </c>
      <c r="AN23" s="28" t="s">
        <v>124</v>
      </c>
      <c r="AO23" s="28" t="s">
        <v>124</v>
      </c>
      <c r="AP23" s="28" t="s">
        <v>124</v>
      </c>
      <c r="AQ23" s="28" t="s">
        <v>124</v>
      </c>
      <c r="AR23" s="28" t="s">
        <v>124</v>
      </c>
    </row>
    <row r="24" spans="1:44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87" t="s">
        <v>124</v>
      </c>
      <c r="T24" s="80"/>
      <c r="U24" s="28" t="s">
        <v>124</v>
      </c>
      <c r="V24" s="28" t="s">
        <v>124</v>
      </c>
      <c r="W24" s="28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28" t="s">
        <v>124</v>
      </c>
      <c r="AH24" s="28" t="s">
        <v>124</v>
      </c>
      <c r="AJ24" s="28" t="s">
        <v>124</v>
      </c>
      <c r="AL24" s="28" t="s">
        <v>124</v>
      </c>
      <c r="AM24" s="28" t="s">
        <v>124</v>
      </c>
      <c r="AN24" s="28" t="s">
        <v>124</v>
      </c>
      <c r="AO24" s="28" t="s">
        <v>124</v>
      </c>
      <c r="AP24" s="28" t="s">
        <v>124</v>
      </c>
      <c r="AQ24" s="28" t="s">
        <v>124</v>
      </c>
      <c r="AR24" s="28" t="s">
        <v>124</v>
      </c>
    </row>
    <row r="25" spans="1:4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80"/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28" t="s">
        <v>127</v>
      </c>
      <c r="AH25" s="28" t="s">
        <v>127</v>
      </c>
      <c r="AJ25" s="28" t="s">
        <v>127</v>
      </c>
      <c r="AL25" s="28" t="s">
        <v>127</v>
      </c>
      <c r="AM25" s="28" t="s">
        <v>127</v>
      </c>
      <c r="AN25" s="28" t="s">
        <v>127</v>
      </c>
      <c r="AO25" s="28" t="s">
        <v>127</v>
      </c>
      <c r="AP25" s="28" t="s">
        <v>127</v>
      </c>
      <c r="AQ25" s="28" t="s">
        <v>127</v>
      </c>
      <c r="AR25" s="28" t="s">
        <v>127</v>
      </c>
    </row>
    <row r="26" spans="1:44">
      <c r="A26" s="26" t="s">
        <v>128</v>
      </c>
      <c r="B26" s="28" t="s">
        <v>124</v>
      </c>
      <c r="C26" s="28" t="s">
        <v>127</v>
      </c>
      <c r="D26" s="28" t="s">
        <v>127</v>
      </c>
      <c r="E26" s="28" t="s">
        <v>127</v>
      </c>
      <c r="F26" s="28" t="s">
        <v>124</v>
      </c>
      <c r="G26" s="28" t="s">
        <v>124</v>
      </c>
      <c r="H26" s="28" t="s">
        <v>124</v>
      </c>
      <c r="I26" s="28" t="s">
        <v>124</v>
      </c>
      <c r="J26" s="28" t="s">
        <v>124</v>
      </c>
      <c r="K26" s="28" t="s">
        <v>124</v>
      </c>
      <c r="L26" s="28" t="s">
        <v>124</v>
      </c>
      <c r="M26" s="28" t="s">
        <v>124</v>
      </c>
      <c r="N26" s="28" t="s">
        <v>124</v>
      </c>
      <c r="O26" s="28" t="s">
        <v>124</v>
      </c>
      <c r="P26" s="28" t="s">
        <v>124</v>
      </c>
      <c r="Q26" s="28" t="s">
        <v>124</v>
      </c>
      <c r="R26" s="28" t="s">
        <v>124</v>
      </c>
      <c r="S26" s="118" t="s">
        <v>236</v>
      </c>
      <c r="T26" s="80"/>
      <c r="U26" s="28" t="s">
        <v>127</v>
      </c>
      <c r="V26" s="28" t="s">
        <v>124</v>
      </c>
      <c r="W26" s="28" t="s">
        <v>124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28" t="s">
        <v>124</v>
      </c>
      <c r="AH26" s="28" t="s">
        <v>124</v>
      </c>
      <c r="AJ26" s="28" t="s">
        <v>124</v>
      </c>
      <c r="AL26" s="28" t="s">
        <v>124</v>
      </c>
      <c r="AM26" s="28" t="s">
        <v>124</v>
      </c>
      <c r="AN26" s="28" t="s">
        <v>124</v>
      </c>
      <c r="AO26" s="28" t="s">
        <v>124</v>
      </c>
      <c r="AP26" s="28" t="s">
        <v>124</v>
      </c>
      <c r="AQ26" s="28" t="s">
        <v>124</v>
      </c>
      <c r="AR26" s="28" t="s">
        <v>124</v>
      </c>
    </row>
    <row r="27" spans="1:44">
      <c r="A27" s="26" t="s">
        <v>129</v>
      </c>
      <c r="B27" s="28" t="s">
        <v>432</v>
      </c>
      <c r="C27" s="28" t="s">
        <v>149</v>
      </c>
      <c r="D27" s="28" t="s">
        <v>149</v>
      </c>
      <c r="E27" s="28" t="s">
        <v>149</v>
      </c>
      <c r="F27" s="28" t="s">
        <v>149</v>
      </c>
      <c r="G27" s="28" t="s">
        <v>149</v>
      </c>
      <c r="H27" s="28" t="s">
        <v>149</v>
      </c>
      <c r="I27" s="28" t="s">
        <v>149</v>
      </c>
      <c r="J27" s="113" t="s">
        <v>433</v>
      </c>
      <c r="K27" s="28" t="s">
        <v>149</v>
      </c>
      <c r="L27" s="28" t="s">
        <v>432</v>
      </c>
      <c r="M27" s="28" t="s">
        <v>216</v>
      </c>
      <c r="N27" s="28" t="s">
        <v>149</v>
      </c>
      <c r="O27" s="28" t="s">
        <v>149</v>
      </c>
      <c r="P27" s="28" t="s">
        <v>149</v>
      </c>
      <c r="Q27" s="28" t="s">
        <v>149</v>
      </c>
      <c r="R27" s="28" t="s">
        <v>149</v>
      </c>
      <c r="S27" s="113" t="s">
        <v>433</v>
      </c>
      <c r="T27" s="80"/>
      <c r="U27" s="28" t="s">
        <v>150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150</v>
      </c>
      <c r="AA27" s="28" t="s">
        <v>150</v>
      </c>
      <c r="AB27" s="28" t="s">
        <v>150</v>
      </c>
      <c r="AC27" s="28" t="s">
        <v>150</v>
      </c>
      <c r="AD27" s="28" t="s">
        <v>150</v>
      </c>
      <c r="AE27" s="28" t="s">
        <v>150</v>
      </c>
      <c r="AF27" s="28" t="s">
        <v>150</v>
      </c>
      <c r="AG27" s="28" t="s">
        <v>149</v>
      </c>
      <c r="AH27" s="28" t="s">
        <v>149</v>
      </c>
      <c r="AJ27" s="28" t="s">
        <v>150</v>
      </c>
      <c r="AL27" s="29" t="s">
        <v>432</v>
      </c>
      <c r="AM27" s="29" t="s">
        <v>149</v>
      </c>
      <c r="AN27" s="28" t="s">
        <v>149</v>
      </c>
      <c r="AO27" s="28" t="s">
        <v>149</v>
      </c>
      <c r="AP27" s="28" t="s">
        <v>149</v>
      </c>
      <c r="AQ27" s="28" t="s">
        <v>149</v>
      </c>
      <c r="AR27" s="28" t="s">
        <v>149</v>
      </c>
    </row>
    <row r="28" spans="1:44">
      <c r="A28" s="26" t="s">
        <v>130</v>
      </c>
      <c r="B28" s="30">
        <f>-7/6</f>
        <v>-1.1666666666666667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f>AVERAGE(0.75,0.75,0.75,0)</f>
        <v>0.5625</v>
      </c>
      <c r="K28" s="30">
        <v>0.75</v>
      </c>
      <c r="L28" s="30">
        <f>-7/6</f>
        <v>-1.1666666666666667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30">
        <v>0.75</v>
      </c>
      <c r="S28" s="30">
        <f>AVERAGE(0.75,0.75,(AVERAGE(0,-2)))</f>
        <v>0.16666666666666666</v>
      </c>
      <c r="T28" s="82"/>
      <c r="U28" s="30">
        <v>-2</v>
      </c>
      <c r="V28" s="30">
        <v>0.75</v>
      </c>
      <c r="W28" s="30">
        <v>0.75</v>
      </c>
      <c r="X28" s="30">
        <v>0.75</v>
      </c>
      <c r="Y28" s="30">
        <v>0.75</v>
      </c>
      <c r="Z28" s="30">
        <v>-2</v>
      </c>
      <c r="AA28" s="30">
        <v>-2</v>
      </c>
      <c r="AB28" s="30">
        <v>-2</v>
      </c>
      <c r="AC28" s="30">
        <v>-2</v>
      </c>
      <c r="AD28" s="30">
        <v>-2</v>
      </c>
      <c r="AE28" s="30">
        <v>-2</v>
      </c>
      <c r="AF28" s="30">
        <v>-2</v>
      </c>
      <c r="AG28" s="30">
        <v>0.75</v>
      </c>
      <c r="AH28" s="30">
        <v>0.75</v>
      </c>
      <c r="AJ28" s="30">
        <f>-1/6</f>
        <v>-0.16666666666666666</v>
      </c>
      <c r="AL28" s="30">
        <f>-7/6</f>
        <v>-1.1666666666666667</v>
      </c>
      <c r="AM28" s="30">
        <v>0.75</v>
      </c>
      <c r="AN28" s="30">
        <v>0.75</v>
      </c>
      <c r="AO28" s="30">
        <v>0.75</v>
      </c>
      <c r="AP28" s="30">
        <v>0.75</v>
      </c>
      <c r="AQ28" s="30">
        <v>0.75</v>
      </c>
      <c r="AR28" s="30">
        <v>0.75</v>
      </c>
    </row>
    <row r="29" spans="1:44">
      <c r="A29" s="26" t="s">
        <v>131</v>
      </c>
      <c r="B29" s="28" t="s">
        <v>435</v>
      </c>
      <c r="C29" s="28" t="s">
        <v>409</v>
      </c>
      <c r="D29" s="28" t="s">
        <v>409</v>
      </c>
      <c r="E29" s="28" t="s">
        <v>409</v>
      </c>
      <c r="F29" s="28" t="s">
        <v>435</v>
      </c>
      <c r="G29" s="28" t="s">
        <v>435</v>
      </c>
      <c r="H29" s="28" t="s">
        <v>435</v>
      </c>
      <c r="I29" s="28" t="s">
        <v>435</v>
      </c>
      <c r="J29" s="28" t="s">
        <v>435</v>
      </c>
      <c r="K29" s="28" t="s">
        <v>435</v>
      </c>
      <c r="L29" s="28" t="s">
        <v>435</v>
      </c>
      <c r="M29" s="28" t="s">
        <v>435</v>
      </c>
      <c r="N29" s="28" t="s">
        <v>435</v>
      </c>
      <c r="O29" s="28" t="s">
        <v>435</v>
      </c>
      <c r="P29" s="28" t="s">
        <v>435</v>
      </c>
      <c r="Q29" s="28" t="s">
        <v>435</v>
      </c>
      <c r="R29" s="28" t="s">
        <v>435</v>
      </c>
      <c r="S29" s="115" t="s">
        <v>508</v>
      </c>
      <c r="T29" s="80"/>
      <c r="U29" s="28" t="s">
        <v>280</v>
      </c>
      <c r="V29" s="28" t="s">
        <v>435</v>
      </c>
      <c r="W29" s="28" t="s">
        <v>435</v>
      </c>
      <c r="X29" s="28" t="s">
        <v>409</v>
      </c>
      <c r="Y29" s="28" t="s">
        <v>409</v>
      </c>
      <c r="Z29" s="28" t="s">
        <v>280</v>
      </c>
      <c r="AA29" s="28" t="s">
        <v>280</v>
      </c>
      <c r="AB29" s="28" t="s">
        <v>280</v>
      </c>
      <c r="AC29" s="28" t="s">
        <v>280</v>
      </c>
      <c r="AD29" s="28" t="s">
        <v>280</v>
      </c>
      <c r="AE29" s="28" t="s">
        <v>280</v>
      </c>
      <c r="AF29" s="28" t="s">
        <v>280</v>
      </c>
      <c r="AG29" s="28" t="s">
        <v>435</v>
      </c>
      <c r="AH29" s="28" t="s">
        <v>435</v>
      </c>
      <c r="AJ29" s="28" t="s">
        <v>435</v>
      </c>
      <c r="AL29" s="28" t="s">
        <v>435</v>
      </c>
      <c r="AM29" s="28" t="s">
        <v>435</v>
      </c>
      <c r="AN29" s="28" t="s">
        <v>435</v>
      </c>
      <c r="AO29" s="28" t="s">
        <v>435</v>
      </c>
      <c r="AP29" s="28" t="s">
        <v>435</v>
      </c>
      <c r="AQ29" s="28" t="s">
        <v>435</v>
      </c>
      <c r="AR29" s="28" t="s">
        <v>435</v>
      </c>
    </row>
    <row r="30" spans="1:44">
      <c r="A30" s="26" t="s">
        <v>133</v>
      </c>
      <c r="B30" s="30">
        <v>0.75</v>
      </c>
      <c r="C30" s="30">
        <v>0.875</v>
      </c>
      <c r="D30" s="30">
        <v>0.875</v>
      </c>
      <c r="E30" s="30">
        <v>0.875</v>
      </c>
      <c r="F30" s="30">
        <v>0.75</v>
      </c>
      <c r="G30" s="30">
        <v>0.75</v>
      </c>
      <c r="H30" s="30">
        <v>0.75</v>
      </c>
      <c r="I30" s="30">
        <v>0.75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2/3</f>
        <v>0.66666666666666663</v>
      </c>
      <c r="T30" s="82"/>
      <c r="U30" s="30">
        <v>0.5</v>
      </c>
      <c r="V30" s="30">
        <v>0.75</v>
      </c>
      <c r="W30" s="30">
        <v>0.75</v>
      </c>
      <c r="X30" s="30">
        <v>0.875</v>
      </c>
      <c r="Y30" s="30">
        <v>0.875</v>
      </c>
      <c r="Z30" s="30">
        <v>0.5</v>
      </c>
      <c r="AA30" s="30">
        <v>0.5</v>
      </c>
      <c r="AB30" s="30">
        <v>0.5</v>
      </c>
      <c r="AC30" s="30">
        <v>0.5</v>
      </c>
      <c r="AD30" s="30">
        <v>0.5</v>
      </c>
      <c r="AE30" s="30">
        <v>0.5</v>
      </c>
      <c r="AF30" s="30">
        <v>0.5</v>
      </c>
      <c r="AG30" s="30">
        <v>0.75</v>
      </c>
      <c r="AH30" s="30">
        <v>0.75</v>
      </c>
      <c r="AJ30" s="30">
        <v>0.75</v>
      </c>
      <c r="AL30" s="30">
        <v>0.75</v>
      </c>
      <c r="AM30" s="30">
        <v>0.75</v>
      </c>
      <c r="AN30" s="30">
        <v>0.75</v>
      </c>
      <c r="AO30" s="30">
        <v>0.75</v>
      </c>
      <c r="AP30" s="30">
        <v>0.75</v>
      </c>
      <c r="AQ30" s="30">
        <v>0.75</v>
      </c>
      <c r="AR30" s="30">
        <v>0.75</v>
      </c>
    </row>
    <row r="31" spans="1:44">
      <c r="B31" s="78" t="s">
        <v>523</v>
      </c>
      <c r="C31" s="217" t="s">
        <v>524</v>
      </c>
      <c r="D31" s="217"/>
      <c r="E31" s="217"/>
      <c r="F31" s="217"/>
      <c r="G31" s="217"/>
      <c r="H31" s="217"/>
      <c r="I31" s="217"/>
      <c r="AJ31" s="78" t="s">
        <v>525</v>
      </c>
      <c r="AL31" s="217" t="s">
        <v>526</v>
      </c>
      <c r="AM31" s="217"/>
      <c r="AN31" s="217"/>
      <c r="AO31" s="217"/>
      <c r="AP31" s="217"/>
      <c r="AQ31" s="217"/>
      <c r="AR31" s="217"/>
    </row>
    <row r="32" spans="1:44">
      <c r="A32" s="31" t="s">
        <v>134</v>
      </c>
    </row>
    <row r="33" spans="1:2">
      <c r="A33" s="224" t="s">
        <v>527</v>
      </c>
      <c r="B33" s="95" t="s">
        <v>528</v>
      </c>
    </row>
    <row r="34" spans="1:2">
      <c r="A34" s="223"/>
      <c r="B34" s="96" t="s">
        <v>529</v>
      </c>
    </row>
    <row r="35" spans="1:2">
      <c r="A35" s="223"/>
      <c r="B35" s="96" t="s">
        <v>530</v>
      </c>
    </row>
    <row r="36" spans="1:2">
      <c r="A36" s="26" t="s">
        <v>531</v>
      </c>
    </row>
    <row r="37" spans="1:2">
      <c r="A37" s="26" t="s">
        <v>532</v>
      </c>
    </row>
  </sheetData>
  <mergeCells count="8">
    <mergeCell ref="AL31:AR31"/>
    <mergeCell ref="C31:I31"/>
    <mergeCell ref="F3:O3"/>
    <mergeCell ref="F4:O5"/>
    <mergeCell ref="A33:A35"/>
    <mergeCell ref="B3:D3"/>
    <mergeCell ref="B4:D4"/>
    <mergeCell ref="B5:D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739E-5052-4867-9527-1306A031B761}">
  <dimension ref="A1:AH33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35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533</v>
      </c>
      <c r="C4" s="203"/>
      <c r="D4" s="203"/>
      <c r="F4" s="204" t="s">
        <v>534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</row>
    <row r="8" spans="1:34">
      <c r="A8" s="26" t="s">
        <v>117</v>
      </c>
      <c r="B8" s="28" t="s">
        <v>142</v>
      </c>
      <c r="C8" s="28" t="s">
        <v>143</v>
      </c>
      <c r="D8" s="28" t="s">
        <v>143</v>
      </c>
      <c r="E8" s="28" t="s">
        <v>143</v>
      </c>
      <c r="F8" s="28" t="s">
        <v>143</v>
      </c>
      <c r="G8" s="28" t="s">
        <v>143</v>
      </c>
      <c r="H8" s="28" t="s">
        <v>143</v>
      </c>
      <c r="I8" s="28" t="s">
        <v>143</v>
      </c>
      <c r="J8" s="28" t="s">
        <v>143</v>
      </c>
      <c r="K8" s="28" t="s">
        <v>143</v>
      </c>
      <c r="L8" s="28" t="s">
        <v>143</v>
      </c>
      <c r="M8" s="28" t="s">
        <v>143</v>
      </c>
      <c r="N8" s="28" t="s">
        <v>143</v>
      </c>
      <c r="O8" s="28" t="s">
        <v>143</v>
      </c>
      <c r="P8" s="28" t="s">
        <v>143</v>
      </c>
      <c r="Q8" s="28" t="s">
        <v>143</v>
      </c>
      <c r="R8" s="28" t="s">
        <v>143</v>
      </c>
      <c r="S8" s="28" t="s">
        <v>143</v>
      </c>
      <c r="T8" s="28" t="s">
        <v>143</v>
      </c>
      <c r="U8" s="28" t="s">
        <v>143</v>
      </c>
      <c r="V8" s="28" t="s">
        <v>143</v>
      </c>
      <c r="W8" s="28" t="s">
        <v>143</v>
      </c>
      <c r="X8" s="28" t="s">
        <v>143</v>
      </c>
      <c r="Y8" s="28" t="s">
        <v>143</v>
      </c>
      <c r="Z8" s="28" t="s">
        <v>143</v>
      </c>
      <c r="AA8" s="28" t="s">
        <v>143</v>
      </c>
      <c r="AB8" s="28" t="s">
        <v>143</v>
      </c>
      <c r="AC8" s="28" t="s">
        <v>143</v>
      </c>
      <c r="AD8" s="28" t="s">
        <v>143</v>
      </c>
      <c r="AE8" s="28" t="s">
        <v>143</v>
      </c>
      <c r="AF8" s="28" t="s">
        <v>143</v>
      </c>
      <c r="AG8" s="28" t="s">
        <v>143</v>
      </c>
      <c r="AH8" s="28" t="s">
        <v>143</v>
      </c>
    </row>
    <row r="9" spans="1:34">
      <c r="A9" s="26" t="s">
        <v>121</v>
      </c>
      <c r="B9" s="29" t="s">
        <v>146</v>
      </c>
      <c r="C9" s="29" t="s">
        <v>146</v>
      </c>
      <c r="D9" s="29" t="s">
        <v>146</v>
      </c>
      <c r="E9" s="29" t="s">
        <v>146</v>
      </c>
      <c r="F9" s="29" t="s">
        <v>146</v>
      </c>
      <c r="G9" s="29" t="s">
        <v>146</v>
      </c>
      <c r="H9" s="29" t="s">
        <v>146</v>
      </c>
      <c r="I9" s="29" t="s">
        <v>146</v>
      </c>
      <c r="J9" s="29" t="s">
        <v>146</v>
      </c>
      <c r="K9" s="29" t="s">
        <v>146</v>
      </c>
      <c r="L9" s="29" t="s">
        <v>146</v>
      </c>
      <c r="M9" s="29" t="s">
        <v>146</v>
      </c>
      <c r="N9" s="29" t="s">
        <v>146</v>
      </c>
      <c r="O9" s="29" t="s">
        <v>146</v>
      </c>
      <c r="P9" s="29" t="s">
        <v>146</v>
      </c>
      <c r="Q9" s="29" t="s">
        <v>146</v>
      </c>
      <c r="R9" s="29" t="s">
        <v>146</v>
      </c>
      <c r="S9" s="29" t="s">
        <v>146</v>
      </c>
      <c r="T9" s="29" t="s">
        <v>146</v>
      </c>
      <c r="U9" s="29" t="s">
        <v>146</v>
      </c>
      <c r="V9" s="29" t="s">
        <v>146</v>
      </c>
      <c r="W9" s="29" t="s">
        <v>146</v>
      </c>
      <c r="X9" s="29" t="s">
        <v>146</v>
      </c>
      <c r="Y9" s="29" t="s">
        <v>146</v>
      </c>
      <c r="Z9" s="29" t="s">
        <v>535</v>
      </c>
      <c r="AA9" s="29" t="s">
        <v>146</v>
      </c>
      <c r="AB9" s="29" t="s">
        <v>146</v>
      </c>
      <c r="AC9" s="29" t="s">
        <v>146</v>
      </c>
      <c r="AD9" s="29" t="s">
        <v>146</v>
      </c>
      <c r="AE9" s="86" t="s">
        <v>536</v>
      </c>
      <c r="AF9" s="29" t="s">
        <v>146</v>
      </c>
      <c r="AG9" s="29" t="s">
        <v>146</v>
      </c>
      <c r="AH9" s="29" t="s">
        <v>146</v>
      </c>
    </row>
    <row r="10" spans="1:34">
      <c r="A10" s="140" t="s">
        <v>122</v>
      </c>
      <c r="B10" s="167">
        <v>5</v>
      </c>
      <c r="C10" s="167">
        <v>5</v>
      </c>
      <c r="D10" s="167">
        <v>5</v>
      </c>
      <c r="E10" s="167">
        <v>5</v>
      </c>
      <c r="F10" s="167">
        <v>5</v>
      </c>
      <c r="G10" s="167">
        <v>5</v>
      </c>
      <c r="H10" s="167">
        <v>5</v>
      </c>
      <c r="I10" s="167">
        <v>5</v>
      </c>
      <c r="J10" s="167">
        <v>5</v>
      </c>
      <c r="K10" s="167">
        <v>5</v>
      </c>
      <c r="L10" s="167">
        <v>5</v>
      </c>
      <c r="M10" s="167">
        <v>5</v>
      </c>
      <c r="N10" s="167">
        <v>5</v>
      </c>
      <c r="O10" s="167">
        <v>5</v>
      </c>
      <c r="P10" s="167">
        <v>5</v>
      </c>
      <c r="Q10" s="167">
        <v>5</v>
      </c>
      <c r="R10" s="167">
        <v>5</v>
      </c>
      <c r="S10" s="167">
        <v>5</v>
      </c>
      <c r="T10" s="167">
        <v>5</v>
      </c>
      <c r="U10" s="167">
        <v>5</v>
      </c>
      <c r="V10" s="167">
        <v>5</v>
      </c>
      <c r="W10" s="167">
        <v>5</v>
      </c>
      <c r="X10" s="167">
        <v>5</v>
      </c>
      <c r="Y10" s="167">
        <v>5</v>
      </c>
      <c r="Z10" s="167">
        <v>145</v>
      </c>
      <c r="AA10" s="167">
        <v>5</v>
      </c>
      <c r="AB10" s="167">
        <v>5</v>
      </c>
      <c r="AC10" s="167">
        <v>5</v>
      </c>
      <c r="AD10" s="167">
        <v>5</v>
      </c>
      <c r="AE10" s="177">
        <v>13</v>
      </c>
      <c r="AF10" s="167">
        <v>5</v>
      </c>
      <c r="AG10" s="167">
        <v>5</v>
      </c>
      <c r="AH10" s="167">
        <v>5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86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86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86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86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316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86" t="s">
        <v>150</v>
      </c>
      <c r="AF15" s="28" t="s">
        <v>149</v>
      </c>
      <c r="AG15" s="28" t="s">
        <v>149</v>
      </c>
      <c r="AH15" s="28" t="s">
        <v>149</v>
      </c>
    </row>
    <row r="16" spans="1:34">
      <c r="A16" s="26" t="s">
        <v>130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I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ref="J16:O16" si="2">5/3</f>
        <v>1.6666666666666667</v>
      </c>
      <c r="K16" s="30">
        <f t="shared" si="2"/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>5/3</f>
        <v>1.6666666666666667</v>
      </c>
      <c r="Q16" s="30">
        <f t="shared" ref="Q16:Y16" si="3">5/3</f>
        <v>1.6666666666666667</v>
      </c>
      <c r="R16" s="30">
        <f t="shared" si="3"/>
        <v>1.6666666666666667</v>
      </c>
      <c r="S16" s="30">
        <f t="shared" si="3"/>
        <v>1.6666666666666667</v>
      </c>
      <c r="T16" s="30">
        <f t="shared" si="3"/>
        <v>1.6666666666666667</v>
      </c>
      <c r="U16" s="30">
        <f t="shared" si="3"/>
        <v>1.6666666666666667</v>
      </c>
      <c r="V16" s="30">
        <f t="shared" si="3"/>
        <v>1.6666666666666667</v>
      </c>
      <c r="W16" s="30">
        <f t="shared" si="3"/>
        <v>1.6666666666666667</v>
      </c>
      <c r="X16" s="30">
        <f t="shared" si="3"/>
        <v>1.6666666666666667</v>
      </c>
      <c r="Y16" s="30">
        <f t="shared" si="3"/>
        <v>1.6666666666666667</v>
      </c>
      <c r="Z16" s="30">
        <f>AVERAGE(7/3,-1.25)</f>
        <v>0.54166666666666674</v>
      </c>
      <c r="AA16" s="30">
        <f>5/3</f>
        <v>1.6666666666666667</v>
      </c>
      <c r="AB16" s="30">
        <f t="shared" ref="AB16:AD16" si="4">5/3</f>
        <v>1.6666666666666667</v>
      </c>
      <c r="AC16" s="30">
        <f t="shared" si="4"/>
        <v>1.6666666666666667</v>
      </c>
      <c r="AD16" s="30">
        <f t="shared" si="4"/>
        <v>1.6666666666666667</v>
      </c>
      <c r="AE16" s="92">
        <v>-1.25</v>
      </c>
      <c r="AF16" s="30">
        <f t="shared" ref="AF16" si="5">5/3</f>
        <v>1.6666666666666667</v>
      </c>
      <c r="AG16" s="30">
        <f t="shared" ref="AG16" si="6">5/3</f>
        <v>1.6666666666666667</v>
      </c>
      <c r="AH16" s="30">
        <f>5/3</f>
        <v>1.6666666666666667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86" t="s">
        <v>132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92">
        <v>4</v>
      </c>
      <c r="AF18" s="30">
        <v>4</v>
      </c>
      <c r="AG18" s="30">
        <v>4</v>
      </c>
      <c r="AH18" s="30">
        <v>4</v>
      </c>
    </row>
    <row r="20" spans="1:34">
      <c r="A20" s="26" t="s">
        <v>117</v>
      </c>
      <c r="B20" s="28" t="s">
        <v>394</v>
      </c>
      <c r="C20" s="28" t="s">
        <v>395</v>
      </c>
      <c r="D20" s="28" t="s">
        <v>395</v>
      </c>
      <c r="E20" s="28" t="s">
        <v>395</v>
      </c>
      <c r="F20" s="28" t="s">
        <v>395</v>
      </c>
      <c r="G20" s="28" t="s">
        <v>395</v>
      </c>
      <c r="H20" s="28" t="s">
        <v>395</v>
      </c>
      <c r="I20" s="28" t="s">
        <v>395</v>
      </c>
      <c r="J20" s="28" t="s">
        <v>395</v>
      </c>
      <c r="K20" s="28" t="s">
        <v>395</v>
      </c>
      <c r="L20" s="28" t="s">
        <v>395</v>
      </c>
      <c r="M20" s="28" t="s">
        <v>395</v>
      </c>
      <c r="N20" s="28" t="s">
        <v>395</v>
      </c>
      <c r="O20" s="28" t="s">
        <v>395</v>
      </c>
      <c r="P20" s="28" t="s">
        <v>395</v>
      </c>
      <c r="Q20" s="28" t="s">
        <v>395</v>
      </c>
      <c r="R20" s="28" t="s">
        <v>395</v>
      </c>
      <c r="S20" s="28" t="s">
        <v>395</v>
      </c>
      <c r="T20" s="28" t="s">
        <v>395</v>
      </c>
      <c r="U20" s="28" t="s">
        <v>395</v>
      </c>
      <c r="V20" s="28" t="s">
        <v>395</v>
      </c>
      <c r="W20" s="28" t="s">
        <v>395</v>
      </c>
      <c r="X20" s="28" t="s">
        <v>395</v>
      </c>
      <c r="Y20" s="28" t="s">
        <v>395</v>
      </c>
      <c r="Z20" s="28" t="s">
        <v>395</v>
      </c>
      <c r="AA20" s="28" t="s">
        <v>395</v>
      </c>
      <c r="AB20" s="28" t="s">
        <v>395</v>
      </c>
      <c r="AC20" s="28" t="s">
        <v>395</v>
      </c>
      <c r="AD20" s="28" t="s">
        <v>395</v>
      </c>
      <c r="AE20" s="28" t="s">
        <v>395</v>
      </c>
      <c r="AF20" s="28" t="s">
        <v>395</v>
      </c>
      <c r="AG20" s="28" t="s">
        <v>395</v>
      </c>
      <c r="AH20" s="28" t="s">
        <v>395</v>
      </c>
    </row>
    <row r="21" spans="1:34">
      <c r="A21" s="26" t="s">
        <v>121</v>
      </c>
      <c r="B21" s="29" t="s">
        <v>507</v>
      </c>
      <c r="C21" s="29" t="s">
        <v>507</v>
      </c>
      <c r="D21" s="29" t="s">
        <v>507</v>
      </c>
      <c r="E21" s="29" t="s">
        <v>507</v>
      </c>
      <c r="F21" s="29" t="s">
        <v>507</v>
      </c>
      <c r="G21" s="29" t="s">
        <v>507</v>
      </c>
      <c r="H21" s="29" t="s">
        <v>507</v>
      </c>
      <c r="I21" s="29" t="s">
        <v>507</v>
      </c>
      <c r="J21" s="29" t="s">
        <v>507</v>
      </c>
      <c r="K21" s="29" t="s">
        <v>507</v>
      </c>
      <c r="L21" s="29" t="s">
        <v>507</v>
      </c>
      <c r="M21" s="29" t="s">
        <v>507</v>
      </c>
      <c r="N21" s="115" t="s">
        <v>518</v>
      </c>
      <c r="O21" s="29" t="s">
        <v>507</v>
      </c>
      <c r="P21" s="115" t="s">
        <v>400</v>
      </c>
      <c r="Q21" s="115" t="s">
        <v>400</v>
      </c>
      <c r="R21" s="29" t="s">
        <v>401</v>
      </c>
      <c r="S21" s="115" t="s">
        <v>518</v>
      </c>
      <c r="T21" s="29" t="s">
        <v>507</v>
      </c>
      <c r="U21" s="29" t="s">
        <v>507</v>
      </c>
      <c r="V21" s="29" t="s">
        <v>507</v>
      </c>
      <c r="W21" s="29" t="s">
        <v>507</v>
      </c>
      <c r="X21" s="29" t="s">
        <v>507</v>
      </c>
      <c r="Y21" s="29" t="s">
        <v>507</v>
      </c>
      <c r="Z21" s="29" t="s">
        <v>537</v>
      </c>
      <c r="AA21" s="29" t="s">
        <v>507</v>
      </c>
      <c r="AB21" s="29" t="s">
        <v>507</v>
      </c>
      <c r="AC21" s="29" t="s">
        <v>507</v>
      </c>
      <c r="AD21" s="29" t="s">
        <v>507</v>
      </c>
      <c r="AE21" s="29" t="s">
        <v>538</v>
      </c>
      <c r="AF21" s="29" t="s">
        <v>507</v>
      </c>
      <c r="AG21" s="29" t="s">
        <v>507</v>
      </c>
      <c r="AH21" s="29" t="s">
        <v>507</v>
      </c>
    </row>
    <row r="22" spans="1:34">
      <c r="A22" s="140" t="s">
        <v>122</v>
      </c>
      <c r="B22" s="167">
        <v>83</v>
      </c>
      <c r="C22" s="167">
        <v>83</v>
      </c>
      <c r="D22" s="167">
        <v>83</v>
      </c>
      <c r="E22" s="167">
        <v>83</v>
      </c>
      <c r="F22" s="167">
        <v>83</v>
      </c>
      <c r="G22" s="167">
        <v>83</v>
      </c>
      <c r="H22" s="167">
        <v>83</v>
      </c>
      <c r="I22" s="167">
        <v>83</v>
      </c>
      <c r="J22" s="167">
        <v>83</v>
      </c>
      <c r="K22" s="167">
        <v>83</v>
      </c>
      <c r="L22" s="167">
        <v>83</v>
      </c>
      <c r="M22" s="167">
        <v>83</v>
      </c>
      <c r="N22" s="167">
        <v>143</v>
      </c>
      <c r="O22" s="167">
        <v>83</v>
      </c>
      <c r="P22" s="167">
        <v>142</v>
      </c>
      <c r="Q22" s="167">
        <v>142</v>
      </c>
      <c r="R22" s="167">
        <v>81</v>
      </c>
      <c r="S22" s="167">
        <v>143</v>
      </c>
      <c r="T22" s="167">
        <v>83</v>
      </c>
      <c r="U22" s="167">
        <v>83</v>
      </c>
      <c r="V22" s="167">
        <v>83</v>
      </c>
      <c r="W22" s="167">
        <v>83</v>
      </c>
      <c r="X22" s="167">
        <v>83</v>
      </c>
      <c r="Y22" s="167">
        <v>83</v>
      </c>
      <c r="Z22" s="167">
        <v>146</v>
      </c>
      <c r="AA22" s="167">
        <v>83</v>
      </c>
      <c r="AB22" s="167">
        <v>83</v>
      </c>
      <c r="AC22" s="167">
        <v>83</v>
      </c>
      <c r="AD22" s="167">
        <v>83</v>
      </c>
      <c r="AE22" s="167">
        <v>80</v>
      </c>
      <c r="AF22" s="167">
        <v>83</v>
      </c>
      <c r="AG22" s="167">
        <v>83</v>
      </c>
      <c r="AH22" s="167">
        <v>83</v>
      </c>
    </row>
    <row r="23" spans="1:34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124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28" t="s">
        <v>124</v>
      </c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28" t="s">
        <v>124</v>
      </c>
      <c r="AH23" s="28" t="s">
        <v>124</v>
      </c>
    </row>
    <row r="24" spans="1:34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28" t="s">
        <v>124</v>
      </c>
      <c r="T24" s="28" t="s">
        <v>124</v>
      </c>
      <c r="U24" s="28" t="s">
        <v>124</v>
      </c>
      <c r="V24" s="28" t="s">
        <v>124</v>
      </c>
      <c r="W24" s="28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28" t="s">
        <v>124</v>
      </c>
      <c r="AH24" s="28" t="s">
        <v>124</v>
      </c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28" t="s">
        <v>127</v>
      </c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28" t="s">
        <v>127</v>
      </c>
      <c r="AH25" s="28" t="s">
        <v>127</v>
      </c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 t="s">
        <v>127</v>
      </c>
      <c r="G26" s="28" t="s">
        <v>127</v>
      </c>
      <c r="H26" s="28" t="s">
        <v>127</v>
      </c>
      <c r="I26" s="28" t="s">
        <v>127</v>
      </c>
      <c r="J26" s="28" t="s">
        <v>127</v>
      </c>
      <c r="K26" s="28" t="s">
        <v>127</v>
      </c>
      <c r="L26" s="28" t="s">
        <v>127</v>
      </c>
      <c r="M26" s="28" t="s">
        <v>127</v>
      </c>
      <c r="N26" s="28" t="s">
        <v>127</v>
      </c>
      <c r="O26" s="28" t="s">
        <v>127</v>
      </c>
      <c r="P26" s="28" t="s">
        <v>127</v>
      </c>
      <c r="Q26" s="28" t="s">
        <v>127</v>
      </c>
      <c r="R26" s="28" t="s">
        <v>127</v>
      </c>
      <c r="S26" s="28" t="s">
        <v>127</v>
      </c>
      <c r="T26" s="28" t="s">
        <v>127</v>
      </c>
      <c r="U26" s="28" t="s">
        <v>127</v>
      </c>
      <c r="V26" s="28" t="s">
        <v>127</v>
      </c>
      <c r="W26" s="28" t="s">
        <v>127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28" t="s">
        <v>127</v>
      </c>
      <c r="AH26" s="28" t="s">
        <v>127</v>
      </c>
    </row>
    <row r="27" spans="1:34">
      <c r="A27" s="26" t="s">
        <v>129</v>
      </c>
      <c r="B27" s="28" t="s">
        <v>149</v>
      </c>
      <c r="C27" s="28" t="s">
        <v>149</v>
      </c>
      <c r="D27" s="28" t="s">
        <v>149</v>
      </c>
      <c r="E27" s="28" t="s">
        <v>149</v>
      </c>
      <c r="F27" s="28" t="s">
        <v>149</v>
      </c>
      <c r="G27" s="28" t="s">
        <v>149</v>
      </c>
      <c r="H27" s="28" t="s">
        <v>149</v>
      </c>
      <c r="I27" s="28" t="s">
        <v>149</v>
      </c>
      <c r="J27" s="28" t="s">
        <v>149</v>
      </c>
      <c r="K27" s="28" t="s">
        <v>149</v>
      </c>
      <c r="L27" s="28" t="s">
        <v>149</v>
      </c>
      <c r="M27" s="28" t="s">
        <v>149</v>
      </c>
      <c r="N27" s="115" t="s">
        <v>407</v>
      </c>
      <c r="O27" s="28" t="s">
        <v>149</v>
      </c>
      <c r="P27" s="28" t="s">
        <v>408</v>
      </c>
      <c r="Q27" s="28" t="s">
        <v>408</v>
      </c>
      <c r="R27" s="28" t="s">
        <v>408</v>
      </c>
      <c r="S27" s="115" t="s">
        <v>407</v>
      </c>
      <c r="T27" s="28" t="s">
        <v>149</v>
      </c>
      <c r="U27" s="28" t="s">
        <v>149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316</v>
      </c>
      <c r="AA27" s="28" t="s">
        <v>149</v>
      </c>
      <c r="AB27" s="28" t="s">
        <v>149</v>
      </c>
      <c r="AC27" s="28" t="s">
        <v>149</v>
      </c>
      <c r="AD27" s="28" t="s">
        <v>149</v>
      </c>
      <c r="AE27" s="28" t="s">
        <v>150</v>
      </c>
      <c r="AF27" s="28" t="s">
        <v>149</v>
      </c>
      <c r="AG27" s="28" t="s">
        <v>149</v>
      </c>
      <c r="AH27" s="28" t="s">
        <v>149</v>
      </c>
    </row>
    <row r="28" spans="1:34">
      <c r="A28" s="26" t="s">
        <v>130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f>AVERAGE(0.75,-1.25)</f>
        <v>-0.25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-1.25</v>
      </c>
      <c r="AF28" s="30">
        <v>0.75</v>
      </c>
      <c r="AG28" s="30">
        <v>0.75</v>
      </c>
      <c r="AH28" s="30">
        <v>0.75</v>
      </c>
    </row>
    <row r="29" spans="1:34">
      <c r="A29" s="26" t="s">
        <v>131</v>
      </c>
      <c r="B29" s="28" t="s">
        <v>409</v>
      </c>
      <c r="C29" s="28" t="s">
        <v>409</v>
      </c>
      <c r="D29" s="28" t="s">
        <v>409</v>
      </c>
      <c r="E29" s="28" t="s">
        <v>409</v>
      </c>
      <c r="F29" s="28" t="s">
        <v>409</v>
      </c>
      <c r="G29" s="28" t="s">
        <v>409</v>
      </c>
      <c r="H29" s="28" t="s">
        <v>409</v>
      </c>
      <c r="I29" s="28" t="s">
        <v>409</v>
      </c>
      <c r="J29" s="28" t="s">
        <v>409</v>
      </c>
      <c r="K29" s="28" t="s">
        <v>409</v>
      </c>
      <c r="L29" s="28" t="s">
        <v>409</v>
      </c>
      <c r="M29" s="28" t="s">
        <v>409</v>
      </c>
      <c r="N29" s="28" t="s">
        <v>409</v>
      </c>
      <c r="O29" s="28" t="s">
        <v>409</v>
      </c>
      <c r="P29" s="115" t="s">
        <v>411</v>
      </c>
      <c r="Q29" s="115" t="s">
        <v>411</v>
      </c>
      <c r="R29" s="28" t="s">
        <v>409</v>
      </c>
      <c r="S29" s="28" t="s">
        <v>409</v>
      </c>
      <c r="T29" s="28" t="s">
        <v>409</v>
      </c>
      <c r="U29" s="28" t="s">
        <v>409</v>
      </c>
      <c r="V29" s="28" t="s">
        <v>409</v>
      </c>
      <c r="W29" s="28" t="s">
        <v>409</v>
      </c>
      <c r="X29" s="28" t="s">
        <v>409</v>
      </c>
      <c r="Y29" s="28" t="s">
        <v>409</v>
      </c>
      <c r="Z29" s="28" t="s">
        <v>409</v>
      </c>
      <c r="AA29" s="28" t="s">
        <v>409</v>
      </c>
      <c r="AB29" s="28" t="s">
        <v>409</v>
      </c>
      <c r="AC29" s="28" t="s">
        <v>409</v>
      </c>
      <c r="AD29" s="28" t="s">
        <v>409</v>
      </c>
      <c r="AE29" s="28" t="s">
        <v>409</v>
      </c>
      <c r="AF29" s="28" t="s">
        <v>409</v>
      </c>
      <c r="AG29" s="28" t="s">
        <v>409</v>
      </c>
      <c r="AH29" s="28" t="s">
        <v>409</v>
      </c>
    </row>
    <row r="30" spans="1:34">
      <c r="A30" s="26" t="s">
        <v>133</v>
      </c>
      <c r="B30" s="30">
        <v>0.875</v>
      </c>
      <c r="C30" s="30">
        <v>0.875</v>
      </c>
      <c r="D30" s="30">
        <v>0.875</v>
      </c>
      <c r="E30" s="30">
        <v>0.875</v>
      </c>
      <c r="F30" s="30">
        <v>0.875</v>
      </c>
      <c r="G30" s="30">
        <v>0.875</v>
      </c>
      <c r="H30" s="30">
        <v>0.875</v>
      </c>
      <c r="I30" s="30">
        <v>0.875</v>
      </c>
      <c r="J30" s="30">
        <v>0.875</v>
      </c>
      <c r="K30" s="30">
        <v>0.875</v>
      </c>
      <c r="L30" s="30">
        <v>0.875</v>
      </c>
      <c r="M30" s="30">
        <v>0.875</v>
      </c>
      <c r="N30" s="30">
        <f>AVERAGE(0.875,0.875,1.25)</f>
        <v>1</v>
      </c>
      <c r="O30" s="30">
        <v>0.875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AVERAGE(0.875,0.875,1.25)</f>
        <v>1</v>
      </c>
      <c r="T30" s="30">
        <v>0.875</v>
      </c>
      <c r="U30" s="30">
        <v>0.875</v>
      </c>
      <c r="V30" s="30">
        <v>0.875</v>
      </c>
      <c r="W30" s="30">
        <v>0.875</v>
      </c>
      <c r="X30" s="30">
        <v>0.875</v>
      </c>
      <c r="Y30" s="30">
        <v>0.875</v>
      </c>
      <c r="Z30" s="30">
        <f>AVERAGE(0.875,1.25)</f>
        <v>1.0625</v>
      </c>
      <c r="AA30" s="30">
        <v>0.875</v>
      </c>
      <c r="AB30" s="30">
        <v>0.875</v>
      </c>
      <c r="AC30" s="30">
        <v>0.875</v>
      </c>
      <c r="AD30" s="30">
        <v>0.875</v>
      </c>
      <c r="AE30" s="30">
        <v>1.25</v>
      </c>
      <c r="AF30" s="30">
        <v>0.875</v>
      </c>
      <c r="AG30" s="30">
        <v>0.875</v>
      </c>
      <c r="AH30" s="30">
        <v>0.875</v>
      </c>
    </row>
    <row r="32" spans="1:34">
      <c r="A32" s="31" t="s">
        <v>134</v>
      </c>
    </row>
    <row r="33" spans="1:2">
      <c r="A33" s="26" t="s">
        <v>539</v>
      </c>
      <c r="B33" s="93" t="s">
        <v>540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2D8A-7347-4842-8E4F-942D590A5FE5}">
  <dimension ref="A1:AH33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36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541</v>
      </c>
      <c r="C4" s="203"/>
      <c r="D4" s="203"/>
      <c r="F4" s="204" t="s">
        <v>542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</row>
    <row r="8" spans="1:34">
      <c r="A8" s="26" t="s">
        <v>117</v>
      </c>
      <c r="B8" s="28" t="s">
        <v>149</v>
      </c>
      <c r="C8" s="28" t="s">
        <v>171</v>
      </c>
      <c r="D8" s="28" t="s">
        <v>171</v>
      </c>
      <c r="E8" s="28" t="s">
        <v>171</v>
      </c>
      <c r="F8" s="28" t="s">
        <v>171</v>
      </c>
      <c r="G8" s="28" t="s">
        <v>171</v>
      </c>
      <c r="H8" s="28" t="s">
        <v>171</v>
      </c>
      <c r="I8" s="28" t="s">
        <v>171</v>
      </c>
      <c r="J8" s="28" t="s">
        <v>171</v>
      </c>
      <c r="K8" s="28" t="s">
        <v>171</v>
      </c>
      <c r="L8" s="28" t="s">
        <v>171</v>
      </c>
      <c r="M8" s="28" t="s">
        <v>171</v>
      </c>
      <c r="N8" s="28" t="s">
        <v>171</v>
      </c>
      <c r="O8" s="28" t="s">
        <v>171</v>
      </c>
      <c r="P8" s="28" t="s">
        <v>171</v>
      </c>
      <c r="Q8" s="28" t="s">
        <v>171</v>
      </c>
      <c r="R8" s="28" t="s">
        <v>171</v>
      </c>
      <c r="S8" s="28" t="s">
        <v>171</v>
      </c>
      <c r="T8" s="28" t="s">
        <v>171</v>
      </c>
      <c r="U8" s="28" t="s">
        <v>171</v>
      </c>
      <c r="V8" s="28" t="s">
        <v>171</v>
      </c>
      <c r="W8" s="28" t="s">
        <v>171</v>
      </c>
      <c r="X8" s="28" t="s">
        <v>171</v>
      </c>
      <c r="Y8" s="28" t="s">
        <v>171</v>
      </c>
      <c r="Z8" s="28" t="s">
        <v>171</v>
      </c>
      <c r="AA8" s="28" t="s">
        <v>171</v>
      </c>
      <c r="AB8" s="28" t="s">
        <v>171</v>
      </c>
      <c r="AC8" s="28" t="s">
        <v>171</v>
      </c>
      <c r="AD8" s="28" t="s">
        <v>171</v>
      </c>
      <c r="AE8" s="28" t="s">
        <v>171</v>
      </c>
      <c r="AF8" s="28" t="s">
        <v>171</v>
      </c>
      <c r="AG8" s="28" t="s">
        <v>171</v>
      </c>
      <c r="AH8" s="28" t="s">
        <v>171</v>
      </c>
    </row>
    <row r="9" spans="1:34">
      <c r="A9" s="26" t="s">
        <v>121</v>
      </c>
      <c r="B9" s="179" t="s">
        <v>174</v>
      </c>
      <c r="C9" s="179" t="s">
        <v>174</v>
      </c>
      <c r="D9" s="179" t="s">
        <v>174</v>
      </c>
      <c r="E9" s="179" t="s">
        <v>174</v>
      </c>
      <c r="F9" s="179" t="s">
        <v>174</v>
      </c>
      <c r="G9" s="179" t="s">
        <v>174</v>
      </c>
      <c r="H9" s="179" t="s">
        <v>174</v>
      </c>
      <c r="I9" s="179" t="s">
        <v>174</v>
      </c>
      <c r="J9" s="179" t="s">
        <v>174</v>
      </c>
      <c r="K9" s="179" t="s">
        <v>174</v>
      </c>
      <c r="L9" s="179" t="s">
        <v>174</v>
      </c>
      <c r="M9" s="179" t="s">
        <v>174</v>
      </c>
      <c r="N9" s="179" t="s">
        <v>174</v>
      </c>
      <c r="O9" s="179" t="s">
        <v>174</v>
      </c>
      <c r="P9" s="179" t="s">
        <v>174</v>
      </c>
      <c r="Q9" s="179" t="s">
        <v>174</v>
      </c>
      <c r="R9" s="179" t="s">
        <v>174</v>
      </c>
      <c r="S9" s="179" t="s">
        <v>174</v>
      </c>
      <c r="T9" s="179" t="s">
        <v>174</v>
      </c>
      <c r="U9" s="179" t="s">
        <v>174</v>
      </c>
      <c r="V9" s="179" t="s">
        <v>174</v>
      </c>
      <c r="W9" s="179" t="s">
        <v>174</v>
      </c>
      <c r="X9" s="179" t="s">
        <v>174</v>
      </c>
      <c r="Y9" s="179" t="s">
        <v>174</v>
      </c>
      <c r="Z9" s="28" t="s">
        <v>543</v>
      </c>
      <c r="AA9" s="28" t="s">
        <v>174</v>
      </c>
      <c r="AB9" s="179" t="s">
        <v>174</v>
      </c>
      <c r="AC9" s="179" t="s">
        <v>174</v>
      </c>
      <c r="AD9" s="179" t="s">
        <v>174</v>
      </c>
      <c r="AE9" s="28" t="s">
        <v>544</v>
      </c>
      <c r="AF9" s="179" t="s">
        <v>174</v>
      </c>
      <c r="AG9" s="179" t="s">
        <v>174</v>
      </c>
      <c r="AH9" s="28" t="s">
        <v>174</v>
      </c>
    </row>
    <row r="10" spans="1:34">
      <c r="A10" s="140" t="s">
        <v>122</v>
      </c>
      <c r="B10" s="167">
        <v>6</v>
      </c>
      <c r="C10" s="167">
        <v>6</v>
      </c>
      <c r="D10" s="167">
        <v>6</v>
      </c>
      <c r="E10" s="167">
        <v>6</v>
      </c>
      <c r="F10" s="167">
        <v>6</v>
      </c>
      <c r="G10" s="167">
        <v>6</v>
      </c>
      <c r="H10" s="167">
        <v>6</v>
      </c>
      <c r="I10" s="167">
        <v>6</v>
      </c>
      <c r="J10" s="167">
        <v>6</v>
      </c>
      <c r="K10" s="167">
        <v>6</v>
      </c>
      <c r="L10" s="167">
        <v>6</v>
      </c>
      <c r="M10" s="167">
        <v>6</v>
      </c>
      <c r="N10" s="167">
        <v>6</v>
      </c>
      <c r="O10" s="167">
        <v>6</v>
      </c>
      <c r="P10" s="167">
        <v>6</v>
      </c>
      <c r="Q10" s="167">
        <v>6</v>
      </c>
      <c r="R10" s="167">
        <v>6</v>
      </c>
      <c r="S10" s="167">
        <v>6</v>
      </c>
      <c r="T10" s="167">
        <v>6</v>
      </c>
      <c r="U10" s="167">
        <v>6</v>
      </c>
      <c r="V10" s="167">
        <v>6</v>
      </c>
      <c r="W10" s="167">
        <v>6</v>
      </c>
      <c r="X10" s="167">
        <v>6</v>
      </c>
      <c r="Y10" s="167">
        <v>6</v>
      </c>
      <c r="Z10" s="167">
        <v>147</v>
      </c>
      <c r="AA10" s="167">
        <v>6</v>
      </c>
      <c r="AB10" s="167">
        <v>6</v>
      </c>
      <c r="AC10" s="167">
        <v>6</v>
      </c>
      <c r="AD10" s="167">
        <v>6</v>
      </c>
      <c r="AE10" s="178">
        <v>14</v>
      </c>
      <c r="AF10" s="167">
        <v>6</v>
      </c>
      <c r="AG10" s="167">
        <v>6</v>
      </c>
      <c r="AH10" s="167">
        <v>6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 t="s">
        <v>124</v>
      </c>
      <c r="U12" s="28" t="s">
        <v>124</v>
      </c>
      <c r="V12" s="28" t="s">
        <v>124</v>
      </c>
      <c r="W12" s="28" t="s">
        <v>124</v>
      </c>
      <c r="X12" s="28" t="s">
        <v>124</v>
      </c>
      <c r="Y12" s="28" t="s">
        <v>124</v>
      </c>
      <c r="Z12" s="28" t="s">
        <v>124</v>
      </c>
      <c r="AA12" s="28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8" t="s">
        <v>124</v>
      </c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149</v>
      </c>
      <c r="Q15" s="28" t="s">
        <v>149</v>
      </c>
      <c r="R15" s="28" t="s">
        <v>149</v>
      </c>
      <c r="S15" s="28" t="s">
        <v>149</v>
      </c>
      <c r="T15" s="28" t="s">
        <v>149</v>
      </c>
      <c r="U15" s="28" t="s">
        <v>149</v>
      </c>
      <c r="V15" s="28" t="s">
        <v>149</v>
      </c>
      <c r="W15" s="28" t="s">
        <v>149</v>
      </c>
      <c r="X15" s="28" t="s">
        <v>149</v>
      </c>
      <c r="Y15" s="28" t="s">
        <v>149</v>
      </c>
      <c r="Z15" s="28" t="s">
        <v>316</v>
      </c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150</v>
      </c>
      <c r="AF15" s="28" t="s">
        <v>149</v>
      </c>
      <c r="AG15" s="28" t="s">
        <v>149</v>
      </c>
      <c r="AH15" s="28" t="s">
        <v>149</v>
      </c>
    </row>
    <row r="16" spans="1:34">
      <c r="A16" s="26" t="s">
        <v>130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J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ref="K16:O16" si="2">5/3</f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>5/3</f>
        <v>1.6666666666666667</v>
      </c>
      <c r="Q16" s="30">
        <f t="shared" ref="Q16:Y16" si="3">5/3</f>
        <v>1.6666666666666667</v>
      </c>
      <c r="R16" s="30">
        <f t="shared" si="3"/>
        <v>1.6666666666666667</v>
      </c>
      <c r="S16" s="30">
        <f t="shared" si="3"/>
        <v>1.6666666666666667</v>
      </c>
      <c r="T16" s="30">
        <f t="shared" si="3"/>
        <v>1.6666666666666667</v>
      </c>
      <c r="U16" s="30">
        <f t="shared" si="3"/>
        <v>1.6666666666666667</v>
      </c>
      <c r="V16" s="30">
        <f t="shared" si="3"/>
        <v>1.6666666666666667</v>
      </c>
      <c r="W16" s="30">
        <f t="shared" si="3"/>
        <v>1.6666666666666667</v>
      </c>
      <c r="X16" s="30">
        <f t="shared" si="3"/>
        <v>1.6666666666666667</v>
      </c>
      <c r="Y16" s="30">
        <f t="shared" si="3"/>
        <v>1.6666666666666667</v>
      </c>
      <c r="Z16" s="30">
        <f>AVERAGE(7/3,-1.25)</f>
        <v>0.54166666666666674</v>
      </c>
      <c r="AA16" s="30">
        <f>5/3</f>
        <v>1.6666666666666667</v>
      </c>
      <c r="AB16" s="30">
        <f t="shared" ref="AB16:AD16" si="4">5/3</f>
        <v>1.6666666666666667</v>
      </c>
      <c r="AC16" s="30">
        <f t="shared" si="4"/>
        <v>1.6666666666666667</v>
      </c>
      <c r="AD16" s="30">
        <f t="shared" si="4"/>
        <v>1.6666666666666667</v>
      </c>
      <c r="AE16" s="30">
        <v>-1.25</v>
      </c>
      <c r="AF16" s="30">
        <f t="shared" ref="AF16:AG16" si="5">5/3</f>
        <v>1.6666666666666667</v>
      </c>
      <c r="AG16" s="30">
        <f t="shared" si="5"/>
        <v>1.6666666666666667</v>
      </c>
      <c r="AH16" s="30">
        <f>5/3</f>
        <v>1.6666666666666667</v>
      </c>
    </row>
    <row r="17" spans="1:34">
      <c r="A17" s="26" t="s">
        <v>131</v>
      </c>
      <c r="B17" s="29" t="s">
        <v>132</v>
      </c>
      <c r="C17" s="29" t="s">
        <v>132</v>
      </c>
      <c r="D17" s="29" t="s">
        <v>132</v>
      </c>
      <c r="E17" s="29" t="s">
        <v>132</v>
      </c>
      <c r="F17" s="29" t="s">
        <v>132</v>
      </c>
      <c r="G17" s="29" t="s">
        <v>132</v>
      </c>
      <c r="H17" s="29" t="s">
        <v>132</v>
      </c>
      <c r="I17" s="29" t="s">
        <v>132</v>
      </c>
      <c r="J17" s="29" t="s">
        <v>132</v>
      </c>
      <c r="K17" s="29" t="s">
        <v>132</v>
      </c>
      <c r="L17" s="29" t="s">
        <v>132</v>
      </c>
      <c r="M17" s="29" t="s">
        <v>132</v>
      </c>
      <c r="N17" s="29" t="s">
        <v>132</v>
      </c>
      <c r="O17" s="29" t="s">
        <v>132</v>
      </c>
      <c r="P17" s="29" t="s">
        <v>132</v>
      </c>
      <c r="Q17" s="29" t="s">
        <v>132</v>
      </c>
      <c r="R17" s="29" t="s">
        <v>132</v>
      </c>
      <c r="S17" s="29" t="s">
        <v>132</v>
      </c>
      <c r="T17" s="29" t="s">
        <v>132</v>
      </c>
      <c r="U17" s="29" t="s">
        <v>132</v>
      </c>
      <c r="V17" s="29" t="s">
        <v>132</v>
      </c>
      <c r="W17" s="29" t="s">
        <v>132</v>
      </c>
      <c r="X17" s="29" t="s">
        <v>132</v>
      </c>
      <c r="Y17" s="29" t="s">
        <v>132</v>
      </c>
      <c r="Z17" s="29" t="s">
        <v>132</v>
      </c>
      <c r="AA17" s="29" t="s">
        <v>132</v>
      </c>
      <c r="AB17" s="29" t="s">
        <v>132</v>
      </c>
      <c r="AC17" s="29" t="s">
        <v>132</v>
      </c>
      <c r="AD17" s="29" t="s">
        <v>132</v>
      </c>
      <c r="AE17" s="91" t="s">
        <v>132</v>
      </c>
      <c r="AF17" s="29" t="s">
        <v>132</v>
      </c>
      <c r="AG17" s="29" t="s">
        <v>132</v>
      </c>
      <c r="AH17" s="29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92">
        <v>4</v>
      </c>
      <c r="AF18" s="30">
        <v>4</v>
      </c>
      <c r="AG18" s="30">
        <v>4</v>
      </c>
      <c r="AH18" s="30">
        <v>4</v>
      </c>
    </row>
    <row r="20" spans="1:34">
      <c r="A20" s="26" t="s">
        <v>117</v>
      </c>
      <c r="B20" s="28" t="s">
        <v>394</v>
      </c>
      <c r="C20" s="28" t="s">
        <v>395</v>
      </c>
      <c r="D20" s="28" t="s">
        <v>395</v>
      </c>
      <c r="E20" s="28" t="s">
        <v>395</v>
      </c>
      <c r="F20" s="28" t="s">
        <v>395</v>
      </c>
      <c r="G20" s="28" t="s">
        <v>395</v>
      </c>
      <c r="H20" s="28" t="s">
        <v>395</v>
      </c>
      <c r="I20" s="28" t="s">
        <v>395</v>
      </c>
      <c r="J20" s="28" t="s">
        <v>395</v>
      </c>
      <c r="K20" s="28" t="s">
        <v>395</v>
      </c>
      <c r="L20" s="28" t="s">
        <v>395</v>
      </c>
      <c r="M20" s="28" t="s">
        <v>395</v>
      </c>
      <c r="N20" s="28" t="s">
        <v>395</v>
      </c>
      <c r="O20" s="28" t="s">
        <v>395</v>
      </c>
      <c r="P20" s="28" t="s">
        <v>395</v>
      </c>
      <c r="Q20" s="28" t="s">
        <v>395</v>
      </c>
      <c r="R20" s="28" t="s">
        <v>395</v>
      </c>
      <c r="S20" s="28" t="s">
        <v>395</v>
      </c>
      <c r="T20" s="28" t="s">
        <v>395</v>
      </c>
      <c r="U20" s="28" t="s">
        <v>395</v>
      </c>
      <c r="V20" s="28" t="s">
        <v>395</v>
      </c>
      <c r="W20" s="28" t="s">
        <v>395</v>
      </c>
      <c r="X20" s="28" t="s">
        <v>395</v>
      </c>
      <c r="Y20" s="28" t="s">
        <v>395</v>
      </c>
      <c r="Z20" s="28" t="s">
        <v>395</v>
      </c>
      <c r="AA20" s="28" t="s">
        <v>395</v>
      </c>
      <c r="AB20" s="28" t="s">
        <v>395</v>
      </c>
      <c r="AC20" s="28" t="s">
        <v>395</v>
      </c>
      <c r="AD20" s="28" t="s">
        <v>395</v>
      </c>
      <c r="AE20" s="28" t="s">
        <v>395</v>
      </c>
      <c r="AF20" s="28" t="s">
        <v>395</v>
      </c>
      <c r="AG20" s="28" t="s">
        <v>395</v>
      </c>
      <c r="AH20" s="28" t="s">
        <v>395</v>
      </c>
    </row>
    <row r="21" spans="1:34">
      <c r="A21" s="26" t="s">
        <v>121</v>
      </c>
      <c r="B21" s="29" t="s">
        <v>507</v>
      </c>
      <c r="C21" s="29" t="s">
        <v>507</v>
      </c>
      <c r="D21" s="29" t="s">
        <v>507</v>
      </c>
      <c r="E21" s="29" t="s">
        <v>507</v>
      </c>
      <c r="F21" s="29" t="s">
        <v>507</v>
      </c>
      <c r="G21" s="29" t="s">
        <v>507</v>
      </c>
      <c r="H21" s="29" t="s">
        <v>507</v>
      </c>
      <c r="I21" s="29" t="s">
        <v>507</v>
      </c>
      <c r="J21" s="29" t="s">
        <v>507</v>
      </c>
      <c r="K21" s="29" t="s">
        <v>507</v>
      </c>
      <c r="L21" s="29" t="s">
        <v>507</v>
      </c>
      <c r="M21" s="29" t="s">
        <v>507</v>
      </c>
      <c r="N21" s="115" t="s">
        <v>518</v>
      </c>
      <c r="O21" s="29" t="s">
        <v>507</v>
      </c>
      <c r="P21" s="115" t="s">
        <v>400</v>
      </c>
      <c r="Q21" s="115" t="s">
        <v>400</v>
      </c>
      <c r="R21" s="29" t="s">
        <v>401</v>
      </c>
      <c r="S21" s="115" t="s">
        <v>518</v>
      </c>
      <c r="T21" s="29" t="s">
        <v>507</v>
      </c>
      <c r="U21" s="29" t="s">
        <v>507</v>
      </c>
      <c r="V21" s="29" t="s">
        <v>507</v>
      </c>
      <c r="W21" s="29" t="s">
        <v>507</v>
      </c>
      <c r="X21" s="29" t="s">
        <v>507</v>
      </c>
      <c r="Y21" s="29" t="s">
        <v>507</v>
      </c>
      <c r="Z21" s="29" t="s">
        <v>537</v>
      </c>
      <c r="AA21" s="29" t="s">
        <v>507</v>
      </c>
      <c r="AB21" s="29" t="s">
        <v>507</v>
      </c>
      <c r="AC21" s="29" t="s">
        <v>507</v>
      </c>
      <c r="AD21" s="29" t="s">
        <v>507</v>
      </c>
      <c r="AE21" s="29" t="s">
        <v>538</v>
      </c>
      <c r="AF21" s="29" t="s">
        <v>507</v>
      </c>
      <c r="AG21" s="29" t="s">
        <v>507</v>
      </c>
      <c r="AH21" s="29" t="s">
        <v>507</v>
      </c>
    </row>
    <row r="22" spans="1:34">
      <c r="A22" s="140" t="s">
        <v>122</v>
      </c>
      <c r="B22" s="167">
        <v>83</v>
      </c>
      <c r="C22" s="167">
        <v>83</v>
      </c>
      <c r="D22" s="167">
        <v>83</v>
      </c>
      <c r="E22" s="167">
        <v>83</v>
      </c>
      <c r="F22" s="167">
        <v>83</v>
      </c>
      <c r="G22" s="167">
        <v>83</v>
      </c>
      <c r="H22" s="167">
        <v>83</v>
      </c>
      <c r="I22" s="167">
        <v>83</v>
      </c>
      <c r="J22" s="167">
        <v>83</v>
      </c>
      <c r="K22" s="167">
        <v>83</v>
      </c>
      <c r="L22" s="167">
        <v>83</v>
      </c>
      <c r="M22" s="167">
        <v>83</v>
      </c>
      <c r="N22" s="167">
        <v>143</v>
      </c>
      <c r="O22" s="167">
        <v>83</v>
      </c>
      <c r="P22" s="167">
        <v>142</v>
      </c>
      <c r="Q22" s="167">
        <v>142</v>
      </c>
      <c r="R22" s="167">
        <v>81</v>
      </c>
      <c r="S22" s="167">
        <v>143</v>
      </c>
      <c r="T22" s="167">
        <v>83</v>
      </c>
      <c r="U22" s="167">
        <v>83</v>
      </c>
      <c r="V22" s="167">
        <v>83</v>
      </c>
      <c r="W22" s="167">
        <v>83</v>
      </c>
      <c r="X22" s="167">
        <v>83</v>
      </c>
      <c r="Y22" s="167">
        <v>83</v>
      </c>
      <c r="Z22" s="167">
        <v>146</v>
      </c>
      <c r="AA22" s="167">
        <v>83</v>
      </c>
      <c r="AB22" s="167">
        <v>83</v>
      </c>
      <c r="AC22" s="167">
        <v>83</v>
      </c>
      <c r="AD22" s="167">
        <v>83</v>
      </c>
      <c r="AE22" s="167">
        <v>80</v>
      </c>
      <c r="AF22" s="167">
        <v>83</v>
      </c>
      <c r="AG22" s="167">
        <v>83</v>
      </c>
      <c r="AH22" s="167">
        <v>83</v>
      </c>
    </row>
    <row r="23" spans="1:34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124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28" t="s">
        <v>124</v>
      </c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28" t="s">
        <v>124</v>
      </c>
      <c r="AH23" s="28" t="s">
        <v>124</v>
      </c>
    </row>
    <row r="24" spans="1:34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28" t="s">
        <v>124</v>
      </c>
      <c r="T24" s="28" t="s">
        <v>124</v>
      </c>
      <c r="U24" s="28" t="s">
        <v>124</v>
      </c>
      <c r="V24" s="28" t="s">
        <v>124</v>
      </c>
      <c r="W24" s="28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28" t="s">
        <v>124</v>
      </c>
      <c r="AH24" s="28" t="s">
        <v>124</v>
      </c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28" t="s">
        <v>127</v>
      </c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28" t="s">
        <v>127</v>
      </c>
      <c r="AH25" s="28" t="s">
        <v>127</v>
      </c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 t="s">
        <v>127</v>
      </c>
      <c r="G26" s="28" t="s">
        <v>127</v>
      </c>
      <c r="H26" s="28" t="s">
        <v>127</v>
      </c>
      <c r="I26" s="28" t="s">
        <v>127</v>
      </c>
      <c r="J26" s="28" t="s">
        <v>127</v>
      </c>
      <c r="K26" s="28" t="s">
        <v>127</v>
      </c>
      <c r="L26" s="28" t="s">
        <v>127</v>
      </c>
      <c r="M26" s="28" t="s">
        <v>127</v>
      </c>
      <c r="N26" s="28" t="s">
        <v>127</v>
      </c>
      <c r="O26" s="28" t="s">
        <v>127</v>
      </c>
      <c r="P26" s="28" t="s">
        <v>127</v>
      </c>
      <c r="Q26" s="28" t="s">
        <v>127</v>
      </c>
      <c r="R26" s="28" t="s">
        <v>127</v>
      </c>
      <c r="S26" s="28" t="s">
        <v>127</v>
      </c>
      <c r="T26" s="28" t="s">
        <v>127</v>
      </c>
      <c r="U26" s="28" t="s">
        <v>127</v>
      </c>
      <c r="V26" s="28" t="s">
        <v>127</v>
      </c>
      <c r="W26" s="28" t="s">
        <v>127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28" t="s">
        <v>127</v>
      </c>
      <c r="AH26" s="28" t="s">
        <v>127</v>
      </c>
    </row>
    <row r="27" spans="1:34">
      <c r="A27" s="26" t="s">
        <v>129</v>
      </c>
      <c r="B27" s="28" t="s">
        <v>149</v>
      </c>
      <c r="C27" s="28" t="s">
        <v>149</v>
      </c>
      <c r="D27" s="28" t="s">
        <v>149</v>
      </c>
      <c r="E27" s="28" t="s">
        <v>149</v>
      </c>
      <c r="F27" s="28" t="s">
        <v>149</v>
      </c>
      <c r="G27" s="28" t="s">
        <v>149</v>
      </c>
      <c r="H27" s="28" t="s">
        <v>149</v>
      </c>
      <c r="I27" s="28" t="s">
        <v>149</v>
      </c>
      <c r="J27" s="28" t="s">
        <v>149</v>
      </c>
      <c r="K27" s="28" t="s">
        <v>149</v>
      </c>
      <c r="L27" s="28" t="s">
        <v>149</v>
      </c>
      <c r="M27" s="28" t="s">
        <v>149</v>
      </c>
      <c r="N27" s="115" t="s">
        <v>407</v>
      </c>
      <c r="O27" s="28" t="s">
        <v>149</v>
      </c>
      <c r="P27" s="28" t="s">
        <v>408</v>
      </c>
      <c r="Q27" s="28" t="s">
        <v>408</v>
      </c>
      <c r="R27" s="28" t="s">
        <v>408</v>
      </c>
      <c r="S27" s="115" t="s">
        <v>407</v>
      </c>
      <c r="T27" s="28" t="s">
        <v>149</v>
      </c>
      <c r="U27" s="28" t="s">
        <v>149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316</v>
      </c>
      <c r="AA27" s="28" t="s">
        <v>149</v>
      </c>
      <c r="AB27" s="28" t="s">
        <v>149</v>
      </c>
      <c r="AC27" s="28" t="s">
        <v>149</v>
      </c>
      <c r="AD27" s="28" t="s">
        <v>149</v>
      </c>
      <c r="AE27" s="28" t="s">
        <v>150</v>
      </c>
      <c r="AF27" s="28" t="s">
        <v>149</v>
      </c>
      <c r="AG27" s="28" t="s">
        <v>149</v>
      </c>
      <c r="AH27" s="28" t="s">
        <v>149</v>
      </c>
    </row>
    <row r="28" spans="1:34">
      <c r="A28" s="26" t="s">
        <v>130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f>AVERAGE(0.75,-1.25)</f>
        <v>-0.25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-1.25</v>
      </c>
      <c r="AF28" s="30">
        <v>0.75</v>
      </c>
      <c r="AG28" s="30">
        <v>0.75</v>
      </c>
      <c r="AH28" s="30">
        <v>0.75</v>
      </c>
    </row>
    <row r="29" spans="1:34">
      <c r="A29" s="26" t="s">
        <v>131</v>
      </c>
      <c r="B29" s="28" t="s">
        <v>409</v>
      </c>
      <c r="C29" s="28" t="s">
        <v>409</v>
      </c>
      <c r="D29" s="28" t="s">
        <v>409</v>
      </c>
      <c r="E29" s="28" t="s">
        <v>409</v>
      </c>
      <c r="F29" s="28" t="s">
        <v>409</v>
      </c>
      <c r="G29" s="28" t="s">
        <v>409</v>
      </c>
      <c r="H29" s="28" t="s">
        <v>409</v>
      </c>
      <c r="I29" s="28" t="s">
        <v>409</v>
      </c>
      <c r="J29" s="28" t="s">
        <v>409</v>
      </c>
      <c r="K29" s="28" t="s">
        <v>409</v>
      </c>
      <c r="L29" s="28" t="s">
        <v>409</v>
      </c>
      <c r="M29" s="28" t="s">
        <v>409</v>
      </c>
      <c r="N29" s="28" t="s">
        <v>409</v>
      </c>
      <c r="O29" s="28" t="s">
        <v>409</v>
      </c>
      <c r="P29" s="115" t="s">
        <v>411</v>
      </c>
      <c r="Q29" s="115" t="s">
        <v>411</v>
      </c>
      <c r="R29" s="28" t="s">
        <v>409</v>
      </c>
      <c r="S29" s="28" t="s">
        <v>409</v>
      </c>
      <c r="T29" s="28" t="s">
        <v>409</v>
      </c>
      <c r="U29" s="28" t="s">
        <v>409</v>
      </c>
      <c r="V29" s="28" t="s">
        <v>409</v>
      </c>
      <c r="W29" s="28" t="s">
        <v>409</v>
      </c>
      <c r="X29" s="28" t="s">
        <v>409</v>
      </c>
      <c r="Y29" s="28" t="s">
        <v>409</v>
      </c>
      <c r="Z29" s="28" t="s">
        <v>409</v>
      </c>
      <c r="AA29" s="28" t="s">
        <v>409</v>
      </c>
      <c r="AB29" s="28" t="s">
        <v>409</v>
      </c>
      <c r="AC29" s="28" t="s">
        <v>409</v>
      </c>
      <c r="AD29" s="28" t="s">
        <v>409</v>
      </c>
      <c r="AE29" s="28" t="s">
        <v>409</v>
      </c>
      <c r="AF29" s="28" t="s">
        <v>409</v>
      </c>
      <c r="AG29" s="28" t="s">
        <v>409</v>
      </c>
      <c r="AH29" s="28" t="s">
        <v>409</v>
      </c>
    </row>
    <row r="30" spans="1:34">
      <c r="A30" s="26" t="s">
        <v>133</v>
      </c>
      <c r="B30" s="30">
        <v>0.875</v>
      </c>
      <c r="C30" s="30">
        <v>0.875</v>
      </c>
      <c r="D30" s="30">
        <v>0.875</v>
      </c>
      <c r="E30" s="30">
        <v>0.875</v>
      </c>
      <c r="F30" s="30">
        <v>0.875</v>
      </c>
      <c r="G30" s="30">
        <v>0.875</v>
      </c>
      <c r="H30" s="30">
        <v>0.875</v>
      </c>
      <c r="I30" s="30">
        <v>0.875</v>
      </c>
      <c r="J30" s="30">
        <v>0.875</v>
      </c>
      <c r="K30" s="30">
        <v>0.875</v>
      </c>
      <c r="L30" s="30">
        <v>0.875</v>
      </c>
      <c r="M30" s="30">
        <v>0.875</v>
      </c>
      <c r="N30" s="30">
        <f>AVERAGE(0.875,0.875,1.25)</f>
        <v>1</v>
      </c>
      <c r="O30" s="30">
        <v>0.875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AVERAGE(0.875,0.875,1.25)</f>
        <v>1</v>
      </c>
      <c r="T30" s="30">
        <v>0.875</v>
      </c>
      <c r="U30" s="30">
        <v>0.875</v>
      </c>
      <c r="V30" s="30">
        <v>0.875</v>
      </c>
      <c r="W30" s="30">
        <v>0.875</v>
      </c>
      <c r="X30" s="30">
        <v>0.875</v>
      </c>
      <c r="Y30" s="30">
        <v>0.875</v>
      </c>
      <c r="Z30" s="30">
        <f>AVERAGE(0.875,1.25)</f>
        <v>1.0625</v>
      </c>
      <c r="AA30" s="30">
        <v>0.875</v>
      </c>
      <c r="AB30" s="30">
        <v>0.875</v>
      </c>
      <c r="AC30" s="30">
        <v>0.875</v>
      </c>
      <c r="AD30" s="30">
        <v>0.875</v>
      </c>
      <c r="AE30" s="30">
        <v>1.25</v>
      </c>
      <c r="AF30" s="30">
        <v>0.875</v>
      </c>
      <c r="AG30" s="30">
        <v>0.875</v>
      </c>
      <c r="AH30" s="30">
        <v>0.875</v>
      </c>
    </row>
    <row r="32" spans="1:34">
      <c r="A32" s="31" t="s">
        <v>134</v>
      </c>
    </row>
    <row r="33" spans="1:2">
      <c r="A33" s="26" t="s">
        <v>545</v>
      </c>
      <c r="B33" s="93" t="s">
        <v>546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A189-F9DE-4A7B-A66B-D23FDE9EAFC0}">
  <dimension ref="A1:AH34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37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547</v>
      </c>
      <c r="C4" s="203"/>
      <c r="D4" s="203"/>
      <c r="F4" s="204" t="s">
        <v>548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7" t="s">
        <v>199</v>
      </c>
      <c r="C8" s="28" t="s">
        <v>200</v>
      </c>
      <c r="D8" s="28" t="s">
        <v>200</v>
      </c>
      <c r="E8" s="28" t="s">
        <v>200</v>
      </c>
      <c r="F8" s="28" t="s">
        <v>200</v>
      </c>
      <c r="G8" s="28" t="s">
        <v>200</v>
      </c>
      <c r="H8" s="28" t="s">
        <v>200</v>
      </c>
      <c r="I8" s="28" t="s">
        <v>200</v>
      </c>
      <c r="J8" s="28" t="s">
        <v>200</v>
      </c>
      <c r="K8" s="28" t="s">
        <v>200</v>
      </c>
      <c r="L8" s="28" t="s">
        <v>200</v>
      </c>
      <c r="M8" s="28" t="s">
        <v>200</v>
      </c>
      <c r="N8" s="28" t="s">
        <v>200</v>
      </c>
      <c r="O8" s="28" t="s">
        <v>200</v>
      </c>
      <c r="P8" s="28" t="s">
        <v>200</v>
      </c>
      <c r="Q8" s="28" t="s">
        <v>200</v>
      </c>
      <c r="R8" s="28" t="s">
        <v>200</v>
      </c>
      <c r="S8" s="28" t="s">
        <v>200</v>
      </c>
      <c r="T8" s="28" t="s">
        <v>200</v>
      </c>
      <c r="U8" s="28" t="s">
        <v>200</v>
      </c>
      <c r="V8" s="28" t="s">
        <v>200</v>
      </c>
      <c r="W8" s="28" t="s">
        <v>200</v>
      </c>
      <c r="X8" s="28" t="s">
        <v>200</v>
      </c>
      <c r="Y8" s="28" t="s">
        <v>200</v>
      </c>
      <c r="Z8" s="28" t="s">
        <v>200</v>
      </c>
      <c r="AA8" s="28" t="s">
        <v>200</v>
      </c>
      <c r="AB8" s="28" t="s">
        <v>200</v>
      </c>
      <c r="AC8" s="28" t="s">
        <v>200</v>
      </c>
      <c r="AD8" s="28" t="s">
        <v>200</v>
      </c>
      <c r="AE8" s="28" t="s">
        <v>200</v>
      </c>
      <c r="AF8" s="28" t="s">
        <v>200</v>
      </c>
      <c r="AG8" s="28" t="s">
        <v>200</v>
      </c>
      <c r="AH8" s="28" t="s">
        <v>200</v>
      </c>
    </row>
    <row r="9" spans="1:34">
      <c r="A9" s="26" t="s">
        <v>121</v>
      </c>
      <c r="B9" s="28" t="s">
        <v>205</v>
      </c>
      <c r="C9" s="28" t="s">
        <v>205</v>
      </c>
      <c r="D9" s="28" t="s">
        <v>205</v>
      </c>
      <c r="E9" s="28" t="s">
        <v>205</v>
      </c>
      <c r="F9" s="28" t="s">
        <v>205</v>
      </c>
      <c r="G9" s="28" t="s">
        <v>205</v>
      </c>
      <c r="H9" s="28" t="s">
        <v>205</v>
      </c>
      <c r="I9" s="28" t="s">
        <v>205</v>
      </c>
      <c r="J9" s="28" t="s">
        <v>205</v>
      </c>
      <c r="K9" s="28" t="s">
        <v>205</v>
      </c>
      <c r="L9" s="28" t="s">
        <v>205</v>
      </c>
      <c r="M9" s="28" t="s">
        <v>205</v>
      </c>
      <c r="N9" s="28" t="s">
        <v>205</v>
      </c>
      <c r="O9" s="28" t="s">
        <v>205</v>
      </c>
      <c r="P9" s="28" t="s">
        <v>205</v>
      </c>
      <c r="Q9" s="28" t="s">
        <v>205</v>
      </c>
      <c r="R9" s="28" t="s">
        <v>205</v>
      </c>
      <c r="S9" s="28" t="s">
        <v>205</v>
      </c>
      <c r="T9" s="28" t="s">
        <v>205</v>
      </c>
      <c r="U9" s="28" t="s">
        <v>205</v>
      </c>
      <c r="V9" s="28" t="s">
        <v>205</v>
      </c>
      <c r="W9" s="28" t="s">
        <v>205</v>
      </c>
      <c r="X9" s="28" t="s">
        <v>205</v>
      </c>
      <c r="Y9" s="28" t="s">
        <v>205</v>
      </c>
      <c r="Z9" s="28" t="s">
        <v>205</v>
      </c>
      <c r="AA9" s="28" t="s">
        <v>205</v>
      </c>
      <c r="AB9" s="28" t="s">
        <v>205</v>
      </c>
      <c r="AC9" s="28" t="s">
        <v>205</v>
      </c>
      <c r="AD9" s="28" t="s">
        <v>205</v>
      </c>
      <c r="AE9" s="28" t="s">
        <v>205</v>
      </c>
      <c r="AF9" s="28" t="s">
        <v>205</v>
      </c>
      <c r="AG9" s="28" t="s">
        <v>205</v>
      </c>
      <c r="AH9" s="28" t="s">
        <v>205</v>
      </c>
    </row>
    <row r="10" spans="1:34">
      <c r="A10" s="140" t="s">
        <v>122</v>
      </c>
      <c r="B10" s="167">
        <v>19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67">
        <v>19</v>
      </c>
      <c r="J10" s="167">
        <v>19</v>
      </c>
      <c r="K10" s="167">
        <v>19</v>
      </c>
      <c r="L10" s="167">
        <v>19</v>
      </c>
      <c r="M10" s="167">
        <v>19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19</v>
      </c>
      <c r="T10" s="167">
        <v>19</v>
      </c>
      <c r="U10" s="167">
        <v>19</v>
      </c>
      <c r="V10" s="167">
        <v>19</v>
      </c>
      <c r="W10" s="167">
        <v>19</v>
      </c>
      <c r="X10" s="167">
        <v>19</v>
      </c>
      <c r="Y10" s="167">
        <v>19</v>
      </c>
      <c r="Z10" s="167">
        <v>19</v>
      </c>
      <c r="AA10" s="167">
        <v>19</v>
      </c>
      <c r="AB10" s="167">
        <v>19</v>
      </c>
      <c r="AC10" s="167">
        <v>19</v>
      </c>
      <c r="AD10" s="167">
        <v>19</v>
      </c>
      <c r="AE10" s="167">
        <v>19</v>
      </c>
      <c r="AF10" s="167">
        <v>19</v>
      </c>
      <c r="AG10" s="167">
        <v>19</v>
      </c>
      <c r="AH10" s="167">
        <v>19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9" t="s">
        <v>124</v>
      </c>
      <c r="AC11" s="29" t="s">
        <v>124</v>
      </c>
      <c r="AD11" s="29" t="s">
        <v>124</v>
      </c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 t="s">
        <v>216</v>
      </c>
      <c r="W15" s="28" t="s">
        <v>216</v>
      </c>
      <c r="X15" s="28" t="s">
        <v>216</v>
      </c>
      <c r="Y15" s="28" t="s">
        <v>216</v>
      </c>
      <c r="Z15" s="28" t="s">
        <v>216</v>
      </c>
      <c r="AA15" s="28" t="s">
        <v>216</v>
      </c>
      <c r="AB15" s="28" t="s">
        <v>216</v>
      </c>
      <c r="AC15" s="28" t="s">
        <v>216</v>
      </c>
      <c r="AD15" s="28" t="s">
        <v>216</v>
      </c>
      <c r="AE15" s="28" t="s">
        <v>216</v>
      </c>
      <c r="AF15" s="28" t="s">
        <v>216</v>
      </c>
      <c r="AG15" s="28" t="s">
        <v>216</v>
      </c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>
      <c r="A20" s="26" t="s">
        <v>117</v>
      </c>
      <c r="B20" s="28" t="s">
        <v>394</v>
      </c>
      <c r="C20" s="28" t="s">
        <v>395</v>
      </c>
      <c r="D20" s="28" t="s">
        <v>395</v>
      </c>
      <c r="E20" s="28" t="s">
        <v>395</v>
      </c>
      <c r="F20" s="28" t="s">
        <v>395</v>
      </c>
      <c r="G20" s="28" t="s">
        <v>395</v>
      </c>
      <c r="H20" s="28" t="s">
        <v>395</v>
      </c>
      <c r="I20" s="28" t="s">
        <v>395</v>
      </c>
      <c r="J20" s="28" t="s">
        <v>395</v>
      </c>
      <c r="K20" s="28" t="s">
        <v>395</v>
      </c>
      <c r="L20" s="28" t="s">
        <v>395</v>
      </c>
      <c r="M20" s="28" t="s">
        <v>395</v>
      </c>
      <c r="N20" s="28" t="s">
        <v>395</v>
      </c>
      <c r="O20" s="28" t="s">
        <v>395</v>
      </c>
      <c r="P20" s="28" t="s">
        <v>395</v>
      </c>
      <c r="Q20" s="28" t="s">
        <v>395</v>
      </c>
      <c r="R20" s="28" t="s">
        <v>395</v>
      </c>
      <c r="S20" s="28" t="s">
        <v>395</v>
      </c>
      <c r="T20" s="28" t="s">
        <v>395</v>
      </c>
      <c r="U20" s="28" t="s">
        <v>395</v>
      </c>
      <c r="V20" s="28" t="s">
        <v>395</v>
      </c>
      <c r="W20" s="28" t="s">
        <v>395</v>
      </c>
      <c r="X20" s="28" t="s">
        <v>395</v>
      </c>
      <c r="Y20" s="28" t="s">
        <v>395</v>
      </c>
      <c r="Z20" s="28" t="s">
        <v>395</v>
      </c>
      <c r="AA20" s="28" t="s">
        <v>395</v>
      </c>
      <c r="AB20" s="28" t="s">
        <v>395</v>
      </c>
      <c r="AC20" s="28" t="s">
        <v>395</v>
      </c>
      <c r="AD20" s="28" t="s">
        <v>395</v>
      </c>
      <c r="AE20" s="28" t="s">
        <v>395</v>
      </c>
      <c r="AF20" s="28" t="s">
        <v>395</v>
      </c>
      <c r="AG20" s="28" t="s">
        <v>395</v>
      </c>
      <c r="AH20" s="28" t="s">
        <v>395</v>
      </c>
    </row>
    <row r="21" spans="1:34">
      <c r="A21" s="26" t="s">
        <v>121</v>
      </c>
      <c r="B21" s="29" t="s">
        <v>507</v>
      </c>
      <c r="C21" s="29" t="s">
        <v>507</v>
      </c>
      <c r="D21" s="29" t="s">
        <v>507</v>
      </c>
      <c r="E21" s="29" t="s">
        <v>507</v>
      </c>
      <c r="F21" s="29" t="s">
        <v>507</v>
      </c>
      <c r="G21" s="29" t="s">
        <v>507</v>
      </c>
      <c r="H21" s="29" t="s">
        <v>507</v>
      </c>
      <c r="I21" s="29" t="s">
        <v>507</v>
      </c>
      <c r="J21" s="29" t="s">
        <v>507</v>
      </c>
      <c r="K21" s="29" t="s">
        <v>507</v>
      </c>
      <c r="L21" s="29" t="s">
        <v>507</v>
      </c>
      <c r="M21" s="29" t="s">
        <v>507</v>
      </c>
      <c r="N21" s="115" t="s">
        <v>518</v>
      </c>
      <c r="O21" s="29" t="s">
        <v>507</v>
      </c>
      <c r="P21" s="115" t="s">
        <v>400</v>
      </c>
      <c r="Q21" s="115" t="s">
        <v>400</v>
      </c>
      <c r="R21" s="29" t="s">
        <v>401</v>
      </c>
      <c r="S21" s="115" t="s">
        <v>518</v>
      </c>
      <c r="T21" s="29" t="s">
        <v>507</v>
      </c>
      <c r="U21" s="29" t="s">
        <v>507</v>
      </c>
      <c r="V21" s="29" t="s">
        <v>507</v>
      </c>
      <c r="W21" s="29" t="s">
        <v>507</v>
      </c>
      <c r="X21" s="29" t="s">
        <v>507</v>
      </c>
      <c r="Y21" s="29" t="s">
        <v>507</v>
      </c>
      <c r="Z21" s="29" t="s">
        <v>507</v>
      </c>
      <c r="AA21" s="29" t="s">
        <v>507</v>
      </c>
      <c r="AB21" s="29" t="s">
        <v>507</v>
      </c>
      <c r="AC21" s="29" t="s">
        <v>507</v>
      </c>
      <c r="AD21" s="29" t="s">
        <v>507</v>
      </c>
      <c r="AE21" s="29" t="s">
        <v>507</v>
      </c>
      <c r="AF21" s="29" t="s">
        <v>507</v>
      </c>
      <c r="AG21" s="29" t="s">
        <v>507</v>
      </c>
      <c r="AH21" s="29" t="s">
        <v>507</v>
      </c>
    </row>
    <row r="22" spans="1:34">
      <c r="A22" s="140" t="s">
        <v>122</v>
      </c>
      <c r="B22" s="167">
        <v>83</v>
      </c>
      <c r="C22" s="167">
        <v>83</v>
      </c>
      <c r="D22" s="167">
        <v>83</v>
      </c>
      <c r="E22" s="167">
        <v>83</v>
      </c>
      <c r="F22" s="167">
        <v>83</v>
      </c>
      <c r="G22" s="167">
        <v>83</v>
      </c>
      <c r="H22" s="167">
        <v>83</v>
      </c>
      <c r="I22" s="167">
        <v>83</v>
      </c>
      <c r="J22" s="167">
        <v>83</v>
      </c>
      <c r="K22" s="167">
        <v>83</v>
      </c>
      <c r="L22" s="167">
        <v>83</v>
      </c>
      <c r="M22" s="167">
        <v>83</v>
      </c>
      <c r="N22" s="167">
        <v>143</v>
      </c>
      <c r="O22" s="167">
        <v>83</v>
      </c>
      <c r="P22" s="167">
        <v>142</v>
      </c>
      <c r="Q22" s="167">
        <v>142</v>
      </c>
      <c r="R22" s="167">
        <v>81</v>
      </c>
      <c r="S22" s="167">
        <v>143</v>
      </c>
      <c r="T22" s="167">
        <v>83</v>
      </c>
      <c r="U22" s="167">
        <v>83</v>
      </c>
      <c r="V22" s="167">
        <v>83</v>
      </c>
      <c r="W22" s="167">
        <v>83</v>
      </c>
      <c r="X22" s="167">
        <v>83</v>
      </c>
      <c r="Y22" s="167">
        <v>83</v>
      </c>
      <c r="Z22" s="167">
        <v>83</v>
      </c>
      <c r="AA22" s="167">
        <v>83</v>
      </c>
      <c r="AB22" s="167">
        <v>83</v>
      </c>
      <c r="AC22" s="167">
        <v>83</v>
      </c>
      <c r="AD22" s="167">
        <v>83</v>
      </c>
      <c r="AE22" s="167">
        <v>83</v>
      </c>
      <c r="AF22" s="167">
        <v>83</v>
      </c>
      <c r="AG22" s="167">
        <v>83</v>
      </c>
      <c r="AH22" s="167">
        <v>83</v>
      </c>
    </row>
    <row r="23" spans="1:34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124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28" t="s">
        <v>124</v>
      </c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28" t="s">
        <v>124</v>
      </c>
      <c r="AH23" s="28" t="s">
        <v>124</v>
      </c>
    </row>
    <row r="24" spans="1:34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28" t="s">
        <v>124</v>
      </c>
      <c r="T24" s="28" t="s">
        <v>124</v>
      </c>
      <c r="U24" s="28" t="s">
        <v>124</v>
      </c>
      <c r="V24" s="28" t="s">
        <v>124</v>
      </c>
      <c r="W24" s="28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28" t="s">
        <v>124</v>
      </c>
      <c r="AH24" s="28" t="s">
        <v>124</v>
      </c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28" t="s">
        <v>127</v>
      </c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28" t="s">
        <v>127</v>
      </c>
      <c r="AH25" s="28" t="s">
        <v>127</v>
      </c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 t="s">
        <v>127</v>
      </c>
      <c r="G26" s="28" t="s">
        <v>127</v>
      </c>
      <c r="H26" s="28" t="s">
        <v>127</v>
      </c>
      <c r="I26" s="28" t="s">
        <v>127</v>
      </c>
      <c r="J26" s="28" t="s">
        <v>127</v>
      </c>
      <c r="K26" s="28" t="s">
        <v>127</v>
      </c>
      <c r="L26" s="28" t="s">
        <v>127</v>
      </c>
      <c r="M26" s="28" t="s">
        <v>127</v>
      </c>
      <c r="N26" s="28" t="s">
        <v>127</v>
      </c>
      <c r="O26" s="28" t="s">
        <v>127</v>
      </c>
      <c r="P26" s="28" t="s">
        <v>127</v>
      </c>
      <c r="Q26" s="28" t="s">
        <v>127</v>
      </c>
      <c r="R26" s="28" t="s">
        <v>127</v>
      </c>
      <c r="S26" s="28" t="s">
        <v>127</v>
      </c>
      <c r="T26" s="28" t="s">
        <v>127</v>
      </c>
      <c r="U26" s="28" t="s">
        <v>127</v>
      </c>
      <c r="V26" s="28" t="s">
        <v>127</v>
      </c>
      <c r="W26" s="28" t="s">
        <v>127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28" t="s">
        <v>127</v>
      </c>
      <c r="AH26" s="28" t="s">
        <v>127</v>
      </c>
    </row>
    <row r="27" spans="1:34">
      <c r="A27" s="26" t="s">
        <v>129</v>
      </c>
      <c r="B27" s="28" t="s">
        <v>149</v>
      </c>
      <c r="C27" s="28" t="s">
        <v>149</v>
      </c>
      <c r="D27" s="28" t="s">
        <v>149</v>
      </c>
      <c r="E27" s="28" t="s">
        <v>149</v>
      </c>
      <c r="F27" s="28" t="s">
        <v>149</v>
      </c>
      <c r="G27" s="28" t="s">
        <v>149</v>
      </c>
      <c r="H27" s="28" t="s">
        <v>149</v>
      </c>
      <c r="I27" s="28" t="s">
        <v>149</v>
      </c>
      <c r="J27" s="28" t="s">
        <v>149</v>
      </c>
      <c r="K27" s="28" t="s">
        <v>149</v>
      </c>
      <c r="L27" s="28" t="s">
        <v>149</v>
      </c>
      <c r="M27" s="28" t="s">
        <v>149</v>
      </c>
      <c r="N27" s="115" t="s">
        <v>407</v>
      </c>
      <c r="O27" s="28" t="s">
        <v>149</v>
      </c>
      <c r="P27" s="28" t="s">
        <v>408</v>
      </c>
      <c r="Q27" s="28" t="s">
        <v>408</v>
      </c>
      <c r="R27" s="28" t="s">
        <v>408</v>
      </c>
      <c r="S27" s="115" t="s">
        <v>407</v>
      </c>
      <c r="T27" s="28" t="s">
        <v>149</v>
      </c>
      <c r="U27" s="28" t="s">
        <v>149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149</v>
      </c>
      <c r="AA27" s="28" t="s">
        <v>149</v>
      </c>
      <c r="AB27" s="28" t="s">
        <v>149</v>
      </c>
      <c r="AC27" s="28" t="s">
        <v>149</v>
      </c>
      <c r="AD27" s="28" t="s">
        <v>149</v>
      </c>
      <c r="AE27" s="28" t="s">
        <v>149</v>
      </c>
      <c r="AF27" s="28" t="s">
        <v>149</v>
      </c>
      <c r="AG27" s="28" t="s">
        <v>149</v>
      </c>
      <c r="AH27" s="28" t="s">
        <v>149</v>
      </c>
    </row>
    <row r="28" spans="1:34">
      <c r="A28" s="26" t="s">
        <v>130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v>0.75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0.75</v>
      </c>
      <c r="AF28" s="30">
        <v>0.75</v>
      </c>
      <c r="AG28" s="30">
        <v>0.75</v>
      </c>
      <c r="AH28" s="30">
        <v>0.75</v>
      </c>
    </row>
    <row r="29" spans="1:34">
      <c r="A29" s="26" t="s">
        <v>131</v>
      </c>
      <c r="B29" s="28" t="s">
        <v>409</v>
      </c>
      <c r="C29" s="28" t="s">
        <v>409</v>
      </c>
      <c r="D29" s="28" t="s">
        <v>409</v>
      </c>
      <c r="E29" s="28" t="s">
        <v>409</v>
      </c>
      <c r="F29" s="28" t="s">
        <v>409</v>
      </c>
      <c r="G29" s="28" t="s">
        <v>409</v>
      </c>
      <c r="H29" s="28" t="s">
        <v>409</v>
      </c>
      <c r="I29" s="28" t="s">
        <v>409</v>
      </c>
      <c r="J29" s="28" t="s">
        <v>409</v>
      </c>
      <c r="K29" s="28" t="s">
        <v>409</v>
      </c>
      <c r="L29" s="28" t="s">
        <v>409</v>
      </c>
      <c r="M29" s="28" t="s">
        <v>409</v>
      </c>
      <c r="N29" s="28" t="s">
        <v>409</v>
      </c>
      <c r="O29" s="28" t="s">
        <v>409</v>
      </c>
      <c r="P29" s="115" t="s">
        <v>411</v>
      </c>
      <c r="Q29" s="115" t="s">
        <v>411</v>
      </c>
      <c r="R29" s="28" t="s">
        <v>409</v>
      </c>
      <c r="S29" s="28" t="s">
        <v>409</v>
      </c>
      <c r="T29" s="28" t="s">
        <v>409</v>
      </c>
      <c r="U29" s="28" t="s">
        <v>409</v>
      </c>
      <c r="V29" s="28" t="s">
        <v>409</v>
      </c>
      <c r="W29" s="28" t="s">
        <v>409</v>
      </c>
      <c r="X29" s="28" t="s">
        <v>409</v>
      </c>
      <c r="Y29" s="28" t="s">
        <v>409</v>
      </c>
      <c r="Z29" s="28" t="s">
        <v>409</v>
      </c>
      <c r="AA29" s="28" t="s">
        <v>409</v>
      </c>
      <c r="AB29" s="28" t="s">
        <v>409</v>
      </c>
      <c r="AC29" s="28" t="s">
        <v>409</v>
      </c>
      <c r="AD29" s="28" t="s">
        <v>409</v>
      </c>
      <c r="AE29" s="28" t="s">
        <v>409</v>
      </c>
      <c r="AF29" s="28" t="s">
        <v>409</v>
      </c>
      <c r="AG29" s="28" t="s">
        <v>409</v>
      </c>
      <c r="AH29" s="28" t="s">
        <v>409</v>
      </c>
    </row>
    <row r="30" spans="1:34">
      <c r="A30" s="26" t="s">
        <v>133</v>
      </c>
      <c r="B30" s="30">
        <v>0.875</v>
      </c>
      <c r="C30" s="30">
        <v>0.875</v>
      </c>
      <c r="D30" s="30">
        <v>0.875</v>
      </c>
      <c r="E30" s="30">
        <v>0.875</v>
      </c>
      <c r="F30" s="30">
        <v>0.875</v>
      </c>
      <c r="G30" s="30">
        <v>0.875</v>
      </c>
      <c r="H30" s="30">
        <v>0.875</v>
      </c>
      <c r="I30" s="30">
        <v>0.875</v>
      </c>
      <c r="J30" s="30">
        <v>0.875</v>
      </c>
      <c r="K30" s="30">
        <v>0.875</v>
      </c>
      <c r="L30" s="30">
        <v>0.875</v>
      </c>
      <c r="M30" s="30">
        <v>0.875</v>
      </c>
      <c r="N30" s="30">
        <f>AVERAGE(0.875,0.875,1.25)</f>
        <v>1</v>
      </c>
      <c r="O30" s="30">
        <v>0.875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AVERAGE(0.875,0.875,1.25)</f>
        <v>1</v>
      </c>
      <c r="T30" s="30">
        <v>0.875</v>
      </c>
      <c r="U30" s="30">
        <v>0.875</v>
      </c>
      <c r="V30" s="30">
        <v>0.875</v>
      </c>
      <c r="W30" s="30">
        <v>0.875</v>
      </c>
      <c r="X30" s="30">
        <v>0.875</v>
      </c>
      <c r="Y30" s="30">
        <v>0.875</v>
      </c>
      <c r="Z30" s="30">
        <v>0.875</v>
      </c>
      <c r="AA30" s="30">
        <v>0.875</v>
      </c>
      <c r="AB30" s="30">
        <v>0.875</v>
      </c>
      <c r="AC30" s="30">
        <v>0.875</v>
      </c>
      <c r="AD30" s="30">
        <v>0.875</v>
      </c>
      <c r="AE30" s="30">
        <v>0.875</v>
      </c>
      <c r="AF30" s="30">
        <v>0.875</v>
      </c>
      <c r="AG30" s="30">
        <v>0.875</v>
      </c>
      <c r="AH30" s="30">
        <v>0.875</v>
      </c>
    </row>
    <row r="32" spans="1:34">
      <c r="A32" s="31" t="s">
        <v>134</v>
      </c>
    </row>
    <row r="33" spans="1:2">
      <c r="A33" s="93" t="s">
        <v>549</v>
      </c>
      <c r="B33" s="56" t="s">
        <v>550</v>
      </c>
    </row>
    <row r="34" spans="1:2">
      <c r="A34" s="93" t="s">
        <v>551</v>
      </c>
      <c r="B34" s="56" t="s">
        <v>552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9E6E-EC7C-4A34-8258-4811B8ED4FDF}">
  <dimension ref="A1:AK38"/>
  <sheetViews>
    <sheetView topLeftCell="O8" workbookViewId="0">
      <selection activeCell="AK20" sqref="AK20:AK3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7">
      <c r="A1" s="25" t="s">
        <v>74</v>
      </c>
      <c r="D1" s="25" t="s">
        <v>75</v>
      </c>
      <c r="I1" s="25" t="s">
        <v>495</v>
      </c>
    </row>
    <row r="3" spans="1:37" ht="17.45">
      <c r="A3" s="25" t="s">
        <v>77</v>
      </c>
      <c r="B3" s="203">
        <v>38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553</v>
      </c>
      <c r="C4" s="203"/>
      <c r="D4" s="203"/>
      <c r="F4" s="204" t="s">
        <v>554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7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67" t="s">
        <v>98</v>
      </c>
      <c r="AK7" s="57" t="s">
        <v>6</v>
      </c>
    </row>
    <row r="8" spans="1:37">
      <c r="A8" s="26" t="s">
        <v>117</v>
      </c>
      <c r="B8" s="87" t="s">
        <v>199</v>
      </c>
      <c r="C8" s="28" t="s">
        <v>203</v>
      </c>
      <c r="D8" s="28" t="s">
        <v>203</v>
      </c>
      <c r="E8" s="28" t="s">
        <v>203</v>
      </c>
      <c r="F8" s="80"/>
      <c r="G8" s="80"/>
      <c r="H8" s="84"/>
      <c r="I8" s="80"/>
      <c r="J8" s="28" t="s">
        <v>200</v>
      </c>
      <c r="K8" s="28" t="s">
        <v>200</v>
      </c>
      <c r="L8" s="28" t="s">
        <v>200</v>
      </c>
      <c r="M8" s="28" t="s">
        <v>200</v>
      </c>
      <c r="N8" s="28" t="s">
        <v>200</v>
      </c>
      <c r="O8" s="28" t="s">
        <v>200</v>
      </c>
      <c r="P8" s="28" t="s">
        <v>200</v>
      </c>
      <c r="Q8" s="28" t="s">
        <v>200</v>
      </c>
      <c r="R8" s="28" t="s">
        <v>200</v>
      </c>
      <c r="S8" s="28" t="s">
        <v>200</v>
      </c>
      <c r="T8" s="28" t="s">
        <v>499</v>
      </c>
      <c r="U8" s="28" t="s">
        <v>499</v>
      </c>
      <c r="V8" s="28" t="s">
        <v>200</v>
      </c>
      <c r="W8" s="28" t="s">
        <v>200</v>
      </c>
      <c r="X8" s="28" t="s">
        <v>200</v>
      </c>
      <c r="Y8" s="28" t="s">
        <v>200</v>
      </c>
      <c r="Z8" s="28" t="s">
        <v>555</v>
      </c>
      <c r="AA8" s="28" t="s">
        <v>203</v>
      </c>
      <c r="AB8" s="28" t="s">
        <v>500</v>
      </c>
      <c r="AC8" s="28" t="s">
        <v>500</v>
      </c>
      <c r="AD8" s="28" t="s">
        <v>500</v>
      </c>
      <c r="AE8" s="28" t="s">
        <v>500</v>
      </c>
      <c r="AF8" s="28" t="s">
        <v>499</v>
      </c>
      <c r="AG8" s="28" t="s">
        <v>200</v>
      </c>
      <c r="AH8" s="28" t="s">
        <v>203</v>
      </c>
      <c r="AJ8" s="28" t="s">
        <v>250</v>
      </c>
      <c r="AK8" s="87" t="s">
        <v>199</v>
      </c>
    </row>
    <row r="9" spans="1:37">
      <c r="A9" s="26" t="s">
        <v>121</v>
      </c>
      <c r="B9" s="28" t="s">
        <v>205</v>
      </c>
      <c r="C9" s="28" t="s">
        <v>231</v>
      </c>
      <c r="D9" s="28" t="s">
        <v>231</v>
      </c>
      <c r="E9" s="28" t="s">
        <v>148</v>
      </c>
      <c r="F9" s="80"/>
      <c r="G9" s="80"/>
      <c r="H9" s="84"/>
      <c r="I9" s="80"/>
      <c r="J9" s="28" t="s">
        <v>205</v>
      </c>
      <c r="K9" s="28" t="s">
        <v>205</v>
      </c>
      <c r="L9" s="28" t="s">
        <v>205</v>
      </c>
      <c r="M9" s="28" t="s">
        <v>205</v>
      </c>
      <c r="N9" s="28" t="s">
        <v>205</v>
      </c>
      <c r="O9" s="28" t="s">
        <v>205</v>
      </c>
      <c r="P9" s="28" t="s">
        <v>205</v>
      </c>
      <c r="Q9" s="28" t="s">
        <v>205</v>
      </c>
      <c r="R9" s="28" t="s">
        <v>205</v>
      </c>
      <c r="S9" s="28" t="s">
        <v>556</v>
      </c>
      <c r="T9" s="28" t="s">
        <v>148</v>
      </c>
      <c r="U9" s="28" t="s">
        <v>148</v>
      </c>
      <c r="V9" s="28" t="s">
        <v>205</v>
      </c>
      <c r="W9" s="28" t="s">
        <v>205</v>
      </c>
      <c r="X9" s="28" t="s">
        <v>205</v>
      </c>
      <c r="Y9" s="28" t="s">
        <v>205</v>
      </c>
      <c r="Z9" s="29" t="s">
        <v>200</v>
      </c>
      <c r="AA9" s="28" t="s">
        <v>205</v>
      </c>
      <c r="AB9" s="29" t="s">
        <v>200</v>
      </c>
      <c r="AC9" s="29" t="s">
        <v>200</v>
      </c>
      <c r="AD9" s="29" t="s">
        <v>200</v>
      </c>
      <c r="AE9" s="29" t="s">
        <v>200</v>
      </c>
      <c r="AF9" s="28" t="s">
        <v>148</v>
      </c>
      <c r="AG9" s="28" t="s">
        <v>205</v>
      </c>
      <c r="AH9" s="28" t="s">
        <v>233</v>
      </c>
      <c r="AJ9" s="28" t="s">
        <v>251</v>
      </c>
      <c r="AK9" s="28" t="s">
        <v>205</v>
      </c>
    </row>
    <row r="10" spans="1:37">
      <c r="A10" s="140" t="s">
        <v>122</v>
      </c>
      <c r="B10" s="167">
        <v>19</v>
      </c>
      <c r="C10" s="167">
        <v>56</v>
      </c>
      <c r="D10" s="167">
        <v>56</v>
      </c>
      <c r="E10" s="167">
        <v>34</v>
      </c>
      <c r="F10" s="174"/>
      <c r="G10" s="174"/>
      <c r="H10" s="175"/>
      <c r="I10" s="174"/>
      <c r="J10" s="167">
        <v>19</v>
      </c>
      <c r="K10" s="167">
        <v>19</v>
      </c>
      <c r="L10" s="167">
        <v>19</v>
      </c>
      <c r="M10" s="167">
        <v>19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148</v>
      </c>
      <c r="T10" s="167">
        <v>34</v>
      </c>
      <c r="U10" s="167">
        <v>34</v>
      </c>
      <c r="V10" s="167">
        <v>19</v>
      </c>
      <c r="W10" s="167">
        <v>19</v>
      </c>
      <c r="X10" s="167">
        <v>19</v>
      </c>
      <c r="Y10" s="167">
        <v>19</v>
      </c>
      <c r="Z10" s="167">
        <v>17</v>
      </c>
      <c r="AA10" s="167">
        <v>19</v>
      </c>
      <c r="AB10" s="167">
        <v>17</v>
      </c>
      <c r="AC10" s="167">
        <v>17</v>
      </c>
      <c r="AD10" s="167">
        <v>17</v>
      </c>
      <c r="AE10" s="167">
        <v>17</v>
      </c>
      <c r="AF10" s="167">
        <v>34</v>
      </c>
      <c r="AG10" s="167">
        <v>19</v>
      </c>
      <c r="AH10" s="167">
        <v>150</v>
      </c>
      <c r="AJ10" s="29">
        <v>20</v>
      </c>
      <c r="AK10" s="167">
        <v>19</v>
      </c>
    </row>
    <row r="11" spans="1:37">
      <c r="A11" s="26" t="s">
        <v>123</v>
      </c>
      <c r="B11" s="29" t="s">
        <v>124</v>
      </c>
      <c r="C11" s="28" t="s">
        <v>124</v>
      </c>
      <c r="D11" s="28" t="s">
        <v>124</v>
      </c>
      <c r="E11" s="28" t="s">
        <v>124</v>
      </c>
      <c r="F11" s="80"/>
      <c r="G11" s="80"/>
      <c r="H11" s="84"/>
      <c r="I11" s="80"/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8" t="s">
        <v>124</v>
      </c>
      <c r="U11" s="28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9" t="s">
        <v>124</v>
      </c>
      <c r="AH11" s="29" t="s">
        <v>124</v>
      </c>
      <c r="AJ11" s="29" t="s">
        <v>124</v>
      </c>
      <c r="AK11" s="29" t="s">
        <v>124</v>
      </c>
    </row>
    <row r="12" spans="1:37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80"/>
      <c r="G12" s="80"/>
      <c r="H12" s="84"/>
      <c r="I12" s="80"/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9" t="s">
        <v>124</v>
      </c>
      <c r="AK12" s="28" t="s">
        <v>127</v>
      </c>
    </row>
    <row r="13" spans="1:37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80"/>
      <c r="G13" s="80"/>
      <c r="H13" s="84"/>
      <c r="I13" s="80"/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124</v>
      </c>
      <c r="U13" s="28" t="s">
        <v>124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124</v>
      </c>
      <c r="AG13" s="28" t="s">
        <v>127</v>
      </c>
      <c r="AH13" s="28" t="s">
        <v>127</v>
      </c>
      <c r="AJ13" s="28" t="s">
        <v>127</v>
      </c>
      <c r="AK13" s="28" t="s">
        <v>127</v>
      </c>
    </row>
    <row r="14" spans="1:37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80"/>
      <c r="G14" s="80"/>
      <c r="H14" s="84"/>
      <c r="I14" s="80"/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K14" s="28" t="s">
        <v>127</v>
      </c>
    </row>
    <row r="15" spans="1:37">
      <c r="A15" s="26" t="s">
        <v>129</v>
      </c>
      <c r="B15" s="28" t="s">
        <v>216</v>
      </c>
      <c r="C15" s="28" t="s">
        <v>150</v>
      </c>
      <c r="D15" s="28" t="s">
        <v>150</v>
      </c>
      <c r="E15" s="28" t="s">
        <v>150</v>
      </c>
      <c r="F15" s="80"/>
      <c r="G15" s="80"/>
      <c r="H15" s="84"/>
      <c r="I15" s="80"/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557</v>
      </c>
      <c r="T15" s="28" t="s">
        <v>150</v>
      </c>
      <c r="U15" s="28" t="s">
        <v>150</v>
      </c>
      <c r="V15" s="28" t="s">
        <v>216</v>
      </c>
      <c r="W15" s="28" t="s">
        <v>216</v>
      </c>
      <c r="X15" s="28" t="s">
        <v>216</v>
      </c>
      <c r="Y15" s="28" t="s">
        <v>216</v>
      </c>
      <c r="Z15" s="28" t="s">
        <v>150</v>
      </c>
      <c r="AA15" s="28" t="s">
        <v>216</v>
      </c>
      <c r="AB15" s="28" t="s">
        <v>150</v>
      </c>
      <c r="AC15" s="28" t="s">
        <v>150</v>
      </c>
      <c r="AD15" s="28" t="s">
        <v>150</v>
      </c>
      <c r="AE15" s="28" t="s">
        <v>150</v>
      </c>
      <c r="AF15" s="28" t="s">
        <v>150</v>
      </c>
      <c r="AG15" s="28" t="s">
        <v>216</v>
      </c>
      <c r="AH15" s="28" t="s">
        <v>238</v>
      </c>
      <c r="AJ15" s="28" t="s">
        <v>216</v>
      </c>
      <c r="AK15" s="28" t="s">
        <v>216</v>
      </c>
    </row>
    <row r="16" spans="1:37">
      <c r="A16" s="26" t="s">
        <v>130</v>
      </c>
      <c r="B16" s="30">
        <v>-3</v>
      </c>
      <c r="C16" s="128">
        <v>-0.5</v>
      </c>
      <c r="D16" s="128">
        <v>-0.5</v>
      </c>
      <c r="E16" s="128">
        <v>-0.5</v>
      </c>
      <c r="F16" s="176"/>
      <c r="G16" s="176"/>
      <c r="H16" s="82"/>
      <c r="I16" s="82"/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f>AVERAGE(0,-3)</f>
        <v>-1.5</v>
      </c>
      <c r="T16" s="128">
        <v>-0.5</v>
      </c>
      <c r="U16" s="128">
        <v>-0.5</v>
      </c>
      <c r="V16" s="30">
        <v>-3</v>
      </c>
      <c r="W16" s="30">
        <v>-3</v>
      </c>
      <c r="X16" s="30">
        <v>-3</v>
      </c>
      <c r="Y16" s="30">
        <v>-3</v>
      </c>
      <c r="Z16" s="30">
        <v>-2</v>
      </c>
      <c r="AA16" s="30">
        <v>-3</v>
      </c>
      <c r="AB16" s="30">
        <v>-2</v>
      </c>
      <c r="AC16" s="30">
        <v>-2</v>
      </c>
      <c r="AD16" s="30">
        <v>-2</v>
      </c>
      <c r="AE16" s="30">
        <v>-2</v>
      </c>
      <c r="AF16" s="128">
        <v>-0.5</v>
      </c>
      <c r="AG16" s="30">
        <v>-3</v>
      </c>
      <c r="AH16" s="30">
        <v>-2.5</v>
      </c>
      <c r="AJ16" s="30">
        <v>-3</v>
      </c>
      <c r="AK16" s="30">
        <v>-3</v>
      </c>
    </row>
    <row r="17" spans="1:37">
      <c r="A17" s="26" t="s">
        <v>131</v>
      </c>
      <c r="B17" s="28" t="s">
        <v>132</v>
      </c>
      <c r="C17" s="28" t="s">
        <v>180</v>
      </c>
      <c r="D17" s="28" t="s">
        <v>180</v>
      </c>
      <c r="E17" s="28" t="s">
        <v>151</v>
      </c>
      <c r="F17" s="80"/>
      <c r="G17" s="80"/>
      <c r="H17" s="80"/>
      <c r="I17" s="80"/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151</v>
      </c>
      <c r="U17" s="28" t="s">
        <v>151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151</v>
      </c>
      <c r="AG17" s="28" t="s">
        <v>132</v>
      </c>
      <c r="AH17" s="28" t="s">
        <v>132</v>
      </c>
      <c r="AJ17" s="28" t="s">
        <v>132</v>
      </c>
      <c r="AK17" s="28" t="s">
        <v>132</v>
      </c>
    </row>
    <row r="18" spans="1:37">
      <c r="A18" s="26" t="s">
        <v>133</v>
      </c>
      <c r="B18" s="30">
        <v>4</v>
      </c>
      <c r="C18" s="30">
        <v>2</v>
      </c>
      <c r="D18" s="30">
        <v>2</v>
      </c>
      <c r="E18" s="30">
        <v>3</v>
      </c>
      <c r="F18" s="82"/>
      <c r="G18" s="82"/>
      <c r="H18" s="82"/>
      <c r="I18" s="82"/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3</v>
      </c>
      <c r="U18" s="30">
        <v>3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3</v>
      </c>
      <c r="AG18" s="30">
        <v>4</v>
      </c>
      <c r="AH18" s="30">
        <v>4</v>
      </c>
      <c r="AJ18" s="30">
        <v>4</v>
      </c>
      <c r="AK18" s="30">
        <v>4</v>
      </c>
    </row>
    <row r="20" spans="1:37">
      <c r="A20" s="26" t="s">
        <v>117</v>
      </c>
      <c r="B20" s="28" t="s">
        <v>409</v>
      </c>
      <c r="C20" s="80"/>
      <c r="D20" s="80"/>
      <c r="E20" s="80"/>
      <c r="F20" s="115" t="s">
        <v>420</v>
      </c>
      <c r="G20" s="28" t="s">
        <v>422</v>
      </c>
      <c r="H20" s="28" t="s">
        <v>422</v>
      </c>
      <c r="I20" s="28" t="s">
        <v>422</v>
      </c>
      <c r="J20" s="115" t="s">
        <v>421</v>
      </c>
      <c r="K20" s="28" t="s">
        <v>419</v>
      </c>
      <c r="L20" s="28" t="s">
        <v>419</v>
      </c>
      <c r="M20" s="28" t="s">
        <v>419</v>
      </c>
      <c r="N20" s="28" t="s">
        <v>419</v>
      </c>
      <c r="O20" s="28" t="s">
        <v>419</v>
      </c>
      <c r="P20" s="28" t="s">
        <v>419</v>
      </c>
      <c r="Q20" s="28" t="s">
        <v>419</v>
      </c>
      <c r="R20" s="28" t="s">
        <v>419</v>
      </c>
      <c r="S20" s="28" t="s">
        <v>422</v>
      </c>
      <c r="T20" s="80"/>
      <c r="U20" s="80"/>
      <c r="V20" s="28" t="s">
        <v>419</v>
      </c>
      <c r="W20" s="28" t="s">
        <v>419</v>
      </c>
      <c r="X20" s="28" t="s">
        <v>395</v>
      </c>
      <c r="Y20" s="28" t="s">
        <v>395</v>
      </c>
      <c r="Z20" s="80"/>
      <c r="AA20" s="28" t="s">
        <v>502</v>
      </c>
      <c r="AB20" s="80"/>
      <c r="AC20" s="80"/>
      <c r="AD20" s="80"/>
      <c r="AE20" s="80"/>
      <c r="AF20" s="80"/>
      <c r="AG20" s="86" t="s">
        <v>558</v>
      </c>
      <c r="AH20" s="28" t="s">
        <v>502</v>
      </c>
      <c r="AJ20" s="28" t="s">
        <v>419</v>
      </c>
      <c r="AK20" s="28" t="s">
        <v>409</v>
      </c>
    </row>
    <row r="21" spans="1:37">
      <c r="A21" s="26" t="s">
        <v>121</v>
      </c>
      <c r="B21" s="28" t="s">
        <v>425</v>
      </c>
      <c r="C21" s="80"/>
      <c r="D21" s="80"/>
      <c r="E21" s="81"/>
      <c r="F21" s="115" t="s">
        <v>426</v>
      </c>
      <c r="G21" s="28" t="s">
        <v>503</v>
      </c>
      <c r="H21" s="28" t="s">
        <v>272</v>
      </c>
      <c r="I21" s="28" t="s">
        <v>272</v>
      </c>
      <c r="J21" s="115" t="s">
        <v>427</v>
      </c>
      <c r="K21" s="29" t="s">
        <v>419</v>
      </c>
      <c r="L21" s="28" t="s">
        <v>504</v>
      </c>
      <c r="M21" s="28" t="s">
        <v>505</v>
      </c>
      <c r="N21" s="29" t="s">
        <v>419</v>
      </c>
      <c r="O21" s="29" t="s">
        <v>419</v>
      </c>
      <c r="P21" s="29" t="s">
        <v>419</v>
      </c>
      <c r="Q21" s="29" t="s">
        <v>419</v>
      </c>
      <c r="R21" s="29" t="s">
        <v>419</v>
      </c>
      <c r="S21" s="113" t="s">
        <v>559</v>
      </c>
      <c r="T21" s="81"/>
      <c r="U21" s="81"/>
      <c r="V21" s="29" t="s">
        <v>419</v>
      </c>
      <c r="W21" s="29" t="s">
        <v>419</v>
      </c>
      <c r="X21" s="29" t="s">
        <v>507</v>
      </c>
      <c r="Y21" s="29" t="s">
        <v>507</v>
      </c>
      <c r="Z21" s="81"/>
      <c r="AA21" s="28" t="s">
        <v>269</v>
      </c>
      <c r="AB21" s="81"/>
      <c r="AC21" s="81"/>
      <c r="AD21" s="81"/>
      <c r="AE21" s="81"/>
      <c r="AF21" s="81"/>
      <c r="AG21" s="86" t="s">
        <v>503</v>
      </c>
      <c r="AH21" s="28" t="s">
        <v>560</v>
      </c>
      <c r="AJ21" s="29" t="s">
        <v>419</v>
      </c>
      <c r="AK21" s="28" t="s">
        <v>430</v>
      </c>
    </row>
    <row r="22" spans="1:37">
      <c r="A22" s="140" t="s">
        <v>122</v>
      </c>
      <c r="B22" s="167">
        <v>87</v>
      </c>
      <c r="C22" s="174"/>
      <c r="D22" s="174"/>
      <c r="E22" s="174"/>
      <c r="F22" s="167">
        <v>129</v>
      </c>
      <c r="G22" s="167">
        <v>90</v>
      </c>
      <c r="H22" s="167">
        <v>39</v>
      </c>
      <c r="I22" s="167">
        <v>39</v>
      </c>
      <c r="J22" s="167">
        <v>130</v>
      </c>
      <c r="K22" s="167">
        <v>85</v>
      </c>
      <c r="L22" s="167">
        <v>87</v>
      </c>
      <c r="M22" s="167">
        <v>140</v>
      </c>
      <c r="N22" s="167">
        <v>85</v>
      </c>
      <c r="O22" s="167">
        <v>85</v>
      </c>
      <c r="P22" s="167">
        <v>85</v>
      </c>
      <c r="Q22" s="167">
        <v>85</v>
      </c>
      <c r="R22" s="167">
        <v>85</v>
      </c>
      <c r="S22" s="167">
        <v>149</v>
      </c>
      <c r="T22" s="174"/>
      <c r="U22" s="174"/>
      <c r="V22" s="167">
        <v>85</v>
      </c>
      <c r="W22" s="167">
        <v>85</v>
      </c>
      <c r="X22" s="167">
        <v>83</v>
      </c>
      <c r="Y22" s="167">
        <v>83</v>
      </c>
      <c r="Z22" s="174"/>
      <c r="AA22" s="167">
        <v>98</v>
      </c>
      <c r="AB22" s="174"/>
      <c r="AC22" s="174"/>
      <c r="AD22" s="174"/>
      <c r="AE22" s="174"/>
      <c r="AF22" s="174"/>
      <c r="AG22" s="171">
        <v>90</v>
      </c>
      <c r="AH22" s="167">
        <v>151</v>
      </c>
      <c r="AJ22" s="29">
        <v>85</v>
      </c>
      <c r="AK22" s="167">
        <v>139</v>
      </c>
    </row>
    <row r="23" spans="1:37">
      <c r="A23" s="26" t="s">
        <v>123</v>
      </c>
      <c r="B23" s="28" t="s">
        <v>124</v>
      </c>
      <c r="C23" s="80"/>
      <c r="D23" s="80"/>
      <c r="E23" s="80"/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80"/>
      <c r="U23" s="80"/>
      <c r="V23" s="28" t="s">
        <v>124</v>
      </c>
      <c r="W23" s="28" t="s">
        <v>124</v>
      </c>
      <c r="X23" s="28" t="s">
        <v>124</v>
      </c>
      <c r="Y23" s="28" t="s">
        <v>124</v>
      </c>
      <c r="Z23" s="80"/>
      <c r="AA23" s="28" t="s">
        <v>124</v>
      </c>
      <c r="AB23" s="81"/>
      <c r="AC23" s="81"/>
      <c r="AD23" s="80"/>
      <c r="AE23" s="81"/>
      <c r="AF23" s="80"/>
      <c r="AG23" s="86" t="s">
        <v>124</v>
      </c>
      <c r="AH23" s="28" t="s">
        <v>124</v>
      </c>
      <c r="AJ23" s="28" t="s">
        <v>124</v>
      </c>
      <c r="AK23" s="28" t="s">
        <v>124</v>
      </c>
    </row>
    <row r="24" spans="1:37">
      <c r="A24" s="26" t="s">
        <v>125</v>
      </c>
      <c r="B24" s="28" t="s">
        <v>124</v>
      </c>
      <c r="C24" s="80"/>
      <c r="D24" s="80"/>
      <c r="E24" s="80"/>
      <c r="F24" s="118" t="s">
        <v>236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87" t="s">
        <v>124</v>
      </c>
      <c r="T24" s="80"/>
      <c r="U24" s="80"/>
      <c r="V24" s="28" t="s">
        <v>124</v>
      </c>
      <c r="W24" s="28" t="s">
        <v>124</v>
      </c>
      <c r="X24" s="28" t="s">
        <v>124</v>
      </c>
      <c r="Y24" s="28" t="s">
        <v>124</v>
      </c>
      <c r="Z24" s="80"/>
      <c r="AA24" s="28" t="s">
        <v>124</v>
      </c>
      <c r="AB24" s="80"/>
      <c r="AC24" s="80"/>
      <c r="AD24" s="80"/>
      <c r="AE24" s="80"/>
      <c r="AF24" s="80"/>
      <c r="AG24" s="86" t="s">
        <v>124</v>
      </c>
      <c r="AH24" s="28" t="s">
        <v>215</v>
      </c>
      <c r="AJ24" s="28" t="s">
        <v>124</v>
      </c>
      <c r="AK24" s="28" t="s">
        <v>124</v>
      </c>
    </row>
    <row r="25" spans="1:37">
      <c r="A25" s="26" t="s">
        <v>126</v>
      </c>
      <c r="B25" s="28" t="s">
        <v>127</v>
      </c>
      <c r="C25" s="80"/>
      <c r="D25" s="80"/>
      <c r="E25" s="80"/>
      <c r="F25" s="115" t="s">
        <v>431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80"/>
      <c r="U25" s="80"/>
      <c r="V25" s="28" t="s">
        <v>127</v>
      </c>
      <c r="W25" s="28" t="s">
        <v>127</v>
      </c>
      <c r="X25" s="28" t="s">
        <v>127</v>
      </c>
      <c r="Y25" s="28" t="s">
        <v>127</v>
      </c>
      <c r="Z25" s="80"/>
      <c r="AA25" s="28" t="s">
        <v>127</v>
      </c>
      <c r="AB25" s="80"/>
      <c r="AC25" s="80"/>
      <c r="AD25" s="80"/>
      <c r="AE25" s="80"/>
      <c r="AF25" s="80"/>
      <c r="AG25" s="86" t="s">
        <v>127</v>
      </c>
      <c r="AH25" s="28" t="s">
        <v>127</v>
      </c>
      <c r="AJ25" s="28" t="s">
        <v>127</v>
      </c>
      <c r="AK25" s="28" t="s">
        <v>127</v>
      </c>
    </row>
    <row r="26" spans="1:37">
      <c r="A26" s="26" t="s">
        <v>128</v>
      </c>
      <c r="B26" s="28" t="s">
        <v>124</v>
      </c>
      <c r="C26" s="80"/>
      <c r="D26" s="80"/>
      <c r="E26" s="80"/>
      <c r="F26" s="118" t="s">
        <v>236</v>
      </c>
      <c r="G26" s="28" t="s">
        <v>124</v>
      </c>
      <c r="H26" s="28" t="s">
        <v>127</v>
      </c>
      <c r="I26" s="28" t="s">
        <v>127</v>
      </c>
      <c r="J26" s="28" t="s">
        <v>124</v>
      </c>
      <c r="K26" s="28" t="s">
        <v>124</v>
      </c>
      <c r="L26" s="28" t="s">
        <v>124</v>
      </c>
      <c r="M26" s="28" t="s">
        <v>124</v>
      </c>
      <c r="N26" s="28" t="s">
        <v>124</v>
      </c>
      <c r="O26" s="28" t="s">
        <v>124</v>
      </c>
      <c r="P26" s="28" t="s">
        <v>124</v>
      </c>
      <c r="Q26" s="28" t="s">
        <v>124</v>
      </c>
      <c r="R26" s="28" t="s">
        <v>124</v>
      </c>
      <c r="S26" s="118" t="s">
        <v>215</v>
      </c>
      <c r="T26" s="80"/>
      <c r="U26" s="80"/>
      <c r="V26" s="28" t="s">
        <v>124</v>
      </c>
      <c r="W26" s="28" t="s">
        <v>124</v>
      </c>
      <c r="X26" s="28" t="s">
        <v>127</v>
      </c>
      <c r="Y26" s="28" t="s">
        <v>127</v>
      </c>
      <c r="Z26" s="80"/>
      <c r="AA26" s="28" t="s">
        <v>127</v>
      </c>
      <c r="AB26" s="80"/>
      <c r="AC26" s="80"/>
      <c r="AD26" s="80"/>
      <c r="AE26" s="80"/>
      <c r="AF26" s="80"/>
      <c r="AG26" s="86" t="s">
        <v>124</v>
      </c>
      <c r="AH26" s="28" t="s">
        <v>127</v>
      </c>
      <c r="AJ26" s="28" t="s">
        <v>124</v>
      </c>
      <c r="AK26" s="28" t="s">
        <v>124</v>
      </c>
    </row>
    <row r="27" spans="1:37">
      <c r="A27" s="26" t="s">
        <v>129</v>
      </c>
      <c r="B27" s="28" t="s">
        <v>432</v>
      </c>
      <c r="C27" s="80"/>
      <c r="D27" s="80"/>
      <c r="E27" s="80"/>
      <c r="F27" s="28" t="s">
        <v>150</v>
      </c>
      <c r="G27" s="28" t="s">
        <v>150</v>
      </c>
      <c r="H27" s="28" t="s">
        <v>150</v>
      </c>
      <c r="I27" s="28" t="s">
        <v>150</v>
      </c>
      <c r="J27" s="113" t="s">
        <v>433</v>
      </c>
      <c r="K27" s="28" t="s">
        <v>149</v>
      </c>
      <c r="L27" s="28" t="s">
        <v>432</v>
      </c>
      <c r="M27" s="28" t="s">
        <v>216</v>
      </c>
      <c r="N27" s="28" t="s">
        <v>149</v>
      </c>
      <c r="O27" s="28" t="s">
        <v>149</v>
      </c>
      <c r="P27" s="28" t="s">
        <v>149</v>
      </c>
      <c r="Q27" s="28" t="s">
        <v>149</v>
      </c>
      <c r="R27" s="28" t="s">
        <v>149</v>
      </c>
      <c r="S27" s="113" t="s">
        <v>316</v>
      </c>
      <c r="T27" s="80"/>
      <c r="U27" s="80"/>
      <c r="V27" s="28" t="s">
        <v>149</v>
      </c>
      <c r="W27" s="28" t="s">
        <v>149</v>
      </c>
      <c r="X27" s="28" t="s">
        <v>149</v>
      </c>
      <c r="Y27" s="28" t="s">
        <v>149</v>
      </c>
      <c r="Z27" s="80"/>
      <c r="AA27" s="28" t="s">
        <v>150</v>
      </c>
      <c r="AB27" s="80"/>
      <c r="AC27" s="80"/>
      <c r="AD27" s="80"/>
      <c r="AE27" s="80"/>
      <c r="AF27" s="80"/>
      <c r="AG27" s="86" t="s">
        <v>150</v>
      </c>
      <c r="AH27" s="28" t="s">
        <v>150</v>
      </c>
      <c r="AJ27" s="28" t="s">
        <v>149</v>
      </c>
      <c r="AK27" s="28" t="s">
        <v>150</v>
      </c>
    </row>
    <row r="28" spans="1:37">
      <c r="A28" s="26" t="s">
        <v>130</v>
      </c>
      <c r="B28" s="30">
        <f>-7/6</f>
        <v>-1.1666666666666667</v>
      </c>
      <c r="C28" s="82"/>
      <c r="D28" s="82"/>
      <c r="E28" s="82"/>
      <c r="F28" s="128">
        <f>AVERAGE(0,0,-1.25)</f>
        <v>-0.41666666666666669</v>
      </c>
      <c r="G28" s="30">
        <v>-2</v>
      </c>
      <c r="H28" s="30">
        <v>-2</v>
      </c>
      <c r="I28" s="30">
        <v>-2</v>
      </c>
      <c r="J28" s="30">
        <f>AVERAGE(0.75,0.75,0.75,0)</f>
        <v>0.5625</v>
      </c>
      <c r="K28" s="30">
        <v>0.75</v>
      </c>
      <c r="L28" s="30">
        <f>-7/6</f>
        <v>-1.1666666666666667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30">
        <v>0.75</v>
      </c>
      <c r="S28" s="30">
        <f>AVERAGE(0.75,-2)</f>
        <v>-0.625</v>
      </c>
      <c r="T28" s="82"/>
      <c r="U28" s="82"/>
      <c r="V28" s="30">
        <v>0.75</v>
      </c>
      <c r="W28" s="30">
        <v>0.75</v>
      </c>
      <c r="X28" s="30">
        <v>0.75</v>
      </c>
      <c r="Y28" s="30">
        <v>0.75</v>
      </c>
      <c r="Z28" s="82"/>
      <c r="AA28" s="30">
        <v>-2</v>
      </c>
      <c r="AB28" s="82"/>
      <c r="AC28" s="82"/>
      <c r="AD28" s="82"/>
      <c r="AE28" s="82"/>
      <c r="AF28" s="82"/>
      <c r="AG28" s="92">
        <v>-2</v>
      </c>
      <c r="AH28" s="30">
        <v>-2</v>
      </c>
      <c r="AJ28" s="30">
        <v>0.75</v>
      </c>
      <c r="AK28" s="30">
        <f>-1/6</f>
        <v>-0.16666666666666666</v>
      </c>
    </row>
    <row r="29" spans="1:37">
      <c r="A29" s="26" t="s">
        <v>131</v>
      </c>
      <c r="B29" s="28" t="s">
        <v>435</v>
      </c>
      <c r="C29" s="80"/>
      <c r="D29" s="80"/>
      <c r="E29" s="80"/>
      <c r="F29" s="77" t="s">
        <v>436</v>
      </c>
      <c r="G29" s="28" t="s">
        <v>409</v>
      </c>
      <c r="H29" s="28" t="s">
        <v>151</v>
      </c>
      <c r="I29" s="28" t="s">
        <v>151</v>
      </c>
      <c r="J29" s="28" t="s">
        <v>435</v>
      </c>
      <c r="K29" s="28" t="s">
        <v>435</v>
      </c>
      <c r="L29" s="28" t="s">
        <v>435</v>
      </c>
      <c r="M29" s="28" t="s">
        <v>435</v>
      </c>
      <c r="N29" s="28" t="s">
        <v>435</v>
      </c>
      <c r="O29" s="28" t="s">
        <v>435</v>
      </c>
      <c r="P29" s="28" t="s">
        <v>435</v>
      </c>
      <c r="Q29" s="28" t="s">
        <v>435</v>
      </c>
      <c r="R29" s="28" t="s">
        <v>435</v>
      </c>
      <c r="S29" s="180" t="s">
        <v>437</v>
      </c>
      <c r="T29" s="80"/>
      <c r="U29" s="80"/>
      <c r="V29" s="28" t="s">
        <v>435</v>
      </c>
      <c r="W29" s="28" t="s">
        <v>435</v>
      </c>
      <c r="X29" s="28" t="s">
        <v>409</v>
      </c>
      <c r="Y29" s="28" t="s">
        <v>409</v>
      </c>
      <c r="Z29" s="80"/>
      <c r="AA29" s="28" t="s">
        <v>280</v>
      </c>
      <c r="AB29" s="80"/>
      <c r="AC29" s="80"/>
      <c r="AD29" s="80"/>
      <c r="AE29" s="80"/>
      <c r="AF29" s="80"/>
      <c r="AG29" s="86" t="s">
        <v>409</v>
      </c>
      <c r="AH29" s="28" t="s">
        <v>483</v>
      </c>
      <c r="AJ29" s="28" t="s">
        <v>435</v>
      </c>
      <c r="AK29" s="28" t="s">
        <v>435</v>
      </c>
    </row>
    <row r="30" spans="1:37">
      <c r="A30" s="26" t="s">
        <v>133</v>
      </c>
      <c r="B30" s="30">
        <v>0.75</v>
      </c>
      <c r="C30" s="82"/>
      <c r="D30" s="82"/>
      <c r="E30" s="82"/>
      <c r="F30" s="30">
        <f>AVERAGE(0.75,0.75,3)</f>
        <v>1.5</v>
      </c>
      <c r="G30" s="30">
        <v>0.75</v>
      </c>
      <c r="H30" s="30">
        <v>3</v>
      </c>
      <c r="I30" s="30">
        <v>3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AVERAGE(0.75,1/3)</f>
        <v>0.54166666666666663</v>
      </c>
      <c r="T30" s="82"/>
      <c r="U30" s="82"/>
      <c r="V30" s="30">
        <v>0.75</v>
      </c>
      <c r="W30" s="30">
        <v>0.75</v>
      </c>
      <c r="X30" s="30">
        <v>0.875</v>
      </c>
      <c r="Y30" s="30">
        <v>0.875</v>
      </c>
      <c r="Z30" s="82"/>
      <c r="AA30" s="30">
        <v>0.5</v>
      </c>
      <c r="AB30" s="82"/>
      <c r="AC30" s="82"/>
      <c r="AD30" s="82"/>
      <c r="AE30" s="82"/>
      <c r="AF30" s="82"/>
      <c r="AG30" s="92">
        <v>0.75</v>
      </c>
      <c r="AH30" s="30">
        <f>AVERAGE(1/3,0)</f>
        <v>0.16666666666666666</v>
      </c>
      <c r="AJ30" s="30">
        <v>0.75</v>
      </c>
      <c r="AK30" s="30">
        <v>0.75</v>
      </c>
    </row>
    <row r="31" spans="1:37">
      <c r="B31" s="78" t="s">
        <v>561</v>
      </c>
      <c r="P31" s="78" t="s">
        <v>562</v>
      </c>
      <c r="AJ31" s="78" t="s">
        <v>563</v>
      </c>
      <c r="AK31" s="78" t="s">
        <v>564</v>
      </c>
    </row>
    <row r="32" spans="1:37">
      <c r="A32" s="31" t="s">
        <v>134</v>
      </c>
    </row>
    <row r="33" spans="1:2">
      <c r="A33" s="223" t="s">
        <v>565</v>
      </c>
      <c r="B33" s="96" t="s">
        <v>566</v>
      </c>
    </row>
    <row r="34" spans="1:2">
      <c r="A34" s="223"/>
      <c r="B34" s="96" t="s">
        <v>567</v>
      </c>
    </row>
    <row r="35" spans="1:2">
      <c r="A35" s="223"/>
      <c r="B35" s="96" t="s">
        <v>515</v>
      </c>
    </row>
    <row r="36" spans="1:2">
      <c r="A36" s="223"/>
      <c r="B36" s="96" t="s">
        <v>513</v>
      </c>
    </row>
    <row r="37" spans="1:2">
      <c r="A37" s="26" t="s">
        <v>568</v>
      </c>
      <c r="B37" s="56" t="s">
        <v>569</v>
      </c>
    </row>
    <row r="38" spans="1:2">
      <c r="A38" s="26" t="s">
        <v>570</v>
      </c>
    </row>
  </sheetData>
  <mergeCells count="6">
    <mergeCell ref="F3:O3"/>
    <mergeCell ref="F4:O5"/>
    <mergeCell ref="A33:A36"/>
    <mergeCell ref="B3:D3"/>
    <mergeCell ref="B4:D4"/>
    <mergeCell ref="B5:D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AFF6-3211-4DBA-8DEB-4D9868FE9433}">
  <dimension ref="A1:AM36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9">
      <c r="A1" s="25" t="s">
        <v>74</v>
      </c>
      <c r="D1" s="25" t="s">
        <v>75</v>
      </c>
      <c r="I1" s="25" t="s">
        <v>495</v>
      </c>
    </row>
    <row r="3" spans="1:39" ht="17.45">
      <c r="A3" s="25" t="s">
        <v>77</v>
      </c>
      <c r="B3" s="203">
        <v>39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9" ht="17.45">
      <c r="A4" s="25" t="s">
        <v>79</v>
      </c>
      <c r="B4" s="203" t="s">
        <v>571</v>
      </c>
      <c r="C4" s="203"/>
      <c r="D4" s="203"/>
      <c r="F4" s="204" t="s">
        <v>572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9" ht="17.45">
      <c r="A5" s="25" t="s">
        <v>82</v>
      </c>
      <c r="B5" s="203" t="s">
        <v>573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9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71" t="s">
        <v>106</v>
      </c>
      <c r="AK7" s="71" t="s">
        <v>107</v>
      </c>
      <c r="AL7" s="76" t="s">
        <v>115</v>
      </c>
      <c r="AM7" s="76" t="s">
        <v>116</v>
      </c>
    </row>
    <row r="8" spans="1:39">
      <c r="A8" s="26" t="s">
        <v>117</v>
      </c>
      <c r="B8" s="28" t="s">
        <v>574</v>
      </c>
      <c r="C8" s="83" t="s">
        <v>575</v>
      </c>
      <c r="D8" s="83" t="s">
        <v>575</v>
      </c>
      <c r="E8" s="89" t="s">
        <v>200</v>
      </c>
      <c r="F8" s="89" t="s">
        <v>200</v>
      </c>
      <c r="G8" s="89" t="s">
        <v>200</v>
      </c>
      <c r="H8" s="83" t="s">
        <v>200</v>
      </c>
      <c r="I8" s="181" t="s">
        <v>200</v>
      </c>
      <c r="J8" s="28" t="s">
        <v>575</v>
      </c>
      <c r="K8" s="28" t="s">
        <v>575</v>
      </c>
      <c r="L8" s="28" t="s">
        <v>575</v>
      </c>
      <c r="M8" s="28" t="s">
        <v>575</v>
      </c>
      <c r="N8" s="28" t="s">
        <v>576</v>
      </c>
      <c r="O8" s="28" t="s">
        <v>575</v>
      </c>
      <c r="P8" s="28" t="s">
        <v>576</v>
      </c>
      <c r="Q8" s="28" t="s">
        <v>576</v>
      </c>
      <c r="R8" s="28" t="s">
        <v>200</v>
      </c>
      <c r="S8" s="28" t="s">
        <v>576</v>
      </c>
      <c r="T8" s="28" t="s">
        <v>575</v>
      </c>
      <c r="U8" s="28" t="s">
        <v>575</v>
      </c>
      <c r="V8" s="28" t="s">
        <v>575</v>
      </c>
      <c r="W8" s="28" t="s">
        <v>200</v>
      </c>
      <c r="X8" s="28" t="s">
        <v>119</v>
      </c>
      <c r="Y8" s="28" t="s">
        <v>200</v>
      </c>
      <c r="Z8" s="28" t="s">
        <v>576</v>
      </c>
      <c r="AA8" s="28" t="s">
        <v>575</v>
      </c>
      <c r="AB8" s="28" t="s">
        <v>575</v>
      </c>
      <c r="AC8" s="28" t="s">
        <v>575</v>
      </c>
      <c r="AD8" s="28" t="s">
        <v>575</v>
      </c>
      <c r="AE8" s="28" t="s">
        <v>575</v>
      </c>
      <c r="AF8" s="28" t="s">
        <v>200</v>
      </c>
      <c r="AG8" s="28" t="s">
        <v>498</v>
      </c>
      <c r="AH8" s="28" t="s">
        <v>498</v>
      </c>
      <c r="AJ8" s="28" t="s">
        <v>200</v>
      </c>
      <c r="AK8" s="28" t="s">
        <v>200</v>
      </c>
      <c r="AL8" s="28" t="s">
        <v>200</v>
      </c>
      <c r="AM8" s="28" t="s">
        <v>200</v>
      </c>
    </row>
    <row r="9" spans="1:39">
      <c r="A9" s="26" t="s">
        <v>121</v>
      </c>
      <c r="B9" s="29" t="s">
        <v>577</v>
      </c>
      <c r="C9" s="28" t="s">
        <v>205</v>
      </c>
      <c r="D9" s="28" t="s">
        <v>205</v>
      </c>
      <c r="E9" s="28" t="s">
        <v>205</v>
      </c>
      <c r="F9" s="28" t="s">
        <v>205</v>
      </c>
      <c r="G9" s="28" t="s">
        <v>205</v>
      </c>
      <c r="H9" s="28" t="s">
        <v>205</v>
      </c>
      <c r="I9" s="86" t="s">
        <v>205</v>
      </c>
      <c r="J9" s="28" t="s">
        <v>205</v>
      </c>
      <c r="K9" s="28" t="s">
        <v>205</v>
      </c>
      <c r="L9" s="28" t="s">
        <v>205</v>
      </c>
      <c r="M9" s="28" t="s">
        <v>205</v>
      </c>
      <c r="N9" s="28" t="s">
        <v>205</v>
      </c>
      <c r="O9" s="28" t="s">
        <v>205</v>
      </c>
      <c r="P9" s="28" t="s">
        <v>205</v>
      </c>
      <c r="Q9" s="28" t="s">
        <v>205</v>
      </c>
      <c r="R9" s="28" t="s">
        <v>205</v>
      </c>
      <c r="S9" s="28" t="s">
        <v>205</v>
      </c>
      <c r="T9" s="28" t="s">
        <v>205</v>
      </c>
      <c r="U9" s="28" t="s">
        <v>205</v>
      </c>
      <c r="V9" s="28" t="s">
        <v>205</v>
      </c>
      <c r="W9" s="28" t="s">
        <v>205</v>
      </c>
      <c r="X9" s="28" t="s">
        <v>119</v>
      </c>
      <c r="Y9" s="28" t="s">
        <v>205</v>
      </c>
      <c r="Z9" s="29" t="s">
        <v>577</v>
      </c>
      <c r="AA9" s="28" t="s">
        <v>205</v>
      </c>
      <c r="AB9" s="28" t="s">
        <v>205</v>
      </c>
      <c r="AC9" s="28" t="s">
        <v>205</v>
      </c>
      <c r="AD9" s="28" t="s">
        <v>205</v>
      </c>
      <c r="AE9" s="28" t="s">
        <v>205</v>
      </c>
      <c r="AF9" s="28" t="s">
        <v>205</v>
      </c>
      <c r="AG9" s="28" t="s">
        <v>498</v>
      </c>
      <c r="AH9" s="28" t="s">
        <v>498</v>
      </c>
      <c r="AJ9" s="28" t="s">
        <v>205</v>
      </c>
      <c r="AK9" s="28" t="s">
        <v>205</v>
      </c>
      <c r="AL9" s="28" t="s">
        <v>205</v>
      </c>
      <c r="AM9" s="28" t="s">
        <v>205</v>
      </c>
    </row>
    <row r="10" spans="1:39">
      <c r="A10" s="140" t="s">
        <v>122</v>
      </c>
      <c r="B10" s="167">
        <v>15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71">
        <v>19</v>
      </c>
      <c r="J10" s="167">
        <v>19</v>
      </c>
      <c r="K10" s="167">
        <v>19</v>
      </c>
      <c r="L10" s="167">
        <v>19</v>
      </c>
      <c r="M10" s="167">
        <v>19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19</v>
      </c>
      <c r="T10" s="167">
        <v>19</v>
      </c>
      <c r="U10" s="167">
        <v>19</v>
      </c>
      <c r="V10" s="167">
        <v>19</v>
      </c>
      <c r="W10" s="167">
        <v>19</v>
      </c>
      <c r="X10" s="167">
        <v>2</v>
      </c>
      <c r="Y10" s="167">
        <v>19</v>
      </c>
      <c r="Z10" s="167">
        <v>15</v>
      </c>
      <c r="AA10" s="167">
        <v>19</v>
      </c>
      <c r="AB10" s="167">
        <v>19</v>
      </c>
      <c r="AC10" s="167">
        <v>19</v>
      </c>
      <c r="AD10" s="167">
        <v>19</v>
      </c>
      <c r="AE10" s="167">
        <v>19</v>
      </c>
      <c r="AF10" s="167">
        <v>19</v>
      </c>
      <c r="AG10" s="167">
        <v>1</v>
      </c>
      <c r="AH10" s="167">
        <v>1</v>
      </c>
      <c r="AJ10" s="167">
        <v>19</v>
      </c>
      <c r="AK10" s="167">
        <v>19</v>
      </c>
      <c r="AL10" s="29">
        <v>19</v>
      </c>
      <c r="AM10" s="29">
        <v>19</v>
      </c>
    </row>
    <row r="11" spans="1:39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91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9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9" t="s">
        <v>124</v>
      </c>
      <c r="AH11" s="29" t="s">
        <v>124</v>
      </c>
      <c r="AJ11" s="28" t="s">
        <v>124</v>
      </c>
      <c r="AK11" s="28" t="s">
        <v>124</v>
      </c>
      <c r="AL11" s="29" t="s">
        <v>124</v>
      </c>
      <c r="AM11" s="29" t="s">
        <v>124</v>
      </c>
    </row>
    <row r="12" spans="1:39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86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124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8" t="s">
        <v>127</v>
      </c>
      <c r="AK12" s="28" t="s">
        <v>127</v>
      </c>
      <c r="AL12" s="28" t="s">
        <v>127</v>
      </c>
      <c r="AM12" s="28" t="s">
        <v>127</v>
      </c>
    </row>
    <row r="13" spans="1:39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86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87" t="s">
        <v>127</v>
      </c>
      <c r="AK13" s="87" t="s">
        <v>127</v>
      </c>
      <c r="AL13" s="28" t="s">
        <v>127</v>
      </c>
      <c r="AM13" s="28" t="s">
        <v>127</v>
      </c>
    </row>
    <row r="14" spans="1:39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86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K14" s="28" t="s">
        <v>127</v>
      </c>
      <c r="AL14" s="83" t="s">
        <v>127</v>
      </c>
      <c r="AM14" s="83" t="s">
        <v>127</v>
      </c>
    </row>
    <row r="15" spans="1:39">
      <c r="A15" s="26" t="s">
        <v>129</v>
      </c>
      <c r="B15" s="28" t="s">
        <v>352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86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 t="s">
        <v>216</v>
      </c>
      <c r="W15" s="28" t="s">
        <v>216</v>
      </c>
      <c r="X15" s="28" t="s">
        <v>118</v>
      </c>
      <c r="Y15" s="28" t="s">
        <v>216</v>
      </c>
      <c r="Z15" s="28" t="s">
        <v>352</v>
      </c>
      <c r="AA15" s="28" t="s">
        <v>216</v>
      </c>
      <c r="AB15" s="28" t="s">
        <v>216</v>
      </c>
      <c r="AC15" s="28" t="s">
        <v>216</v>
      </c>
      <c r="AD15" s="28" t="s">
        <v>216</v>
      </c>
      <c r="AE15" s="28" t="s">
        <v>216</v>
      </c>
      <c r="AF15" s="28" t="s">
        <v>216</v>
      </c>
      <c r="AG15" s="28" t="s">
        <v>118</v>
      </c>
      <c r="AH15" s="28" t="s">
        <v>118</v>
      </c>
      <c r="AJ15" s="28" t="s">
        <v>216</v>
      </c>
      <c r="AK15" s="28" t="s">
        <v>216</v>
      </c>
      <c r="AL15" s="83" t="s">
        <v>216</v>
      </c>
      <c r="AM15" s="83" t="s">
        <v>216</v>
      </c>
    </row>
    <row r="16" spans="1:39">
      <c r="A16" s="26" t="s">
        <v>130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92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3</v>
      </c>
      <c r="Y16" s="30">
        <v>-3</v>
      </c>
      <c r="Z16" s="30">
        <v>-1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3</v>
      </c>
      <c r="AH16" s="30">
        <v>3</v>
      </c>
      <c r="AJ16" s="30">
        <v>-3</v>
      </c>
      <c r="AK16" s="30">
        <v>-3</v>
      </c>
      <c r="AL16" s="88">
        <v>-3</v>
      </c>
      <c r="AM16" s="88">
        <v>-3</v>
      </c>
    </row>
    <row r="17" spans="1:39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86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  <c r="AJ17" s="28" t="s">
        <v>132</v>
      </c>
      <c r="AK17" s="28" t="s">
        <v>132</v>
      </c>
      <c r="AL17" s="83" t="s">
        <v>132</v>
      </c>
      <c r="AM17" s="83" t="s">
        <v>132</v>
      </c>
    </row>
    <row r="18" spans="1:39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92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  <c r="AK18" s="30">
        <v>4</v>
      </c>
      <c r="AL18" s="88">
        <v>4</v>
      </c>
      <c r="AM18" s="88">
        <v>4</v>
      </c>
    </row>
    <row r="20" spans="1:39">
      <c r="A20" s="26" t="s">
        <v>117</v>
      </c>
      <c r="B20" s="80"/>
      <c r="C20" s="28" t="s">
        <v>477</v>
      </c>
      <c r="D20" s="28" t="s">
        <v>477</v>
      </c>
      <c r="E20" s="28" t="s">
        <v>478</v>
      </c>
      <c r="F20" s="28" t="s">
        <v>477</v>
      </c>
      <c r="G20" s="28" t="s">
        <v>477</v>
      </c>
      <c r="H20" s="28" t="s">
        <v>477</v>
      </c>
      <c r="I20" s="28" t="s">
        <v>477</v>
      </c>
      <c r="J20" s="28" t="s">
        <v>477</v>
      </c>
      <c r="K20" s="28" t="s">
        <v>477</v>
      </c>
      <c r="L20" s="86" t="s">
        <v>477</v>
      </c>
      <c r="M20" s="28" t="s">
        <v>477</v>
      </c>
      <c r="N20" s="80"/>
      <c r="O20" s="28" t="s">
        <v>477</v>
      </c>
      <c r="P20" s="80"/>
      <c r="Q20" s="80"/>
      <c r="R20" s="28" t="s">
        <v>350</v>
      </c>
      <c r="S20" s="80"/>
      <c r="T20" s="28" t="s">
        <v>477</v>
      </c>
      <c r="U20" s="28" t="s">
        <v>477</v>
      </c>
      <c r="V20" s="28" t="s">
        <v>477</v>
      </c>
      <c r="W20" s="28" t="s">
        <v>477</v>
      </c>
      <c r="X20" s="80"/>
      <c r="Y20" s="28" t="s">
        <v>477</v>
      </c>
      <c r="Z20" s="80"/>
      <c r="AA20" s="28" t="s">
        <v>477</v>
      </c>
      <c r="AB20" s="28" t="s">
        <v>477</v>
      </c>
      <c r="AC20" s="28" t="s">
        <v>477</v>
      </c>
      <c r="AD20" s="28" t="s">
        <v>477</v>
      </c>
      <c r="AE20" s="28" t="s">
        <v>477</v>
      </c>
      <c r="AF20" s="28" t="s">
        <v>477</v>
      </c>
      <c r="AG20" s="80"/>
      <c r="AH20" s="80"/>
      <c r="AJ20" s="80"/>
      <c r="AK20" s="80"/>
      <c r="AL20" s="80"/>
      <c r="AM20" s="80"/>
    </row>
    <row r="21" spans="1:39">
      <c r="A21" s="26" t="s">
        <v>121</v>
      </c>
      <c r="B21" s="81"/>
      <c r="C21" s="28" t="s">
        <v>350</v>
      </c>
      <c r="D21" s="28" t="s">
        <v>350</v>
      </c>
      <c r="E21" s="105" t="s">
        <v>480</v>
      </c>
      <c r="F21" s="28" t="s">
        <v>350</v>
      </c>
      <c r="G21" s="28" t="s">
        <v>350</v>
      </c>
      <c r="H21" s="28" t="s">
        <v>350</v>
      </c>
      <c r="I21" s="28" t="s">
        <v>350</v>
      </c>
      <c r="J21" s="28" t="s">
        <v>350</v>
      </c>
      <c r="K21" s="28" t="s">
        <v>350</v>
      </c>
      <c r="L21" s="86" t="s">
        <v>350</v>
      </c>
      <c r="M21" s="28" t="s">
        <v>350</v>
      </c>
      <c r="N21" s="80"/>
      <c r="O21" s="28" t="s">
        <v>350</v>
      </c>
      <c r="P21" s="80"/>
      <c r="Q21" s="80"/>
      <c r="R21" s="103" t="s">
        <v>480</v>
      </c>
      <c r="S21" s="80"/>
      <c r="T21" s="28" t="s">
        <v>350</v>
      </c>
      <c r="U21" s="28" t="s">
        <v>350</v>
      </c>
      <c r="V21" s="28" t="s">
        <v>350</v>
      </c>
      <c r="W21" s="28" t="s">
        <v>350</v>
      </c>
      <c r="X21" s="80"/>
      <c r="Y21" s="28" t="s">
        <v>350</v>
      </c>
      <c r="Z21" s="81"/>
      <c r="AA21" s="28" t="s">
        <v>350</v>
      </c>
      <c r="AB21" s="28" t="s">
        <v>350</v>
      </c>
      <c r="AC21" s="28" t="s">
        <v>350</v>
      </c>
      <c r="AD21" s="28" t="s">
        <v>350</v>
      </c>
      <c r="AE21" s="28" t="s">
        <v>350</v>
      </c>
      <c r="AF21" s="28" t="s">
        <v>350</v>
      </c>
      <c r="AG21" s="80"/>
      <c r="AH21" s="80"/>
      <c r="AJ21" s="81"/>
      <c r="AK21" s="81"/>
      <c r="AL21" s="81"/>
      <c r="AM21" s="81"/>
    </row>
    <row r="22" spans="1:39">
      <c r="A22" s="140" t="s">
        <v>122</v>
      </c>
      <c r="B22" s="81"/>
      <c r="C22" s="167">
        <v>97</v>
      </c>
      <c r="D22" s="167">
        <v>97</v>
      </c>
      <c r="E22" s="167">
        <v>134</v>
      </c>
      <c r="F22" s="167">
        <v>97</v>
      </c>
      <c r="G22" s="167">
        <v>97</v>
      </c>
      <c r="H22" s="167">
        <v>97</v>
      </c>
      <c r="I22" s="167">
        <v>97</v>
      </c>
      <c r="J22" s="167">
        <v>97</v>
      </c>
      <c r="K22" s="167">
        <v>97</v>
      </c>
      <c r="L22" s="171">
        <v>97</v>
      </c>
      <c r="M22" s="167">
        <v>97</v>
      </c>
      <c r="N22" s="174"/>
      <c r="O22" s="167">
        <v>97</v>
      </c>
      <c r="P22" s="174"/>
      <c r="Q22" s="174"/>
      <c r="R22" s="167">
        <v>134</v>
      </c>
      <c r="S22" s="174"/>
      <c r="T22" s="167">
        <v>97</v>
      </c>
      <c r="U22" s="167">
        <v>97</v>
      </c>
      <c r="V22" s="167">
        <v>97</v>
      </c>
      <c r="W22" s="167">
        <v>97</v>
      </c>
      <c r="X22" s="174"/>
      <c r="Y22" s="167">
        <v>97</v>
      </c>
      <c r="Z22" s="81"/>
      <c r="AA22" s="167">
        <v>97</v>
      </c>
      <c r="AB22" s="167">
        <v>97</v>
      </c>
      <c r="AC22" s="167">
        <v>97</v>
      </c>
      <c r="AD22" s="167">
        <v>97</v>
      </c>
      <c r="AE22" s="167">
        <v>97</v>
      </c>
      <c r="AF22" s="167">
        <v>97</v>
      </c>
      <c r="AG22" s="174"/>
      <c r="AH22" s="174"/>
      <c r="AJ22" s="174"/>
      <c r="AK22" s="174"/>
      <c r="AL22" s="81"/>
      <c r="AM22" s="81"/>
    </row>
    <row r="23" spans="1:39">
      <c r="A23" s="26" t="s">
        <v>123</v>
      </c>
      <c r="B23" s="80"/>
      <c r="C23" s="28" t="s">
        <v>124</v>
      </c>
      <c r="D23" s="28" t="s">
        <v>124</v>
      </c>
      <c r="E23" s="28" t="s">
        <v>215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86" t="s">
        <v>124</v>
      </c>
      <c r="M23" s="28" t="s">
        <v>124</v>
      </c>
      <c r="N23" s="80"/>
      <c r="O23" s="28" t="s">
        <v>124</v>
      </c>
      <c r="P23" s="80"/>
      <c r="Q23" s="80"/>
      <c r="R23" s="28" t="s">
        <v>215</v>
      </c>
      <c r="S23" s="80"/>
      <c r="T23" s="28" t="s">
        <v>124</v>
      </c>
      <c r="U23" s="28" t="s">
        <v>124</v>
      </c>
      <c r="V23" s="28" t="s">
        <v>124</v>
      </c>
      <c r="W23" s="28" t="s">
        <v>124</v>
      </c>
      <c r="X23" s="80"/>
      <c r="Y23" s="28" t="s">
        <v>124</v>
      </c>
      <c r="Z23" s="80"/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80"/>
      <c r="AH23" s="80"/>
      <c r="AJ23" s="80"/>
      <c r="AK23" s="80"/>
      <c r="AL23" s="80"/>
      <c r="AM23" s="80"/>
    </row>
    <row r="24" spans="1:39">
      <c r="A24" s="26" t="s">
        <v>125</v>
      </c>
      <c r="B24" s="80"/>
      <c r="C24" s="28" t="s">
        <v>124</v>
      </c>
      <c r="D24" s="28" t="s">
        <v>124</v>
      </c>
      <c r="E24" s="28" t="s">
        <v>215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86" t="s">
        <v>124</v>
      </c>
      <c r="M24" s="28" t="s">
        <v>124</v>
      </c>
      <c r="N24" s="80"/>
      <c r="O24" s="28" t="s">
        <v>124</v>
      </c>
      <c r="P24" s="80"/>
      <c r="Q24" s="80"/>
      <c r="R24" s="28" t="s">
        <v>215</v>
      </c>
      <c r="S24" s="80"/>
      <c r="T24" s="28" t="s">
        <v>124</v>
      </c>
      <c r="U24" s="28" t="s">
        <v>124</v>
      </c>
      <c r="V24" s="28" t="s">
        <v>124</v>
      </c>
      <c r="W24" s="28" t="s">
        <v>124</v>
      </c>
      <c r="X24" s="80"/>
      <c r="Y24" s="28" t="s">
        <v>124</v>
      </c>
      <c r="Z24" s="80"/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80"/>
      <c r="AH24" s="80"/>
      <c r="AJ24" s="80"/>
      <c r="AK24" s="80"/>
      <c r="AL24" s="80"/>
      <c r="AM24" s="80"/>
    </row>
    <row r="25" spans="1:39">
      <c r="A25" s="26" t="s">
        <v>126</v>
      </c>
      <c r="B25" s="80"/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86" t="s">
        <v>127</v>
      </c>
      <c r="M25" s="28" t="s">
        <v>127</v>
      </c>
      <c r="N25" s="80"/>
      <c r="O25" s="28" t="s">
        <v>127</v>
      </c>
      <c r="P25" s="80"/>
      <c r="Q25" s="80"/>
      <c r="R25" s="28" t="s">
        <v>127</v>
      </c>
      <c r="S25" s="80"/>
      <c r="T25" s="28" t="s">
        <v>127</v>
      </c>
      <c r="U25" s="28" t="s">
        <v>127</v>
      </c>
      <c r="V25" s="28" t="s">
        <v>127</v>
      </c>
      <c r="W25" s="28" t="s">
        <v>127</v>
      </c>
      <c r="X25" s="80"/>
      <c r="Y25" s="28" t="s">
        <v>127</v>
      </c>
      <c r="Z25" s="80"/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80"/>
      <c r="AH25" s="80"/>
      <c r="AJ25" s="80"/>
      <c r="AK25" s="80"/>
      <c r="AL25" s="80"/>
      <c r="AM25" s="80"/>
    </row>
    <row r="26" spans="1:39">
      <c r="A26" s="26" t="s">
        <v>128</v>
      </c>
      <c r="B26" s="80"/>
      <c r="C26" s="28" t="s">
        <v>127</v>
      </c>
      <c r="D26" s="28" t="s">
        <v>127</v>
      </c>
      <c r="E26" s="28" t="s">
        <v>127</v>
      </c>
      <c r="F26" s="28" t="s">
        <v>127</v>
      </c>
      <c r="G26" s="28" t="s">
        <v>127</v>
      </c>
      <c r="H26" s="28" t="s">
        <v>127</v>
      </c>
      <c r="I26" s="28" t="s">
        <v>127</v>
      </c>
      <c r="J26" s="28" t="s">
        <v>127</v>
      </c>
      <c r="K26" s="28" t="s">
        <v>127</v>
      </c>
      <c r="L26" s="86" t="s">
        <v>127</v>
      </c>
      <c r="M26" s="28" t="s">
        <v>127</v>
      </c>
      <c r="N26" s="80"/>
      <c r="O26" s="28" t="s">
        <v>127</v>
      </c>
      <c r="P26" s="80"/>
      <c r="Q26" s="80"/>
      <c r="R26" s="28" t="s">
        <v>127</v>
      </c>
      <c r="S26" s="80"/>
      <c r="T26" s="28" t="s">
        <v>127</v>
      </c>
      <c r="U26" s="28" t="s">
        <v>127</v>
      </c>
      <c r="V26" s="28" t="s">
        <v>127</v>
      </c>
      <c r="W26" s="28" t="s">
        <v>127</v>
      </c>
      <c r="X26" s="80"/>
      <c r="Y26" s="28" t="s">
        <v>127</v>
      </c>
      <c r="Z26" s="80"/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80"/>
      <c r="AH26" s="80"/>
      <c r="AJ26" s="80"/>
      <c r="AK26" s="80"/>
      <c r="AL26" s="80"/>
      <c r="AM26" s="80"/>
    </row>
    <row r="27" spans="1:39">
      <c r="A27" s="26" t="s">
        <v>129</v>
      </c>
      <c r="B27" s="80"/>
      <c r="C27" s="28" t="s">
        <v>352</v>
      </c>
      <c r="D27" s="28" t="s">
        <v>352</v>
      </c>
      <c r="E27" s="28" t="s">
        <v>352</v>
      </c>
      <c r="F27" s="28" t="s">
        <v>352</v>
      </c>
      <c r="G27" s="28" t="s">
        <v>352</v>
      </c>
      <c r="H27" s="28" t="s">
        <v>352</v>
      </c>
      <c r="I27" s="28" t="s">
        <v>352</v>
      </c>
      <c r="J27" s="28" t="s">
        <v>352</v>
      </c>
      <c r="K27" s="28" t="s">
        <v>352</v>
      </c>
      <c r="L27" s="86" t="s">
        <v>352</v>
      </c>
      <c r="M27" s="28" t="s">
        <v>352</v>
      </c>
      <c r="N27" s="80"/>
      <c r="O27" s="28" t="s">
        <v>352</v>
      </c>
      <c r="P27" s="80"/>
      <c r="Q27" s="80"/>
      <c r="R27" s="28" t="s">
        <v>352</v>
      </c>
      <c r="S27" s="80"/>
      <c r="T27" s="28" t="s">
        <v>352</v>
      </c>
      <c r="U27" s="28" t="s">
        <v>352</v>
      </c>
      <c r="V27" s="28" t="s">
        <v>352</v>
      </c>
      <c r="W27" s="28" t="s">
        <v>352</v>
      </c>
      <c r="X27" s="80"/>
      <c r="Y27" s="28" t="s">
        <v>352</v>
      </c>
      <c r="Z27" s="80"/>
      <c r="AA27" s="28" t="s">
        <v>352</v>
      </c>
      <c r="AB27" s="28" t="s">
        <v>352</v>
      </c>
      <c r="AC27" s="28" t="s">
        <v>352</v>
      </c>
      <c r="AD27" s="28" t="s">
        <v>352</v>
      </c>
      <c r="AE27" s="28" t="s">
        <v>352</v>
      </c>
      <c r="AF27" s="28" t="s">
        <v>352</v>
      </c>
      <c r="AG27" s="80"/>
      <c r="AH27" s="80"/>
      <c r="AJ27" s="80"/>
      <c r="AK27" s="80"/>
      <c r="AL27" s="80"/>
      <c r="AM27" s="80"/>
    </row>
    <row r="28" spans="1:39">
      <c r="A28" s="26" t="s">
        <v>130</v>
      </c>
      <c r="B28" s="82"/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92">
        <v>0</v>
      </c>
      <c r="M28" s="30">
        <v>0</v>
      </c>
      <c r="N28" s="82"/>
      <c r="O28" s="30">
        <v>0</v>
      </c>
      <c r="P28" s="82"/>
      <c r="Q28" s="82"/>
      <c r="R28" s="30">
        <v>0</v>
      </c>
      <c r="S28" s="82"/>
      <c r="T28" s="30">
        <v>0</v>
      </c>
      <c r="U28" s="30">
        <v>0</v>
      </c>
      <c r="V28" s="30">
        <v>0</v>
      </c>
      <c r="W28" s="30">
        <v>0</v>
      </c>
      <c r="X28" s="82"/>
      <c r="Y28" s="30">
        <v>0</v>
      </c>
      <c r="Z28" s="82"/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82"/>
      <c r="AH28" s="82"/>
      <c r="AJ28" s="82"/>
      <c r="AK28" s="82"/>
      <c r="AL28" s="82"/>
      <c r="AM28" s="82"/>
    </row>
    <row r="29" spans="1:39">
      <c r="A29" s="26" t="s">
        <v>131</v>
      </c>
      <c r="B29" s="80"/>
      <c r="C29" s="28" t="s">
        <v>280</v>
      </c>
      <c r="D29" s="28" t="s">
        <v>280</v>
      </c>
      <c r="E29" s="103" t="s">
        <v>483</v>
      </c>
      <c r="F29" s="28" t="s">
        <v>280</v>
      </c>
      <c r="G29" s="28" t="s">
        <v>280</v>
      </c>
      <c r="H29" s="28" t="s">
        <v>280</v>
      </c>
      <c r="I29" s="28" t="s">
        <v>280</v>
      </c>
      <c r="J29" s="28" t="s">
        <v>280</v>
      </c>
      <c r="K29" s="28" t="s">
        <v>280</v>
      </c>
      <c r="L29" s="86" t="s">
        <v>280</v>
      </c>
      <c r="M29" s="28" t="s">
        <v>280</v>
      </c>
      <c r="N29" s="80"/>
      <c r="O29" s="28" t="s">
        <v>280</v>
      </c>
      <c r="P29" s="80"/>
      <c r="Q29" s="80"/>
      <c r="R29" s="103" t="s">
        <v>483</v>
      </c>
      <c r="S29" s="80"/>
      <c r="T29" s="28" t="s">
        <v>280</v>
      </c>
      <c r="U29" s="28" t="s">
        <v>280</v>
      </c>
      <c r="V29" s="28" t="s">
        <v>280</v>
      </c>
      <c r="W29" s="28" t="s">
        <v>280</v>
      </c>
      <c r="X29" s="80"/>
      <c r="Y29" s="28" t="s">
        <v>280</v>
      </c>
      <c r="Z29" s="80"/>
      <c r="AA29" s="28" t="s">
        <v>280</v>
      </c>
      <c r="AB29" s="28" t="s">
        <v>280</v>
      </c>
      <c r="AC29" s="28" t="s">
        <v>280</v>
      </c>
      <c r="AD29" s="28" t="s">
        <v>280</v>
      </c>
      <c r="AE29" s="28" t="s">
        <v>280</v>
      </c>
      <c r="AF29" s="28" t="s">
        <v>280</v>
      </c>
      <c r="AG29" s="80"/>
      <c r="AH29" s="80"/>
      <c r="AJ29" s="80"/>
      <c r="AK29" s="80"/>
      <c r="AL29" s="80"/>
      <c r="AM29" s="80"/>
    </row>
    <row r="30" spans="1:39">
      <c r="A30" s="26" t="s">
        <v>133</v>
      </c>
      <c r="B30" s="82"/>
      <c r="C30" s="30">
        <v>0.5</v>
      </c>
      <c r="D30" s="30">
        <v>0.5</v>
      </c>
      <c r="E30" s="30">
        <f>AVERAGE(1/3,0)</f>
        <v>0.16666666666666666</v>
      </c>
      <c r="F30" s="30">
        <v>0.5</v>
      </c>
      <c r="G30" s="30">
        <v>0.5</v>
      </c>
      <c r="H30" s="30">
        <v>0.5</v>
      </c>
      <c r="I30" s="30">
        <v>0.5</v>
      </c>
      <c r="J30" s="30">
        <v>0.5</v>
      </c>
      <c r="K30" s="30">
        <v>0.5</v>
      </c>
      <c r="L30" s="92">
        <v>0.5</v>
      </c>
      <c r="M30" s="30">
        <v>0.5</v>
      </c>
      <c r="N30" s="82"/>
      <c r="O30" s="30">
        <v>0.5</v>
      </c>
      <c r="P30" s="82"/>
      <c r="Q30" s="82"/>
      <c r="R30" s="30">
        <f>AVERAGE(1/3,0)</f>
        <v>0.16666666666666666</v>
      </c>
      <c r="S30" s="82"/>
      <c r="T30" s="30">
        <v>0.5</v>
      </c>
      <c r="U30" s="30">
        <v>0.5</v>
      </c>
      <c r="V30" s="30">
        <v>0.5</v>
      </c>
      <c r="W30" s="30">
        <v>0.5</v>
      </c>
      <c r="X30" s="82"/>
      <c r="Y30" s="30">
        <v>0.5</v>
      </c>
      <c r="Z30" s="82"/>
      <c r="AA30" s="30">
        <v>0.5</v>
      </c>
      <c r="AB30" s="30">
        <v>0.5</v>
      </c>
      <c r="AC30" s="30">
        <v>0.5</v>
      </c>
      <c r="AD30" s="30">
        <v>0.5</v>
      </c>
      <c r="AE30" s="30">
        <v>0.5</v>
      </c>
      <c r="AF30" s="30">
        <v>0.5</v>
      </c>
      <c r="AG30" s="82"/>
      <c r="AH30" s="82"/>
      <c r="AJ30" s="82"/>
      <c r="AK30" s="82"/>
      <c r="AL30" s="82"/>
      <c r="AM30" s="82"/>
    </row>
    <row r="31" spans="1:39">
      <c r="X31" s="223" t="s">
        <v>578</v>
      </c>
      <c r="Y31" s="223"/>
      <c r="AH31" s="78" t="s">
        <v>578</v>
      </c>
      <c r="AJ31" s="217" t="s">
        <v>579</v>
      </c>
      <c r="AK31" s="217"/>
      <c r="AL31" s="217"/>
      <c r="AM31" s="217"/>
    </row>
    <row r="32" spans="1:39">
      <c r="A32" s="31" t="s">
        <v>134</v>
      </c>
    </row>
    <row r="33" spans="1:2">
      <c r="A33" s="218" t="s">
        <v>580</v>
      </c>
      <c r="B33" s="93" t="s">
        <v>581</v>
      </c>
    </row>
    <row r="34" spans="1:2">
      <c r="A34" s="218"/>
      <c r="B34" s="93" t="s">
        <v>582</v>
      </c>
    </row>
    <row r="35" spans="1:2">
      <c r="A35" s="218"/>
      <c r="B35" s="93" t="s">
        <v>583</v>
      </c>
    </row>
    <row r="36" spans="1:2" ht="30">
      <c r="A36" s="97" t="s">
        <v>584</v>
      </c>
      <c r="B36" s="93" t="s">
        <v>585</v>
      </c>
    </row>
  </sheetData>
  <mergeCells count="8">
    <mergeCell ref="AJ31:AM31"/>
    <mergeCell ref="X31:Y31"/>
    <mergeCell ref="F3:O3"/>
    <mergeCell ref="F4:O5"/>
    <mergeCell ref="A33:A35"/>
    <mergeCell ref="B3:D3"/>
    <mergeCell ref="B4:D4"/>
    <mergeCell ref="B5:D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D92C-2A54-445A-BF7E-CDB7BDE86B31}">
  <dimension ref="A1:AN38"/>
  <sheetViews>
    <sheetView topLeftCell="I3"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52" width="5.7109375" style="26" customWidth="1"/>
    <col min="53" max="16384" width="9.140625" style="26"/>
  </cols>
  <sheetData>
    <row r="1" spans="1:40">
      <c r="A1" s="25" t="s">
        <v>74</v>
      </c>
      <c r="D1" s="25" t="s">
        <v>75</v>
      </c>
      <c r="I1" s="25" t="s">
        <v>495</v>
      </c>
    </row>
    <row r="3" spans="1:40" ht="17.45">
      <c r="A3" s="25" t="s">
        <v>77</v>
      </c>
      <c r="B3" s="203">
        <v>40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0" ht="17.45">
      <c r="A4" s="25" t="s">
        <v>79</v>
      </c>
      <c r="B4" s="203" t="s">
        <v>571</v>
      </c>
      <c r="C4" s="203"/>
      <c r="D4" s="203"/>
      <c r="F4" s="204" t="s">
        <v>586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0" ht="17.45">
      <c r="A5" s="25" t="s">
        <v>82</v>
      </c>
      <c r="B5" s="203" t="s">
        <v>587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0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64" t="s">
        <v>93</v>
      </c>
      <c r="AK7" s="64" t="s">
        <v>94</v>
      </c>
      <c r="AL7" s="64" t="s">
        <v>95</v>
      </c>
      <c r="AM7" s="41" t="s">
        <v>100</v>
      </c>
      <c r="AN7" s="46" t="s">
        <v>105</v>
      </c>
    </row>
    <row r="8" spans="1:40">
      <c r="A8" s="26" t="s">
        <v>117</v>
      </c>
      <c r="B8" s="28" t="s">
        <v>574</v>
      </c>
      <c r="C8" s="83" t="s">
        <v>200</v>
      </c>
      <c r="D8" s="83" t="s">
        <v>200</v>
      </c>
      <c r="E8" s="83" t="s">
        <v>200</v>
      </c>
      <c r="F8" s="83" t="s">
        <v>200</v>
      </c>
      <c r="G8" s="83" t="s">
        <v>200</v>
      </c>
      <c r="H8" s="83" t="s">
        <v>200</v>
      </c>
      <c r="I8" s="83" t="s">
        <v>200</v>
      </c>
      <c r="J8" s="83" t="s">
        <v>200</v>
      </c>
      <c r="K8" s="83" t="s">
        <v>200</v>
      </c>
      <c r="L8" s="83" t="s">
        <v>200</v>
      </c>
      <c r="M8" s="83" t="s">
        <v>200</v>
      </c>
      <c r="N8" s="83" t="s">
        <v>200</v>
      </c>
      <c r="O8" s="83" t="s">
        <v>200</v>
      </c>
      <c r="P8" s="83" t="s">
        <v>576</v>
      </c>
      <c r="Q8" s="83" t="s">
        <v>576</v>
      </c>
      <c r="R8" s="83" t="s">
        <v>200</v>
      </c>
      <c r="S8" s="83" t="s">
        <v>576</v>
      </c>
      <c r="T8" s="83" t="s">
        <v>575</v>
      </c>
      <c r="U8" s="83" t="s">
        <v>575</v>
      </c>
      <c r="V8" s="83" t="s">
        <v>575</v>
      </c>
      <c r="W8" s="83" t="s">
        <v>200</v>
      </c>
      <c r="X8" s="28" t="s">
        <v>119</v>
      </c>
      <c r="Y8" s="83" t="s">
        <v>200</v>
      </c>
      <c r="Z8" s="28" t="s">
        <v>576</v>
      </c>
      <c r="AA8" s="28" t="s">
        <v>575</v>
      </c>
      <c r="AB8" s="28" t="s">
        <v>575</v>
      </c>
      <c r="AC8" s="28" t="s">
        <v>575</v>
      </c>
      <c r="AD8" s="28" t="s">
        <v>575</v>
      </c>
      <c r="AE8" s="28" t="s">
        <v>575</v>
      </c>
      <c r="AF8" s="28" t="s">
        <v>200</v>
      </c>
      <c r="AG8" s="28" t="s">
        <v>498</v>
      </c>
      <c r="AH8" s="28" t="s">
        <v>498</v>
      </c>
      <c r="AJ8" s="28" t="s">
        <v>575</v>
      </c>
      <c r="AK8" s="83" t="s">
        <v>575</v>
      </c>
      <c r="AL8" s="83" t="s">
        <v>575</v>
      </c>
      <c r="AM8" s="28" t="s">
        <v>200</v>
      </c>
      <c r="AN8" s="83" t="s">
        <v>200</v>
      </c>
    </row>
    <row r="9" spans="1:40">
      <c r="A9" s="26" t="s">
        <v>121</v>
      </c>
      <c r="B9" s="29" t="s">
        <v>577</v>
      </c>
      <c r="C9" s="28" t="s">
        <v>205</v>
      </c>
      <c r="D9" s="28" t="s">
        <v>205</v>
      </c>
      <c r="E9" s="28" t="s">
        <v>205</v>
      </c>
      <c r="F9" s="28" t="s">
        <v>205</v>
      </c>
      <c r="G9" s="28" t="s">
        <v>205</v>
      </c>
      <c r="H9" s="28" t="s">
        <v>205</v>
      </c>
      <c r="I9" s="28" t="s">
        <v>205</v>
      </c>
      <c r="J9" s="28" t="s">
        <v>205</v>
      </c>
      <c r="K9" s="28" t="s">
        <v>205</v>
      </c>
      <c r="L9" s="28" t="s">
        <v>205</v>
      </c>
      <c r="M9" s="28" t="s">
        <v>205</v>
      </c>
      <c r="N9" s="28" t="s">
        <v>205</v>
      </c>
      <c r="O9" s="28" t="s">
        <v>205</v>
      </c>
      <c r="P9" s="28" t="s">
        <v>205</v>
      </c>
      <c r="Q9" s="28" t="s">
        <v>205</v>
      </c>
      <c r="R9" s="28" t="s">
        <v>205</v>
      </c>
      <c r="S9" s="28" t="s">
        <v>205</v>
      </c>
      <c r="T9" s="28" t="s">
        <v>205</v>
      </c>
      <c r="U9" s="28" t="s">
        <v>205</v>
      </c>
      <c r="V9" s="28" t="s">
        <v>205</v>
      </c>
      <c r="W9" s="28" t="s">
        <v>205</v>
      </c>
      <c r="X9" s="28" t="s">
        <v>119</v>
      </c>
      <c r="Y9" s="28" t="s">
        <v>205</v>
      </c>
      <c r="Z9" s="29" t="s">
        <v>577</v>
      </c>
      <c r="AA9" s="28" t="s">
        <v>205</v>
      </c>
      <c r="AB9" s="28" t="s">
        <v>205</v>
      </c>
      <c r="AC9" s="28" t="s">
        <v>205</v>
      </c>
      <c r="AD9" s="28" t="s">
        <v>205</v>
      </c>
      <c r="AE9" s="28" t="s">
        <v>205</v>
      </c>
      <c r="AF9" s="28" t="s">
        <v>205</v>
      </c>
      <c r="AG9" s="28" t="s">
        <v>498</v>
      </c>
      <c r="AH9" s="28" t="s">
        <v>498</v>
      </c>
      <c r="AJ9" s="29" t="s">
        <v>205</v>
      </c>
      <c r="AK9" s="28" t="s">
        <v>205</v>
      </c>
      <c r="AL9" s="28" t="s">
        <v>205</v>
      </c>
      <c r="AM9" s="28" t="s">
        <v>205</v>
      </c>
      <c r="AN9" s="28" t="s">
        <v>205</v>
      </c>
    </row>
    <row r="10" spans="1:40">
      <c r="A10" s="140" t="s">
        <v>122</v>
      </c>
      <c r="B10" s="167">
        <v>15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67">
        <v>19</v>
      </c>
      <c r="J10" s="167">
        <v>19</v>
      </c>
      <c r="K10" s="167">
        <v>19</v>
      </c>
      <c r="L10" s="167">
        <v>19</v>
      </c>
      <c r="M10" s="167">
        <v>19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19</v>
      </c>
      <c r="T10" s="167">
        <v>19</v>
      </c>
      <c r="U10" s="167">
        <v>19</v>
      </c>
      <c r="V10" s="167">
        <v>19</v>
      </c>
      <c r="W10" s="167">
        <v>19</v>
      </c>
      <c r="X10" s="167">
        <v>2</v>
      </c>
      <c r="Y10" s="167">
        <v>19</v>
      </c>
      <c r="Z10" s="167">
        <v>15</v>
      </c>
      <c r="AA10" s="167">
        <v>19</v>
      </c>
      <c r="AB10" s="167">
        <v>19</v>
      </c>
      <c r="AC10" s="167">
        <v>19</v>
      </c>
      <c r="AD10" s="167">
        <v>19</v>
      </c>
      <c r="AE10" s="167">
        <v>19</v>
      </c>
      <c r="AF10" s="167">
        <v>19</v>
      </c>
      <c r="AG10" s="167">
        <v>1</v>
      </c>
      <c r="AH10" s="167">
        <v>1</v>
      </c>
      <c r="AJ10" s="167">
        <v>19</v>
      </c>
      <c r="AK10" s="167">
        <v>19</v>
      </c>
      <c r="AL10" s="167">
        <v>19</v>
      </c>
      <c r="AM10" s="167">
        <v>19</v>
      </c>
      <c r="AN10" s="167">
        <v>19</v>
      </c>
    </row>
    <row r="11" spans="1:40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9" t="s">
        <v>124</v>
      </c>
      <c r="AC11" s="29" t="s">
        <v>124</v>
      </c>
      <c r="AD11" s="29" t="s">
        <v>124</v>
      </c>
      <c r="AE11" s="29" t="s">
        <v>124</v>
      </c>
      <c r="AF11" s="29" t="s">
        <v>124</v>
      </c>
      <c r="AG11" s="29" t="s">
        <v>124</v>
      </c>
      <c r="AH11" s="29" t="s">
        <v>124</v>
      </c>
      <c r="AJ11" s="29" t="s">
        <v>124</v>
      </c>
      <c r="AK11" s="29" t="s">
        <v>124</v>
      </c>
      <c r="AL11" s="29" t="s">
        <v>124</v>
      </c>
      <c r="AM11" s="29" t="s">
        <v>124</v>
      </c>
      <c r="AN11" s="29" t="s">
        <v>124</v>
      </c>
    </row>
    <row r="12" spans="1:40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9" t="s">
        <v>124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8" t="s">
        <v>127</v>
      </c>
      <c r="AK12" s="28" t="s">
        <v>127</v>
      </c>
      <c r="AL12" s="28" t="s">
        <v>127</v>
      </c>
      <c r="AM12" s="28" t="s">
        <v>127</v>
      </c>
      <c r="AN12" s="28" t="s">
        <v>127</v>
      </c>
    </row>
    <row r="13" spans="1:40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127</v>
      </c>
      <c r="AK13" s="28" t="s">
        <v>127</v>
      </c>
      <c r="AL13" s="28" t="s">
        <v>127</v>
      </c>
      <c r="AM13" s="28" t="s">
        <v>127</v>
      </c>
      <c r="AN13" s="28" t="s">
        <v>127</v>
      </c>
    </row>
    <row r="14" spans="1:40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K14" s="28" t="s">
        <v>127</v>
      </c>
      <c r="AL14" s="28" t="s">
        <v>127</v>
      </c>
      <c r="AM14" s="28" t="s">
        <v>127</v>
      </c>
      <c r="AN14" s="28" t="s">
        <v>127</v>
      </c>
    </row>
    <row r="15" spans="1:40">
      <c r="A15" s="26" t="s">
        <v>129</v>
      </c>
      <c r="B15" s="28" t="s">
        <v>352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 t="s">
        <v>216</v>
      </c>
      <c r="W15" s="28" t="s">
        <v>216</v>
      </c>
      <c r="X15" s="28" t="s">
        <v>118</v>
      </c>
      <c r="Y15" s="28" t="s">
        <v>216</v>
      </c>
      <c r="Z15" s="28" t="s">
        <v>352</v>
      </c>
      <c r="AA15" s="28" t="s">
        <v>216</v>
      </c>
      <c r="AB15" s="28" t="s">
        <v>216</v>
      </c>
      <c r="AC15" s="28" t="s">
        <v>216</v>
      </c>
      <c r="AD15" s="28" t="s">
        <v>216</v>
      </c>
      <c r="AE15" s="28" t="s">
        <v>216</v>
      </c>
      <c r="AF15" s="28" t="s">
        <v>216</v>
      </c>
      <c r="AG15" s="28" t="s">
        <v>118</v>
      </c>
      <c r="AH15" s="28" t="s">
        <v>118</v>
      </c>
      <c r="AJ15" s="28" t="s">
        <v>216</v>
      </c>
      <c r="AK15" s="28" t="s">
        <v>216</v>
      </c>
      <c r="AL15" s="28" t="s">
        <v>216</v>
      </c>
      <c r="AM15" s="28" t="s">
        <v>216</v>
      </c>
      <c r="AN15" s="28" t="s">
        <v>216</v>
      </c>
    </row>
    <row r="16" spans="1:40">
      <c r="A16" s="26" t="s">
        <v>130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3</v>
      </c>
      <c r="Y16" s="30">
        <v>-3</v>
      </c>
      <c r="Z16" s="30">
        <v>-1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3</v>
      </c>
      <c r="AH16" s="30">
        <v>3</v>
      </c>
      <c r="AJ16" s="30">
        <v>-3</v>
      </c>
      <c r="AK16" s="30">
        <v>-3</v>
      </c>
      <c r="AL16" s="30">
        <v>-3</v>
      </c>
      <c r="AM16" s="30">
        <v>-3</v>
      </c>
      <c r="AN16" s="30">
        <v>-3</v>
      </c>
    </row>
    <row r="17" spans="1:40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  <c r="AJ17" s="28" t="s">
        <v>132</v>
      </c>
      <c r="AK17" s="28" t="s">
        <v>132</v>
      </c>
      <c r="AL17" s="28" t="s">
        <v>132</v>
      </c>
      <c r="AM17" s="28" t="s">
        <v>132</v>
      </c>
      <c r="AN17" s="28" t="s">
        <v>132</v>
      </c>
    </row>
    <row r="18" spans="1:40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  <c r="AK18" s="30">
        <v>4</v>
      </c>
      <c r="AL18" s="30">
        <v>4</v>
      </c>
      <c r="AM18" s="30">
        <v>4</v>
      </c>
      <c r="AN18" s="30">
        <v>4</v>
      </c>
    </row>
    <row r="20" spans="1:40">
      <c r="A20" s="26" t="s">
        <v>117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28" t="s">
        <v>477</v>
      </c>
      <c r="U20" s="28" t="s">
        <v>477</v>
      </c>
      <c r="V20" s="28" t="s">
        <v>477</v>
      </c>
      <c r="W20" s="80"/>
      <c r="X20" s="80"/>
      <c r="Y20" s="80"/>
      <c r="Z20" s="80"/>
      <c r="AA20" s="28" t="s">
        <v>477</v>
      </c>
      <c r="AB20" s="28" t="s">
        <v>477</v>
      </c>
      <c r="AC20" s="28" t="s">
        <v>477</v>
      </c>
      <c r="AD20" s="28" t="s">
        <v>477</v>
      </c>
      <c r="AE20" s="28" t="s">
        <v>477</v>
      </c>
      <c r="AF20" s="28" t="s">
        <v>477</v>
      </c>
      <c r="AG20" s="80"/>
      <c r="AH20" s="80"/>
      <c r="AJ20" s="28" t="s">
        <v>477</v>
      </c>
      <c r="AK20" s="28" t="s">
        <v>477</v>
      </c>
      <c r="AL20" s="28" t="s">
        <v>477</v>
      </c>
      <c r="AM20" s="28" t="s">
        <v>588</v>
      </c>
      <c r="AN20" s="28" t="s">
        <v>477</v>
      </c>
    </row>
    <row r="21" spans="1:40">
      <c r="A21" s="26" t="s">
        <v>121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28" t="s">
        <v>350</v>
      </c>
      <c r="U21" s="28" t="s">
        <v>350</v>
      </c>
      <c r="V21" s="105" t="s">
        <v>480</v>
      </c>
      <c r="W21" s="81"/>
      <c r="X21" s="81"/>
      <c r="Y21" s="81"/>
      <c r="Z21" s="81"/>
      <c r="AA21" s="28" t="s">
        <v>350</v>
      </c>
      <c r="AB21" s="28" t="s">
        <v>350</v>
      </c>
      <c r="AC21" s="28" t="s">
        <v>350</v>
      </c>
      <c r="AD21" s="28" t="s">
        <v>350</v>
      </c>
      <c r="AE21" s="28" t="s">
        <v>350</v>
      </c>
      <c r="AF21" s="28" t="s">
        <v>350</v>
      </c>
      <c r="AG21" s="81"/>
      <c r="AH21" s="81"/>
      <c r="AJ21" s="28" t="s">
        <v>350</v>
      </c>
      <c r="AK21" s="28" t="s">
        <v>350</v>
      </c>
      <c r="AL21" s="28" t="s">
        <v>350</v>
      </c>
      <c r="AM21" s="105" t="s">
        <v>480</v>
      </c>
      <c r="AN21" s="105" t="s">
        <v>480</v>
      </c>
    </row>
    <row r="22" spans="1:40">
      <c r="A22" s="140" t="s">
        <v>122</v>
      </c>
      <c r="B22" s="81"/>
      <c r="C22" s="81"/>
      <c r="D22" s="81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67">
        <v>97</v>
      </c>
      <c r="U22" s="167">
        <v>97</v>
      </c>
      <c r="V22" s="167">
        <v>134</v>
      </c>
      <c r="W22" s="174"/>
      <c r="X22" s="174"/>
      <c r="Y22" s="174"/>
      <c r="Z22" s="81"/>
      <c r="AA22" s="167">
        <v>97</v>
      </c>
      <c r="AB22" s="167">
        <v>97</v>
      </c>
      <c r="AC22" s="167">
        <v>97</v>
      </c>
      <c r="AD22" s="167">
        <v>97</v>
      </c>
      <c r="AE22" s="167">
        <v>97</v>
      </c>
      <c r="AF22" s="167">
        <v>97</v>
      </c>
      <c r="AG22" s="174"/>
      <c r="AH22" s="174"/>
      <c r="AJ22" s="167">
        <v>97</v>
      </c>
      <c r="AK22" s="167">
        <v>97</v>
      </c>
      <c r="AL22" s="167">
        <v>97</v>
      </c>
      <c r="AM22" s="167">
        <v>134</v>
      </c>
      <c r="AN22" s="167">
        <v>134</v>
      </c>
    </row>
    <row r="23" spans="1:40">
      <c r="A23" s="26" t="s">
        <v>123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28" t="s">
        <v>124</v>
      </c>
      <c r="U23" s="28" t="s">
        <v>124</v>
      </c>
      <c r="V23" s="28" t="s">
        <v>215</v>
      </c>
      <c r="W23" s="80"/>
      <c r="X23" s="80"/>
      <c r="Y23" s="80"/>
      <c r="Z23" s="80"/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80"/>
      <c r="AH23" s="80"/>
      <c r="AJ23" s="28" t="s">
        <v>124</v>
      </c>
      <c r="AK23" s="28" t="s">
        <v>124</v>
      </c>
      <c r="AL23" s="28" t="s">
        <v>124</v>
      </c>
      <c r="AM23" s="28" t="s">
        <v>215</v>
      </c>
      <c r="AN23" s="28" t="s">
        <v>215</v>
      </c>
    </row>
    <row r="24" spans="1:40">
      <c r="A24" s="26" t="s">
        <v>125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28" t="s">
        <v>124</v>
      </c>
      <c r="U24" s="28" t="s">
        <v>124</v>
      </c>
      <c r="V24" s="28" t="s">
        <v>215</v>
      </c>
      <c r="W24" s="80"/>
      <c r="X24" s="80"/>
      <c r="Y24" s="80"/>
      <c r="Z24" s="80"/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80"/>
      <c r="AH24" s="80"/>
      <c r="AJ24" s="28" t="s">
        <v>124</v>
      </c>
      <c r="AK24" s="28" t="s">
        <v>124</v>
      </c>
      <c r="AL24" s="28" t="s">
        <v>124</v>
      </c>
      <c r="AM24" s="28" t="s">
        <v>215</v>
      </c>
      <c r="AN24" s="28" t="s">
        <v>215</v>
      </c>
    </row>
    <row r="25" spans="1:40">
      <c r="A25" s="26" t="s">
        <v>126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28" t="s">
        <v>127</v>
      </c>
      <c r="U25" s="28" t="s">
        <v>127</v>
      </c>
      <c r="V25" s="28" t="s">
        <v>127</v>
      </c>
      <c r="W25" s="80"/>
      <c r="X25" s="80"/>
      <c r="Y25" s="80"/>
      <c r="Z25" s="80"/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80"/>
      <c r="AH25" s="80"/>
      <c r="AJ25" s="28" t="s">
        <v>127</v>
      </c>
      <c r="AK25" s="28" t="s">
        <v>127</v>
      </c>
      <c r="AL25" s="28" t="s">
        <v>127</v>
      </c>
      <c r="AM25" s="28" t="s">
        <v>127</v>
      </c>
      <c r="AN25" s="28" t="s">
        <v>127</v>
      </c>
    </row>
    <row r="26" spans="1:40">
      <c r="A26" s="26" t="s">
        <v>128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28" t="s">
        <v>127</v>
      </c>
      <c r="U26" s="28" t="s">
        <v>127</v>
      </c>
      <c r="V26" s="28" t="s">
        <v>127</v>
      </c>
      <c r="W26" s="80"/>
      <c r="X26" s="80"/>
      <c r="Y26" s="80"/>
      <c r="Z26" s="80"/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80"/>
      <c r="AH26" s="80"/>
      <c r="AJ26" s="28" t="s">
        <v>127</v>
      </c>
      <c r="AK26" s="28" t="s">
        <v>127</v>
      </c>
      <c r="AL26" s="28" t="s">
        <v>127</v>
      </c>
      <c r="AM26" s="28" t="s">
        <v>127</v>
      </c>
      <c r="AN26" s="28" t="s">
        <v>127</v>
      </c>
    </row>
    <row r="27" spans="1:40">
      <c r="A27" s="26" t="s">
        <v>129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28" t="s">
        <v>352</v>
      </c>
      <c r="U27" s="28" t="s">
        <v>352</v>
      </c>
      <c r="V27" s="28" t="s">
        <v>352</v>
      </c>
      <c r="W27" s="80"/>
      <c r="X27" s="80"/>
      <c r="Y27" s="80"/>
      <c r="Z27" s="80"/>
      <c r="AA27" s="28" t="s">
        <v>352</v>
      </c>
      <c r="AB27" s="28" t="s">
        <v>352</v>
      </c>
      <c r="AC27" s="28" t="s">
        <v>352</v>
      </c>
      <c r="AD27" s="28" t="s">
        <v>352</v>
      </c>
      <c r="AE27" s="28" t="s">
        <v>352</v>
      </c>
      <c r="AF27" s="28" t="s">
        <v>352</v>
      </c>
      <c r="AG27" s="80"/>
      <c r="AH27" s="80"/>
      <c r="AJ27" s="28" t="s">
        <v>352</v>
      </c>
      <c r="AK27" s="28" t="s">
        <v>352</v>
      </c>
      <c r="AL27" s="28" t="s">
        <v>352</v>
      </c>
      <c r="AM27" s="28" t="s">
        <v>352</v>
      </c>
      <c r="AN27" s="28" t="s">
        <v>352</v>
      </c>
    </row>
    <row r="28" spans="1:40">
      <c r="A28" s="26" t="s">
        <v>130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30">
        <v>0</v>
      </c>
      <c r="U28" s="30">
        <v>0</v>
      </c>
      <c r="V28" s="30">
        <v>0</v>
      </c>
      <c r="W28" s="82"/>
      <c r="X28" s="82"/>
      <c r="Y28" s="82"/>
      <c r="Z28" s="82"/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82"/>
      <c r="AH28" s="82"/>
      <c r="AJ28" s="30">
        <v>0</v>
      </c>
      <c r="AK28" s="30">
        <v>0</v>
      </c>
      <c r="AL28" s="30">
        <v>0</v>
      </c>
      <c r="AM28" s="30">
        <v>0</v>
      </c>
      <c r="AN28" s="30">
        <v>0</v>
      </c>
    </row>
    <row r="29" spans="1:40">
      <c r="A29" s="26" t="s">
        <v>131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28" t="s">
        <v>280</v>
      </c>
      <c r="U29" s="28" t="s">
        <v>280</v>
      </c>
      <c r="V29" s="103" t="s">
        <v>483</v>
      </c>
      <c r="W29" s="80"/>
      <c r="X29" s="80"/>
      <c r="Y29" s="80"/>
      <c r="Z29" s="80"/>
      <c r="AA29" s="28" t="s">
        <v>280</v>
      </c>
      <c r="AB29" s="28" t="s">
        <v>280</v>
      </c>
      <c r="AC29" s="28" t="s">
        <v>280</v>
      </c>
      <c r="AD29" s="28" t="s">
        <v>280</v>
      </c>
      <c r="AE29" s="28" t="s">
        <v>280</v>
      </c>
      <c r="AF29" s="28" t="s">
        <v>280</v>
      </c>
      <c r="AG29" s="80"/>
      <c r="AH29" s="80"/>
      <c r="AJ29" s="28" t="s">
        <v>280</v>
      </c>
      <c r="AK29" s="28" t="s">
        <v>280</v>
      </c>
      <c r="AL29" s="28" t="s">
        <v>280</v>
      </c>
      <c r="AM29" s="103" t="s">
        <v>483</v>
      </c>
      <c r="AN29" s="103" t="s">
        <v>483</v>
      </c>
    </row>
    <row r="30" spans="1:40">
      <c r="A30" s="26" t="s">
        <v>133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30">
        <v>0.5</v>
      </c>
      <c r="U30" s="30">
        <v>0.5</v>
      </c>
      <c r="V30" s="30">
        <f>AVERAGE(1/3,0)</f>
        <v>0.16666666666666666</v>
      </c>
      <c r="W30" s="82"/>
      <c r="X30" s="82"/>
      <c r="Y30" s="82"/>
      <c r="Z30" s="82"/>
      <c r="AA30" s="30">
        <v>0.5</v>
      </c>
      <c r="AB30" s="30">
        <v>0.5</v>
      </c>
      <c r="AC30" s="30">
        <v>0.5</v>
      </c>
      <c r="AD30" s="30">
        <v>0.5</v>
      </c>
      <c r="AE30" s="30">
        <v>0.5</v>
      </c>
      <c r="AF30" s="30">
        <v>0.5</v>
      </c>
      <c r="AG30" s="82"/>
      <c r="AH30" s="82"/>
      <c r="AJ30" s="30">
        <v>0.5</v>
      </c>
      <c r="AK30" s="30">
        <v>0.5</v>
      </c>
      <c r="AL30" s="30">
        <v>0.5</v>
      </c>
      <c r="AM30" s="30">
        <f>AVERAGE(1/3,0)</f>
        <v>0.16666666666666666</v>
      </c>
      <c r="AN30" s="30">
        <f>AVERAGE(1/3,0)</f>
        <v>0.16666666666666666</v>
      </c>
    </row>
    <row r="31" spans="1:40">
      <c r="K31" s="217" t="s">
        <v>589</v>
      </c>
      <c r="L31" s="217"/>
      <c r="M31" s="217"/>
      <c r="R31" s="26" t="s">
        <v>589</v>
      </c>
      <c r="AJ31" s="217" t="s">
        <v>590</v>
      </c>
      <c r="AK31" s="217"/>
      <c r="AL31" s="217"/>
      <c r="AM31" s="217"/>
    </row>
    <row r="32" spans="1:40">
      <c r="A32" s="31" t="s">
        <v>134</v>
      </c>
    </row>
    <row r="33" spans="1:2">
      <c r="A33" s="223" t="s">
        <v>591</v>
      </c>
      <c r="B33" s="93" t="s">
        <v>243</v>
      </c>
    </row>
    <row r="34" spans="1:2">
      <c r="A34" s="223"/>
      <c r="B34" s="93" t="s">
        <v>592</v>
      </c>
    </row>
    <row r="35" spans="1:2">
      <c r="A35" s="223"/>
      <c r="B35" s="93" t="s">
        <v>583</v>
      </c>
    </row>
    <row r="36" spans="1:2">
      <c r="A36" s="223" t="s">
        <v>593</v>
      </c>
      <c r="B36" s="93" t="s">
        <v>243</v>
      </c>
    </row>
    <row r="37" spans="1:2">
      <c r="A37" s="223"/>
      <c r="B37" s="93" t="s">
        <v>594</v>
      </c>
    </row>
    <row r="38" spans="1:2">
      <c r="A38" s="223"/>
      <c r="B38" s="93" t="s">
        <v>583</v>
      </c>
    </row>
  </sheetData>
  <mergeCells count="9">
    <mergeCell ref="AJ31:AM31"/>
    <mergeCell ref="A33:A35"/>
    <mergeCell ref="A36:A38"/>
    <mergeCell ref="K31:M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A9D3-75D0-4E18-9363-418225E2C0F9}">
  <dimension ref="A1:AH33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41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571</v>
      </c>
      <c r="C4" s="203"/>
      <c r="D4" s="203"/>
      <c r="F4" s="204" t="s">
        <v>595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308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574</v>
      </c>
      <c r="C8" s="28" t="s">
        <v>200</v>
      </c>
      <c r="D8" s="28" t="s">
        <v>200</v>
      </c>
      <c r="E8" s="28" t="s">
        <v>200</v>
      </c>
      <c r="F8" s="28" t="s">
        <v>200</v>
      </c>
      <c r="G8" s="28" t="s">
        <v>200</v>
      </c>
      <c r="H8" s="28" t="s">
        <v>200</v>
      </c>
      <c r="I8" s="28" t="s">
        <v>200</v>
      </c>
      <c r="J8" s="28" t="s">
        <v>200</v>
      </c>
      <c r="K8" s="28" t="s">
        <v>200</v>
      </c>
      <c r="L8" s="28" t="s">
        <v>200</v>
      </c>
      <c r="M8" s="28" t="s">
        <v>200</v>
      </c>
      <c r="N8" s="28" t="s">
        <v>200</v>
      </c>
      <c r="O8" s="28" t="s">
        <v>200</v>
      </c>
      <c r="P8" s="28" t="s">
        <v>200</v>
      </c>
      <c r="Q8" s="28" t="s">
        <v>200</v>
      </c>
      <c r="R8" s="28" t="s">
        <v>200</v>
      </c>
      <c r="S8" s="28" t="s">
        <v>200</v>
      </c>
      <c r="T8" s="28" t="s">
        <v>200</v>
      </c>
      <c r="U8" s="28" t="s">
        <v>200</v>
      </c>
      <c r="V8" s="28" t="s">
        <v>200</v>
      </c>
      <c r="W8" s="28" t="s">
        <v>200</v>
      </c>
      <c r="X8" s="28" t="s">
        <v>200</v>
      </c>
      <c r="Y8" s="28" t="s">
        <v>200</v>
      </c>
      <c r="Z8" s="28" t="s">
        <v>200</v>
      </c>
      <c r="AA8" s="28" t="s">
        <v>200</v>
      </c>
      <c r="AB8" s="28" t="s">
        <v>200</v>
      </c>
      <c r="AC8" s="28" t="s">
        <v>200</v>
      </c>
      <c r="AD8" s="28" t="s">
        <v>200</v>
      </c>
      <c r="AE8" s="28" t="s">
        <v>200</v>
      </c>
      <c r="AF8" s="28" t="s">
        <v>200</v>
      </c>
      <c r="AG8" s="28" t="s">
        <v>200</v>
      </c>
      <c r="AH8" s="28" t="s">
        <v>200</v>
      </c>
    </row>
    <row r="9" spans="1:34">
      <c r="A9" s="26" t="s">
        <v>121</v>
      </c>
      <c r="B9" s="29" t="s">
        <v>577</v>
      </c>
      <c r="C9" s="28" t="s">
        <v>205</v>
      </c>
      <c r="D9" s="28" t="s">
        <v>205</v>
      </c>
      <c r="E9" s="28" t="s">
        <v>205</v>
      </c>
      <c r="F9" s="28" t="s">
        <v>205</v>
      </c>
      <c r="G9" s="28" t="s">
        <v>205</v>
      </c>
      <c r="H9" s="28" t="s">
        <v>205</v>
      </c>
      <c r="I9" s="28" t="s">
        <v>205</v>
      </c>
      <c r="J9" s="28" t="s">
        <v>205</v>
      </c>
      <c r="K9" s="28" t="s">
        <v>205</v>
      </c>
      <c r="L9" s="28" t="s">
        <v>205</v>
      </c>
      <c r="M9" s="28" t="s">
        <v>205</v>
      </c>
      <c r="N9" s="28" t="s">
        <v>205</v>
      </c>
      <c r="O9" s="28" t="s">
        <v>205</v>
      </c>
      <c r="P9" s="28" t="s">
        <v>205</v>
      </c>
      <c r="Q9" s="28" t="s">
        <v>205</v>
      </c>
      <c r="R9" s="28" t="s">
        <v>205</v>
      </c>
      <c r="S9" s="28" t="s">
        <v>205</v>
      </c>
      <c r="T9" s="28" t="s">
        <v>205</v>
      </c>
      <c r="U9" s="28" t="s">
        <v>205</v>
      </c>
      <c r="V9" s="28" t="s">
        <v>205</v>
      </c>
      <c r="W9" s="28" t="s">
        <v>205</v>
      </c>
      <c r="X9" s="28" t="s">
        <v>205</v>
      </c>
      <c r="Y9" s="28" t="s">
        <v>205</v>
      </c>
      <c r="Z9" s="28" t="s">
        <v>205</v>
      </c>
      <c r="AA9" s="28" t="s">
        <v>205</v>
      </c>
      <c r="AB9" s="28" t="s">
        <v>205</v>
      </c>
      <c r="AC9" s="28" t="s">
        <v>205</v>
      </c>
      <c r="AD9" s="28" t="s">
        <v>205</v>
      </c>
      <c r="AE9" s="28" t="s">
        <v>205</v>
      </c>
      <c r="AF9" s="28" t="s">
        <v>205</v>
      </c>
      <c r="AG9" s="28" t="s">
        <v>205</v>
      </c>
      <c r="AH9" s="28" t="s">
        <v>205</v>
      </c>
    </row>
    <row r="10" spans="1:34">
      <c r="A10" s="140" t="s">
        <v>122</v>
      </c>
      <c r="B10" s="167">
        <v>15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67">
        <v>19</v>
      </c>
      <c r="J10" s="167">
        <v>19</v>
      </c>
      <c r="K10" s="167">
        <v>19</v>
      </c>
      <c r="L10" s="167">
        <v>19</v>
      </c>
      <c r="M10" s="167">
        <v>19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19</v>
      </c>
      <c r="T10" s="167">
        <v>19</v>
      </c>
      <c r="U10" s="167">
        <v>19</v>
      </c>
      <c r="V10" s="167">
        <v>19</v>
      </c>
      <c r="W10" s="167">
        <v>19</v>
      </c>
      <c r="X10" s="167">
        <v>19</v>
      </c>
      <c r="Y10" s="167">
        <v>19</v>
      </c>
      <c r="Z10" s="167">
        <v>19</v>
      </c>
      <c r="AA10" s="167">
        <v>19</v>
      </c>
      <c r="AB10" s="167">
        <v>19</v>
      </c>
      <c r="AC10" s="167">
        <v>19</v>
      </c>
      <c r="AD10" s="167">
        <v>19</v>
      </c>
      <c r="AE10" s="167">
        <v>19</v>
      </c>
      <c r="AF10" s="167">
        <v>19</v>
      </c>
      <c r="AG10" s="167">
        <v>19</v>
      </c>
      <c r="AH10" s="167">
        <v>19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9" t="s">
        <v>124</v>
      </c>
      <c r="W11" s="29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9" t="s">
        <v>124</v>
      </c>
      <c r="AC11" s="29" t="s">
        <v>124</v>
      </c>
      <c r="AD11" s="29" t="s">
        <v>124</v>
      </c>
      <c r="AE11" s="29" t="s">
        <v>124</v>
      </c>
      <c r="AF11" s="29" t="s">
        <v>124</v>
      </c>
      <c r="AG11" s="29" t="s">
        <v>124</v>
      </c>
      <c r="AH11" s="29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352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 t="s">
        <v>216</v>
      </c>
      <c r="W15" s="28" t="s">
        <v>216</v>
      </c>
      <c r="X15" s="28" t="s">
        <v>216</v>
      </c>
      <c r="Y15" s="28" t="s">
        <v>216</v>
      </c>
      <c r="Z15" s="28" t="s">
        <v>216</v>
      </c>
      <c r="AA15" s="28" t="s">
        <v>216</v>
      </c>
      <c r="AB15" s="28" t="s">
        <v>216</v>
      </c>
      <c r="AC15" s="28" t="s">
        <v>216</v>
      </c>
      <c r="AD15" s="28" t="s">
        <v>216</v>
      </c>
      <c r="AE15" s="28" t="s">
        <v>216</v>
      </c>
      <c r="AF15" s="28" t="s">
        <v>216</v>
      </c>
      <c r="AG15" s="28" t="s">
        <v>216</v>
      </c>
      <c r="AH15" s="28" t="s">
        <v>216</v>
      </c>
    </row>
    <row r="16" spans="1:34">
      <c r="A16" s="26" t="s">
        <v>130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132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 t="s">
        <v>132</v>
      </c>
      <c r="AC17" s="28" t="s">
        <v>132</v>
      </c>
      <c r="AD17" s="28" t="s">
        <v>132</v>
      </c>
      <c r="AE17" s="28" t="s">
        <v>132</v>
      </c>
      <c r="AF17" s="28" t="s">
        <v>132</v>
      </c>
      <c r="AG17" s="28" t="s">
        <v>132</v>
      </c>
      <c r="AH17" s="28" t="s">
        <v>132</v>
      </c>
    </row>
    <row r="18" spans="1:34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>
      <c r="A20" s="26" t="s">
        <v>117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>
      <c r="A21" s="26" t="s">
        <v>121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</row>
    <row r="22" spans="1:34">
      <c r="A22" s="140" t="s">
        <v>122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</row>
    <row r="23" spans="1:34">
      <c r="A23" s="26" t="s">
        <v>123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1:34">
      <c r="A24" s="26" t="s">
        <v>125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1:34">
      <c r="A25" s="26" t="s">
        <v>126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1:34">
      <c r="A26" s="26" t="s">
        <v>128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34">
      <c r="A27" s="26" t="s">
        <v>129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1:34">
      <c r="A28" s="26" t="s">
        <v>130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</row>
    <row r="29" spans="1:34">
      <c r="A29" s="26" t="s">
        <v>131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</row>
    <row r="30" spans="1:34">
      <c r="A30" s="26" t="s">
        <v>133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</row>
    <row r="32" spans="1:34">
      <c r="A32" s="31" t="s">
        <v>134</v>
      </c>
    </row>
    <row r="33" spans="1:2">
      <c r="A33" s="26" t="s">
        <v>596</v>
      </c>
      <c r="B33" s="56" t="s">
        <v>243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1F5B-A7B0-492A-B8A7-F5355375C712}">
  <dimension ref="A1:AU37"/>
  <sheetViews>
    <sheetView topLeftCell="H1" workbookViewId="0">
      <selection activeCell="V9" sqref="V9:V18"/>
    </sheetView>
  </sheetViews>
  <sheetFormatPr defaultColWidth="9.140625" defaultRowHeight="15"/>
  <cols>
    <col min="1" max="1" width="23.28515625" style="26" bestFit="1" customWidth="1"/>
    <col min="2" max="57" width="5.7109375" style="26" customWidth="1"/>
    <col min="58" max="16384" width="9.140625" style="26"/>
  </cols>
  <sheetData>
    <row r="1" spans="1:47">
      <c r="A1" s="25" t="s">
        <v>74</v>
      </c>
      <c r="D1" s="25" t="s">
        <v>75</v>
      </c>
      <c r="I1" s="25" t="s">
        <v>495</v>
      </c>
    </row>
    <row r="3" spans="1:47" ht="17.45">
      <c r="A3" s="25" t="s">
        <v>77</v>
      </c>
      <c r="B3" s="203">
        <v>42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7" ht="17.45">
      <c r="A4" s="25" t="s">
        <v>79</v>
      </c>
      <c r="B4" s="203" t="s">
        <v>571</v>
      </c>
      <c r="C4" s="203"/>
      <c r="D4" s="203"/>
      <c r="F4" s="204" t="s">
        <v>597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7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45" t="s">
        <v>102</v>
      </c>
      <c r="AK7" s="45" t="s">
        <v>103</v>
      </c>
      <c r="AL7" s="46" t="s">
        <v>104</v>
      </c>
      <c r="AM7" s="47" t="s">
        <v>106</v>
      </c>
      <c r="AN7" s="47" t="s">
        <v>107</v>
      </c>
      <c r="AO7" s="48" t="s">
        <v>108</v>
      </c>
      <c r="AP7" s="72" t="s">
        <v>109</v>
      </c>
      <c r="AQ7" s="49" t="s">
        <v>110</v>
      </c>
      <c r="AR7" s="49" t="s">
        <v>111</v>
      </c>
      <c r="AS7" s="49" t="s">
        <v>112</v>
      </c>
      <c r="AT7" s="50" t="s">
        <v>113</v>
      </c>
      <c r="AU7" s="51" t="s">
        <v>114</v>
      </c>
    </row>
    <row r="8" spans="1:47">
      <c r="A8" s="26" t="s">
        <v>117</v>
      </c>
      <c r="B8" s="28" t="s">
        <v>574</v>
      </c>
      <c r="C8" s="83" t="s">
        <v>576</v>
      </c>
      <c r="D8" s="83" t="s">
        <v>576</v>
      </c>
      <c r="E8" s="83" t="s">
        <v>576</v>
      </c>
      <c r="F8" s="83" t="s">
        <v>576</v>
      </c>
      <c r="G8" s="83" t="s">
        <v>576</v>
      </c>
      <c r="H8" s="83" t="s">
        <v>576</v>
      </c>
      <c r="I8" s="83" t="s">
        <v>576</v>
      </c>
      <c r="J8" s="83" t="s">
        <v>576</v>
      </c>
      <c r="K8" s="83" t="s">
        <v>576</v>
      </c>
      <c r="L8" s="83" t="s">
        <v>576</v>
      </c>
      <c r="M8" s="83" t="s">
        <v>576</v>
      </c>
      <c r="N8" s="83" t="s">
        <v>576</v>
      </c>
      <c r="O8" s="83" t="s">
        <v>576</v>
      </c>
      <c r="P8" s="83" t="s">
        <v>598</v>
      </c>
      <c r="Q8" s="83" t="s">
        <v>598</v>
      </c>
      <c r="R8" s="28" t="s">
        <v>200</v>
      </c>
      <c r="S8" s="83" t="s">
        <v>576</v>
      </c>
      <c r="T8" s="28" t="s">
        <v>203</v>
      </c>
      <c r="U8" s="28" t="s">
        <v>203</v>
      </c>
      <c r="V8" s="28" t="s">
        <v>599</v>
      </c>
      <c r="W8" s="28" t="s">
        <v>200</v>
      </c>
      <c r="X8" s="28" t="s">
        <v>203</v>
      </c>
      <c r="Y8" s="28" t="s">
        <v>203</v>
      </c>
      <c r="Z8" s="28" t="s">
        <v>203</v>
      </c>
      <c r="AA8" s="28" t="s">
        <v>203</v>
      </c>
      <c r="AB8" s="28"/>
      <c r="AC8" s="28" t="s">
        <v>200</v>
      </c>
      <c r="AD8" s="28"/>
      <c r="AE8" s="28" t="s">
        <v>600</v>
      </c>
      <c r="AF8" s="28" t="s">
        <v>203</v>
      </c>
      <c r="AG8" s="28" t="s">
        <v>144</v>
      </c>
      <c r="AH8" s="28" t="s">
        <v>200</v>
      </c>
      <c r="AJ8" s="28" t="s">
        <v>575</v>
      </c>
      <c r="AK8" s="28" t="s">
        <v>575</v>
      </c>
      <c r="AL8" s="28" t="s">
        <v>575</v>
      </c>
      <c r="AM8" s="28" t="s">
        <v>119</v>
      </c>
      <c r="AN8" s="28" t="s">
        <v>200</v>
      </c>
      <c r="AO8" s="28" t="s">
        <v>575</v>
      </c>
      <c r="AP8" s="28" t="s">
        <v>575</v>
      </c>
      <c r="AQ8" s="28" t="s">
        <v>575</v>
      </c>
      <c r="AR8" s="28" t="s">
        <v>575</v>
      </c>
      <c r="AS8" s="28" t="s">
        <v>575</v>
      </c>
      <c r="AT8" s="28" t="s">
        <v>575</v>
      </c>
      <c r="AU8" s="28" t="s">
        <v>200</v>
      </c>
    </row>
    <row r="9" spans="1:47">
      <c r="A9" s="26" t="s">
        <v>121</v>
      </c>
      <c r="B9" s="29" t="s">
        <v>577</v>
      </c>
      <c r="C9" s="28" t="s">
        <v>205</v>
      </c>
      <c r="D9" s="28" t="s">
        <v>205</v>
      </c>
      <c r="E9" s="28" t="s">
        <v>205</v>
      </c>
      <c r="F9" s="28" t="s">
        <v>205</v>
      </c>
      <c r="G9" s="28" t="s">
        <v>205</v>
      </c>
      <c r="H9" s="28" t="s">
        <v>205</v>
      </c>
      <c r="I9" s="28" t="s">
        <v>205</v>
      </c>
      <c r="J9" s="28" t="s">
        <v>205</v>
      </c>
      <c r="K9" s="28" t="s">
        <v>205</v>
      </c>
      <c r="L9" s="28" t="s">
        <v>205</v>
      </c>
      <c r="M9" s="28" t="s">
        <v>233</v>
      </c>
      <c r="N9" s="28" t="s">
        <v>205</v>
      </c>
      <c r="O9" s="28" t="s">
        <v>205</v>
      </c>
      <c r="P9" s="28" t="s">
        <v>205</v>
      </c>
      <c r="Q9" s="28" t="s">
        <v>205</v>
      </c>
      <c r="R9" s="28" t="s">
        <v>205</v>
      </c>
      <c r="S9" s="28" t="s">
        <v>205</v>
      </c>
      <c r="T9" s="28" t="s">
        <v>205</v>
      </c>
      <c r="U9" s="28" t="s">
        <v>205</v>
      </c>
      <c r="V9" s="29" t="s">
        <v>234</v>
      </c>
      <c r="W9" s="28" t="s">
        <v>205</v>
      </c>
      <c r="X9" s="28" t="s">
        <v>205</v>
      </c>
      <c r="Y9" s="28" t="s">
        <v>205</v>
      </c>
      <c r="Z9" s="28" t="s">
        <v>205</v>
      </c>
      <c r="AA9" s="28" t="s">
        <v>205</v>
      </c>
      <c r="AB9" s="29"/>
      <c r="AC9" s="28" t="s">
        <v>205</v>
      </c>
      <c r="AD9" s="29"/>
      <c r="AE9" s="28" t="s">
        <v>205</v>
      </c>
      <c r="AF9" s="28" t="s">
        <v>205</v>
      </c>
      <c r="AG9" s="29" t="s">
        <v>147</v>
      </c>
      <c r="AH9" s="28" t="s">
        <v>148</v>
      </c>
      <c r="AJ9" s="28" t="s">
        <v>205</v>
      </c>
      <c r="AK9" s="28" t="s">
        <v>205</v>
      </c>
      <c r="AL9" s="28" t="s">
        <v>205</v>
      </c>
      <c r="AM9" s="28" t="s">
        <v>119</v>
      </c>
      <c r="AN9" s="28" t="s">
        <v>205</v>
      </c>
      <c r="AO9" s="28" t="s">
        <v>205</v>
      </c>
      <c r="AP9" s="28" t="s">
        <v>205</v>
      </c>
      <c r="AQ9" s="28" t="s">
        <v>205</v>
      </c>
      <c r="AR9" s="28" t="s">
        <v>205</v>
      </c>
      <c r="AS9" s="28" t="s">
        <v>205</v>
      </c>
      <c r="AT9" s="28" t="s">
        <v>205</v>
      </c>
      <c r="AU9" s="28" t="s">
        <v>205</v>
      </c>
    </row>
    <row r="10" spans="1:47">
      <c r="A10" s="140" t="s">
        <v>122</v>
      </c>
      <c r="B10" s="167">
        <v>15</v>
      </c>
      <c r="C10" s="167">
        <v>19</v>
      </c>
      <c r="D10" s="167">
        <v>19</v>
      </c>
      <c r="E10" s="167">
        <v>19</v>
      </c>
      <c r="F10" s="167">
        <v>19</v>
      </c>
      <c r="G10" s="167">
        <v>19</v>
      </c>
      <c r="H10" s="167">
        <v>19</v>
      </c>
      <c r="I10" s="167">
        <v>19</v>
      </c>
      <c r="J10" s="167">
        <v>19</v>
      </c>
      <c r="K10" s="167">
        <v>19</v>
      </c>
      <c r="L10" s="167">
        <v>19</v>
      </c>
      <c r="M10" s="167">
        <v>150</v>
      </c>
      <c r="N10" s="167">
        <v>19</v>
      </c>
      <c r="O10" s="167">
        <v>19</v>
      </c>
      <c r="P10" s="167">
        <v>19</v>
      </c>
      <c r="Q10" s="167">
        <v>19</v>
      </c>
      <c r="R10" s="167">
        <v>19</v>
      </c>
      <c r="S10" s="167">
        <v>19</v>
      </c>
      <c r="T10" s="167">
        <v>19</v>
      </c>
      <c r="U10" s="167">
        <v>19</v>
      </c>
      <c r="V10" s="167">
        <v>152</v>
      </c>
      <c r="W10" s="167">
        <v>19</v>
      </c>
      <c r="X10" s="167">
        <v>19</v>
      </c>
      <c r="Y10" s="167">
        <v>19</v>
      </c>
      <c r="Z10" s="167">
        <v>19</v>
      </c>
      <c r="AA10" s="167">
        <v>19</v>
      </c>
      <c r="AB10" s="167"/>
      <c r="AC10" s="167">
        <v>19</v>
      </c>
      <c r="AD10" s="167"/>
      <c r="AE10" s="167">
        <v>19</v>
      </c>
      <c r="AF10" s="167">
        <v>19</v>
      </c>
      <c r="AG10" s="141">
        <v>26</v>
      </c>
      <c r="AH10" s="167">
        <v>34</v>
      </c>
      <c r="AJ10" s="167">
        <v>19</v>
      </c>
      <c r="AK10" s="167">
        <v>19</v>
      </c>
      <c r="AL10" s="167">
        <v>19</v>
      </c>
      <c r="AM10" s="167">
        <v>2</v>
      </c>
      <c r="AN10" s="167">
        <v>19</v>
      </c>
      <c r="AO10" s="167">
        <v>19</v>
      </c>
      <c r="AP10" s="167">
        <v>19</v>
      </c>
      <c r="AQ10" s="167">
        <v>19</v>
      </c>
      <c r="AR10" s="167">
        <v>19</v>
      </c>
      <c r="AS10" s="167">
        <v>19</v>
      </c>
      <c r="AT10" s="167">
        <v>19</v>
      </c>
      <c r="AU10" s="167">
        <v>19</v>
      </c>
    </row>
    <row r="11" spans="1:47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9" t="s">
        <v>124</v>
      </c>
      <c r="U11" s="29" t="s">
        <v>124</v>
      </c>
      <c r="V11" s="29" t="s">
        <v>124</v>
      </c>
      <c r="W11" s="28" t="s">
        <v>124</v>
      </c>
      <c r="X11" s="29" t="s">
        <v>124</v>
      </c>
      <c r="Y11" s="29" t="s">
        <v>124</v>
      </c>
      <c r="Z11" s="29" t="s">
        <v>124</v>
      </c>
      <c r="AA11" s="29" t="s">
        <v>124</v>
      </c>
      <c r="AB11" s="28"/>
      <c r="AC11" s="29" t="s">
        <v>124</v>
      </c>
      <c r="AD11" s="28"/>
      <c r="AE11" s="29" t="s">
        <v>124</v>
      </c>
      <c r="AF11" s="29" t="s">
        <v>124</v>
      </c>
      <c r="AG11" s="28" t="s">
        <v>124</v>
      </c>
      <c r="AH11" s="28" t="s">
        <v>124</v>
      </c>
      <c r="AJ11" s="29" t="s">
        <v>124</v>
      </c>
      <c r="AK11" s="29" t="s">
        <v>124</v>
      </c>
      <c r="AL11" s="29" t="s">
        <v>124</v>
      </c>
      <c r="AM11" s="28" t="s">
        <v>124</v>
      </c>
      <c r="AN11" s="28" t="s">
        <v>124</v>
      </c>
      <c r="AO11" s="29" t="s">
        <v>124</v>
      </c>
      <c r="AP11" s="29" t="s">
        <v>124</v>
      </c>
      <c r="AQ11" s="29" t="s">
        <v>124</v>
      </c>
      <c r="AR11" s="29" t="s">
        <v>124</v>
      </c>
      <c r="AS11" s="29" t="s">
        <v>124</v>
      </c>
      <c r="AT11" s="29" t="s">
        <v>124</v>
      </c>
      <c r="AU11" s="29" t="s">
        <v>124</v>
      </c>
    </row>
    <row r="12" spans="1:47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/>
      <c r="AC12" s="28" t="s">
        <v>127</v>
      </c>
      <c r="AD12" s="28"/>
      <c r="AE12" s="28" t="s">
        <v>127</v>
      </c>
      <c r="AF12" s="28" t="s">
        <v>127</v>
      </c>
      <c r="AG12" s="28" t="s">
        <v>127</v>
      </c>
      <c r="AH12" s="28" t="s">
        <v>127</v>
      </c>
      <c r="AJ12" s="28" t="s">
        <v>127</v>
      </c>
      <c r="AK12" s="28" t="s">
        <v>127</v>
      </c>
      <c r="AL12" s="28" t="s">
        <v>127</v>
      </c>
      <c r="AM12" s="28" t="s">
        <v>124</v>
      </c>
      <c r="AN12" s="28" t="s">
        <v>127</v>
      </c>
      <c r="AO12" s="28" t="s">
        <v>127</v>
      </c>
      <c r="AP12" s="28" t="s">
        <v>127</v>
      </c>
      <c r="AQ12" s="28" t="s">
        <v>127</v>
      </c>
      <c r="AR12" s="28" t="s">
        <v>127</v>
      </c>
      <c r="AS12" s="28" t="s">
        <v>127</v>
      </c>
      <c r="AT12" s="28" t="s">
        <v>127</v>
      </c>
      <c r="AU12" s="28" t="s">
        <v>127</v>
      </c>
    </row>
    <row r="13" spans="1:47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235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/>
      <c r="AC13" s="28" t="s">
        <v>127</v>
      </c>
      <c r="AD13" s="28"/>
      <c r="AE13" s="28" t="s">
        <v>127</v>
      </c>
      <c r="AF13" s="28" t="s">
        <v>127</v>
      </c>
      <c r="AG13" s="28" t="s">
        <v>124</v>
      </c>
      <c r="AH13" s="28" t="s">
        <v>124</v>
      </c>
      <c r="AJ13" s="28" t="s">
        <v>127</v>
      </c>
      <c r="AK13" s="28" t="s">
        <v>127</v>
      </c>
      <c r="AL13" s="28" t="s">
        <v>127</v>
      </c>
      <c r="AM13" s="28" t="s">
        <v>127</v>
      </c>
      <c r="AN13" s="28" t="s">
        <v>127</v>
      </c>
      <c r="AO13" s="28" t="s">
        <v>127</v>
      </c>
      <c r="AP13" s="28" t="s">
        <v>127</v>
      </c>
      <c r="AQ13" s="28" t="s">
        <v>127</v>
      </c>
      <c r="AR13" s="28" t="s">
        <v>127</v>
      </c>
      <c r="AS13" s="28" t="s">
        <v>127</v>
      </c>
      <c r="AT13" s="28" t="s">
        <v>127</v>
      </c>
      <c r="AU13" s="28" t="s">
        <v>127</v>
      </c>
    </row>
    <row r="14" spans="1:47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/>
      <c r="AC14" s="28" t="s">
        <v>127</v>
      </c>
      <c r="AD14" s="28"/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K14" s="28" t="s">
        <v>127</v>
      </c>
      <c r="AL14" s="28" t="s">
        <v>127</v>
      </c>
      <c r="AM14" s="28" t="s">
        <v>127</v>
      </c>
      <c r="AN14" s="28" t="s">
        <v>127</v>
      </c>
      <c r="AO14" s="28" t="s">
        <v>127</v>
      </c>
      <c r="AP14" s="28" t="s">
        <v>127</v>
      </c>
      <c r="AQ14" s="28" t="s">
        <v>127</v>
      </c>
      <c r="AR14" s="28" t="s">
        <v>127</v>
      </c>
      <c r="AS14" s="28" t="s">
        <v>127</v>
      </c>
      <c r="AT14" s="28" t="s">
        <v>127</v>
      </c>
      <c r="AU14" s="28" t="s">
        <v>127</v>
      </c>
    </row>
    <row r="15" spans="1:47">
      <c r="A15" s="26" t="s">
        <v>129</v>
      </c>
      <c r="B15" s="28" t="s">
        <v>352</v>
      </c>
      <c r="C15" s="28" t="s">
        <v>216</v>
      </c>
      <c r="D15" s="28" t="s">
        <v>216</v>
      </c>
      <c r="E15" s="28" t="s">
        <v>216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238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216</v>
      </c>
      <c r="T15" s="28" t="s">
        <v>216</v>
      </c>
      <c r="U15" s="28" t="s">
        <v>216</v>
      </c>
      <c r="V15" s="28" t="s">
        <v>150</v>
      </c>
      <c r="W15" s="28" t="s">
        <v>216</v>
      </c>
      <c r="X15" s="28" t="s">
        <v>216</v>
      </c>
      <c r="Y15" s="28" t="s">
        <v>216</v>
      </c>
      <c r="Z15" s="28" t="s">
        <v>216</v>
      </c>
      <c r="AA15" s="28" t="s">
        <v>216</v>
      </c>
      <c r="AB15" s="28"/>
      <c r="AC15" s="28" t="s">
        <v>216</v>
      </c>
      <c r="AD15" s="28"/>
      <c r="AE15" s="28" t="s">
        <v>216</v>
      </c>
      <c r="AF15" s="28" t="s">
        <v>216</v>
      </c>
      <c r="AG15" s="28" t="s">
        <v>149</v>
      </c>
      <c r="AH15" s="28" t="s">
        <v>150</v>
      </c>
      <c r="AJ15" s="28" t="s">
        <v>216</v>
      </c>
      <c r="AK15" s="28" t="s">
        <v>216</v>
      </c>
      <c r="AL15" s="28" t="s">
        <v>216</v>
      </c>
      <c r="AM15" s="28" t="s">
        <v>118</v>
      </c>
      <c r="AN15" s="28" t="s">
        <v>216</v>
      </c>
      <c r="AO15" s="28" t="s">
        <v>216</v>
      </c>
      <c r="AP15" s="28" t="s">
        <v>216</v>
      </c>
      <c r="AQ15" s="28" t="s">
        <v>216</v>
      </c>
      <c r="AR15" s="28" t="s">
        <v>216</v>
      </c>
      <c r="AS15" s="28" t="s">
        <v>216</v>
      </c>
      <c r="AT15" s="28" t="s">
        <v>216</v>
      </c>
      <c r="AU15" s="28" t="s">
        <v>216</v>
      </c>
    </row>
    <row r="16" spans="1:47">
      <c r="A16" s="26" t="s">
        <v>130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f>AVERAGE(-3,-2)</f>
        <v>-2.5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f>AVERAGE(-2,-0.5)</f>
        <v>-1.25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/>
      <c r="AC16" s="30">
        <v>-3</v>
      </c>
      <c r="AD16" s="30"/>
      <c r="AE16" s="30">
        <v>-3</v>
      </c>
      <c r="AF16" s="30">
        <v>-3</v>
      </c>
      <c r="AG16" s="30">
        <f>4/3</f>
        <v>1.3333333333333333</v>
      </c>
      <c r="AH16" s="30">
        <v>-0.5</v>
      </c>
      <c r="AJ16" s="30">
        <v>-3</v>
      </c>
      <c r="AK16" s="30">
        <v>-3</v>
      </c>
      <c r="AL16" s="30">
        <v>-3</v>
      </c>
      <c r="AM16" s="30">
        <v>3</v>
      </c>
      <c r="AN16" s="30">
        <v>-3</v>
      </c>
      <c r="AO16" s="30">
        <v>-3</v>
      </c>
      <c r="AP16" s="30">
        <v>-3</v>
      </c>
      <c r="AQ16" s="30">
        <v>-3</v>
      </c>
      <c r="AR16" s="30">
        <v>-3</v>
      </c>
      <c r="AS16" s="30">
        <v>-3</v>
      </c>
      <c r="AT16" s="30">
        <v>-3</v>
      </c>
      <c r="AU16" s="30">
        <v>-3</v>
      </c>
    </row>
    <row r="17" spans="1:47">
      <c r="A17" s="26" t="s">
        <v>131</v>
      </c>
      <c r="B17" s="28" t="s">
        <v>132</v>
      </c>
      <c r="C17" s="28" t="s">
        <v>132</v>
      </c>
      <c r="D17" s="28" t="s">
        <v>132</v>
      </c>
      <c r="E17" s="28" t="s">
        <v>132</v>
      </c>
      <c r="F17" s="28" t="s">
        <v>132</v>
      </c>
      <c r="G17" s="28" t="s">
        <v>132</v>
      </c>
      <c r="H17" s="28" t="s">
        <v>132</v>
      </c>
      <c r="I17" s="28" t="s">
        <v>132</v>
      </c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132</v>
      </c>
      <c r="T17" s="28" t="s">
        <v>132</v>
      </c>
      <c r="U17" s="28" t="s">
        <v>132</v>
      </c>
      <c r="V17" s="28" t="s">
        <v>241</v>
      </c>
      <c r="W17" s="28" t="s">
        <v>132</v>
      </c>
      <c r="X17" s="28" t="s">
        <v>132</v>
      </c>
      <c r="Y17" s="28" t="s">
        <v>132</v>
      </c>
      <c r="Z17" s="28" t="s">
        <v>132</v>
      </c>
      <c r="AA17" s="28" t="s">
        <v>132</v>
      </c>
      <c r="AB17" s="28"/>
      <c r="AC17" s="28" t="s">
        <v>132</v>
      </c>
      <c r="AD17" s="28"/>
      <c r="AE17" s="28" t="s">
        <v>132</v>
      </c>
      <c r="AF17" s="28" t="s">
        <v>132</v>
      </c>
      <c r="AG17" s="28" t="s">
        <v>151</v>
      </c>
      <c r="AH17" s="28" t="s">
        <v>151</v>
      </c>
      <c r="AJ17" s="28" t="s">
        <v>132</v>
      </c>
      <c r="AK17" s="28" t="s">
        <v>132</v>
      </c>
      <c r="AL17" s="28" t="s">
        <v>132</v>
      </c>
      <c r="AM17" s="28" t="s">
        <v>132</v>
      </c>
      <c r="AN17" s="28" t="s">
        <v>132</v>
      </c>
      <c r="AO17" s="28" t="s">
        <v>132</v>
      </c>
      <c r="AP17" s="28" t="s">
        <v>132</v>
      </c>
      <c r="AQ17" s="28" t="s">
        <v>132</v>
      </c>
      <c r="AR17" s="28" t="s">
        <v>132</v>
      </c>
      <c r="AS17" s="28" t="s">
        <v>132</v>
      </c>
      <c r="AT17" s="28" t="s">
        <v>132</v>
      </c>
      <c r="AU17" s="28" t="s">
        <v>132</v>
      </c>
    </row>
    <row r="18" spans="1:47">
      <c r="A18" s="26" t="s">
        <v>133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f>AVERAGE(4,3)</f>
        <v>3.5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v>4</v>
      </c>
      <c r="AD18" s="30"/>
      <c r="AE18" s="30">
        <v>4</v>
      </c>
      <c r="AF18" s="30">
        <v>4</v>
      </c>
      <c r="AG18" s="30">
        <v>3</v>
      </c>
      <c r="AH18" s="30">
        <v>3</v>
      </c>
      <c r="AJ18" s="30">
        <v>4</v>
      </c>
      <c r="AK18" s="30">
        <v>4</v>
      </c>
      <c r="AL18" s="30">
        <v>4</v>
      </c>
      <c r="AM18" s="30">
        <v>4</v>
      </c>
      <c r="AN18" s="30">
        <v>4</v>
      </c>
      <c r="AO18" s="30">
        <v>4</v>
      </c>
      <c r="AP18" s="30">
        <v>4</v>
      </c>
      <c r="AQ18" s="30">
        <v>4</v>
      </c>
      <c r="AR18" s="30">
        <v>4</v>
      </c>
      <c r="AS18" s="30">
        <v>4</v>
      </c>
      <c r="AT18" s="30">
        <v>4</v>
      </c>
      <c r="AU18" s="30">
        <v>4</v>
      </c>
    </row>
    <row r="20" spans="1:47">
      <c r="A20" s="26" t="s">
        <v>117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28" t="s">
        <v>350</v>
      </c>
      <c r="S20" s="80"/>
      <c r="T20" s="80"/>
      <c r="U20" s="80"/>
      <c r="V20" s="80"/>
      <c r="W20" s="28" t="s">
        <v>477</v>
      </c>
      <c r="X20" s="80"/>
      <c r="Y20" s="80"/>
      <c r="Z20" s="80"/>
      <c r="AA20" s="80"/>
      <c r="AB20" s="28"/>
      <c r="AC20" s="28"/>
      <c r="AD20" s="28"/>
      <c r="AE20" s="28" t="s">
        <v>588</v>
      </c>
      <c r="AF20" s="80"/>
      <c r="AG20" s="80"/>
      <c r="AH20" s="80"/>
      <c r="AJ20" s="28" t="s">
        <v>477</v>
      </c>
      <c r="AK20" s="28" t="s">
        <v>477</v>
      </c>
      <c r="AL20" s="28" t="s">
        <v>477</v>
      </c>
      <c r="AM20" s="80"/>
      <c r="AN20" s="28" t="s">
        <v>477</v>
      </c>
      <c r="AO20" s="28" t="s">
        <v>477</v>
      </c>
      <c r="AP20" s="28" t="s">
        <v>477</v>
      </c>
      <c r="AQ20" s="28" t="s">
        <v>477</v>
      </c>
      <c r="AR20" s="28" t="s">
        <v>477</v>
      </c>
      <c r="AS20" s="28" t="s">
        <v>477</v>
      </c>
      <c r="AT20" s="28" t="s">
        <v>477</v>
      </c>
      <c r="AU20" s="28" t="s">
        <v>477</v>
      </c>
    </row>
    <row r="21" spans="1:47">
      <c r="A21" s="26" t="s">
        <v>121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105" t="s">
        <v>480</v>
      </c>
      <c r="S21" s="81"/>
      <c r="T21" s="81"/>
      <c r="U21" s="81"/>
      <c r="V21" s="81"/>
      <c r="W21" s="28" t="s">
        <v>350</v>
      </c>
      <c r="X21" s="81"/>
      <c r="Y21" s="81"/>
      <c r="Z21" s="81"/>
      <c r="AA21" s="81"/>
      <c r="AB21" s="29"/>
      <c r="AC21" s="29"/>
      <c r="AD21" s="29"/>
      <c r="AE21" s="105" t="s">
        <v>480</v>
      </c>
      <c r="AF21" s="81"/>
      <c r="AG21" s="81"/>
      <c r="AH21" s="81"/>
      <c r="AJ21" s="28" t="s">
        <v>350</v>
      </c>
      <c r="AK21" s="28" t="s">
        <v>350</v>
      </c>
      <c r="AL21" s="28" t="s">
        <v>350</v>
      </c>
      <c r="AM21" s="80"/>
      <c r="AN21" s="28" t="s">
        <v>350</v>
      </c>
      <c r="AO21" s="28" t="s">
        <v>350</v>
      </c>
      <c r="AP21" s="28" t="s">
        <v>350</v>
      </c>
      <c r="AQ21" s="28" t="s">
        <v>350</v>
      </c>
      <c r="AR21" s="28" t="s">
        <v>350</v>
      </c>
      <c r="AS21" s="28" t="s">
        <v>350</v>
      </c>
      <c r="AT21" s="28" t="s">
        <v>350</v>
      </c>
      <c r="AU21" s="28" t="s">
        <v>350</v>
      </c>
    </row>
    <row r="22" spans="1:47">
      <c r="A22" s="140" t="s">
        <v>122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67">
        <v>134</v>
      </c>
      <c r="S22" s="174"/>
      <c r="T22" s="174"/>
      <c r="U22" s="174"/>
      <c r="V22" s="174"/>
      <c r="W22" s="167">
        <v>97</v>
      </c>
      <c r="X22" s="174"/>
      <c r="Y22" s="174"/>
      <c r="Z22" s="174"/>
      <c r="AA22" s="174"/>
      <c r="AB22" s="167"/>
      <c r="AC22" s="167"/>
      <c r="AD22" s="167"/>
      <c r="AE22" s="167">
        <v>134</v>
      </c>
      <c r="AF22" s="174"/>
      <c r="AG22" s="174"/>
      <c r="AH22" s="174"/>
      <c r="AJ22" s="167">
        <v>97</v>
      </c>
      <c r="AK22" s="167">
        <v>97</v>
      </c>
      <c r="AL22" s="167">
        <v>97</v>
      </c>
      <c r="AM22" s="174"/>
      <c r="AN22" s="167">
        <v>97</v>
      </c>
      <c r="AO22" s="167">
        <v>97</v>
      </c>
      <c r="AP22" s="167">
        <v>97</v>
      </c>
      <c r="AQ22" s="167">
        <v>97</v>
      </c>
      <c r="AR22" s="167">
        <v>97</v>
      </c>
      <c r="AS22" s="167">
        <v>97</v>
      </c>
      <c r="AT22" s="167">
        <v>97</v>
      </c>
      <c r="AU22" s="167">
        <v>97</v>
      </c>
    </row>
    <row r="23" spans="1:47">
      <c r="A23" s="26" t="s">
        <v>123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28" t="s">
        <v>215</v>
      </c>
      <c r="S23" s="80"/>
      <c r="T23" s="80"/>
      <c r="U23" s="80"/>
      <c r="V23" s="80"/>
      <c r="W23" s="28" t="s">
        <v>124</v>
      </c>
      <c r="X23" s="80"/>
      <c r="Y23" s="80"/>
      <c r="Z23" s="80"/>
      <c r="AA23" s="80"/>
      <c r="AB23" s="28"/>
      <c r="AC23" s="29"/>
      <c r="AD23" s="28"/>
      <c r="AE23" s="28" t="s">
        <v>215</v>
      </c>
      <c r="AF23" s="80"/>
      <c r="AG23" s="80"/>
      <c r="AH23" s="80"/>
      <c r="AJ23" s="28" t="s">
        <v>124</v>
      </c>
      <c r="AK23" s="28" t="s">
        <v>124</v>
      </c>
      <c r="AL23" s="28" t="s">
        <v>124</v>
      </c>
      <c r="AM23" s="80"/>
      <c r="AN23" s="28" t="s">
        <v>124</v>
      </c>
      <c r="AO23" s="28" t="s">
        <v>124</v>
      </c>
      <c r="AP23" s="28" t="s">
        <v>124</v>
      </c>
      <c r="AQ23" s="28" t="s">
        <v>124</v>
      </c>
      <c r="AR23" s="28" t="s">
        <v>124</v>
      </c>
      <c r="AS23" s="28" t="s">
        <v>124</v>
      </c>
      <c r="AT23" s="28" t="s">
        <v>124</v>
      </c>
      <c r="AU23" s="28" t="s">
        <v>124</v>
      </c>
    </row>
    <row r="24" spans="1:47">
      <c r="A24" s="26" t="s">
        <v>125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28" t="s">
        <v>215</v>
      </c>
      <c r="S24" s="80"/>
      <c r="T24" s="80"/>
      <c r="U24" s="80"/>
      <c r="V24" s="80"/>
      <c r="W24" s="28" t="s">
        <v>124</v>
      </c>
      <c r="X24" s="80"/>
      <c r="Y24" s="80"/>
      <c r="Z24" s="80"/>
      <c r="AA24" s="80"/>
      <c r="AB24" s="28"/>
      <c r="AC24" s="28"/>
      <c r="AD24" s="28"/>
      <c r="AE24" s="28" t="s">
        <v>215</v>
      </c>
      <c r="AF24" s="80"/>
      <c r="AG24" s="80"/>
      <c r="AH24" s="80"/>
      <c r="AJ24" s="28" t="s">
        <v>124</v>
      </c>
      <c r="AK24" s="28" t="s">
        <v>124</v>
      </c>
      <c r="AL24" s="28" t="s">
        <v>124</v>
      </c>
      <c r="AM24" s="80"/>
      <c r="AN24" s="28" t="s">
        <v>124</v>
      </c>
      <c r="AO24" s="28" t="s">
        <v>124</v>
      </c>
      <c r="AP24" s="28" t="s">
        <v>124</v>
      </c>
      <c r="AQ24" s="28" t="s">
        <v>124</v>
      </c>
      <c r="AR24" s="28" t="s">
        <v>124</v>
      </c>
      <c r="AS24" s="28" t="s">
        <v>124</v>
      </c>
      <c r="AT24" s="28" t="s">
        <v>124</v>
      </c>
      <c r="AU24" s="28" t="s">
        <v>124</v>
      </c>
    </row>
    <row r="25" spans="1:47">
      <c r="A25" s="26" t="s">
        <v>126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28" t="s">
        <v>127</v>
      </c>
      <c r="S25" s="80"/>
      <c r="T25" s="80"/>
      <c r="U25" s="80"/>
      <c r="V25" s="80"/>
      <c r="W25" s="28" t="s">
        <v>127</v>
      </c>
      <c r="X25" s="80"/>
      <c r="Y25" s="80"/>
      <c r="Z25" s="80"/>
      <c r="AA25" s="80"/>
      <c r="AB25" s="28"/>
      <c r="AC25" s="28"/>
      <c r="AD25" s="28"/>
      <c r="AE25" s="28" t="s">
        <v>127</v>
      </c>
      <c r="AF25" s="80"/>
      <c r="AG25" s="80"/>
      <c r="AH25" s="80"/>
      <c r="AJ25" s="28" t="s">
        <v>127</v>
      </c>
      <c r="AK25" s="28" t="s">
        <v>127</v>
      </c>
      <c r="AL25" s="28" t="s">
        <v>127</v>
      </c>
      <c r="AM25" s="80"/>
      <c r="AN25" s="28" t="s">
        <v>127</v>
      </c>
      <c r="AO25" s="28" t="s">
        <v>127</v>
      </c>
      <c r="AP25" s="28" t="s">
        <v>127</v>
      </c>
      <c r="AQ25" s="28" t="s">
        <v>127</v>
      </c>
      <c r="AR25" s="28" t="s">
        <v>127</v>
      </c>
      <c r="AS25" s="28" t="s">
        <v>127</v>
      </c>
      <c r="AT25" s="28" t="s">
        <v>127</v>
      </c>
      <c r="AU25" s="28" t="s">
        <v>127</v>
      </c>
    </row>
    <row r="26" spans="1:47">
      <c r="A26" s="26" t="s">
        <v>128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28" t="s">
        <v>127</v>
      </c>
      <c r="S26" s="80"/>
      <c r="T26" s="80"/>
      <c r="U26" s="80"/>
      <c r="V26" s="80"/>
      <c r="W26" s="28" t="s">
        <v>127</v>
      </c>
      <c r="X26" s="80"/>
      <c r="Y26" s="80"/>
      <c r="Z26" s="80"/>
      <c r="AA26" s="80"/>
      <c r="AB26" s="28"/>
      <c r="AC26" s="28"/>
      <c r="AD26" s="28"/>
      <c r="AE26" s="28" t="s">
        <v>127</v>
      </c>
      <c r="AF26" s="80"/>
      <c r="AG26" s="80"/>
      <c r="AH26" s="80"/>
      <c r="AJ26" s="28" t="s">
        <v>127</v>
      </c>
      <c r="AK26" s="28" t="s">
        <v>127</v>
      </c>
      <c r="AL26" s="28" t="s">
        <v>127</v>
      </c>
      <c r="AM26" s="80"/>
      <c r="AN26" s="28" t="s">
        <v>127</v>
      </c>
      <c r="AO26" s="28" t="s">
        <v>127</v>
      </c>
      <c r="AP26" s="28" t="s">
        <v>127</v>
      </c>
      <c r="AQ26" s="28" t="s">
        <v>127</v>
      </c>
      <c r="AR26" s="28" t="s">
        <v>127</v>
      </c>
      <c r="AS26" s="28" t="s">
        <v>127</v>
      </c>
      <c r="AT26" s="28" t="s">
        <v>127</v>
      </c>
      <c r="AU26" s="28" t="s">
        <v>127</v>
      </c>
    </row>
    <row r="27" spans="1:47">
      <c r="A27" s="26" t="s">
        <v>129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28" t="s">
        <v>352</v>
      </c>
      <c r="S27" s="80"/>
      <c r="T27" s="80"/>
      <c r="U27" s="80"/>
      <c r="V27" s="80"/>
      <c r="W27" s="28" t="s">
        <v>352</v>
      </c>
      <c r="X27" s="80"/>
      <c r="Y27" s="80"/>
      <c r="Z27" s="80"/>
      <c r="AA27" s="80"/>
      <c r="AB27" s="28"/>
      <c r="AC27" s="28"/>
      <c r="AD27" s="28"/>
      <c r="AE27" s="28" t="s">
        <v>352</v>
      </c>
      <c r="AF27" s="80"/>
      <c r="AG27" s="80"/>
      <c r="AH27" s="80"/>
      <c r="AJ27" s="28" t="s">
        <v>352</v>
      </c>
      <c r="AK27" s="28" t="s">
        <v>352</v>
      </c>
      <c r="AL27" s="28" t="s">
        <v>352</v>
      </c>
      <c r="AM27" s="80"/>
      <c r="AN27" s="28" t="s">
        <v>352</v>
      </c>
      <c r="AO27" s="28" t="s">
        <v>352</v>
      </c>
      <c r="AP27" s="28" t="s">
        <v>352</v>
      </c>
      <c r="AQ27" s="28" t="s">
        <v>352</v>
      </c>
      <c r="AR27" s="28" t="s">
        <v>352</v>
      </c>
      <c r="AS27" s="28" t="s">
        <v>352</v>
      </c>
      <c r="AT27" s="28" t="s">
        <v>352</v>
      </c>
      <c r="AU27" s="28" t="s">
        <v>352</v>
      </c>
    </row>
    <row r="28" spans="1:47">
      <c r="A28" s="26" t="s">
        <v>130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30">
        <v>0</v>
      </c>
      <c r="S28" s="82"/>
      <c r="T28" s="82"/>
      <c r="U28" s="82"/>
      <c r="V28" s="82"/>
      <c r="W28" s="30">
        <v>0</v>
      </c>
      <c r="X28" s="82"/>
      <c r="Y28" s="82"/>
      <c r="Z28" s="82"/>
      <c r="AA28" s="82"/>
      <c r="AB28" s="30"/>
      <c r="AC28" s="30"/>
      <c r="AD28" s="30"/>
      <c r="AE28" s="30">
        <v>0</v>
      </c>
      <c r="AF28" s="82"/>
      <c r="AG28" s="82"/>
      <c r="AH28" s="82"/>
      <c r="AJ28" s="30">
        <v>0</v>
      </c>
      <c r="AK28" s="30">
        <v>0</v>
      </c>
      <c r="AL28" s="30">
        <v>0</v>
      </c>
      <c r="AM28" s="82"/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</row>
    <row r="29" spans="1:47">
      <c r="A29" s="26" t="s">
        <v>131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103" t="s">
        <v>483</v>
      </c>
      <c r="S29" s="80"/>
      <c r="T29" s="80"/>
      <c r="U29" s="80"/>
      <c r="V29" s="80"/>
      <c r="W29" s="28" t="s">
        <v>280</v>
      </c>
      <c r="X29" s="80"/>
      <c r="Y29" s="80"/>
      <c r="Z29" s="80"/>
      <c r="AA29" s="80"/>
      <c r="AB29" s="28"/>
      <c r="AC29" s="28"/>
      <c r="AD29" s="28"/>
      <c r="AE29" s="103" t="s">
        <v>483</v>
      </c>
      <c r="AF29" s="80"/>
      <c r="AG29" s="80"/>
      <c r="AH29" s="80"/>
      <c r="AJ29" s="28" t="s">
        <v>280</v>
      </c>
      <c r="AK29" s="28" t="s">
        <v>280</v>
      </c>
      <c r="AL29" s="28" t="s">
        <v>280</v>
      </c>
      <c r="AM29" s="80"/>
      <c r="AN29" s="28" t="s">
        <v>280</v>
      </c>
      <c r="AO29" s="28" t="s">
        <v>280</v>
      </c>
      <c r="AP29" s="28" t="s">
        <v>280</v>
      </c>
      <c r="AQ29" s="28" t="s">
        <v>280</v>
      </c>
      <c r="AR29" s="28" t="s">
        <v>280</v>
      </c>
      <c r="AS29" s="28" t="s">
        <v>280</v>
      </c>
      <c r="AT29" s="28" t="s">
        <v>280</v>
      </c>
      <c r="AU29" s="28" t="s">
        <v>280</v>
      </c>
    </row>
    <row r="30" spans="1:47">
      <c r="A30" s="26" t="s">
        <v>133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30">
        <f>AVERAGE(1/3,0)</f>
        <v>0.16666666666666666</v>
      </c>
      <c r="S30" s="82"/>
      <c r="T30" s="82"/>
      <c r="U30" s="82"/>
      <c r="V30" s="82"/>
      <c r="W30" s="30">
        <v>0.5</v>
      </c>
      <c r="X30" s="82"/>
      <c r="Y30" s="82"/>
      <c r="Z30" s="82"/>
      <c r="AA30" s="82"/>
      <c r="AB30" s="30"/>
      <c r="AC30" s="30"/>
      <c r="AD30" s="30"/>
      <c r="AE30" s="30">
        <f>AVERAGE(1/3,0)</f>
        <v>0.16666666666666666</v>
      </c>
      <c r="AF30" s="82"/>
      <c r="AG30" s="82"/>
      <c r="AH30" s="82"/>
      <c r="AJ30" s="30">
        <v>0.5</v>
      </c>
      <c r="AK30" s="30">
        <v>0.5</v>
      </c>
      <c r="AL30" s="30">
        <v>0.5</v>
      </c>
      <c r="AM30" s="82"/>
      <c r="AN30" s="30">
        <v>0.5</v>
      </c>
      <c r="AO30" s="30">
        <v>0.5</v>
      </c>
      <c r="AP30" s="30">
        <v>0.5</v>
      </c>
      <c r="AQ30" s="30">
        <v>0.5</v>
      </c>
      <c r="AR30" s="30">
        <v>0.5</v>
      </c>
      <c r="AS30" s="30">
        <v>0.5</v>
      </c>
      <c r="AT30" s="30">
        <v>0.5</v>
      </c>
      <c r="AU30" s="30">
        <v>0.5</v>
      </c>
    </row>
    <row r="31" spans="1:47">
      <c r="X31" s="217" t="s">
        <v>601</v>
      </c>
      <c r="Y31" s="217"/>
      <c r="Z31" s="217"/>
      <c r="AA31" s="217"/>
      <c r="AB31" s="217"/>
      <c r="AC31" s="217"/>
      <c r="AD31" s="217"/>
      <c r="AE31" s="217"/>
      <c r="AF31" s="217"/>
      <c r="AJ31" s="217" t="s">
        <v>602</v>
      </c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</row>
    <row r="32" spans="1:47">
      <c r="A32" s="31" t="s">
        <v>134</v>
      </c>
    </row>
    <row r="33" spans="1:2">
      <c r="A33" s="223" t="s">
        <v>603</v>
      </c>
      <c r="B33" s="56" t="s">
        <v>243</v>
      </c>
    </row>
    <row r="34" spans="1:2">
      <c r="A34" s="223"/>
      <c r="B34" s="93" t="s">
        <v>604</v>
      </c>
    </row>
    <row r="35" spans="1:2" ht="30.75" customHeight="1">
      <c r="A35" s="227" t="s">
        <v>605</v>
      </c>
      <c r="B35" s="93" t="s">
        <v>243</v>
      </c>
    </row>
    <row r="36" spans="1:2">
      <c r="A36" s="227"/>
      <c r="B36" s="93" t="s">
        <v>592</v>
      </c>
    </row>
    <row r="37" spans="1:2">
      <c r="A37" s="227"/>
      <c r="B37" s="93" t="s">
        <v>604</v>
      </c>
    </row>
  </sheetData>
  <mergeCells count="9">
    <mergeCell ref="A35:A37"/>
    <mergeCell ref="B3:D3"/>
    <mergeCell ref="B4:D4"/>
    <mergeCell ref="B5:D5"/>
    <mergeCell ref="AJ31:AU31"/>
    <mergeCell ref="X31:AF31"/>
    <mergeCell ref="F3:O3"/>
    <mergeCell ref="F4:O5"/>
    <mergeCell ref="A33:A3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E24B-EA24-47A2-96EA-4512D9AB502A}">
  <dimension ref="A1:AO53"/>
  <sheetViews>
    <sheetView workbookViewId="0">
      <selection activeCell="A41" sqref="A41"/>
    </sheetView>
  </sheetViews>
  <sheetFormatPr defaultColWidth="9.140625" defaultRowHeight="15"/>
  <cols>
    <col min="1" max="1" width="23.28515625" style="26" bestFit="1" customWidth="1"/>
    <col min="2" max="52" width="5.7109375" style="26" customWidth="1"/>
    <col min="53" max="16384" width="9.140625" style="26"/>
  </cols>
  <sheetData>
    <row r="1" spans="1:41">
      <c r="A1" s="25" t="s">
        <v>74</v>
      </c>
      <c r="D1" s="25" t="s">
        <v>75</v>
      </c>
      <c r="I1" s="25" t="s">
        <v>495</v>
      </c>
    </row>
    <row r="3" spans="1:41" ht="17.45">
      <c r="A3" s="25" t="s">
        <v>77</v>
      </c>
      <c r="B3" s="203">
        <v>43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1" ht="17.45">
      <c r="A4" s="25" t="s">
        <v>79</v>
      </c>
      <c r="B4" s="203" t="s">
        <v>606</v>
      </c>
      <c r="C4" s="203"/>
      <c r="D4" s="203"/>
      <c r="F4" s="228" t="s">
        <v>607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1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1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67" t="s">
        <v>98</v>
      </c>
      <c r="AK7" s="42" t="s">
        <v>99</v>
      </c>
      <c r="AL7" s="47" t="s">
        <v>106</v>
      </c>
      <c r="AM7" s="47" t="s">
        <v>107</v>
      </c>
      <c r="AO7" s="43" t="s">
        <v>6</v>
      </c>
    </row>
    <row r="8" spans="1:41">
      <c r="A8" s="26" t="s">
        <v>117</v>
      </c>
      <c r="B8" s="28" t="s">
        <v>262</v>
      </c>
      <c r="C8" s="80"/>
      <c r="D8" s="80"/>
      <c r="E8" s="80"/>
      <c r="F8" s="80"/>
      <c r="G8" s="80"/>
      <c r="H8" s="80"/>
      <c r="I8" s="80"/>
      <c r="J8" s="28" t="s">
        <v>250</v>
      </c>
      <c r="K8" s="28" t="s">
        <v>250</v>
      </c>
      <c r="L8" s="28" t="s">
        <v>250</v>
      </c>
      <c r="M8" s="28" t="s">
        <v>250</v>
      </c>
      <c r="N8" s="28" t="s">
        <v>250</v>
      </c>
      <c r="O8" s="28" t="s">
        <v>250</v>
      </c>
      <c r="P8" s="28" t="s">
        <v>250</v>
      </c>
      <c r="Q8" s="28" t="s">
        <v>250</v>
      </c>
      <c r="R8" s="28" t="s">
        <v>250</v>
      </c>
      <c r="S8" s="28" t="s">
        <v>250</v>
      </c>
      <c r="T8" s="28" t="s">
        <v>294</v>
      </c>
      <c r="U8" s="28" t="s">
        <v>294</v>
      </c>
      <c r="V8" s="28" t="s">
        <v>250</v>
      </c>
      <c r="W8" s="28" t="s">
        <v>250</v>
      </c>
      <c r="X8" s="28" t="s">
        <v>250</v>
      </c>
      <c r="Y8" s="28" t="s">
        <v>294</v>
      </c>
      <c r="Z8" s="28" t="s">
        <v>268</v>
      </c>
      <c r="AA8" s="28" t="s">
        <v>608</v>
      </c>
      <c r="AB8" s="80"/>
      <c r="AC8" s="80"/>
      <c r="AD8" s="28" t="s">
        <v>608</v>
      </c>
      <c r="AE8" s="103" t="s">
        <v>609</v>
      </c>
      <c r="AF8" s="28" t="s">
        <v>294</v>
      </c>
      <c r="AG8" s="28" t="s">
        <v>250</v>
      </c>
      <c r="AH8" s="28" t="s">
        <v>608</v>
      </c>
      <c r="AJ8" s="80"/>
      <c r="AK8" s="80"/>
      <c r="AL8" s="80"/>
      <c r="AM8" s="80"/>
      <c r="AO8" s="28" t="s">
        <v>262</v>
      </c>
    </row>
    <row r="9" spans="1:41">
      <c r="A9" s="26" t="s">
        <v>121</v>
      </c>
      <c r="B9" s="28" t="s">
        <v>251</v>
      </c>
      <c r="C9" s="81"/>
      <c r="D9" s="81"/>
      <c r="E9" s="81"/>
      <c r="F9" s="81"/>
      <c r="G9" s="81"/>
      <c r="H9" s="81"/>
      <c r="I9" s="81"/>
      <c r="J9" s="28" t="s">
        <v>251</v>
      </c>
      <c r="K9" s="28" t="s">
        <v>251</v>
      </c>
      <c r="L9" s="28" t="s">
        <v>251</v>
      </c>
      <c r="M9" s="28" t="s">
        <v>251</v>
      </c>
      <c r="N9" s="28" t="s">
        <v>251</v>
      </c>
      <c r="O9" s="28" t="s">
        <v>251</v>
      </c>
      <c r="P9" s="28" t="s">
        <v>251</v>
      </c>
      <c r="Q9" s="28" t="s">
        <v>251</v>
      </c>
      <c r="R9" s="28" t="s">
        <v>251</v>
      </c>
      <c r="S9" s="28" t="s">
        <v>300</v>
      </c>
      <c r="T9" s="29" t="s">
        <v>178</v>
      </c>
      <c r="U9" s="186" t="s">
        <v>178</v>
      </c>
      <c r="V9" s="28" t="s">
        <v>251</v>
      </c>
      <c r="W9" s="28" t="s">
        <v>251</v>
      </c>
      <c r="X9" s="28" t="s">
        <v>251</v>
      </c>
      <c r="Y9" s="29" t="s">
        <v>178</v>
      </c>
      <c r="Z9" s="29" t="s">
        <v>277</v>
      </c>
      <c r="AA9" s="28" t="s">
        <v>251</v>
      </c>
      <c r="AB9" s="81"/>
      <c r="AC9" s="81"/>
      <c r="AD9" s="29" t="s">
        <v>277</v>
      </c>
      <c r="AE9" s="29" t="s">
        <v>610</v>
      </c>
      <c r="AF9" s="29" t="s">
        <v>178</v>
      </c>
      <c r="AG9" s="28" t="s">
        <v>251</v>
      </c>
      <c r="AH9" s="28" t="s">
        <v>611</v>
      </c>
      <c r="AJ9" s="81"/>
      <c r="AK9" s="81"/>
      <c r="AL9" s="81"/>
      <c r="AM9" s="81"/>
      <c r="AO9" s="28" t="s">
        <v>251</v>
      </c>
    </row>
    <row r="10" spans="1:41">
      <c r="A10" s="140" t="s">
        <v>122</v>
      </c>
      <c r="B10" s="167">
        <v>20</v>
      </c>
      <c r="C10" s="174"/>
      <c r="D10" s="174"/>
      <c r="E10" s="174"/>
      <c r="F10" s="174"/>
      <c r="G10" s="174"/>
      <c r="H10" s="174"/>
      <c r="I10" s="174"/>
      <c r="J10" s="167">
        <v>20</v>
      </c>
      <c r="K10" s="167">
        <v>20</v>
      </c>
      <c r="L10" s="167">
        <v>20</v>
      </c>
      <c r="M10" s="167">
        <v>20</v>
      </c>
      <c r="N10" s="167">
        <v>20</v>
      </c>
      <c r="O10" s="167">
        <v>20</v>
      </c>
      <c r="P10" s="167">
        <v>20</v>
      </c>
      <c r="Q10" s="167">
        <v>20</v>
      </c>
      <c r="R10" s="167">
        <v>20</v>
      </c>
      <c r="S10" s="167">
        <v>112</v>
      </c>
      <c r="T10" s="167">
        <v>35</v>
      </c>
      <c r="U10" s="167">
        <v>35</v>
      </c>
      <c r="V10" s="167">
        <v>20</v>
      </c>
      <c r="W10" s="167">
        <v>20</v>
      </c>
      <c r="X10" s="167">
        <v>20</v>
      </c>
      <c r="Y10" s="167">
        <v>35</v>
      </c>
      <c r="Z10" s="167">
        <v>18</v>
      </c>
      <c r="AA10" s="167">
        <v>20</v>
      </c>
      <c r="AB10" s="174"/>
      <c r="AC10" s="174"/>
      <c r="AD10" s="167">
        <v>18</v>
      </c>
      <c r="AE10" s="167">
        <v>156</v>
      </c>
      <c r="AF10" s="167">
        <v>35</v>
      </c>
      <c r="AG10" s="167">
        <v>20</v>
      </c>
      <c r="AH10" s="167">
        <v>154</v>
      </c>
      <c r="AJ10" s="81"/>
      <c r="AK10" s="81"/>
      <c r="AL10" s="81"/>
      <c r="AM10" s="81"/>
      <c r="AO10" s="167">
        <v>20</v>
      </c>
    </row>
    <row r="11" spans="1:41">
      <c r="A11" s="26" t="s">
        <v>123</v>
      </c>
      <c r="B11" s="29" t="s">
        <v>124</v>
      </c>
      <c r="C11" s="80"/>
      <c r="D11" s="80"/>
      <c r="E11" s="80"/>
      <c r="F11" s="80"/>
      <c r="G11" s="80"/>
      <c r="H11" s="80"/>
      <c r="I11" s="80"/>
      <c r="J11" s="29" t="s">
        <v>124</v>
      </c>
      <c r="K11" s="29" t="s">
        <v>124</v>
      </c>
      <c r="L11" s="29" t="s">
        <v>124</v>
      </c>
      <c r="M11" s="29" t="s">
        <v>124</v>
      </c>
      <c r="N11" s="29" t="s">
        <v>124</v>
      </c>
      <c r="O11" s="29" t="s">
        <v>124</v>
      </c>
      <c r="P11" s="29" t="s">
        <v>124</v>
      </c>
      <c r="Q11" s="29" t="s">
        <v>124</v>
      </c>
      <c r="R11" s="29" t="s">
        <v>124</v>
      </c>
      <c r="S11" s="29" t="s">
        <v>124</v>
      </c>
      <c r="T11" s="28" t="s">
        <v>124</v>
      </c>
      <c r="U11" s="28" t="s">
        <v>124</v>
      </c>
      <c r="V11" s="29" t="s">
        <v>124</v>
      </c>
      <c r="W11" s="29" t="s">
        <v>124</v>
      </c>
      <c r="X11" s="29" t="s">
        <v>124</v>
      </c>
      <c r="Y11" s="28" t="s">
        <v>124</v>
      </c>
      <c r="Z11" s="29" t="s">
        <v>124</v>
      </c>
      <c r="AA11" s="29" t="s">
        <v>124</v>
      </c>
      <c r="AB11" s="80"/>
      <c r="AC11" s="81"/>
      <c r="AD11" s="29" t="s">
        <v>124</v>
      </c>
      <c r="AE11" s="28" t="s">
        <v>215</v>
      </c>
      <c r="AF11" s="28" t="s">
        <v>124</v>
      </c>
      <c r="AG11" s="29" t="s">
        <v>124</v>
      </c>
      <c r="AH11" s="29" t="s">
        <v>124</v>
      </c>
      <c r="AJ11" s="80"/>
      <c r="AK11" s="80"/>
      <c r="AL11" s="80"/>
      <c r="AM11" s="80"/>
      <c r="AO11" s="29" t="s">
        <v>124</v>
      </c>
    </row>
    <row r="12" spans="1:41">
      <c r="A12" s="26" t="s">
        <v>125</v>
      </c>
      <c r="B12" s="29" t="s">
        <v>124</v>
      </c>
      <c r="C12" s="80"/>
      <c r="D12" s="80"/>
      <c r="E12" s="80"/>
      <c r="F12" s="80"/>
      <c r="G12" s="80"/>
      <c r="H12" s="80"/>
      <c r="I12" s="80"/>
      <c r="J12" s="29" t="s">
        <v>124</v>
      </c>
      <c r="K12" s="29" t="s">
        <v>124</v>
      </c>
      <c r="L12" s="29" t="s">
        <v>124</v>
      </c>
      <c r="M12" s="29" t="s">
        <v>124</v>
      </c>
      <c r="N12" s="29" t="s">
        <v>124</v>
      </c>
      <c r="O12" s="29" t="s">
        <v>124</v>
      </c>
      <c r="P12" s="29" t="s">
        <v>124</v>
      </c>
      <c r="Q12" s="29" t="s">
        <v>124</v>
      </c>
      <c r="R12" s="29" t="s">
        <v>124</v>
      </c>
      <c r="S12" s="29" t="s">
        <v>124</v>
      </c>
      <c r="T12" s="28" t="s">
        <v>124</v>
      </c>
      <c r="U12" s="28" t="s">
        <v>124</v>
      </c>
      <c r="V12" s="29" t="s">
        <v>124</v>
      </c>
      <c r="W12" s="29" t="s">
        <v>124</v>
      </c>
      <c r="X12" s="29" t="s">
        <v>124</v>
      </c>
      <c r="Y12" s="28" t="s">
        <v>124</v>
      </c>
      <c r="Z12" s="29" t="s">
        <v>124</v>
      </c>
      <c r="AA12" s="29" t="s">
        <v>124</v>
      </c>
      <c r="AB12" s="80"/>
      <c r="AC12" s="80"/>
      <c r="AD12" s="29" t="s">
        <v>124</v>
      </c>
      <c r="AE12" s="28" t="s">
        <v>215</v>
      </c>
      <c r="AF12" s="28" t="s">
        <v>124</v>
      </c>
      <c r="AG12" s="29" t="s">
        <v>124</v>
      </c>
      <c r="AH12" s="28" t="s">
        <v>124</v>
      </c>
      <c r="AJ12" s="80"/>
      <c r="AK12" s="80"/>
      <c r="AL12" s="80"/>
      <c r="AM12" s="80"/>
      <c r="AO12" s="29" t="s">
        <v>124</v>
      </c>
    </row>
    <row r="13" spans="1:41">
      <c r="A13" s="26" t="s">
        <v>126</v>
      </c>
      <c r="B13" s="28" t="s">
        <v>127</v>
      </c>
      <c r="C13" s="80"/>
      <c r="D13" s="80"/>
      <c r="E13" s="80"/>
      <c r="F13" s="80"/>
      <c r="G13" s="80"/>
      <c r="H13" s="80"/>
      <c r="I13" s="80"/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124</v>
      </c>
      <c r="U13" s="28" t="s">
        <v>124</v>
      </c>
      <c r="V13" s="28" t="s">
        <v>127</v>
      </c>
      <c r="W13" s="28" t="s">
        <v>127</v>
      </c>
      <c r="X13" s="28" t="s">
        <v>127</v>
      </c>
      <c r="Y13" s="28" t="s">
        <v>124</v>
      </c>
      <c r="Z13" s="28" t="s">
        <v>127</v>
      </c>
      <c r="AA13" s="28" t="s">
        <v>127</v>
      </c>
      <c r="AB13" s="80"/>
      <c r="AC13" s="80"/>
      <c r="AD13" s="28" t="s">
        <v>127</v>
      </c>
      <c r="AE13" s="28" t="s">
        <v>127</v>
      </c>
      <c r="AF13" s="28" t="s">
        <v>124</v>
      </c>
      <c r="AG13" s="28" t="s">
        <v>127</v>
      </c>
      <c r="AH13" s="28" t="s">
        <v>127</v>
      </c>
      <c r="AJ13" s="80"/>
      <c r="AK13" s="80"/>
      <c r="AL13" s="80"/>
      <c r="AM13" s="80"/>
      <c r="AO13" s="28" t="s">
        <v>127</v>
      </c>
    </row>
    <row r="14" spans="1:41">
      <c r="A14" s="26" t="s">
        <v>128</v>
      </c>
      <c r="B14" s="28" t="s">
        <v>127</v>
      </c>
      <c r="C14" s="80"/>
      <c r="D14" s="80"/>
      <c r="E14" s="80"/>
      <c r="F14" s="80"/>
      <c r="G14" s="80"/>
      <c r="H14" s="80"/>
      <c r="I14" s="80"/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80"/>
      <c r="AC14" s="80"/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80"/>
      <c r="AK14" s="80"/>
      <c r="AL14" s="80"/>
      <c r="AM14" s="80"/>
      <c r="AO14" s="28" t="s">
        <v>127</v>
      </c>
    </row>
    <row r="15" spans="1:41">
      <c r="A15" s="26" t="s">
        <v>129</v>
      </c>
      <c r="B15" s="28" t="s">
        <v>216</v>
      </c>
      <c r="C15" s="80"/>
      <c r="D15" s="80"/>
      <c r="E15" s="80"/>
      <c r="F15" s="80"/>
      <c r="G15" s="80"/>
      <c r="H15" s="80"/>
      <c r="I15" s="80"/>
      <c r="J15" s="28" t="s">
        <v>216</v>
      </c>
      <c r="K15" s="28" t="s">
        <v>216</v>
      </c>
      <c r="L15" s="28" t="s">
        <v>216</v>
      </c>
      <c r="M15" s="28" t="s">
        <v>216</v>
      </c>
      <c r="N15" s="28" t="s">
        <v>216</v>
      </c>
      <c r="O15" s="28" t="s">
        <v>216</v>
      </c>
      <c r="P15" s="28" t="s">
        <v>216</v>
      </c>
      <c r="Q15" s="28" t="s">
        <v>216</v>
      </c>
      <c r="R15" s="28" t="s">
        <v>216</v>
      </c>
      <c r="S15" s="28" t="s">
        <v>238</v>
      </c>
      <c r="T15" s="28" t="s">
        <v>150</v>
      </c>
      <c r="U15" s="28" t="s">
        <v>150</v>
      </c>
      <c r="V15" s="28" t="s">
        <v>216</v>
      </c>
      <c r="W15" s="28" t="s">
        <v>216</v>
      </c>
      <c r="X15" s="28" t="s">
        <v>216</v>
      </c>
      <c r="Y15" s="28" t="s">
        <v>150</v>
      </c>
      <c r="Z15" s="28" t="s">
        <v>150</v>
      </c>
      <c r="AA15" s="28" t="s">
        <v>216</v>
      </c>
      <c r="AB15" s="80"/>
      <c r="AC15" s="80"/>
      <c r="AD15" s="28" t="s">
        <v>150</v>
      </c>
      <c r="AE15" s="28" t="s">
        <v>150</v>
      </c>
      <c r="AF15" s="28" t="s">
        <v>150</v>
      </c>
      <c r="AG15" s="28" t="s">
        <v>216</v>
      </c>
      <c r="AH15" s="28" t="s">
        <v>238</v>
      </c>
      <c r="AJ15" s="80"/>
      <c r="AK15" s="80"/>
      <c r="AL15" s="80"/>
      <c r="AM15" s="80"/>
      <c r="AO15" s="28" t="s">
        <v>216</v>
      </c>
    </row>
    <row r="16" spans="1:41">
      <c r="A16" s="26" t="s">
        <v>130</v>
      </c>
      <c r="B16" s="30">
        <v>-3</v>
      </c>
      <c r="C16" s="82"/>
      <c r="D16" s="82"/>
      <c r="E16" s="82"/>
      <c r="F16" s="82"/>
      <c r="G16" s="82"/>
      <c r="H16" s="82"/>
      <c r="I16" s="82"/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-2.5</v>
      </c>
      <c r="T16" s="128">
        <v>-0.5</v>
      </c>
      <c r="U16" s="128">
        <v>-0.5</v>
      </c>
      <c r="V16" s="30">
        <v>-3</v>
      </c>
      <c r="W16" s="30">
        <v>-3</v>
      </c>
      <c r="X16" s="30">
        <v>-3</v>
      </c>
      <c r="Y16" s="128">
        <v>-0.5</v>
      </c>
      <c r="Z16" s="30">
        <v>-2</v>
      </c>
      <c r="AA16" s="30">
        <v>-3</v>
      </c>
      <c r="AB16" s="82"/>
      <c r="AC16" s="82"/>
      <c r="AD16" s="30">
        <v>-2</v>
      </c>
      <c r="AE16" s="30">
        <v>-2</v>
      </c>
      <c r="AF16" s="128">
        <v>-0.5</v>
      </c>
      <c r="AG16" s="30">
        <v>-3</v>
      </c>
      <c r="AH16" s="30">
        <v>-2.5</v>
      </c>
      <c r="AJ16" s="82"/>
      <c r="AK16" s="82"/>
      <c r="AL16" s="82"/>
      <c r="AM16" s="82"/>
      <c r="AO16" s="30">
        <v>-3</v>
      </c>
    </row>
    <row r="17" spans="1:41">
      <c r="A17" s="26" t="s">
        <v>131</v>
      </c>
      <c r="B17" s="28" t="s">
        <v>132</v>
      </c>
      <c r="C17" s="80"/>
      <c r="D17" s="80"/>
      <c r="E17" s="80"/>
      <c r="F17" s="80"/>
      <c r="G17" s="80"/>
      <c r="H17" s="80"/>
      <c r="I17" s="80"/>
      <c r="J17" s="28" t="s">
        <v>132</v>
      </c>
      <c r="K17" s="28" t="s">
        <v>132</v>
      </c>
      <c r="L17" s="28" t="s">
        <v>132</v>
      </c>
      <c r="M17" s="28" t="s">
        <v>132</v>
      </c>
      <c r="N17" s="28" t="s">
        <v>132</v>
      </c>
      <c r="O17" s="28" t="s">
        <v>132</v>
      </c>
      <c r="P17" s="28" t="s">
        <v>132</v>
      </c>
      <c r="Q17" s="28" t="s">
        <v>132</v>
      </c>
      <c r="R17" s="28" t="s">
        <v>132</v>
      </c>
      <c r="S17" s="28" t="s">
        <v>304</v>
      </c>
      <c r="T17" s="28" t="s">
        <v>151</v>
      </c>
      <c r="U17" s="28" t="s">
        <v>151</v>
      </c>
      <c r="V17" s="28" t="s">
        <v>132</v>
      </c>
      <c r="W17" s="28" t="s">
        <v>132</v>
      </c>
      <c r="X17" s="28" t="s">
        <v>132</v>
      </c>
      <c r="Y17" s="28" t="s">
        <v>151</v>
      </c>
      <c r="Z17" s="28" t="s">
        <v>132</v>
      </c>
      <c r="AA17" s="28" t="s">
        <v>132</v>
      </c>
      <c r="AB17" s="80"/>
      <c r="AC17" s="80"/>
      <c r="AD17" s="28" t="s">
        <v>132</v>
      </c>
      <c r="AE17" s="28" t="s">
        <v>474</v>
      </c>
      <c r="AF17" s="28" t="s">
        <v>151</v>
      </c>
      <c r="AG17" s="28" t="s">
        <v>132</v>
      </c>
      <c r="AH17" s="28" t="s">
        <v>132</v>
      </c>
      <c r="AJ17" s="80"/>
      <c r="AK17" s="80"/>
      <c r="AL17" s="80"/>
      <c r="AM17" s="80"/>
      <c r="AO17" s="28" t="s">
        <v>132</v>
      </c>
    </row>
    <row r="18" spans="1:41">
      <c r="A18" s="26" t="s">
        <v>133</v>
      </c>
      <c r="B18" s="30">
        <v>4</v>
      </c>
      <c r="C18" s="82"/>
      <c r="D18" s="82"/>
      <c r="E18" s="82"/>
      <c r="F18" s="82"/>
      <c r="G18" s="82"/>
      <c r="H18" s="82"/>
      <c r="I18" s="82"/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f>13/6</f>
        <v>2.1666666666666665</v>
      </c>
      <c r="T18" s="30">
        <v>3</v>
      </c>
      <c r="U18" s="30">
        <v>3</v>
      </c>
      <c r="V18" s="30">
        <v>4</v>
      </c>
      <c r="W18" s="30">
        <v>4</v>
      </c>
      <c r="X18" s="30">
        <v>4</v>
      </c>
      <c r="Y18" s="30">
        <v>3</v>
      </c>
      <c r="Z18" s="30">
        <v>4</v>
      </c>
      <c r="AA18" s="30">
        <v>4</v>
      </c>
      <c r="AB18" s="82"/>
      <c r="AC18" s="82"/>
      <c r="AD18" s="30">
        <v>4</v>
      </c>
      <c r="AE18" s="30">
        <f>AVERAGE(4,0)</f>
        <v>2</v>
      </c>
      <c r="AF18" s="30">
        <v>3</v>
      </c>
      <c r="AG18" s="30">
        <v>4</v>
      </c>
      <c r="AH18" s="30">
        <v>4</v>
      </c>
      <c r="AJ18" s="82"/>
      <c r="AK18" s="82"/>
      <c r="AL18" s="82"/>
      <c r="AM18" s="82"/>
      <c r="AO18" s="30">
        <v>4</v>
      </c>
    </row>
    <row r="20" spans="1:41">
      <c r="A20" s="26" t="s">
        <v>117</v>
      </c>
      <c r="B20" s="86" t="s">
        <v>409</v>
      </c>
      <c r="C20" s="28" t="s">
        <v>419</v>
      </c>
      <c r="D20" s="28" t="s">
        <v>419</v>
      </c>
      <c r="E20" s="28" t="s">
        <v>419</v>
      </c>
      <c r="F20" s="115" t="s">
        <v>420</v>
      </c>
      <c r="G20" s="86" t="s">
        <v>419</v>
      </c>
      <c r="H20" s="28" t="s">
        <v>419</v>
      </c>
      <c r="I20" s="28" t="s">
        <v>419</v>
      </c>
      <c r="J20" s="115" t="s">
        <v>421</v>
      </c>
      <c r="K20" s="28" t="s">
        <v>419</v>
      </c>
      <c r="L20" s="28" t="s">
        <v>419</v>
      </c>
      <c r="M20" s="28" t="s">
        <v>419</v>
      </c>
      <c r="N20" s="28" t="s">
        <v>419</v>
      </c>
      <c r="O20" s="28" t="s">
        <v>419</v>
      </c>
      <c r="P20" s="86" t="s">
        <v>419</v>
      </c>
      <c r="Q20" s="86" t="s">
        <v>419</v>
      </c>
      <c r="R20" s="86" t="s">
        <v>419</v>
      </c>
      <c r="S20" s="28" t="s">
        <v>422</v>
      </c>
      <c r="T20" s="80"/>
      <c r="U20" s="80"/>
      <c r="V20" s="28" t="s">
        <v>419</v>
      </c>
      <c r="W20" s="28" t="s">
        <v>419</v>
      </c>
      <c r="X20" s="28" t="s">
        <v>395</v>
      </c>
      <c r="Y20" s="80"/>
      <c r="Z20" s="80"/>
      <c r="AA20" s="28" t="s">
        <v>502</v>
      </c>
      <c r="AB20" s="28" t="s">
        <v>612</v>
      </c>
      <c r="AC20" s="28" t="s">
        <v>612</v>
      </c>
      <c r="AD20" s="80"/>
      <c r="AE20" s="28" t="s">
        <v>613</v>
      </c>
      <c r="AF20" s="80"/>
      <c r="AG20" s="28" t="s">
        <v>558</v>
      </c>
      <c r="AH20" s="28" t="s">
        <v>502</v>
      </c>
      <c r="AJ20" s="28" t="s">
        <v>419</v>
      </c>
      <c r="AK20" s="28" t="s">
        <v>419</v>
      </c>
      <c r="AL20" s="28" t="s">
        <v>419</v>
      </c>
      <c r="AM20" s="28" t="s">
        <v>419</v>
      </c>
      <c r="AO20" s="28" t="s">
        <v>409</v>
      </c>
    </row>
    <row r="21" spans="1:41">
      <c r="A21" s="26" t="s">
        <v>121</v>
      </c>
      <c r="B21" s="28" t="s">
        <v>425</v>
      </c>
      <c r="C21" s="28" t="s">
        <v>425</v>
      </c>
      <c r="D21" s="28" t="s">
        <v>419</v>
      </c>
      <c r="E21" s="28" t="s">
        <v>419</v>
      </c>
      <c r="F21" s="115" t="s">
        <v>426</v>
      </c>
      <c r="G21" s="29" t="s">
        <v>419</v>
      </c>
      <c r="H21" s="29" t="s">
        <v>419</v>
      </c>
      <c r="I21" s="29" t="s">
        <v>419</v>
      </c>
      <c r="J21" s="115" t="s">
        <v>427</v>
      </c>
      <c r="K21" s="29" t="s">
        <v>419</v>
      </c>
      <c r="L21" s="28" t="s">
        <v>504</v>
      </c>
      <c r="M21" s="28" t="s">
        <v>505</v>
      </c>
      <c r="N21" s="29" t="s">
        <v>419</v>
      </c>
      <c r="O21" s="29" t="s">
        <v>419</v>
      </c>
      <c r="P21" s="29" t="s">
        <v>419</v>
      </c>
      <c r="Q21" s="29" t="s">
        <v>419</v>
      </c>
      <c r="R21" s="29" t="s">
        <v>419</v>
      </c>
      <c r="S21" s="113" t="s">
        <v>559</v>
      </c>
      <c r="T21" s="81"/>
      <c r="U21" s="81"/>
      <c r="V21" s="29" t="s">
        <v>419</v>
      </c>
      <c r="W21" s="29" t="s">
        <v>419</v>
      </c>
      <c r="X21" s="29" t="s">
        <v>507</v>
      </c>
      <c r="Y21" s="81"/>
      <c r="Z21" s="81"/>
      <c r="AA21" s="28" t="s">
        <v>269</v>
      </c>
      <c r="AB21" s="114" t="s">
        <v>614</v>
      </c>
      <c r="AC21" s="114" t="s">
        <v>614</v>
      </c>
      <c r="AD21" s="81"/>
      <c r="AE21" s="114" t="s">
        <v>614</v>
      </c>
      <c r="AF21" s="81"/>
      <c r="AG21" s="28" t="s">
        <v>503</v>
      </c>
      <c r="AH21" s="28" t="s">
        <v>560</v>
      </c>
      <c r="AJ21" s="29" t="s">
        <v>419</v>
      </c>
      <c r="AK21" s="29" t="s">
        <v>419</v>
      </c>
      <c r="AL21" s="28" t="s">
        <v>419</v>
      </c>
      <c r="AM21" s="28" t="s">
        <v>419</v>
      </c>
      <c r="AO21" s="28" t="s">
        <v>430</v>
      </c>
    </row>
    <row r="22" spans="1:41">
      <c r="A22" s="140" t="s">
        <v>122</v>
      </c>
      <c r="B22" s="167">
        <v>87</v>
      </c>
      <c r="C22" s="167">
        <v>87</v>
      </c>
      <c r="D22" s="167">
        <v>85</v>
      </c>
      <c r="E22" s="167">
        <v>85</v>
      </c>
      <c r="F22" s="167">
        <v>129</v>
      </c>
      <c r="G22" s="167">
        <v>85</v>
      </c>
      <c r="H22" s="167">
        <v>85</v>
      </c>
      <c r="I22" s="167">
        <v>85</v>
      </c>
      <c r="J22" s="167">
        <v>130</v>
      </c>
      <c r="K22" s="167">
        <v>85</v>
      </c>
      <c r="L22" s="167">
        <v>87</v>
      </c>
      <c r="M22" s="167">
        <v>140</v>
      </c>
      <c r="N22" s="167">
        <v>85</v>
      </c>
      <c r="O22" s="167">
        <v>85</v>
      </c>
      <c r="P22" s="167">
        <v>85</v>
      </c>
      <c r="Q22" s="167">
        <v>85</v>
      </c>
      <c r="R22" s="167">
        <v>85</v>
      </c>
      <c r="S22" s="167">
        <v>149</v>
      </c>
      <c r="T22" s="174"/>
      <c r="U22" s="174"/>
      <c r="V22" s="167">
        <v>85</v>
      </c>
      <c r="W22" s="167">
        <v>85</v>
      </c>
      <c r="X22" s="167">
        <v>83</v>
      </c>
      <c r="Y22" s="174"/>
      <c r="Z22" s="174"/>
      <c r="AA22" s="167">
        <v>98</v>
      </c>
      <c r="AB22" s="167">
        <v>155</v>
      </c>
      <c r="AC22" s="167">
        <v>155</v>
      </c>
      <c r="AD22" s="174"/>
      <c r="AE22" s="167">
        <v>155</v>
      </c>
      <c r="AF22" s="174"/>
      <c r="AG22" s="167">
        <v>90</v>
      </c>
      <c r="AH22" s="167">
        <v>151</v>
      </c>
      <c r="AJ22" s="167">
        <v>85</v>
      </c>
      <c r="AK22" s="167">
        <v>85</v>
      </c>
      <c r="AL22" s="167">
        <v>85</v>
      </c>
      <c r="AM22" s="167">
        <v>85</v>
      </c>
      <c r="AO22" s="167">
        <v>139</v>
      </c>
    </row>
    <row r="23" spans="1:41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124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80"/>
      <c r="U23" s="80"/>
      <c r="V23" s="28" t="s">
        <v>124</v>
      </c>
      <c r="W23" s="28" t="s">
        <v>124</v>
      </c>
      <c r="X23" s="28" t="s">
        <v>124</v>
      </c>
      <c r="Y23" s="80"/>
      <c r="Z23" s="80"/>
      <c r="AA23" s="28" t="s">
        <v>124</v>
      </c>
      <c r="AB23" s="28" t="s">
        <v>124</v>
      </c>
      <c r="AC23" s="28" t="s">
        <v>124</v>
      </c>
      <c r="AD23" s="80"/>
      <c r="AE23" s="28" t="s">
        <v>124</v>
      </c>
      <c r="AF23" s="80"/>
      <c r="AG23" s="28" t="s">
        <v>124</v>
      </c>
      <c r="AH23" s="28" t="s">
        <v>124</v>
      </c>
      <c r="AJ23" s="29" t="s">
        <v>124</v>
      </c>
      <c r="AK23" s="29" t="s">
        <v>124</v>
      </c>
      <c r="AL23" s="28" t="s">
        <v>124</v>
      </c>
      <c r="AM23" s="28" t="s">
        <v>124</v>
      </c>
      <c r="AO23" s="28" t="s">
        <v>124</v>
      </c>
    </row>
    <row r="24" spans="1:41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118" t="s">
        <v>236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87" t="s">
        <v>124</v>
      </c>
      <c r="T24" s="80"/>
      <c r="U24" s="80"/>
      <c r="V24" s="28" t="s">
        <v>124</v>
      </c>
      <c r="W24" s="28" t="s">
        <v>124</v>
      </c>
      <c r="X24" s="28" t="s">
        <v>124</v>
      </c>
      <c r="Y24" s="80"/>
      <c r="Z24" s="80"/>
      <c r="AA24" s="28" t="s">
        <v>124</v>
      </c>
      <c r="AB24" s="87" t="s">
        <v>124</v>
      </c>
      <c r="AC24" s="87" t="s">
        <v>124</v>
      </c>
      <c r="AD24" s="80"/>
      <c r="AE24" s="87" t="s">
        <v>124</v>
      </c>
      <c r="AF24" s="80"/>
      <c r="AG24" s="28" t="s">
        <v>124</v>
      </c>
      <c r="AH24" s="28" t="s">
        <v>215</v>
      </c>
      <c r="AJ24" s="28" t="s">
        <v>124</v>
      </c>
      <c r="AK24" s="28" t="s">
        <v>124</v>
      </c>
      <c r="AL24" s="28" t="s">
        <v>124</v>
      </c>
      <c r="AM24" s="28" t="s">
        <v>124</v>
      </c>
      <c r="AO24" s="28" t="s">
        <v>124</v>
      </c>
    </row>
    <row r="25" spans="1:41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115" t="s">
        <v>431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80"/>
      <c r="U25" s="80"/>
      <c r="V25" s="28" t="s">
        <v>127</v>
      </c>
      <c r="W25" s="28" t="s">
        <v>127</v>
      </c>
      <c r="X25" s="28" t="s">
        <v>127</v>
      </c>
      <c r="Y25" s="80"/>
      <c r="Z25" s="80"/>
      <c r="AA25" s="28" t="s">
        <v>127</v>
      </c>
      <c r="AB25" s="28" t="s">
        <v>127</v>
      </c>
      <c r="AC25" s="28" t="s">
        <v>127</v>
      </c>
      <c r="AD25" s="80"/>
      <c r="AE25" s="28" t="s">
        <v>127</v>
      </c>
      <c r="AF25" s="80"/>
      <c r="AG25" s="28" t="s">
        <v>127</v>
      </c>
      <c r="AH25" s="28" t="s">
        <v>127</v>
      </c>
      <c r="AJ25" s="28" t="s">
        <v>127</v>
      </c>
      <c r="AK25" s="28" t="s">
        <v>127</v>
      </c>
      <c r="AL25" s="29" t="s">
        <v>127</v>
      </c>
      <c r="AM25" s="29" t="s">
        <v>127</v>
      </c>
      <c r="AO25" s="28" t="s">
        <v>127</v>
      </c>
    </row>
    <row r="26" spans="1:41">
      <c r="A26" s="26" t="s">
        <v>128</v>
      </c>
      <c r="B26" s="28" t="s">
        <v>124</v>
      </c>
      <c r="C26" s="28" t="s">
        <v>124</v>
      </c>
      <c r="D26" s="28" t="s">
        <v>124</v>
      </c>
      <c r="E26" s="28" t="s">
        <v>124</v>
      </c>
      <c r="F26" s="118" t="s">
        <v>236</v>
      </c>
      <c r="G26" s="28" t="s">
        <v>124</v>
      </c>
      <c r="H26" s="28" t="s">
        <v>124</v>
      </c>
      <c r="I26" s="28" t="s">
        <v>124</v>
      </c>
      <c r="J26" s="28" t="s">
        <v>124</v>
      </c>
      <c r="K26" s="28" t="s">
        <v>124</v>
      </c>
      <c r="L26" s="28" t="s">
        <v>124</v>
      </c>
      <c r="M26" s="28" t="s">
        <v>124</v>
      </c>
      <c r="N26" s="28" t="s">
        <v>124</v>
      </c>
      <c r="O26" s="28" t="s">
        <v>124</v>
      </c>
      <c r="P26" s="28" t="s">
        <v>124</v>
      </c>
      <c r="Q26" s="28" t="s">
        <v>124</v>
      </c>
      <c r="R26" s="28" t="s">
        <v>124</v>
      </c>
      <c r="S26" s="118" t="s">
        <v>215</v>
      </c>
      <c r="T26" s="80"/>
      <c r="U26" s="80"/>
      <c r="V26" s="28" t="s">
        <v>124</v>
      </c>
      <c r="W26" s="28" t="s">
        <v>124</v>
      </c>
      <c r="X26" s="28" t="s">
        <v>127</v>
      </c>
      <c r="Y26" s="80"/>
      <c r="Z26" s="80"/>
      <c r="AA26" s="28" t="s">
        <v>127</v>
      </c>
      <c r="AB26" s="118" t="s">
        <v>215</v>
      </c>
      <c r="AC26" s="118" t="s">
        <v>215</v>
      </c>
      <c r="AD26" s="80"/>
      <c r="AE26" s="118" t="s">
        <v>215</v>
      </c>
      <c r="AF26" s="80"/>
      <c r="AG26" s="28" t="s">
        <v>124</v>
      </c>
      <c r="AH26" s="28" t="s">
        <v>127</v>
      </c>
      <c r="AJ26" s="28" t="s">
        <v>124</v>
      </c>
      <c r="AK26" s="28" t="s">
        <v>124</v>
      </c>
      <c r="AL26" s="28" t="s">
        <v>124</v>
      </c>
      <c r="AM26" s="28" t="s">
        <v>124</v>
      </c>
      <c r="AO26" s="28" t="s">
        <v>124</v>
      </c>
    </row>
    <row r="27" spans="1:41">
      <c r="A27" s="26" t="s">
        <v>129</v>
      </c>
      <c r="B27" s="28" t="s">
        <v>432</v>
      </c>
      <c r="C27" s="28" t="s">
        <v>432</v>
      </c>
      <c r="D27" s="28" t="s">
        <v>149</v>
      </c>
      <c r="E27" s="28" t="s">
        <v>149</v>
      </c>
      <c r="F27" s="28" t="s">
        <v>150</v>
      </c>
      <c r="G27" s="28" t="s">
        <v>149</v>
      </c>
      <c r="H27" s="28" t="s">
        <v>149</v>
      </c>
      <c r="I27" s="28" t="s">
        <v>149</v>
      </c>
      <c r="J27" s="113" t="s">
        <v>433</v>
      </c>
      <c r="K27" s="28" t="s">
        <v>149</v>
      </c>
      <c r="L27" s="28" t="s">
        <v>615</v>
      </c>
      <c r="M27" s="28" t="s">
        <v>150</v>
      </c>
      <c r="N27" s="28" t="s">
        <v>149</v>
      </c>
      <c r="O27" s="28" t="s">
        <v>149</v>
      </c>
      <c r="P27" s="28" t="s">
        <v>149</v>
      </c>
      <c r="Q27" s="28" t="s">
        <v>149</v>
      </c>
      <c r="R27" s="28" t="s">
        <v>149</v>
      </c>
      <c r="S27" s="113" t="s">
        <v>316</v>
      </c>
      <c r="T27" s="80"/>
      <c r="U27" s="80"/>
      <c r="V27" s="28" t="s">
        <v>149</v>
      </c>
      <c r="W27" s="28" t="s">
        <v>149</v>
      </c>
      <c r="X27" s="28" t="s">
        <v>149</v>
      </c>
      <c r="Y27" s="80"/>
      <c r="Z27" s="80"/>
      <c r="AA27" s="28" t="s">
        <v>150</v>
      </c>
      <c r="AB27" s="28" t="s">
        <v>150</v>
      </c>
      <c r="AC27" s="28" t="s">
        <v>150</v>
      </c>
      <c r="AD27" s="80"/>
      <c r="AE27" s="28" t="s">
        <v>150</v>
      </c>
      <c r="AF27" s="80"/>
      <c r="AG27" s="28" t="s">
        <v>150</v>
      </c>
      <c r="AH27" s="28" t="s">
        <v>150</v>
      </c>
      <c r="AJ27" s="28" t="s">
        <v>149</v>
      </c>
      <c r="AK27" s="28" t="s">
        <v>149</v>
      </c>
      <c r="AL27" s="28" t="s">
        <v>149</v>
      </c>
      <c r="AM27" s="28" t="s">
        <v>149</v>
      </c>
      <c r="AO27" s="28" t="s">
        <v>150</v>
      </c>
    </row>
    <row r="28" spans="1:41">
      <c r="A28" s="26" t="s">
        <v>130</v>
      </c>
      <c r="B28" s="30">
        <f>-7/6</f>
        <v>-1.1666666666666667</v>
      </c>
      <c r="C28" s="30">
        <f>-7/6</f>
        <v>-1.1666666666666667</v>
      </c>
      <c r="D28" s="30">
        <v>0.75</v>
      </c>
      <c r="E28" s="30">
        <v>0.75</v>
      </c>
      <c r="F28" s="128">
        <f>AVERAGE(0,0,-1.25)</f>
        <v>-0.41666666666666669</v>
      </c>
      <c r="G28" s="30">
        <v>0.75</v>
      </c>
      <c r="H28" s="30">
        <v>0.75</v>
      </c>
      <c r="I28" s="30">
        <v>0.75</v>
      </c>
      <c r="J28" s="30">
        <f>AVERAGE(0.75,0.75,0.75,0)</f>
        <v>0.5625</v>
      </c>
      <c r="K28" s="30">
        <v>0.75</v>
      </c>
      <c r="L28" s="30">
        <v>-1.125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30">
        <v>0.75</v>
      </c>
      <c r="S28" s="30">
        <f>AVERAGE(0.75,-2)</f>
        <v>-0.625</v>
      </c>
      <c r="T28" s="82"/>
      <c r="U28" s="82"/>
      <c r="V28" s="30">
        <v>0.75</v>
      </c>
      <c r="W28" s="30">
        <v>0.75</v>
      </c>
      <c r="X28" s="30">
        <v>0.75</v>
      </c>
      <c r="Y28" s="82"/>
      <c r="Z28" s="82"/>
      <c r="AA28" s="30">
        <v>-2</v>
      </c>
      <c r="AB28" s="30">
        <f>AVERAGE(0,-2)</f>
        <v>-1</v>
      </c>
      <c r="AC28" s="30">
        <f>AVERAGE(0,-2)</f>
        <v>-1</v>
      </c>
      <c r="AD28" s="82"/>
      <c r="AE28" s="30">
        <f>AVERAGE(0,-2)</f>
        <v>-1</v>
      </c>
      <c r="AF28" s="82"/>
      <c r="AG28" s="30">
        <v>-2</v>
      </c>
      <c r="AH28" s="30">
        <v>-2</v>
      </c>
      <c r="AJ28" s="30">
        <v>0.75</v>
      </c>
      <c r="AK28" s="30">
        <v>0.75</v>
      </c>
      <c r="AL28" s="30">
        <v>0.75</v>
      </c>
      <c r="AM28" s="30">
        <v>0.75</v>
      </c>
      <c r="AO28" s="30">
        <f>-1/6</f>
        <v>-0.16666666666666666</v>
      </c>
    </row>
    <row r="29" spans="1:41">
      <c r="A29" s="26" t="s">
        <v>131</v>
      </c>
      <c r="B29" s="28" t="s">
        <v>435</v>
      </c>
      <c r="C29" s="29" t="s">
        <v>435</v>
      </c>
      <c r="D29" s="29" t="s">
        <v>435</v>
      </c>
      <c r="E29" s="29" t="s">
        <v>435</v>
      </c>
      <c r="F29" s="77" t="s">
        <v>436</v>
      </c>
      <c r="G29" s="28" t="s">
        <v>435</v>
      </c>
      <c r="H29" s="28" t="s">
        <v>435</v>
      </c>
      <c r="I29" s="28" t="s">
        <v>435</v>
      </c>
      <c r="J29" s="28" t="s">
        <v>435</v>
      </c>
      <c r="K29" s="28" t="s">
        <v>435</v>
      </c>
      <c r="L29" s="28" t="s">
        <v>435</v>
      </c>
      <c r="M29" s="28" t="s">
        <v>435</v>
      </c>
      <c r="N29" s="28" t="s">
        <v>435</v>
      </c>
      <c r="O29" s="28" t="s">
        <v>435</v>
      </c>
      <c r="P29" s="28" t="s">
        <v>435</v>
      </c>
      <c r="Q29" s="28" t="s">
        <v>435</v>
      </c>
      <c r="R29" s="28" t="s">
        <v>435</v>
      </c>
      <c r="S29" s="180" t="s">
        <v>437</v>
      </c>
      <c r="T29" s="80"/>
      <c r="U29" s="80"/>
      <c r="V29" s="28" t="s">
        <v>435</v>
      </c>
      <c r="W29" s="28" t="s">
        <v>435</v>
      </c>
      <c r="X29" s="28" t="s">
        <v>409</v>
      </c>
      <c r="Y29" s="80"/>
      <c r="Z29" s="80"/>
      <c r="AA29" s="28" t="s">
        <v>280</v>
      </c>
      <c r="AB29" s="180" t="s">
        <v>437</v>
      </c>
      <c r="AC29" s="180" t="s">
        <v>437</v>
      </c>
      <c r="AD29" s="80"/>
      <c r="AE29" s="180" t="s">
        <v>437</v>
      </c>
      <c r="AF29" s="80"/>
      <c r="AG29" s="28" t="s">
        <v>409</v>
      </c>
      <c r="AH29" s="28" t="s">
        <v>483</v>
      </c>
      <c r="AJ29" s="28" t="s">
        <v>435</v>
      </c>
      <c r="AK29" s="28" t="s">
        <v>435</v>
      </c>
      <c r="AL29" s="28" t="s">
        <v>435</v>
      </c>
      <c r="AM29" s="28" t="s">
        <v>435</v>
      </c>
      <c r="AO29" s="28" t="s">
        <v>435</v>
      </c>
    </row>
    <row r="30" spans="1:41">
      <c r="A30" s="26" t="s">
        <v>133</v>
      </c>
      <c r="B30" s="30">
        <v>0.75</v>
      </c>
      <c r="C30" s="30">
        <v>0.75</v>
      </c>
      <c r="D30" s="30">
        <v>0.75</v>
      </c>
      <c r="E30" s="30">
        <v>0.75</v>
      </c>
      <c r="F30" s="30">
        <f>AVERAGE(0.75,0.75,3)</f>
        <v>1.5</v>
      </c>
      <c r="G30" s="30">
        <v>0.75</v>
      </c>
      <c r="H30" s="30">
        <v>0.75</v>
      </c>
      <c r="I30" s="30">
        <v>0.75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AVERAGE(0.75,1/3)</f>
        <v>0.54166666666666663</v>
      </c>
      <c r="T30" s="82"/>
      <c r="U30" s="82"/>
      <c r="V30" s="30">
        <v>0.75</v>
      </c>
      <c r="W30" s="30">
        <v>0.75</v>
      </c>
      <c r="X30" s="30">
        <v>0.875</v>
      </c>
      <c r="Y30" s="82"/>
      <c r="Z30" s="82"/>
      <c r="AA30" s="30">
        <v>0.5</v>
      </c>
      <c r="AB30" s="30">
        <f>AVERAGE(0.75,1/3)</f>
        <v>0.54166666666666663</v>
      </c>
      <c r="AC30" s="30">
        <f>AVERAGE(0.75,1/3)</f>
        <v>0.54166666666666663</v>
      </c>
      <c r="AD30" s="82"/>
      <c r="AE30" s="30">
        <f>AVERAGE(0.75,1/3)</f>
        <v>0.54166666666666663</v>
      </c>
      <c r="AF30" s="82"/>
      <c r="AG30" s="30">
        <v>0.75</v>
      </c>
      <c r="AH30" s="30">
        <f>AVERAGE(1/3,0)</f>
        <v>0.16666666666666666</v>
      </c>
      <c r="AJ30" s="30">
        <v>0.75</v>
      </c>
      <c r="AK30" s="30">
        <v>0.75</v>
      </c>
      <c r="AL30" s="30">
        <v>0.75</v>
      </c>
      <c r="AM30" s="30">
        <v>0.75</v>
      </c>
      <c r="AO30" s="30">
        <v>0.75</v>
      </c>
    </row>
    <row r="31" spans="1:41">
      <c r="P31" s="26" t="s">
        <v>616</v>
      </c>
      <c r="AJ31" s="26" t="s">
        <v>617</v>
      </c>
      <c r="AO31" s="26" t="s">
        <v>618</v>
      </c>
    </row>
    <row r="32" spans="1:41">
      <c r="A32" s="31" t="s">
        <v>134</v>
      </c>
    </row>
    <row r="33" spans="1:34">
      <c r="A33" s="227" t="s">
        <v>619</v>
      </c>
      <c r="B33" s="96" t="s">
        <v>620</v>
      </c>
    </row>
    <row r="34" spans="1:34">
      <c r="A34" s="223"/>
      <c r="B34" s="96" t="s">
        <v>621</v>
      </c>
    </row>
    <row r="35" spans="1:34">
      <c r="A35" s="223"/>
      <c r="B35" s="96" t="s">
        <v>622</v>
      </c>
      <c r="J35" s="183"/>
    </row>
    <row r="36" spans="1:34">
      <c r="A36" s="227" t="s">
        <v>623</v>
      </c>
      <c r="B36" s="98" t="s">
        <v>624</v>
      </c>
    </row>
    <row r="37" spans="1:34">
      <c r="A37" s="223"/>
      <c r="B37" s="95" t="s">
        <v>625</v>
      </c>
      <c r="P37" s="184"/>
    </row>
    <row r="38" spans="1:34">
      <c r="A38" s="223"/>
      <c r="B38" s="96" t="s">
        <v>621</v>
      </c>
    </row>
    <row r="39" spans="1:34">
      <c r="A39" s="26" t="s">
        <v>626</v>
      </c>
      <c r="B39" s="96"/>
    </row>
    <row r="40" spans="1:34">
      <c r="P40" s="184"/>
    </row>
    <row r="41" spans="1:34">
      <c r="A41" s="26" t="s">
        <v>627</v>
      </c>
      <c r="B41" s="79" t="s">
        <v>628</v>
      </c>
    </row>
    <row r="42" spans="1:34">
      <c r="A42" s="26" t="s">
        <v>629</v>
      </c>
      <c r="AA42" s="26" t="s">
        <v>251</v>
      </c>
      <c r="AH42" s="26" t="s">
        <v>630</v>
      </c>
    </row>
    <row r="43" spans="1:34">
      <c r="A43" s="26" t="s">
        <v>631</v>
      </c>
      <c r="E43" s="26" t="s">
        <v>419</v>
      </c>
      <c r="N43" s="26" t="s">
        <v>632</v>
      </c>
      <c r="O43" s="26" t="s">
        <v>632</v>
      </c>
      <c r="P43" s="26" t="s">
        <v>632</v>
      </c>
      <c r="Q43" s="26" t="s">
        <v>632</v>
      </c>
      <c r="R43" s="26" t="s">
        <v>632</v>
      </c>
      <c r="S43" s="26" t="s">
        <v>633</v>
      </c>
      <c r="U43" s="184" t="s">
        <v>178</v>
      </c>
      <c r="V43" s="26" t="s">
        <v>632</v>
      </c>
      <c r="W43" s="26" t="s">
        <v>632</v>
      </c>
      <c r="AA43" s="182" t="s">
        <v>634</v>
      </c>
      <c r="AB43" s="26" t="s">
        <v>269</v>
      </c>
      <c r="AC43" s="26" t="s">
        <v>269</v>
      </c>
      <c r="AE43" s="26" t="s">
        <v>269</v>
      </c>
      <c r="AH43" s="26" t="s">
        <v>635</v>
      </c>
    </row>
    <row r="44" spans="1:34">
      <c r="A44" s="184" t="s">
        <v>636</v>
      </c>
      <c r="K44" s="26" t="s">
        <v>632</v>
      </c>
      <c r="L44" s="182" t="s">
        <v>637</v>
      </c>
      <c r="M44" s="26" t="s">
        <v>632</v>
      </c>
      <c r="N44" s="182" t="s">
        <v>638</v>
      </c>
      <c r="O44" s="26" t="s">
        <v>632</v>
      </c>
      <c r="P44" s="26" t="s">
        <v>632</v>
      </c>
      <c r="Q44" s="26" t="s">
        <v>632</v>
      </c>
      <c r="AA44" s="182" t="s">
        <v>639</v>
      </c>
      <c r="AC44" s="26" t="s">
        <v>269</v>
      </c>
    </row>
    <row r="45" spans="1:34">
      <c r="A45" s="185" t="s">
        <v>640</v>
      </c>
      <c r="C45" s="184" t="s">
        <v>419</v>
      </c>
      <c r="D45" s="184" t="s">
        <v>419</v>
      </c>
      <c r="F45" s="184" t="s">
        <v>419</v>
      </c>
      <c r="G45" s="184" t="s">
        <v>419</v>
      </c>
      <c r="H45" s="184" t="s">
        <v>419</v>
      </c>
      <c r="I45" s="184" t="s">
        <v>419</v>
      </c>
      <c r="K45" s="26" t="s">
        <v>632</v>
      </c>
      <c r="L45" s="182" t="s">
        <v>637</v>
      </c>
      <c r="M45" s="26" t="s">
        <v>632</v>
      </c>
      <c r="N45" s="26" t="s">
        <v>632</v>
      </c>
      <c r="O45" s="26" t="s">
        <v>632</v>
      </c>
      <c r="P45" s="26" t="s">
        <v>632</v>
      </c>
      <c r="Q45" s="26" t="s">
        <v>632</v>
      </c>
      <c r="R45" s="26" t="s">
        <v>632</v>
      </c>
      <c r="U45" s="26" t="s">
        <v>251</v>
      </c>
      <c r="W45" s="26" t="s">
        <v>632</v>
      </c>
      <c r="X45" s="184" t="s">
        <v>641</v>
      </c>
      <c r="Y45" s="26" t="s">
        <v>419</v>
      </c>
      <c r="AA45" s="184" t="s">
        <v>642</v>
      </c>
      <c r="AB45" s="1" t="s">
        <v>643</v>
      </c>
      <c r="AC45" s="26" t="s">
        <v>644</v>
      </c>
      <c r="AD45" s="26" t="s">
        <v>277</v>
      </c>
      <c r="AE45" s="26" t="s">
        <v>645</v>
      </c>
      <c r="AH45" s="26" t="s">
        <v>635</v>
      </c>
    </row>
    <row r="46" spans="1:34">
      <c r="A46" s="184" t="s">
        <v>646</v>
      </c>
      <c r="C46" s="184" t="s">
        <v>419</v>
      </c>
      <c r="D46" s="184" t="s">
        <v>419</v>
      </c>
      <c r="J46" s="26" t="s">
        <v>632</v>
      </c>
      <c r="N46" s="26" t="s">
        <v>632</v>
      </c>
      <c r="T46" s="184" t="s">
        <v>178</v>
      </c>
      <c r="U46" s="184" t="s">
        <v>647</v>
      </c>
      <c r="V46" s="184" t="s">
        <v>251</v>
      </c>
      <c r="W46" s="26" t="s">
        <v>632</v>
      </c>
      <c r="X46" s="1" t="s">
        <v>648</v>
      </c>
      <c r="Y46" s="184" t="s">
        <v>178</v>
      </c>
      <c r="AA46" s="26" t="s">
        <v>635</v>
      </c>
      <c r="AE46" s="26" t="s">
        <v>277</v>
      </c>
      <c r="AF46" s="184" t="s">
        <v>178</v>
      </c>
    </row>
    <row r="47" spans="1:34">
      <c r="A47" s="184" t="s">
        <v>649</v>
      </c>
      <c r="C47" s="184" t="s">
        <v>419</v>
      </c>
      <c r="D47" s="184" t="s">
        <v>419</v>
      </c>
      <c r="G47" s="184" t="s">
        <v>419</v>
      </c>
      <c r="H47" s="184" t="s">
        <v>419</v>
      </c>
      <c r="I47" s="184" t="s">
        <v>419</v>
      </c>
      <c r="P47" s="26" t="s">
        <v>632</v>
      </c>
      <c r="Q47" s="26" t="s">
        <v>632</v>
      </c>
      <c r="AA47" s="26" t="s">
        <v>635</v>
      </c>
    </row>
    <row r="48" spans="1:34">
      <c r="A48" s="184" t="s">
        <v>650</v>
      </c>
      <c r="C48" s="26" t="s">
        <v>651</v>
      </c>
      <c r="D48" s="26" t="s">
        <v>651</v>
      </c>
      <c r="G48" s="26" t="s">
        <v>651</v>
      </c>
      <c r="H48" s="26" t="s">
        <v>651</v>
      </c>
      <c r="I48" s="26" t="s">
        <v>651</v>
      </c>
      <c r="AE48" s="26" t="s">
        <v>651</v>
      </c>
    </row>
    <row r="49" spans="1:34">
      <c r="A49" s="184" t="s">
        <v>652</v>
      </c>
      <c r="C49" s="184" t="s">
        <v>419</v>
      </c>
      <c r="D49" s="184" t="s">
        <v>419</v>
      </c>
      <c r="E49" s="26" t="s">
        <v>419</v>
      </c>
      <c r="F49" s="184"/>
      <c r="G49" s="184" t="s">
        <v>419</v>
      </c>
      <c r="H49" s="184" t="s">
        <v>419</v>
      </c>
      <c r="I49" s="184" t="s">
        <v>419</v>
      </c>
      <c r="K49" s="26" t="s">
        <v>632</v>
      </c>
      <c r="L49" s="26" t="s">
        <v>632</v>
      </c>
      <c r="M49" s="26" t="s">
        <v>632</v>
      </c>
      <c r="N49" s="26" t="s">
        <v>632</v>
      </c>
      <c r="O49" s="26" t="s">
        <v>632</v>
      </c>
      <c r="X49" s="26" t="s">
        <v>653</v>
      </c>
      <c r="Y49" s="26" t="s">
        <v>419</v>
      </c>
      <c r="Z49" s="26" t="s">
        <v>277</v>
      </c>
      <c r="AA49" s="26" t="s">
        <v>635</v>
      </c>
      <c r="AC49" s="26" t="s">
        <v>644</v>
      </c>
      <c r="AD49" s="26" t="s">
        <v>200</v>
      </c>
    </row>
    <row r="50" spans="1:34">
      <c r="A50" s="26" t="s">
        <v>654</v>
      </c>
      <c r="C50" s="184" t="s">
        <v>419</v>
      </c>
      <c r="D50" s="184" t="s">
        <v>419</v>
      </c>
      <c r="E50" s="26" t="s">
        <v>419</v>
      </c>
      <c r="F50" s="143" t="s">
        <v>655</v>
      </c>
      <c r="G50" s="184" t="s">
        <v>419</v>
      </c>
      <c r="H50" s="184" t="s">
        <v>419</v>
      </c>
      <c r="I50" s="184" t="s">
        <v>419</v>
      </c>
      <c r="N50" s="26" t="s">
        <v>632</v>
      </c>
      <c r="O50" s="26" t="s">
        <v>632</v>
      </c>
      <c r="P50" s="184" t="s">
        <v>419</v>
      </c>
      <c r="Q50" s="184" t="s">
        <v>419</v>
      </c>
      <c r="S50" s="26" t="s">
        <v>656</v>
      </c>
      <c r="U50" s="184" t="s">
        <v>178</v>
      </c>
      <c r="Z50" s="26" t="s">
        <v>277</v>
      </c>
      <c r="AA50" s="26" t="s">
        <v>630</v>
      </c>
      <c r="AB50" s="26" t="s">
        <v>419</v>
      </c>
      <c r="AC50" s="26" t="s">
        <v>657</v>
      </c>
      <c r="AD50" s="26" t="s">
        <v>277</v>
      </c>
      <c r="AE50" s="26" t="s">
        <v>658</v>
      </c>
    </row>
    <row r="51" spans="1:34">
      <c r="A51" s="26" t="s">
        <v>659</v>
      </c>
      <c r="F51" s="143" t="s">
        <v>655</v>
      </c>
      <c r="G51" s="26" t="s">
        <v>660</v>
      </c>
      <c r="H51" s="26" t="s">
        <v>660</v>
      </c>
      <c r="I51" s="26" t="s">
        <v>660</v>
      </c>
      <c r="N51" s="26" t="s">
        <v>661</v>
      </c>
      <c r="W51" s="26" t="s">
        <v>632</v>
      </c>
      <c r="AA51" s="26" t="s">
        <v>661</v>
      </c>
    </row>
    <row r="52" spans="1:34">
      <c r="A52" s="26" t="s">
        <v>662</v>
      </c>
      <c r="N52" s="26" t="s">
        <v>632</v>
      </c>
      <c r="O52" s="26" t="s">
        <v>251</v>
      </c>
      <c r="T52" s="184" t="s">
        <v>663</v>
      </c>
      <c r="U52" s="184" t="s">
        <v>664</v>
      </c>
      <c r="W52" s="26" t="s">
        <v>665</v>
      </c>
      <c r="X52" s="26" t="s">
        <v>653</v>
      </c>
      <c r="Y52" s="26" t="s">
        <v>419</v>
      </c>
      <c r="AA52" s="26" t="s">
        <v>635</v>
      </c>
      <c r="AB52" s="1" t="s">
        <v>643</v>
      </c>
      <c r="AC52" s="26" t="s">
        <v>644</v>
      </c>
      <c r="AD52" s="26" t="s">
        <v>277</v>
      </c>
      <c r="AE52" s="26" t="s">
        <v>645</v>
      </c>
      <c r="AF52" s="184" t="s">
        <v>178</v>
      </c>
      <c r="AH52" s="26" t="s">
        <v>630</v>
      </c>
    </row>
    <row r="53" spans="1:34">
      <c r="A53" s="184" t="s">
        <v>666</v>
      </c>
      <c r="N53" s="26" t="s">
        <v>632</v>
      </c>
      <c r="P53" s="26" t="s">
        <v>632</v>
      </c>
      <c r="Q53" s="26" t="s">
        <v>632</v>
      </c>
      <c r="R53" s="26" t="s">
        <v>632</v>
      </c>
      <c r="U53" s="184" t="s">
        <v>178</v>
      </c>
      <c r="W53" s="26" t="s">
        <v>632</v>
      </c>
      <c r="AA53" s="26" t="s">
        <v>635</v>
      </c>
      <c r="AC53" s="26" t="s">
        <v>644</v>
      </c>
      <c r="AF53" s="184" t="s">
        <v>178</v>
      </c>
    </row>
  </sheetData>
  <mergeCells count="7">
    <mergeCell ref="F3:O3"/>
    <mergeCell ref="F4:O5"/>
    <mergeCell ref="A33:A35"/>
    <mergeCell ref="A36:A38"/>
    <mergeCell ref="B3:D3"/>
    <mergeCell ref="B4:D4"/>
    <mergeCell ref="B5:D5"/>
  </mergeCells>
  <hyperlinks>
    <hyperlink ref="B41" r:id="rId1" xr:uid="{AA57E0AF-DEE2-48D6-923A-19115BA038E6}"/>
  </hyperlinks>
  <pageMargins left="0.7" right="0.7" top="0.75" bottom="0.75" header="0.3" footer="0.3"/>
  <pageSetup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E174-30E5-49E0-B388-F8E93F42317D}">
  <dimension ref="A1:AH33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44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667</v>
      </c>
      <c r="C4" s="203"/>
      <c r="D4" s="203"/>
      <c r="F4" s="204" t="s">
        <v>668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6" t="s">
        <v>180</v>
      </c>
      <c r="C8" s="28" t="s">
        <v>331</v>
      </c>
      <c r="D8" s="28" t="s">
        <v>331</v>
      </c>
      <c r="E8" s="28" t="s">
        <v>331</v>
      </c>
      <c r="F8" s="28" t="s">
        <v>331</v>
      </c>
      <c r="G8" s="28" t="s">
        <v>331</v>
      </c>
      <c r="H8" s="28" t="s">
        <v>331</v>
      </c>
      <c r="I8" s="28" t="s">
        <v>331</v>
      </c>
      <c r="J8" s="28" t="s">
        <v>331</v>
      </c>
      <c r="K8" s="28" t="s">
        <v>331</v>
      </c>
      <c r="L8" s="28" t="s">
        <v>331</v>
      </c>
      <c r="M8" s="28" t="s">
        <v>331</v>
      </c>
      <c r="N8" s="28" t="s">
        <v>331</v>
      </c>
      <c r="O8" s="28" t="s">
        <v>331</v>
      </c>
      <c r="P8" s="28" t="s">
        <v>331</v>
      </c>
      <c r="Q8" s="28" t="s">
        <v>331</v>
      </c>
      <c r="R8" s="28" t="s">
        <v>331</v>
      </c>
      <c r="S8" s="28" t="s">
        <v>331</v>
      </c>
      <c r="T8" s="28" t="s">
        <v>331</v>
      </c>
      <c r="U8" s="28" t="s">
        <v>331</v>
      </c>
      <c r="V8" s="28" t="s">
        <v>331</v>
      </c>
      <c r="W8" s="28" t="s">
        <v>331</v>
      </c>
      <c r="X8" s="28" t="s">
        <v>331</v>
      </c>
      <c r="Y8" s="28" t="s">
        <v>331</v>
      </c>
      <c r="Z8" s="28" t="s">
        <v>331</v>
      </c>
      <c r="AA8" s="28" t="s">
        <v>331</v>
      </c>
      <c r="AB8" s="28" t="s">
        <v>331</v>
      </c>
      <c r="AC8" s="28" t="s">
        <v>331</v>
      </c>
      <c r="AD8" s="28" t="s">
        <v>331</v>
      </c>
      <c r="AE8" s="28" t="s">
        <v>331</v>
      </c>
      <c r="AF8" s="28" t="s">
        <v>331</v>
      </c>
      <c r="AG8" s="28" t="s">
        <v>331</v>
      </c>
      <c r="AH8" s="28" t="s">
        <v>331</v>
      </c>
    </row>
    <row r="9" spans="1:34">
      <c r="A9" s="26" t="s">
        <v>121</v>
      </c>
      <c r="B9" s="29" t="s">
        <v>333</v>
      </c>
      <c r="C9" s="29" t="s">
        <v>331</v>
      </c>
      <c r="D9" s="29" t="s">
        <v>331</v>
      </c>
      <c r="E9" s="29" t="s">
        <v>331</v>
      </c>
      <c r="F9" s="29" t="s">
        <v>331</v>
      </c>
      <c r="G9" s="29" t="s">
        <v>331</v>
      </c>
      <c r="H9" s="29" t="s">
        <v>331</v>
      </c>
      <c r="I9" s="29" t="s">
        <v>331</v>
      </c>
      <c r="J9" s="29" t="s">
        <v>331</v>
      </c>
      <c r="K9" s="29" t="s">
        <v>331</v>
      </c>
      <c r="L9" s="29" t="s">
        <v>331</v>
      </c>
      <c r="M9" s="29" t="s">
        <v>331</v>
      </c>
      <c r="N9" s="29" t="s">
        <v>331</v>
      </c>
      <c r="O9" s="29" t="s">
        <v>331</v>
      </c>
      <c r="P9" s="29" t="s">
        <v>331</v>
      </c>
      <c r="Q9" s="29" t="s">
        <v>331</v>
      </c>
      <c r="R9" s="29" t="s">
        <v>331</v>
      </c>
      <c r="S9" s="29" t="s">
        <v>331</v>
      </c>
      <c r="T9" s="29" t="s">
        <v>331</v>
      </c>
      <c r="U9" s="29" t="s">
        <v>331</v>
      </c>
      <c r="V9" s="29" t="s">
        <v>331</v>
      </c>
      <c r="W9" s="29" t="s">
        <v>331</v>
      </c>
      <c r="X9" s="29" t="s">
        <v>331</v>
      </c>
      <c r="Y9" s="29" t="s">
        <v>331</v>
      </c>
      <c r="Z9" s="29" t="s">
        <v>331</v>
      </c>
      <c r="AA9" s="29" t="s">
        <v>331</v>
      </c>
      <c r="AB9" s="29" t="s">
        <v>331</v>
      </c>
      <c r="AC9" s="29" t="s">
        <v>331</v>
      </c>
      <c r="AD9" s="29" t="s">
        <v>331</v>
      </c>
      <c r="AE9" s="29" t="s">
        <v>331</v>
      </c>
      <c r="AF9" s="29" t="s">
        <v>331</v>
      </c>
      <c r="AG9" s="29" t="s">
        <v>331</v>
      </c>
      <c r="AH9" s="29" t="s">
        <v>331</v>
      </c>
    </row>
    <row r="10" spans="1:34">
      <c r="A10" s="140" t="s">
        <v>122</v>
      </c>
      <c r="B10" s="167">
        <v>114</v>
      </c>
      <c r="C10" s="167">
        <v>42</v>
      </c>
      <c r="D10" s="167">
        <v>42</v>
      </c>
      <c r="E10" s="167">
        <v>42</v>
      </c>
      <c r="F10" s="167">
        <v>42</v>
      </c>
      <c r="G10" s="167">
        <v>42</v>
      </c>
      <c r="H10" s="167">
        <v>42</v>
      </c>
      <c r="I10" s="167">
        <v>42</v>
      </c>
      <c r="J10" s="167">
        <v>42</v>
      </c>
      <c r="K10" s="167">
        <v>42</v>
      </c>
      <c r="L10" s="167">
        <v>42</v>
      </c>
      <c r="M10" s="167">
        <v>42</v>
      </c>
      <c r="N10" s="167">
        <v>42</v>
      </c>
      <c r="O10" s="167">
        <v>42</v>
      </c>
      <c r="P10" s="167">
        <v>42</v>
      </c>
      <c r="Q10" s="167">
        <v>42</v>
      </c>
      <c r="R10" s="167">
        <v>42</v>
      </c>
      <c r="S10" s="167">
        <v>42</v>
      </c>
      <c r="T10" s="167">
        <v>42</v>
      </c>
      <c r="U10" s="167">
        <v>42</v>
      </c>
      <c r="V10" s="167">
        <v>42</v>
      </c>
      <c r="W10" s="167">
        <v>42</v>
      </c>
      <c r="X10" s="167">
        <v>42</v>
      </c>
      <c r="Y10" s="167">
        <v>42</v>
      </c>
      <c r="Z10" s="167">
        <v>42</v>
      </c>
      <c r="AA10" s="167">
        <v>42</v>
      </c>
      <c r="AB10" s="167">
        <v>42</v>
      </c>
      <c r="AC10" s="167">
        <v>42</v>
      </c>
      <c r="AD10" s="167">
        <v>42</v>
      </c>
      <c r="AE10" s="167">
        <v>42</v>
      </c>
      <c r="AF10" s="167">
        <v>42</v>
      </c>
      <c r="AG10" s="167">
        <v>42</v>
      </c>
      <c r="AH10" s="167">
        <v>42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118</v>
      </c>
      <c r="T15" s="28" t="s">
        <v>118</v>
      </c>
      <c r="U15" s="28" t="s">
        <v>118</v>
      </c>
      <c r="V15" s="28" t="s">
        <v>118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8" t="s">
        <v>118</v>
      </c>
      <c r="AB15" s="28" t="s">
        <v>118</v>
      </c>
      <c r="AC15" s="28" t="s">
        <v>118</v>
      </c>
      <c r="AD15" s="28" t="s">
        <v>118</v>
      </c>
      <c r="AE15" s="28" t="s">
        <v>118</v>
      </c>
      <c r="AF15" s="28" t="s">
        <v>118</v>
      </c>
      <c r="AG15" s="28" t="s">
        <v>118</v>
      </c>
      <c r="AH15" s="28" t="s">
        <v>118</v>
      </c>
    </row>
    <row r="16" spans="1:34">
      <c r="A16" s="26" t="s">
        <v>130</v>
      </c>
      <c r="B16" s="30">
        <v>2.75</v>
      </c>
      <c r="C16" s="30">
        <v>2.5</v>
      </c>
      <c r="D16" s="30">
        <v>2.5</v>
      </c>
      <c r="E16" s="30">
        <v>2.5</v>
      </c>
      <c r="F16" s="30">
        <v>2.5</v>
      </c>
      <c r="G16" s="30">
        <v>2.5</v>
      </c>
      <c r="H16" s="30">
        <v>2.5</v>
      </c>
      <c r="I16" s="30">
        <v>2.5</v>
      </c>
      <c r="J16" s="30">
        <v>2.5</v>
      </c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>
        <v>2.5</v>
      </c>
      <c r="W16" s="30">
        <v>2.5</v>
      </c>
      <c r="X16" s="30">
        <v>2.5</v>
      </c>
      <c r="Y16" s="30">
        <v>2.5</v>
      </c>
      <c r="Z16" s="30">
        <v>2.5</v>
      </c>
      <c r="AA16" s="30">
        <v>2.5</v>
      </c>
      <c r="AB16" s="30">
        <v>2.5</v>
      </c>
      <c r="AC16" s="30">
        <v>2.5</v>
      </c>
      <c r="AD16" s="30">
        <v>2.5</v>
      </c>
      <c r="AE16" s="30">
        <v>2.5</v>
      </c>
      <c r="AF16" s="30">
        <v>2.5</v>
      </c>
      <c r="AG16" s="30">
        <v>2.5</v>
      </c>
      <c r="AH16" s="30">
        <v>2.5</v>
      </c>
    </row>
    <row r="17" spans="1:34">
      <c r="A17" s="26" t="s">
        <v>131</v>
      </c>
      <c r="B17" s="28" t="s">
        <v>180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 t="s">
        <v>180</v>
      </c>
      <c r="U17" s="28" t="s">
        <v>180</v>
      </c>
      <c r="V17" s="28" t="s">
        <v>180</v>
      </c>
      <c r="W17" s="28" t="s">
        <v>180</v>
      </c>
      <c r="X17" s="28" t="s">
        <v>180</v>
      </c>
      <c r="Y17" s="28" t="s">
        <v>180</v>
      </c>
      <c r="Z17" s="28" t="s">
        <v>180</v>
      </c>
      <c r="AA17" s="28" t="s">
        <v>180</v>
      </c>
      <c r="AB17" s="28" t="s">
        <v>180</v>
      </c>
      <c r="AC17" s="28" t="s">
        <v>180</v>
      </c>
      <c r="AD17" s="28" t="s">
        <v>180</v>
      </c>
      <c r="AE17" s="28" t="s">
        <v>180</v>
      </c>
      <c r="AF17" s="28" t="s">
        <v>180</v>
      </c>
      <c r="AG17" s="28" t="s">
        <v>180</v>
      </c>
      <c r="AH17" s="28" t="s">
        <v>180</v>
      </c>
    </row>
    <row r="18" spans="1:34">
      <c r="A18" s="26" t="s">
        <v>133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</row>
    <row r="20" spans="1:34">
      <c r="A20" s="26" t="s">
        <v>117</v>
      </c>
      <c r="B20" s="28" t="s">
        <v>394</v>
      </c>
      <c r="C20" s="28" t="s">
        <v>395</v>
      </c>
      <c r="D20" s="28" t="s">
        <v>395</v>
      </c>
      <c r="E20" s="28" t="s">
        <v>395</v>
      </c>
      <c r="F20" s="28" t="s">
        <v>395</v>
      </c>
      <c r="G20" s="28" t="s">
        <v>395</v>
      </c>
      <c r="H20" s="28" t="s">
        <v>395</v>
      </c>
      <c r="I20" s="28" t="s">
        <v>395</v>
      </c>
      <c r="J20" s="28" t="s">
        <v>395</v>
      </c>
      <c r="K20" s="28" t="s">
        <v>395</v>
      </c>
      <c r="L20" s="28" t="s">
        <v>395</v>
      </c>
      <c r="M20" s="28" t="s">
        <v>395</v>
      </c>
      <c r="N20" s="28" t="s">
        <v>395</v>
      </c>
      <c r="O20" s="28" t="s">
        <v>395</v>
      </c>
      <c r="P20" s="28" t="s">
        <v>395</v>
      </c>
      <c r="Q20" s="28" t="s">
        <v>395</v>
      </c>
      <c r="R20" s="28" t="s">
        <v>395</v>
      </c>
      <c r="S20" s="28" t="s">
        <v>395</v>
      </c>
      <c r="T20" s="28" t="s">
        <v>395</v>
      </c>
      <c r="U20" s="28" t="s">
        <v>395</v>
      </c>
      <c r="V20" s="28" t="s">
        <v>395</v>
      </c>
      <c r="W20" s="28" t="s">
        <v>395</v>
      </c>
      <c r="X20" s="28" t="s">
        <v>395</v>
      </c>
      <c r="Y20" s="28" t="s">
        <v>395</v>
      </c>
      <c r="Z20" s="28" t="s">
        <v>395</v>
      </c>
      <c r="AA20" s="28" t="s">
        <v>395</v>
      </c>
      <c r="AB20" s="28" t="s">
        <v>395</v>
      </c>
      <c r="AC20" s="28" t="s">
        <v>395</v>
      </c>
      <c r="AD20" s="28" t="s">
        <v>395</v>
      </c>
      <c r="AE20" s="28" t="s">
        <v>395</v>
      </c>
      <c r="AF20" s="28" t="s">
        <v>395</v>
      </c>
      <c r="AG20" s="28" t="s">
        <v>395</v>
      </c>
      <c r="AH20" s="28" t="s">
        <v>395</v>
      </c>
    </row>
    <row r="21" spans="1:34">
      <c r="A21" s="26" t="s">
        <v>121</v>
      </c>
      <c r="B21" s="29" t="s">
        <v>507</v>
      </c>
      <c r="C21" s="29" t="s">
        <v>507</v>
      </c>
      <c r="D21" s="29" t="s">
        <v>507</v>
      </c>
      <c r="E21" s="29" t="s">
        <v>507</v>
      </c>
      <c r="F21" s="29" t="s">
        <v>507</v>
      </c>
      <c r="G21" s="29" t="s">
        <v>507</v>
      </c>
      <c r="H21" s="29" t="s">
        <v>507</v>
      </c>
      <c r="I21" s="29" t="s">
        <v>507</v>
      </c>
      <c r="J21" s="29" t="s">
        <v>507</v>
      </c>
      <c r="K21" s="29" t="s">
        <v>507</v>
      </c>
      <c r="L21" s="29" t="s">
        <v>507</v>
      </c>
      <c r="M21" s="29" t="s">
        <v>507</v>
      </c>
      <c r="N21" s="115" t="s">
        <v>518</v>
      </c>
      <c r="O21" s="29" t="s">
        <v>507</v>
      </c>
      <c r="P21" s="115" t="s">
        <v>400</v>
      </c>
      <c r="Q21" s="115" t="s">
        <v>400</v>
      </c>
      <c r="R21" s="29" t="s">
        <v>401</v>
      </c>
      <c r="S21" s="115" t="s">
        <v>518</v>
      </c>
      <c r="T21" s="29" t="s">
        <v>507</v>
      </c>
      <c r="U21" s="29" t="s">
        <v>507</v>
      </c>
      <c r="V21" s="29" t="s">
        <v>507</v>
      </c>
      <c r="W21" s="29" t="s">
        <v>507</v>
      </c>
      <c r="X21" s="29" t="s">
        <v>507</v>
      </c>
      <c r="Y21" s="29" t="s">
        <v>507</v>
      </c>
      <c r="Z21" s="29" t="s">
        <v>507</v>
      </c>
      <c r="AA21" s="29" t="s">
        <v>507</v>
      </c>
      <c r="AB21" s="29" t="s">
        <v>507</v>
      </c>
      <c r="AC21" s="29" t="s">
        <v>507</v>
      </c>
      <c r="AD21" s="29" t="s">
        <v>507</v>
      </c>
      <c r="AE21" s="29" t="s">
        <v>507</v>
      </c>
      <c r="AF21" s="29" t="s">
        <v>507</v>
      </c>
      <c r="AG21" s="29" t="s">
        <v>507</v>
      </c>
      <c r="AH21" s="29" t="s">
        <v>507</v>
      </c>
    </row>
    <row r="22" spans="1:34">
      <c r="A22" s="140" t="s">
        <v>122</v>
      </c>
      <c r="B22" s="167">
        <v>83</v>
      </c>
      <c r="C22" s="167">
        <v>83</v>
      </c>
      <c r="D22" s="167">
        <v>83</v>
      </c>
      <c r="E22" s="167">
        <v>83</v>
      </c>
      <c r="F22" s="167">
        <v>83</v>
      </c>
      <c r="G22" s="167">
        <v>83</v>
      </c>
      <c r="H22" s="167">
        <v>83</v>
      </c>
      <c r="I22" s="167">
        <v>83</v>
      </c>
      <c r="J22" s="167">
        <v>83</v>
      </c>
      <c r="K22" s="167">
        <v>83</v>
      </c>
      <c r="L22" s="167">
        <v>83</v>
      </c>
      <c r="M22" s="167">
        <v>83</v>
      </c>
      <c r="N22" s="167">
        <v>143</v>
      </c>
      <c r="O22" s="167">
        <v>83</v>
      </c>
      <c r="P22" s="167">
        <v>142</v>
      </c>
      <c r="Q22" s="167">
        <v>142</v>
      </c>
      <c r="R22" s="167">
        <v>81</v>
      </c>
      <c r="S22" s="167">
        <v>143</v>
      </c>
      <c r="T22" s="167">
        <v>83</v>
      </c>
      <c r="U22" s="167">
        <v>83</v>
      </c>
      <c r="V22" s="167">
        <v>83</v>
      </c>
      <c r="W22" s="167">
        <v>83</v>
      </c>
      <c r="X22" s="167">
        <v>83</v>
      </c>
      <c r="Y22" s="167">
        <v>83</v>
      </c>
      <c r="Z22" s="167">
        <v>83</v>
      </c>
      <c r="AA22" s="167">
        <v>83</v>
      </c>
      <c r="AB22" s="167">
        <v>83</v>
      </c>
      <c r="AC22" s="167">
        <v>83</v>
      </c>
      <c r="AD22" s="167">
        <v>83</v>
      </c>
      <c r="AE22" s="167">
        <v>83</v>
      </c>
      <c r="AF22" s="167">
        <v>83</v>
      </c>
      <c r="AG22" s="167">
        <v>83</v>
      </c>
      <c r="AH22" s="167">
        <v>83</v>
      </c>
    </row>
    <row r="23" spans="1:34">
      <c r="A23" s="26" t="s">
        <v>123</v>
      </c>
      <c r="B23" s="28" t="s">
        <v>124</v>
      </c>
      <c r="C23" s="28" t="s">
        <v>124</v>
      </c>
      <c r="D23" s="28" t="s">
        <v>124</v>
      </c>
      <c r="E23" s="28" t="s">
        <v>124</v>
      </c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28" t="s">
        <v>124</v>
      </c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 t="s">
        <v>124</v>
      </c>
      <c r="AG23" s="28" t="s">
        <v>124</v>
      </c>
      <c r="AH23" s="28" t="s">
        <v>124</v>
      </c>
    </row>
    <row r="24" spans="1:34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28" t="s">
        <v>124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28" t="s">
        <v>124</v>
      </c>
      <c r="S24" s="28" t="s">
        <v>124</v>
      </c>
      <c r="T24" s="28" t="s">
        <v>124</v>
      </c>
      <c r="U24" s="28" t="s">
        <v>124</v>
      </c>
      <c r="V24" s="28" t="s">
        <v>124</v>
      </c>
      <c r="W24" s="28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 t="s">
        <v>124</v>
      </c>
      <c r="AG24" s="28" t="s">
        <v>124</v>
      </c>
      <c r="AH24" s="28" t="s">
        <v>124</v>
      </c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 t="s">
        <v>127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28" t="s">
        <v>127</v>
      </c>
      <c r="R25" s="28" t="s">
        <v>127</v>
      </c>
      <c r="S25" s="28" t="s">
        <v>127</v>
      </c>
      <c r="T25" s="28" t="s">
        <v>127</v>
      </c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 t="s">
        <v>127</v>
      </c>
      <c r="AG25" s="28" t="s">
        <v>127</v>
      </c>
      <c r="AH25" s="28" t="s">
        <v>127</v>
      </c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 t="s">
        <v>127</v>
      </c>
      <c r="G26" s="28" t="s">
        <v>127</v>
      </c>
      <c r="H26" s="28" t="s">
        <v>127</v>
      </c>
      <c r="I26" s="28" t="s">
        <v>127</v>
      </c>
      <c r="J26" s="28" t="s">
        <v>127</v>
      </c>
      <c r="K26" s="28" t="s">
        <v>127</v>
      </c>
      <c r="L26" s="28" t="s">
        <v>127</v>
      </c>
      <c r="M26" s="28" t="s">
        <v>127</v>
      </c>
      <c r="N26" s="28" t="s">
        <v>127</v>
      </c>
      <c r="O26" s="28" t="s">
        <v>127</v>
      </c>
      <c r="P26" s="28" t="s">
        <v>127</v>
      </c>
      <c r="Q26" s="28" t="s">
        <v>127</v>
      </c>
      <c r="R26" s="28" t="s">
        <v>127</v>
      </c>
      <c r="S26" s="28" t="s">
        <v>127</v>
      </c>
      <c r="T26" s="28" t="s">
        <v>127</v>
      </c>
      <c r="U26" s="28" t="s">
        <v>127</v>
      </c>
      <c r="V26" s="28" t="s">
        <v>127</v>
      </c>
      <c r="W26" s="28" t="s">
        <v>127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 t="s">
        <v>127</v>
      </c>
      <c r="AG26" s="28" t="s">
        <v>127</v>
      </c>
      <c r="AH26" s="28" t="s">
        <v>127</v>
      </c>
    </row>
    <row r="27" spans="1:34">
      <c r="A27" s="26" t="s">
        <v>129</v>
      </c>
      <c r="B27" s="28" t="s">
        <v>149</v>
      </c>
      <c r="C27" s="28" t="s">
        <v>149</v>
      </c>
      <c r="D27" s="28" t="s">
        <v>149</v>
      </c>
      <c r="E27" s="28" t="s">
        <v>149</v>
      </c>
      <c r="F27" s="28" t="s">
        <v>149</v>
      </c>
      <c r="G27" s="28" t="s">
        <v>149</v>
      </c>
      <c r="H27" s="28" t="s">
        <v>149</v>
      </c>
      <c r="I27" s="28" t="s">
        <v>149</v>
      </c>
      <c r="J27" s="28" t="s">
        <v>149</v>
      </c>
      <c r="K27" s="28" t="s">
        <v>149</v>
      </c>
      <c r="L27" s="28" t="s">
        <v>149</v>
      </c>
      <c r="M27" s="28" t="s">
        <v>149</v>
      </c>
      <c r="N27" s="115" t="s">
        <v>407</v>
      </c>
      <c r="O27" s="28" t="s">
        <v>149</v>
      </c>
      <c r="P27" s="28" t="s">
        <v>408</v>
      </c>
      <c r="Q27" s="28" t="s">
        <v>408</v>
      </c>
      <c r="R27" s="28" t="s">
        <v>408</v>
      </c>
      <c r="S27" s="115" t="s">
        <v>407</v>
      </c>
      <c r="T27" s="28" t="s">
        <v>149</v>
      </c>
      <c r="U27" s="28" t="s">
        <v>149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149</v>
      </c>
      <c r="AA27" s="28" t="s">
        <v>149</v>
      </c>
      <c r="AB27" s="28" t="s">
        <v>149</v>
      </c>
      <c r="AC27" s="28" t="s">
        <v>149</v>
      </c>
      <c r="AD27" s="28" t="s">
        <v>149</v>
      </c>
      <c r="AE27" s="28" t="s">
        <v>149</v>
      </c>
      <c r="AF27" s="28" t="s">
        <v>149</v>
      </c>
      <c r="AG27" s="28" t="s">
        <v>149</v>
      </c>
      <c r="AH27" s="28" t="s">
        <v>149</v>
      </c>
    </row>
    <row r="28" spans="1:34">
      <c r="A28" s="26" t="s">
        <v>130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v>0.75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0.75</v>
      </c>
      <c r="AF28" s="30">
        <v>0.75</v>
      </c>
      <c r="AG28" s="30">
        <v>0.75</v>
      </c>
      <c r="AH28" s="30">
        <v>0.75</v>
      </c>
    </row>
    <row r="29" spans="1:34">
      <c r="A29" s="26" t="s">
        <v>131</v>
      </c>
      <c r="B29" s="28" t="s">
        <v>409</v>
      </c>
      <c r="C29" s="28" t="s">
        <v>409</v>
      </c>
      <c r="D29" s="28" t="s">
        <v>409</v>
      </c>
      <c r="E29" s="28" t="s">
        <v>409</v>
      </c>
      <c r="F29" s="28" t="s">
        <v>409</v>
      </c>
      <c r="G29" s="28" t="s">
        <v>409</v>
      </c>
      <c r="H29" s="28" t="s">
        <v>409</v>
      </c>
      <c r="I29" s="28" t="s">
        <v>409</v>
      </c>
      <c r="J29" s="28" t="s">
        <v>409</v>
      </c>
      <c r="K29" s="28" t="s">
        <v>409</v>
      </c>
      <c r="L29" s="28" t="s">
        <v>409</v>
      </c>
      <c r="M29" s="28" t="s">
        <v>409</v>
      </c>
      <c r="N29" s="28" t="s">
        <v>409</v>
      </c>
      <c r="O29" s="28" t="s">
        <v>409</v>
      </c>
      <c r="P29" s="115" t="s">
        <v>411</v>
      </c>
      <c r="Q29" s="115" t="s">
        <v>411</v>
      </c>
      <c r="R29" s="28" t="s">
        <v>409</v>
      </c>
      <c r="S29" s="28" t="s">
        <v>409</v>
      </c>
      <c r="T29" s="28" t="s">
        <v>409</v>
      </c>
      <c r="U29" s="28" t="s">
        <v>409</v>
      </c>
      <c r="V29" s="28" t="s">
        <v>409</v>
      </c>
      <c r="W29" s="28" t="s">
        <v>409</v>
      </c>
      <c r="X29" s="28" t="s">
        <v>409</v>
      </c>
      <c r="Y29" s="28" t="s">
        <v>409</v>
      </c>
      <c r="Z29" s="28" t="s">
        <v>409</v>
      </c>
      <c r="AA29" s="28" t="s">
        <v>409</v>
      </c>
      <c r="AB29" s="28" t="s">
        <v>409</v>
      </c>
      <c r="AC29" s="28" t="s">
        <v>409</v>
      </c>
      <c r="AD29" s="28" t="s">
        <v>409</v>
      </c>
      <c r="AE29" s="28" t="s">
        <v>409</v>
      </c>
      <c r="AF29" s="28" t="s">
        <v>409</v>
      </c>
      <c r="AG29" s="28" t="s">
        <v>409</v>
      </c>
      <c r="AH29" s="28" t="s">
        <v>409</v>
      </c>
    </row>
    <row r="30" spans="1:34">
      <c r="A30" s="26" t="s">
        <v>133</v>
      </c>
      <c r="B30" s="30">
        <v>0.875</v>
      </c>
      <c r="C30" s="30">
        <v>0.875</v>
      </c>
      <c r="D30" s="30">
        <v>0.875</v>
      </c>
      <c r="E30" s="30">
        <v>0.875</v>
      </c>
      <c r="F30" s="30">
        <v>0.875</v>
      </c>
      <c r="G30" s="30">
        <v>0.875</v>
      </c>
      <c r="H30" s="30">
        <v>0.875</v>
      </c>
      <c r="I30" s="30">
        <v>0.875</v>
      </c>
      <c r="J30" s="30">
        <v>0.875</v>
      </c>
      <c r="K30" s="30">
        <v>0.875</v>
      </c>
      <c r="L30" s="30">
        <v>0.875</v>
      </c>
      <c r="M30" s="30">
        <v>0.875</v>
      </c>
      <c r="N30" s="30">
        <f>AVERAGE(0.875,0.875,1.25)</f>
        <v>1</v>
      </c>
      <c r="O30" s="30">
        <v>0.875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AVERAGE(0.875,0.875,1.25)</f>
        <v>1</v>
      </c>
      <c r="T30" s="30">
        <v>0.875</v>
      </c>
      <c r="U30" s="30">
        <v>0.875</v>
      </c>
      <c r="V30" s="30">
        <v>0.875</v>
      </c>
      <c r="W30" s="30">
        <v>0.875</v>
      </c>
      <c r="X30" s="30">
        <v>0.875</v>
      </c>
      <c r="Y30" s="30">
        <v>0.875</v>
      </c>
      <c r="Z30" s="30">
        <v>0.875</v>
      </c>
      <c r="AA30" s="30">
        <v>0.875</v>
      </c>
      <c r="AB30" s="30">
        <v>0.875</v>
      </c>
      <c r="AC30" s="30">
        <v>0.875</v>
      </c>
      <c r="AD30" s="30">
        <v>0.875</v>
      </c>
      <c r="AE30" s="30">
        <v>0.875</v>
      </c>
      <c r="AF30" s="30">
        <v>0.875</v>
      </c>
      <c r="AG30" s="30">
        <v>0.875</v>
      </c>
      <c r="AH30" s="30">
        <v>0.875</v>
      </c>
    </row>
    <row r="32" spans="1:34">
      <c r="A32" s="31" t="s">
        <v>134</v>
      </c>
    </row>
    <row r="33" spans="1:2">
      <c r="A33" s="26" t="s">
        <v>669</v>
      </c>
      <c r="B33" s="56" t="s">
        <v>670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D29B-4B87-408C-8702-9257B5636799}">
  <dimension ref="A1:AQ40"/>
  <sheetViews>
    <sheetView tabSelected="1" workbookViewId="0">
      <selection activeCell="S15" sqref="S15"/>
    </sheetView>
  </sheetViews>
  <sheetFormatPr defaultColWidth="9.140625" defaultRowHeight="15"/>
  <cols>
    <col min="1" max="1" width="23.28515625" style="26" bestFit="1" customWidth="1"/>
    <col min="2" max="60" width="5.7109375" style="26" customWidth="1"/>
    <col min="61" max="16384" width="9.140625" style="26"/>
  </cols>
  <sheetData>
    <row r="1" spans="1:43">
      <c r="A1" s="25" t="s">
        <v>74</v>
      </c>
      <c r="D1" s="25" t="s">
        <v>75</v>
      </c>
      <c r="I1" s="25" t="s">
        <v>495</v>
      </c>
    </row>
    <row r="3" spans="1:43" ht="17.45">
      <c r="A3" s="25" t="s">
        <v>77</v>
      </c>
      <c r="B3" s="203">
        <v>45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3" ht="17.45">
      <c r="A4" s="25" t="s">
        <v>79</v>
      </c>
      <c r="B4" s="203" t="s">
        <v>671</v>
      </c>
      <c r="C4" s="203"/>
      <c r="D4" s="203"/>
      <c r="F4" s="204" t="s">
        <v>672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3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3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57" t="s">
        <v>6</v>
      </c>
      <c r="AL7" s="58" t="s">
        <v>85</v>
      </c>
      <c r="AM7" s="58" t="s">
        <v>86</v>
      </c>
      <c r="AN7" s="33" t="s">
        <v>87</v>
      </c>
      <c r="AO7" s="61" t="s">
        <v>89</v>
      </c>
      <c r="AP7" s="61" t="s">
        <v>90</v>
      </c>
      <c r="AQ7" s="62" t="s">
        <v>91</v>
      </c>
    </row>
    <row r="8" spans="1:43">
      <c r="A8" s="26" t="s">
        <v>117</v>
      </c>
      <c r="B8" s="86" t="s">
        <v>180</v>
      </c>
      <c r="C8" s="28" t="s">
        <v>203</v>
      </c>
      <c r="D8" s="28" t="s">
        <v>203</v>
      </c>
      <c r="E8" s="28" t="s">
        <v>203</v>
      </c>
      <c r="F8" s="80"/>
      <c r="G8" s="80"/>
      <c r="H8" s="80"/>
      <c r="I8" s="80"/>
      <c r="J8" s="28" t="s">
        <v>331</v>
      </c>
      <c r="K8" s="28" t="s">
        <v>331</v>
      </c>
      <c r="L8" s="28" t="s">
        <v>331</v>
      </c>
      <c r="M8" s="28" t="s">
        <v>331</v>
      </c>
      <c r="N8" s="28" t="s">
        <v>331</v>
      </c>
      <c r="O8" s="28" t="s">
        <v>331</v>
      </c>
      <c r="P8" s="28" t="s">
        <v>331</v>
      </c>
      <c r="Q8" s="28" t="s">
        <v>331</v>
      </c>
      <c r="R8" s="28" t="s">
        <v>331</v>
      </c>
      <c r="S8" s="28" t="s">
        <v>331</v>
      </c>
      <c r="T8" s="28" t="s">
        <v>673</v>
      </c>
      <c r="U8" s="28" t="s">
        <v>331</v>
      </c>
      <c r="V8" s="28" t="s">
        <v>331</v>
      </c>
      <c r="W8" s="28" t="s">
        <v>331</v>
      </c>
      <c r="X8" s="28" t="s">
        <v>331</v>
      </c>
      <c r="Y8" s="28" t="s">
        <v>331</v>
      </c>
      <c r="Z8" s="28" t="s">
        <v>331</v>
      </c>
      <c r="AA8" s="28" t="s">
        <v>331</v>
      </c>
      <c r="AB8" s="28" t="s">
        <v>331</v>
      </c>
      <c r="AC8" s="28" t="s">
        <v>673</v>
      </c>
      <c r="AD8" s="28" t="s">
        <v>331</v>
      </c>
      <c r="AE8" s="138" t="s">
        <v>674</v>
      </c>
      <c r="AF8" s="28" t="s">
        <v>331</v>
      </c>
      <c r="AG8" s="28" t="s">
        <v>331</v>
      </c>
      <c r="AH8" s="28" t="s">
        <v>331</v>
      </c>
      <c r="AJ8" s="28" t="s">
        <v>180</v>
      </c>
      <c r="AL8" s="28" t="s">
        <v>331</v>
      </c>
      <c r="AM8" s="28" t="s">
        <v>331</v>
      </c>
      <c r="AN8" s="28" t="s">
        <v>331</v>
      </c>
      <c r="AO8" s="28" t="s">
        <v>331</v>
      </c>
      <c r="AP8" s="28" t="s">
        <v>331</v>
      </c>
      <c r="AQ8" s="28" t="s">
        <v>331</v>
      </c>
    </row>
    <row r="9" spans="1:43">
      <c r="A9" s="26" t="s">
        <v>121</v>
      </c>
      <c r="B9" s="29" t="s">
        <v>333</v>
      </c>
      <c r="C9" s="28" t="s">
        <v>231</v>
      </c>
      <c r="D9" s="28" t="s">
        <v>231</v>
      </c>
      <c r="E9" s="28" t="s">
        <v>148</v>
      </c>
      <c r="F9" s="81"/>
      <c r="G9" s="81"/>
      <c r="H9" s="81"/>
      <c r="I9" s="81"/>
      <c r="J9" s="29" t="s">
        <v>331</v>
      </c>
      <c r="K9" s="29" t="s">
        <v>331</v>
      </c>
      <c r="L9" s="29" t="s">
        <v>331</v>
      </c>
      <c r="M9" s="29" t="s">
        <v>331</v>
      </c>
      <c r="N9" s="29" t="s">
        <v>331</v>
      </c>
      <c r="O9" s="29" t="s">
        <v>331</v>
      </c>
      <c r="P9" s="29" t="s">
        <v>331</v>
      </c>
      <c r="Q9" s="29" t="s">
        <v>331</v>
      </c>
      <c r="R9" s="29" t="s">
        <v>331</v>
      </c>
      <c r="S9" s="29" t="s">
        <v>675</v>
      </c>
      <c r="T9" s="28" t="s">
        <v>231</v>
      </c>
      <c r="U9" s="29" t="s">
        <v>331</v>
      </c>
      <c r="V9" s="29" t="s">
        <v>331</v>
      </c>
      <c r="W9" s="29" t="s">
        <v>331</v>
      </c>
      <c r="X9" s="29" t="s">
        <v>331</v>
      </c>
      <c r="Y9" s="29" t="s">
        <v>331</v>
      </c>
      <c r="Z9" s="29" t="s">
        <v>331</v>
      </c>
      <c r="AA9" s="29" t="s">
        <v>331</v>
      </c>
      <c r="AB9" s="29" t="s">
        <v>331</v>
      </c>
      <c r="AC9" s="28" t="s">
        <v>231</v>
      </c>
      <c r="AD9" s="29" t="s">
        <v>331</v>
      </c>
      <c r="AE9" s="29" t="s">
        <v>676</v>
      </c>
      <c r="AF9" s="29" t="s">
        <v>331</v>
      </c>
      <c r="AG9" s="29" t="s">
        <v>331</v>
      </c>
      <c r="AH9" s="29" t="s">
        <v>331</v>
      </c>
      <c r="AJ9" s="28" t="s">
        <v>333</v>
      </c>
      <c r="AL9" s="29" t="s">
        <v>331</v>
      </c>
      <c r="AM9" s="29" t="s">
        <v>331</v>
      </c>
      <c r="AN9" s="29" t="s">
        <v>331</v>
      </c>
      <c r="AO9" s="29" t="s">
        <v>331</v>
      </c>
      <c r="AP9" s="29" t="s">
        <v>331</v>
      </c>
      <c r="AQ9" s="29" t="s">
        <v>331</v>
      </c>
    </row>
    <row r="10" spans="1:43">
      <c r="A10" s="140" t="s">
        <v>122</v>
      </c>
      <c r="B10" s="167">
        <v>114</v>
      </c>
      <c r="C10" s="167">
        <v>56</v>
      </c>
      <c r="D10" s="167">
        <v>56</v>
      </c>
      <c r="E10" s="167">
        <v>34</v>
      </c>
      <c r="F10" s="174"/>
      <c r="G10" s="174"/>
      <c r="H10" s="174"/>
      <c r="I10" s="174"/>
      <c r="J10" s="167">
        <v>42</v>
      </c>
      <c r="K10" s="167">
        <v>42</v>
      </c>
      <c r="L10" s="167">
        <v>42</v>
      </c>
      <c r="M10" s="167">
        <v>42</v>
      </c>
      <c r="N10" s="167">
        <v>42</v>
      </c>
      <c r="O10" s="167">
        <v>42</v>
      </c>
      <c r="P10" s="167">
        <v>42</v>
      </c>
      <c r="Q10" s="167">
        <v>42</v>
      </c>
      <c r="R10" s="167">
        <v>42</v>
      </c>
      <c r="S10" s="167">
        <v>157</v>
      </c>
      <c r="T10" s="167">
        <v>56</v>
      </c>
      <c r="U10" s="167">
        <v>42</v>
      </c>
      <c r="V10" s="167">
        <v>42</v>
      </c>
      <c r="W10" s="167">
        <v>42</v>
      </c>
      <c r="X10" s="167">
        <v>42</v>
      </c>
      <c r="Y10" s="167">
        <v>42</v>
      </c>
      <c r="Z10" s="167">
        <v>42</v>
      </c>
      <c r="AA10" s="167">
        <v>42</v>
      </c>
      <c r="AB10" s="167">
        <v>42</v>
      </c>
      <c r="AC10" s="167">
        <v>56</v>
      </c>
      <c r="AD10" s="167">
        <v>42</v>
      </c>
      <c r="AE10" s="167">
        <v>158</v>
      </c>
      <c r="AF10" s="167">
        <v>42</v>
      </c>
      <c r="AG10" s="167">
        <v>42</v>
      </c>
      <c r="AH10" s="167">
        <v>42</v>
      </c>
      <c r="AJ10" s="167">
        <v>114</v>
      </c>
      <c r="AL10" s="167">
        <v>42</v>
      </c>
      <c r="AM10" s="167">
        <v>42</v>
      </c>
      <c r="AN10" s="167">
        <v>42</v>
      </c>
      <c r="AO10" s="167">
        <v>42</v>
      </c>
      <c r="AP10" s="167">
        <v>42</v>
      </c>
      <c r="AQ10" s="167">
        <v>42</v>
      </c>
    </row>
    <row r="11" spans="1:43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80"/>
      <c r="G11" s="80"/>
      <c r="H11" s="80"/>
      <c r="I11" s="80"/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 t="s">
        <v>124</v>
      </c>
      <c r="U11" s="28" t="s">
        <v>124</v>
      </c>
      <c r="V11" s="28" t="s">
        <v>124</v>
      </c>
      <c r="W11" s="28" t="s">
        <v>124</v>
      </c>
      <c r="X11" s="28" t="s">
        <v>124</v>
      </c>
      <c r="Y11" s="28" t="s">
        <v>124</v>
      </c>
      <c r="Z11" s="28" t="s">
        <v>124</v>
      </c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 t="s">
        <v>124</v>
      </c>
      <c r="AH11" s="28" t="s">
        <v>124</v>
      </c>
      <c r="AJ11" s="28" t="s">
        <v>124</v>
      </c>
      <c r="AL11" s="28" t="s">
        <v>124</v>
      </c>
      <c r="AM11" s="28" t="s">
        <v>124</v>
      </c>
      <c r="AN11" s="28" t="s">
        <v>124</v>
      </c>
      <c r="AO11" s="28" t="s">
        <v>124</v>
      </c>
      <c r="AP11" s="28" t="s">
        <v>124</v>
      </c>
      <c r="AQ11" s="28" t="s">
        <v>124</v>
      </c>
    </row>
    <row r="12" spans="1:43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80"/>
      <c r="G12" s="80"/>
      <c r="H12" s="80"/>
      <c r="I12" s="80"/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28" t="s">
        <v>127</v>
      </c>
      <c r="S12" s="28" t="s">
        <v>127</v>
      </c>
      <c r="T12" s="28" t="s">
        <v>127</v>
      </c>
      <c r="U12" s="28" t="s">
        <v>127</v>
      </c>
      <c r="V12" s="28" t="s">
        <v>127</v>
      </c>
      <c r="W12" s="28" t="s">
        <v>127</v>
      </c>
      <c r="X12" s="28" t="s">
        <v>127</v>
      </c>
      <c r="Y12" s="28" t="s">
        <v>127</v>
      </c>
      <c r="Z12" s="28" t="s">
        <v>127</v>
      </c>
      <c r="AA12" s="28" t="s">
        <v>127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 t="s">
        <v>127</v>
      </c>
      <c r="AG12" s="28" t="s">
        <v>127</v>
      </c>
      <c r="AH12" s="28" t="s">
        <v>127</v>
      </c>
      <c r="AJ12" s="29" t="s">
        <v>127</v>
      </c>
      <c r="AL12" s="28" t="s">
        <v>127</v>
      </c>
      <c r="AM12" s="28" t="s">
        <v>127</v>
      </c>
      <c r="AN12" s="28" t="s">
        <v>127</v>
      </c>
      <c r="AO12" s="28" t="s">
        <v>127</v>
      </c>
      <c r="AP12" s="28" t="s">
        <v>127</v>
      </c>
      <c r="AQ12" s="28" t="s">
        <v>127</v>
      </c>
    </row>
    <row r="13" spans="1:43">
      <c r="A13" s="26" t="s">
        <v>126</v>
      </c>
      <c r="B13" s="28" t="s">
        <v>127</v>
      </c>
      <c r="C13" s="28" t="s">
        <v>124</v>
      </c>
      <c r="D13" s="28" t="s">
        <v>124</v>
      </c>
      <c r="E13" s="28" t="s">
        <v>124</v>
      </c>
      <c r="F13" s="80"/>
      <c r="G13" s="80"/>
      <c r="H13" s="80"/>
      <c r="I13" s="80"/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124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124</v>
      </c>
      <c r="AD13" s="28" t="s">
        <v>127</v>
      </c>
      <c r="AE13" s="28" t="s">
        <v>235</v>
      </c>
      <c r="AF13" s="28" t="s">
        <v>127</v>
      </c>
      <c r="AG13" s="28" t="s">
        <v>127</v>
      </c>
      <c r="AH13" s="28" t="s">
        <v>127</v>
      </c>
      <c r="AJ13" s="28" t="s">
        <v>127</v>
      </c>
      <c r="AL13" s="28" t="s">
        <v>127</v>
      </c>
      <c r="AM13" s="28" t="s">
        <v>127</v>
      </c>
      <c r="AN13" s="28" t="s">
        <v>127</v>
      </c>
      <c r="AO13" s="28" t="s">
        <v>127</v>
      </c>
      <c r="AP13" s="28" t="s">
        <v>127</v>
      </c>
      <c r="AQ13" s="28" t="s">
        <v>127</v>
      </c>
    </row>
    <row r="14" spans="1:43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80"/>
      <c r="G14" s="80"/>
      <c r="H14" s="80"/>
      <c r="I14" s="80"/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L14" s="28" t="s">
        <v>127</v>
      </c>
      <c r="AM14" s="28" t="s">
        <v>127</v>
      </c>
      <c r="AN14" s="28" t="s">
        <v>127</v>
      </c>
      <c r="AO14" s="28" t="s">
        <v>127</v>
      </c>
      <c r="AP14" s="28" t="s">
        <v>127</v>
      </c>
      <c r="AQ14" s="28" t="s">
        <v>127</v>
      </c>
    </row>
    <row r="15" spans="1:43">
      <c r="A15" s="26" t="s">
        <v>129</v>
      </c>
      <c r="B15" s="28" t="s">
        <v>118</v>
      </c>
      <c r="C15" s="28" t="s">
        <v>150</v>
      </c>
      <c r="D15" s="28" t="s">
        <v>150</v>
      </c>
      <c r="E15" s="28" t="s">
        <v>150</v>
      </c>
      <c r="F15" s="80"/>
      <c r="G15" s="80"/>
      <c r="H15" s="80"/>
      <c r="I15" s="80"/>
      <c r="J15" s="28" t="s">
        <v>118</v>
      </c>
      <c r="K15" s="28" t="s">
        <v>118</v>
      </c>
      <c r="L15" s="28" t="s">
        <v>118</v>
      </c>
      <c r="M15" s="28" t="s">
        <v>118</v>
      </c>
      <c r="N15" s="28" t="s">
        <v>118</v>
      </c>
      <c r="O15" s="28" t="s">
        <v>118</v>
      </c>
      <c r="P15" s="28" t="s">
        <v>118</v>
      </c>
      <c r="Q15" s="28" t="s">
        <v>118</v>
      </c>
      <c r="R15" s="28" t="s">
        <v>118</v>
      </c>
      <c r="S15" s="28" t="s">
        <v>677</v>
      </c>
      <c r="T15" s="28" t="s">
        <v>150</v>
      </c>
      <c r="U15" s="28" t="s">
        <v>118</v>
      </c>
      <c r="V15" s="28" t="s">
        <v>118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8" t="s">
        <v>118</v>
      </c>
      <c r="AB15" s="28" t="s">
        <v>118</v>
      </c>
      <c r="AC15" s="28" t="s">
        <v>150</v>
      </c>
      <c r="AD15" s="28" t="s">
        <v>118</v>
      </c>
      <c r="AE15" s="28" t="s">
        <v>150</v>
      </c>
      <c r="AF15" s="28" t="s">
        <v>118</v>
      </c>
      <c r="AG15" s="28" t="s">
        <v>118</v>
      </c>
      <c r="AH15" s="28" t="s">
        <v>118</v>
      </c>
      <c r="AJ15" s="28" t="s">
        <v>118</v>
      </c>
      <c r="AL15" s="28" t="s">
        <v>118</v>
      </c>
      <c r="AM15" s="28" t="s">
        <v>118</v>
      </c>
      <c r="AN15" s="28" t="s">
        <v>118</v>
      </c>
      <c r="AO15" s="28" t="s">
        <v>118</v>
      </c>
      <c r="AP15" s="28" t="s">
        <v>118</v>
      </c>
      <c r="AQ15" s="28" t="s">
        <v>118</v>
      </c>
    </row>
    <row r="16" spans="1:43">
      <c r="A16" s="26" t="s">
        <v>130</v>
      </c>
      <c r="B16" s="30">
        <v>2.75</v>
      </c>
      <c r="C16" s="128">
        <v>-0.5</v>
      </c>
      <c r="D16" s="128">
        <v>-0.5</v>
      </c>
      <c r="E16" s="128">
        <v>-0.5</v>
      </c>
      <c r="F16" s="82"/>
      <c r="G16" s="82"/>
      <c r="H16" s="82"/>
      <c r="I16" s="82"/>
      <c r="J16" s="30">
        <v>2.5</v>
      </c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>
        <v>2.5</v>
      </c>
      <c r="S16" s="30">
        <f>AVERAGE(2.5,-2)</f>
        <v>0.25</v>
      </c>
      <c r="T16" s="128">
        <v>-0.5</v>
      </c>
      <c r="U16" s="30">
        <v>2.5</v>
      </c>
      <c r="V16" s="30">
        <v>2.5</v>
      </c>
      <c r="W16" s="30">
        <v>2.5</v>
      </c>
      <c r="X16" s="30">
        <v>2.5</v>
      </c>
      <c r="Y16" s="30">
        <v>2.5</v>
      </c>
      <c r="Z16" s="30">
        <v>2.5</v>
      </c>
      <c r="AA16" s="30">
        <v>2.5</v>
      </c>
      <c r="AB16" s="30">
        <v>2.5</v>
      </c>
      <c r="AC16" s="30">
        <v>-0.5</v>
      </c>
      <c r="AD16" s="30">
        <v>2.5</v>
      </c>
      <c r="AE16" s="30">
        <f>AVERAGE(-2,0)</f>
        <v>-1</v>
      </c>
      <c r="AF16" s="30">
        <v>2.5</v>
      </c>
      <c r="AG16" s="30">
        <v>2.5</v>
      </c>
      <c r="AH16" s="30">
        <v>2.5</v>
      </c>
      <c r="AJ16" s="30">
        <v>2.75</v>
      </c>
      <c r="AL16" s="30">
        <v>2.5</v>
      </c>
      <c r="AM16" s="30">
        <v>2.5</v>
      </c>
      <c r="AN16" s="30">
        <v>2.5</v>
      </c>
      <c r="AO16" s="30">
        <v>2.5</v>
      </c>
      <c r="AP16" s="30">
        <v>2.5</v>
      </c>
      <c r="AQ16" s="30">
        <v>2.5</v>
      </c>
    </row>
    <row r="17" spans="1:43">
      <c r="A17" s="26" t="s">
        <v>131</v>
      </c>
      <c r="B17" s="28" t="s">
        <v>180</v>
      </c>
      <c r="C17" s="28" t="s">
        <v>180</v>
      </c>
      <c r="D17" s="28" t="s">
        <v>180</v>
      </c>
      <c r="E17" s="28" t="s">
        <v>151</v>
      </c>
      <c r="F17" s="80"/>
      <c r="G17" s="80"/>
      <c r="H17" s="80"/>
      <c r="I17" s="80"/>
      <c r="J17" s="28" t="s">
        <v>180</v>
      </c>
      <c r="K17" s="28" t="s">
        <v>180</v>
      </c>
      <c r="L17" s="28" t="s">
        <v>180</v>
      </c>
      <c r="M17" s="28" t="s">
        <v>180</v>
      </c>
      <c r="N17" s="28" t="s">
        <v>180</v>
      </c>
      <c r="O17" s="28" t="s">
        <v>180</v>
      </c>
      <c r="P17" s="28" t="s">
        <v>180</v>
      </c>
      <c r="Q17" s="28" t="s">
        <v>180</v>
      </c>
      <c r="R17" s="28" t="s">
        <v>180</v>
      </c>
      <c r="S17" s="28" t="s">
        <v>180</v>
      </c>
      <c r="T17" s="28" t="s">
        <v>180</v>
      </c>
      <c r="U17" s="28" t="s">
        <v>180</v>
      </c>
      <c r="V17" s="28" t="s">
        <v>180</v>
      </c>
      <c r="W17" s="28" t="s">
        <v>180</v>
      </c>
      <c r="X17" s="28" t="s">
        <v>180</v>
      </c>
      <c r="Y17" s="28" t="s">
        <v>180</v>
      </c>
      <c r="Z17" s="28" t="s">
        <v>180</v>
      </c>
      <c r="AA17" s="28" t="s">
        <v>180</v>
      </c>
      <c r="AB17" s="28" t="s">
        <v>180</v>
      </c>
      <c r="AC17" s="28" t="s">
        <v>180</v>
      </c>
      <c r="AD17" s="28" t="s">
        <v>180</v>
      </c>
      <c r="AE17" s="28" t="s">
        <v>180</v>
      </c>
      <c r="AF17" s="28" t="s">
        <v>180</v>
      </c>
      <c r="AG17" s="28" t="s">
        <v>180</v>
      </c>
      <c r="AH17" s="28" t="s">
        <v>180</v>
      </c>
      <c r="AJ17" s="28" t="s">
        <v>180</v>
      </c>
      <c r="AL17" s="28" t="s">
        <v>180</v>
      </c>
      <c r="AM17" s="28" t="s">
        <v>180</v>
      </c>
      <c r="AN17" s="28" t="s">
        <v>180</v>
      </c>
      <c r="AO17" s="28" t="s">
        <v>180</v>
      </c>
      <c r="AP17" s="28" t="s">
        <v>180</v>
      </c>
      <c r="AQ17" s="28" t="s">
        <v>180</v>
      </c>
    </row>
    <row r="18" spans="1:43">
      <c r="A18" s="26" t="s">
        <v>133</v>
      </c>
      <c r="B18" s="30">
        <v>2</v>
      </c>
      <c r="C18" s="30">
        <v>2</v>
      </c>
      <c r="D18" s="30">
        <v>2</v>
      </c>
      <c r="E18" s="30">
        <v>3</v>
      </c>
      <c r="F18" s="82"/>
      <c r="G18" s="82"/>
      <c r="H18" s="82"/>
      <c r="I18" s="82"/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  <c r="AJ18" s="30">
        <v>2</v>
      </c>
      <c r="AL18" s="30">
        <v>2</v>
      </c>
      <c r="AM18" s="30">
        <v>2</v>
      </c>
      <c r="AN18" s="30">
        <v>2</v>
      </c>
      <c r="AO18" s="30">
        <v>2</v>
      </c>
      <c r="AP18" s="30">
        <v>2</v>
      </c>
      <c r="AQ18" s="30">
        <v>2</v>
      </c>
    </row>
    <row r="20" spans="1:43">
      <c r="A20" s="26" t="s">
        <v>117</v>
      </c>
      <c r="B20" s="86" t="s">
        <v>409</v>
      </c>
      <c r="C20" s="80"/>
      <c r="D20" s="80"/>
      <c r="E20" s="80"/>
      <c r="F20" s="115" t="s">
        <v>420</v>
      </c>
      <c r="G20" s="28" t="s">
        <v>422</v>
      </c>
      <c r="H20" s="28" t="s">
        <v>422</v>
      </c>
      <c r="I20" s="28" t="s">
        <v>422</v>
      </c>
      <c r="J20" s="115" t="s">
        <v>421</v>
      </c>
      <c r="K20" s="28" t="s">
        <v>419</v>
      </c>
      <c r="L20" s="28" t="s">
        <v>419</v>
      </c>
      <c r="M20" s="28" t="s">
        <v>419</v>
      </c>
      <c r="N20" s="28" t="s">
        <v>419</v>
      </c>
      <c r="O20" s="28" t="s">
        <v>419</v>
      </c>
      <c r="P20" s="28" t="s">
        <v>419</v>
      </c>
      <c r="Q20" s="28" t="s">
        <v>419</v>
      </c>
      <c r="R20" s="28" t="s">
        <v>419</v>
      </c>
      <c r="S20" s="28" t="s">
        <v>501</v>
      </c>
      <c r="T20" s="80"/>
      <c r="U20" s="28" t="s">
        <v>502</v>
      </c>
      <c r="V20" s="28" t="s">
        <v>419</v>
      </c>
      <c r="W20" s="28" t="s">
        <v>419</v>
      </c>
      <c r="X20" s="28" t="s">
        <v>395</v>
      </c>
      <c r="Y20" s="28" t="s">
        <v>395</v>
      </c>
      <c r="Z20" s="28" t="s">
        <v>502</v>
      </c>
      <c r="AA20" s="28" t="s">
        <v>502</v>
      </c>
      <c r="AB20" s="28" t="s">
        <v>502</v>
      </c>
      <c r="AC20" s="80"/>
      <c r="AD20" s="28" t="s">
        <v>502</v>
      </c>
      <c r="AE20" s="80"/>
      <c r="AF20" s="28" t="s">
        <v>502</v>
      </c>
      <c r="AG20" s="28" t="s">
        <v>419</v>
      </c>
      <c r="AH20" s="28" t="s">
        <v>419</v>
      </c>
      <c r="AJ20" s="28" t="s">
        <v>409</v>
      </c>
      <c r="AL20" s="28" t="s">
        <v>395</v>
      </c>
      <c r="AM20" s="28" t="s">
        <v>395</v>
      </c>
      <c r="AN20" s="28" t="s">
        <v>395</v>
      </c>
      <c r="AO20" s="86" t="s">
        <v>419</v>
      </c>
      <c r="AP20" s="28" t="s">
        <v>419</v>
      </c>
      <c r="AQ20" s="28" t="s">
        <v>419</v>
      </c>
    </row>
    <row r="21" spans="1:43">
      <c r="A21" s="26" t="s">
        <v>121</v>
      </c>
      <c r="B21" s="28" t="s">
        <v>425</v>
      </c>
      <c r="C21" s="80"/>
      <c r="D21" s="80"/>
      <c r="E21" s="81"/>
      <c r="F21" s="115" t="s">
        <v>426</v>
      </c>
      <c r="G21" s="28" t="s">
        <v>503</v>
      </c>
      <c r="H21" s="28" t="s">
        <v>272</v>
      </c>
      <c r="I21" s="28" t="s">
        <v>272</v>
      </c>
      <c r="J21" s="115" t="s">
        <v>427</v>
      </c>
      <c r="K21" s="29" t="s">
        <v>419</v>
      </c>
      <c r="L21" s="28" t="s">
        <v>504</v>
      </c>
      <c r="M21" s="28" t="s">
        <v>505</v>
      </c>
      <c r="N21" s="29" t="s">
        <v>419</v>
      </c>
      <c r="O21" s="29" t="s">
        <v>419</v>
      </c>
      <c r="P21" s="29" t="s">
        <v>419</v>
      </c>
      <c r="Q21" s="29" t="s">
        <v>419</v>
      </c>
      <c r="R21" s="29" t="s">
        <v>419</v>
      </c>
      <c r="S21" s="113" t="s">
        <v>506</v>
      </c>
      <c r="T21" s="81"/>
      <c r="U21" s="28" t="s">
        <v>269</v>
      </c>
      <c r="V21" s="29" t="s">
        <v>419</v>
      </c>
      <c r="W21" s="29" t="s">
        <v>419</v>
      </c>
      <c r="X21" s="28" t="s">
        <v>507</v>
      </c>
      <c r="Y21" s="28" t="s">
        <v>507</v>
      </c>
      <c r="Z21" s="28" t="s">
        <v>269</v>
      </c>
      <c r="AA21" s="28" t="s">
        <v>269</v>
      </c>
      <c r="AB21" s="28" t="s">
        <v>269</v>
      </c>
      <c r="AC21" s="81"/>
      <c r="AD21" s="28" t="s">
        <v>269</v>
      </c>
      <c r="AE21" s="81"/>
      <c r="AF21" s="28" t="s">
        <v>269</v>
      </c>
      <c r="AG21" s="29" t="s">
        <v>419</v>
      </c>
      <c r="AH21" s="29" t="s">
        <v>419</v>
      </c>
      <c r="AJ21" s="28" t="s">
        <v>430</v>
      </c>
      <c r="AL21" s="29" t="s">
        <v>507</v>
      </c>
      <c r="AM21" s="29" t="s">
        <v>507</v>
      </c>
      <c r="AN21" s="29" t="s">
        <v>507</v>
      </c>
      <c r="AO21" s="29" t="s">
        <v>419</v>
      </c>
      <c r="AP21" s="29" t="s">
        <v>419</v>
      </c>
      <c r="AQ21" s="29" t="s">
        <v>419</v>
      </c>
    </row>
    <row r="22" spans="1:43">
      <c r="A22" s="140" t="s">
        <v>122</v>
      </c>
      <c r="B22" s="167">
        <v>87</v>
      </c>
      <c r="C22" s="174"/>
      <c r="D22" s="174"/>
      <c r="E22" s="174"/>
      <c r="F22" s="167">
        <v>129</v>
      </c>
      <c r="G22" s="167">
        <v>90</v>
      </c>
      <c r="H22" s="167">
        <v>39</v>
      </c>
      <c r="I22" s="167">
        <v>39</v>
      </c>
      <c r="J22" s="167">
        <v>130</v>
      </c>
      <c r="K22" s="167">
        <v>85</v>
      </c>
      <c r="L22" s="167">
        <v>87</v>
      </c>
      <c r="M22" s="167">
        <v>140</v>
      </c>
      <c r="N22" s="167">
        <v>85</v>
      </c>
      <c r="O22" s="167">
        <v>85</v>
      </c>
      <c r="P22" s="167">
        <v>85</v>
      </c>
      <c r="Q22" s="167">
        <v>85</v>
      </c>
      <c r="R22" s="167">
        <v>85</v>
      </c>
      <c r="S22" s="167">
        <v>133</v>
      </c>
      <c r="T22" s="174"/>
      <c r="U22" s="167">
        <v>98</v>
      </c>
      <c r="V22" s="167">
        <v>85</v>
      </c>
      <c r="W22" s="167">
        <v>85</v>
      </c>
      <c r="X22" s="167">
        <v>83</v>
      </c>
      <c r="Y22" s="167">
        <v>83</v>
      </c>
      <c r="Z22" s="167">
        <v>98</v>
      </c>
      <c r="AA22" s="167">
        <v>98</v>
      </c>
      <c r="AB22" s="167">
        <v>98</v>
      </c>
      <c r="AC22" s="174"/>
      <c r="AD22" s="167">
        <v>98</v>
      </c>
      <c r="AE22" s="174"/>
      <c r="AF22" s="167">
        <v>98</v>
      </c>
      <c r="AG22" s="167">
        <v>85</v>
      </c>
      <c r="AH22" s="167">
        <v>85</v>
      </c>
      <c r="AJ22" s="167">
        <v>139</v>
      </c>
      <c r="AL22" s="167">
        <v>83</v>
      </c>
      <c r="AM22" s="167">
        <v>83</v>
      </c>
      <c r="AN22" s="167">
        <v>83</v>
      </c>
      <c r="AO22" s="167">
        <v>85</v>
      </c>
      <c r="AP22" s="167">
        <v>85</v>
      </c>
      <c r="AQ22" s="167">
        <v>85</v>
      </c>
    </row>
    <row r="23" spans="1:43">
      <c r="A23" s="26" t="s">
        <v>123</v>
      </c>
      <c r="B23" s="28" t="s">
        <v>124</v>
      </c>
      <c r="C23" s="80"/>
      <c r="D23" s="80"/>
      <c r="E23" s="80"/>
      <c r="F23" s="28" t="s">
        <v>124</v>
      </c>
      <c r="G23" s="28" t="s">
        <v>124</v>
      </c>
      <c r="H23" s="28" t="s">
        <v>124</v>
      </c>
      <c r="I23" s="28" t="s">
        <v>124</v>
      </c>
      <c r="J23" s="28" t="s">
        <v>124</v>
      </c>
      <c r="K23" s="28" t="s">
        <v>124</v>
      </c>
      <c r="L23" s="28" t="s">
        <v>124</v>
      </c>
      <c r="M23" s="28" t="s">
        <v>124</v>
      </c>
      <c r="N23" s="28" t="s">
        <v>124</v>
      </c>
      <c r="O23" s="28" t="s">
        <v>124</v>
      </c>
      <c r="P23" s="28" t="s">
        <v>124</v>
      </c>
      <c r="Q23" s="28" t="s">
        <v>124</v>
      </c>
      <c r="R23" s="28" t="s">
        <v>124</v>
      </c>
      <c r="S23" s="28" t="s">
        <v>124</v>
      </c>
      <c r="T23" s="80"/>
      <c r="U23" s="28" t="s">
        <v>124</v>
      </c>
      <c r="V23" s="28" t="s">
        <v>124</v>
      </c>
      <c r="W23" s="28" t="s">
        <v>124</v>
      </c>
      <c r="X23" s="28" t="s">
        <v>124</v>
      </c>
      <c r="Y23" s="28" t="s">
        <v>124</v>
      </c>
      <c r="Z23" s="28" t="s">
        <v>124</v>
      </c>
      <c r="AA23" s="28" t="s">
        <v>124</v>
      </c>
      <c r="AB23" s="28" t="s">
        <v>124</v>
      </c>
      <c r="AC23" s="81"/>
      <c r="AD23" s="28" t="s">
        <v>124</v>
      </c>
      <c r="AE23" s="81"/>
      <c r="AF23" s="28" t="s">
        <v>124</v>
      </c>
      <c r="AG23" s="28" t="s">
        <v>124</v>
      </c>
      <c r="AH23" s="28" t="s">
        <v>124</v>
      </c>
      <c r="AJ23" s="28" t="s">
        <v>124</v>
      </c>
      <c r="AL23" s="28" t="s">
        <v>124</v>
      </c>
      <c r="AM23" s="28" t="s">
        <v>124</v>
      </c>
      <c r="AN23" s="28" t="s">
        <v>124</v>
      </c>
      <c r="AO23" s="28" t="s">
        <v>124</v>
      </c>
      <c r="AP23" s="28" t="s">
        <v>124</v>
      </c>
      <c r="AQ23" s="28" t="s">
        <v>124</v>
      </c>
    </row>
    <row r="24" spans="1:43">
      <c r="A24" s="26" t="s">
        <v>125</v>
      </c>
      <c r="B24" s="28" t="s">
        <v>124</v>
      </c>
      <c r="C24" s="80"/>
      <c r="D24" s="80"/>
      <c r="E24" s="80"/>
      <c r="F24" s="118" t="s">
        <v>236</v>
      </c>
      <c r="G24" s="28" t="s">
        <v>124</v>
      </c>
      <c r="H24" s="28" t="s">
        <v>124</v>
      </c>
      <c r="I24" s="28" t="s">
        <v>124</v>
      </c>
      <c r="J24" s="28" t="s">
        <v>124</v>
      </c>
      <c r="K24" s="28" t="s">
        <v>124</v>
      </c>
      <c r="L24" s="28" t="s">
        <v>124</v>
      </c>
      <c r="M24" s="28" t="s">
        <v>124</v>
      </c>
      <c r="N24" s="28" t="s">
        <v>124</v>
      </c>
      <c r="O24" s="28" t="s">
        <v>124</v>
      </c>
      <c r="P24" s="28" t="s">
        <v>124</v>
      </c>
      <c r="Q24" s="28" t="s">
        <v>124</v>
      </c>
      <c r="R24" s="87" t="s">
        <v>124</v>
      </c>
      <c r="S24" s="87" t="s">
        <v>124</v>
      </c>
      <c r="T24" s="80"/>
      <c r="U24" s="28" t="s">
        <v>124</v>
      </c>
      <c r="V24" s="87" t="s">
        <v>124</v>
      </c>
      <c r="W24" s="87" t="s">
        <v>124</v>
      </c>
      <c r="X24" s="28" t="s">
        <v>124</v>
      </c>
      <c r="Y24" s="28" t="s">
        <v>124</v>
      </c>
      <c r="Z24" s="28" t="s">
        <v>124</v>
      </c>
      <c r="AA24" s="28" t="s">
        <v>124</v>
      </c>
      <c r="AB24" s="28" t="s">
        <v>124</v>
      </c>
      <c r="AC24" s="80"/>
      <c r="AD24" s="28" t="s">
        <v>124</v>
      </c>
      <c r="AE24" s="80"/>
      <c r="AF24" s="28" t="s">
        <v>124</v>
      </c>
      <c r="AG24" s="28" t="s">
        <v>124</v>
      </c>
      <c r="AH24" s="28" t="s">
        <v>124</v>
      </c>
      <c r="AJ24" s="28" t="s">
        <v>124</v>
      </c>
      <c r="AL24" s="28" t="s">
        <v>124</v>
      </c>
      <c r="AM24" s="28" t="s">
        <v>124</v>
      </c>
      <c r="AN24" s="28" t="s">
        <v>124</v>
      </c>
      <c r="AO24" s="28" t="s">
        <v>124</v>
      </c>
      <c r="AP24" s="28" t="s">
        <v>124</v>
      </c>
      <c r="AQ24" s="28" t="s">
        <v>124</v>
      </c>
    </row>
    <row r="25" spans="1:43">
      <c r="A25" s="26" t="s">
        <v>126</v>
      </c>
      <c r="B25" s="28" t="s">
        <v>127</v>
      </c>
      <c r="C25" s="80"/>
      <c r="D25" s="80"/>
      <c r="E25" s="80"/>
      <c r="F25" s="115" t="s">
        <v>431</v>
      </c>
      <c r="G25" s="28" t="s">
        <v>127</v>
      </c>
      <c r="H25" s="28" t="s">
        <v>127</v>
      </c>
      <c r="I25" s="28" t="s">
        <v>127</v>
      </c>
      <c r="J25" s="28" t="s">
        <v>127</v>
      </c>
      <c r="K25" s="28" t="s">
        <v>127</v>
      </c>
      <c r="L25" s="28" t="s">
        <v>127</v>
      </c>
      <c r="M25" s="28" t="s">
        <v>127</v>
      </c>
      <c r="N25" s="28" t="s">
        <v>127</v>
      </c>
      <c r="O25" s="28" t="s">
        <v>127</v>
      </c>
      <c r="P25" s="28" t="s">
        <v>127</v>
      </c>
      <c r="Q25" s="86" t="s">
        <v>127</v>
      </c>
      <c r="R25" s="28" t="s">
        <v>127</v>
      </c>
      <c r="S25" s="28" t="s">
        <v>127</v>
      </c>
      <c r="T25" s="80"/>
      <c r="U25" s="28" t="s">
        <v>127</v>
      </c>
      <c r="V25" s="28" t="s">
        <v>127</v>
      </c>
      <c r="W25" s="28" t="s">
        <v>127</v>
      </c>
      <c r="X25" s="28" t="s">
        <v>127</v>
      </c>
      <c r="Y25" s="28" t="s">
        <v>127</v>
      </c>
      <c r="Z25" s="28" t="s">
        <v>127</v>
      </c>
      <c r="AA25" s="28" t="s">
        <v>127</v>
      </c>
      <c r="AB25" s="28" t="s">
        <v>127</v>
      </c>
      <c r="AC25" s="80"/>
      <c r="AD25" s="28" t="s">
        <v>127</v>
      </c>
      <c r="AE25" s="80"/>
      <c r="AF25" s="28" t="s">
        <v>127</v>
      </c>
      <c r="AG25" s="28" t="s">
        <v>127</v>
      </c>
      <c r="AH25" s="28" t="s">
        <v>127</v>
      </c>
      <c r="AJ25" s="28" t="s">
        <v>127</v>
      </c>
      <c r="AL25" s="28" t="s">
        <v>127</v>
      </c>
      <c r="AM25" s="28" t="s">
        <v>127</v>
      </c>
      <c r="AN25" s="28" t="s">
        <v>127</v>
      </c>
      <c r="AO25" s="28" t="s">
        <v>127</v>
      </c>
      <c r="AP25" s="28" t="s">
        <v>127</v>
      </c>
      <c r="AQ25" s="28" t="s">
        <v>127</v>
      </c>
    </row>
    <row r="26" spans="1:43">
      <c r="A26" s="26" t="s">
        <v>128</v>
      </c>
      <c r="B26" s="28" t="s">
        <v>124</v>
      </c>
      <c r="C26" s="80"/>
      <c r="D26" s="80"/>
      <c r="E26" s="80"/>
      <c r="F26" s="118" t="s">
        <v>236</v>
      </c>
      <c r="G26" s="28" t="s">
        <v>124</v>
      </c>
      <c r="H26" s="28" t="s">
        <v>127</v>
      </c>
      <c r="I26" s="28" t="s">
        <v>127</v>
      </c>
      <c r="J26" s="28" t="s">
        <v>124</v>
      </c>
      <c r="K26" s="28" t="s">
        <v>124</v>
      </c>
      <c r="L26" s="28" t="s">
        <v>124</v>
      </c>
      <c r="M26" s="28" t="s">
        <v>124</v>
      </c>
      <c r="N26" s="28" t="s">
        <v>124</v>
      </c>
      <c r="O26" s="28" t="s">
        <v>124</v>
      </c>
      <c r="P26" s="28" t="s">
        <v>124</v>
      </c>
      <c r="Q26" s="86" t="s">
        <v>124</v>
      </c>
      <c r="R26" s="28" t="s">
        <v>124</v>
      </c>
      <c r="S26" s="118" t="s">
        <v>236</v>
      </c>
      <c r="T26" s="80"/>
      <c r="U26" s="28" t="s">
        <v>127</v>
      </c>
      <c r="V26" s="28" t="s">
        <v>124</v>
      </c>
      <c r="W26" s="28" t="s">
        <v>124</v>
      </c>
      <c r="X26" s="28" t="s">
        <v>127</v>
      </c>
      <c r="Y26" s="28" t="s">
        <v>127</v>
      </c>
      <c r="Z26" s="28" t="s">
        <v>127</v>
      </c>
      <c r="AA26" s="28" t="s">
        <v>127</v>
      </c>
      <c r="AB26" s="28" t="s">
        <v>127</v>
      </c>
      <c r="AC26" s="80"/>
      <c r="AD26" s="28" t="s">
        <v>127</v>
      </c>
      <c r="AE26" s="80"/>
      <c r="AF26" s="28" t="s">
        <v>127</v>
      </c>
      <c r="AG26" s="28" t="s">
        <v>124</v>
      </c>
      <c r="AH26" s="28" t="s">
        <v>124</v>
      </c>
      <c r="AJ26" s="28" t="s">
        <v>124</v>
      </c>
      <c r="AL26" s="28" t="s">
        <v>127</v>
      </c>
      <c r="AM26" s="28" t="s">
        <v>127</v>
      </c>
      <c r="AN26" s="28" t="s">
        <v>127</v>
      </c>
      <c r="AO26" s="28" t="s">
        <v>124</v>
      </c>
      <c r="AP26" s="28" t="s">
        <v>124</v>
      </c>
      <c r="AQ26" s="28" t="s">
        <v>124</v>
      </c>
    </row>
    <row r="27" spans="1:43">
      <c r="A27" s="26" t="s">
        <v>129</v>
      </c>
      <c r="B27" s="28" t="s">
        <v>432</v>
      </c>
      <c r="C27" s="80"/>
      <c r="D27" s="80"/>
      <c r="E27" s="80"/>
      <c r="F27" s="28" t="s">
        <v>150</v>
      </c>
      <c r="G27" s="28" t="s">
        <v>150</v>
      </c>
      <c r="H27" s="28" t="s">
        <v>150</v>
      </c>
      <c r="I27" s="28" t="s">
        <v>150</v>
      </c>
      <c r="J27" s="113" t="s">
        <v>433</v>
      </c>
      <c r="K27" s="28" t="s">
        <v>149</v>
      </c>
      <c r="L27" s="28" t="s">
        <v>432</v>
      </c>
      <c r="M27" s="28" t="s">
        <v>216</v>
      </c>
      <c r="N27" s="28" t="s">
        <v>149</v>
      </c>
      <c r="O27" s="28" t="s">
        <v>149</v>
      </c>
      <c r="P27" s="28" t="s">
        <v>149</v>
      </c>
      <c r="Q27" s="86" t="s">
        <v>149</v>
      </c>
      <c r="R27" s="28" t="s">
        <v>149</v>
      </c>
      <c r="S27" s="113" t="s">
        <v>433</v>
      </c>
      <c r="T27" s="80"/>
      <c r="U27" s="28" t="s">
        <v>150</v>
      </c>
      <c r="V27" s="28" t="s">
        <v>149</v>
      </c>
      <c r="W27" s="28" t="s">
        <v>149</v>
      </c>
      <c r="X27" s="28" t="s">
        <v>149</v>
      </c>
      <c r="Y27" s="28" t="s">
        <v>149</v>
      </c>
      <c r="Z27" s="28" t="s">
        <v>150</v>
      </c>
      <c r="AA27" s="28" t="s">
        <v>150</v>
      </c>
      <c r="AB27" s="28" t="s">
        <v>150</v>
      </c>
      <c r="AC27" s="80"/>
      <c r="AD27" s="28" t="s">
        <v>150</v>
      </c>
      <c r="AE27" s="80"/>
      <c r="AF27" s="28" t="s">
        <v>150</v>
      </c>
      <c r="AG27" s="28" t="s">
        <v>149</v>
      </c>
      <c r="AH27" s="28" t="s">
        <v>149</v>
      </c>
      <c r="AJ27" s="28" t="s">
        <v>150</v>
      </c>
      <c r="AL27" s="28" t="s">
        <v>149</v>
      </c>
      <c r="AM27" s="28" t="s">
        <v>149</v>
      </c>
      <c r="AN27" s="28" t="s">
        <v>149</v>
      </c>
      <c r="AO27" s="28" t="s">
        <v>149</v>
      </c>
      <c r="AP27" s="28" t="s">
        <v>149</v>
      </c>
      <c r="AQ27" s="28" t="s">
        <v>149</v>
      </c>
    </row>
    <row r="28" spans="1:43">
      <c r="A28" s="26" t="s">
        <v>130</v>
      </c>
      <c r="B28" s="30">
        <f>-7/6</f>
        <v>-1.1666666666666667</v>
      </c>
      <c r="C28" s="82"/>
      <c r="D28" s="82"/>
      <c r="E28" s="82"/>
      <c r="F28" s="128">
        <f>AVERAGE(0,0,-1.25)</f>
        <v>-0.41666666666666669</v>
      </c>
      <c r="G28" s="30">
        <v>-2</v>
      </c>
      <c r="H28" s="30">
        <v>-2</v>
      </c>
      <c r="I28" s="30">
        <v>-2</v>
      </c>
      <c r="J28" s="30">
        <f>AVERAGE(0.75,0.75,0.75,0)</f>
        <v>0.5625</v>
      </c>
      <c r="K28" s="30">
        <v>0.75</v>
      </c>
      <c r="L28" s="30">
        <f>-7/6</f>
        <v>-1.1666666666666667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128">
        <v>0.75</v>
      </c>
      <c r="S28" s="30">
        <f>AVERAGE(0.75,0.75,(AVERAGE(0,-2)))</f>
        <v>0.16666666666666666</v>
      </c>
      <c r="T28" s="82"/>
      <c r="U28" s="30">
        <v>-2</v>
      </c>
      <c r="V28" s="128">
        <v>0.75</v>
      </c>
      <c r="W28" s="128">
        <v>0.75</v>
      </c>
      <c r="X28" s="30">
        <v>0.75</v>
      </c>
      <c r="Y28" s="30">
        <v>0.75</v>
      </c>
      <c r="Z28" s="30">
        <v>-2</v>
      </c>
      <c r="AA28" s="30">
        <v>-2</v>
      </c>
      <c r="AB28" s="30">
        <v>-2</v>
      </c>
      <c r="AC28" s="82"/>
      <c r="AD28" s="30">
        <v>-2</v>
      </c>
      <c r="AE28" s="82"/>
      <c r="AF28" s="30">
        <v>-2</v>
      </c>
      <c r="AG28" s="30">
        <v>0.75</v>
      </c>
      <c r="AH28" s="30">
        <v>0.75</v>
      </c>
      <c r="AJ28" s="30">
        <f>-1/6</f>
        <v>-0.16666666666666666</v>
      </c>
      <c r="AL28" s="30">
        <v>0.75</v>
      </c>
      <c r="AM28" s="30">
        <v>0.75</v>
      </c>
      <c r="AN28" s="30">
        <v>0.75</v>
      </c>
      <c r="AO28" s="30">
        <v>0.75</v>
      </c>
      <c r="AP28" s="30">
        <v>0.75</v>
      </c>
      <c r="AQ28" s="30">
        <v>0.75</v>
      </c>
    </row>
    <row r="29" spans="1:43">
      <c r="A29" s="26" t="s">
        <v>131</v>
      </c>
      <c r="B29" s="28" t="s">
        <v>435</v>
      </c>
      <c r="C29" s="80"/>
      <c r="D29" s="80"/>
      <c r="E29" s="80"/>
      <c r="F29" s="77" t="s">
        <v>436</v>
      </c>
      <c r="G29" s="28" t="s">
        <v>409</v>
      </c>
      <c r="H29" s="28" t="s">
        <v>151</v>
      </c>
      <c r="I29" s="28" t="s">
        <v>151</v>
      </c>
      <c r="J29" s="28" t="s">
        <v>435</v>
      </c>
      <c r="K29" s="28" t="s">
        <v>435</v>
      </c>
      <c r="L29" s="28" t="s">
        <v>435</v>
      </c>
      <c r="M29" s="28" t="s">
        <v>435</v>
      </c>
      <c r="N29" s="28" t="s">
        <v>435</v>
      </c>
      <c r="O29" s="28" t="s">
        <v>435</v>
      </c>
      <c r="P29" s="28" t="s">
        <v>435</v>
      </c>
      <c r="Q29" s="28" t="s">
        <v>435</v>
      </c>
      <c r="R29" s="28" t="s">
        <v>435</v>
      </c>
      <c r="S29" s="115" t="s">
        <v>508</v>
      </c>
      <c r="T29" s="80"/>
      <c r="U29" s="28" t="s">
        <v>280</v>
      </c>
      <c r="V29" s="28" t="s">
        <v>435</v>
      </c>
      <c r="W29" s="28" t="s">
        <v>435</v>
      </c>
      <c r="X29" s="28" t="s">
        <v>409</v>
      </c>
      <c r="Y29" s="28" t="s">
        <v>409</v>
      </c>
      <c r="Z29" s="28" t="s">
        <v>280</v>
      </c>
      <c r="AA29" s="28" t="s">
        <v>280</v>
      </c>
      <c r="AB29" s="28" t="s">
        <v>280</v>
      </c>
      <c r="AC29" s="80"/>
      <c r="AD29" s="28" t="s">
        <v>280</v>
      </c>
      <c r="AE29" s="80"/>
      <c r="AF29" s="28" t="s">
        <v>280</v>
      </c>
      <c r="AG29" s="28" t="s">
        <v>435</v>
      </c>
      <c r="AH29" s="28" t="s">
        <v>435</v>
      </c>
      <c r="AJ29" s="28" t="s">
        <v>435</v>
      </c>
      <c r="AL29" s="28" t="s">
        <v>409</v>
      </c>
      <c r="AM29" s="28" t="s">
        <v>409</v>
      </c>
      <c r="AN29" s="28" t="s">
        <v>409</v>
      </c>
      <c r="AO29" s="28" t="s">
        <v>435</v>
      </c>
      <c r="AP29" s="28" t="s">
        <v>435</v>
      </c>
      <c r="AQ29" s="28" t="s">
        <v>435</v>
      </c>
    </row>
    <row r="30" spans="1:43">
      <c r="A30" s="26" t="s">
        <v>133</v>
      </c>
      <c r="B30" s="30">
        <v>0.75</v>
      </c>
      <c r="C30" s="82"/>
      <c r="D30" s="82"/>
      <c r="E30" s="82"/>
      <c r="F30" s="30">
        <f>AVERAGE(0.75,0.75,3)</f>
        <v>1.5</v>
      </c>
      <c r="G30" s="30">
        <v>0.75</v>
      </c>
      <c r="H30" s="30">
        <v>3</v>
      </c>
      <c r="I30" s="30">
        <v>3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2/3</f>
        <v>0.66666666666666663</v>
      </c>
      <c r="T30" s="82"/>
      <c r="U30" s="30">
        <v>0.5</v>
      </c>
      <c r="V30" s="30">
        <v>0.75</v>
      </c>
      <c r="W30" s="30">
        <v>0.75</v>
      </c>
      <c r="X30" s="30">
        <v>0.875</v>
      </c>
      <c r="Y30" s="30">
        <v>0.875</v>
      </c>
      <c r="Z30" s="30">
        <v>0.5</v>
      </c>
      <c r="AA30" s="30">
        <v>0.5</v>
      </c>
      <c r="AB30" s="30">
        <v>0.5</v>
      </c>
      <c r="AC30" s="82"/>
      <c r="AD30" s="30">
        <v>0.5</v>
      </c>
      <c r="AE30" s="82"/>
      <c r="AF30" s="30">
        <v>0.5</v>
      </c>
      <c r="AG30" s="30">
        <v>0.75</v>
      </c>
      <c r="AH30" s="30">
        <v>0.75</v>
      </c>
      <c r="AJ30" s="30">
        <v>0.75</v>
      </c>
      <c r="AL30" s="30">
        <v>0.875</v>
      </c>
      <c r="AM30" s="30">
        <v>0.875</v>
      </c>
      <c r="AN30" s="30">
        <v>0.875</v>
      </c>
      <c r="AO30" s="30">
        <v>0.75</v>
      </c>
      <c r="AP30" s="30">
        <v>0.75</v>
      </c>
      <c r="AQ30" s="30">
        <v>0.75</v>
      </c>
    </row>
    <row r="31" spans="1:43">
      <c r="B31" s="217" t="s">
        <v>678</v>
      </c>
      <c r="C31" s="217"/>
      <c r="D31" s="217"/>
      <c r="G31" s="221" t="s">
        <v>678</v>
      </c>
      <c r="H31" s="221"/>
      <c r="I31" s="221"/>
      <c r="AJ31" s="26" t="s">
        <v>679</v>
      </c>
      <c r="AL31" s="133" t="s">
        <v>680</v>
      </c>
      <c r="AM31" s="133"/>
      <c r="AO31" s="133"/>
      <c r="AP31" s="133"/>
      <c r="AQ31" s="133"/>
    </row>
    <row r="32" spans="1:43">
      <c r="A32" s="31" t="s">
        <v>134</v>
      </c>
    </row>
    <row r="33" spans="1:2">
      <c r="A33" s="224" t="s">
        <v>681</v>
      </c>
      <c r="B33" s="56" t="s">
        <v>682</v>
      </c>
    </row>
    <row r="34" spans="1:2">
      <c r="A34" s="223"/>
      <c r="B34" s="56" t="s">
        <v>683</v>
      </c>
    </row>
    <row r="35" spans="1:2">
      <c r="A35" s="223"/>
      <c r="B35" s="56" t="s">
        <v>515</v>
      </c>
    </row>
    <row r="36" spans="1:2">
      <c r="A36" s="223"/>
      <c r="B36" s="56" t="s">
        <v>513</v>
      </c>
    </row>
    <row r="37" spans="1:2">
      <c r="A37" s="26" t="s">
        <v>684</v>
      </c>
    </row>
    <row r="38" spans="1:2">
      <c r="A38" s="227" t="s">
        <v>685</v>
      </c>
      <c r="B38" s="56" t="s">
        <v>686</v>
      </c>
    </row>
    <row r="39" spans="1:2">
      <c r="A39" s="227"/>
      <c r="B39" s="56" t="s">
        <v>683</v>
      </c>
    </row>
    <row r="40" spans="1:2">
      <c r="A40" s="227"/>
      <c r="B40" s="93" t="s">
        <v>687</v>
      </c>
    </row>
  </sheetData>
  <mergeCells count="9">
    <mergeCell ref="A33:A36"/>
    <mergeCell ref="A38:A40"/>
    <mergeCell ref="G31:I31"/>
    <mergeCell ref="F3:O3"/>
    <mergeCell ref="F4:O5"/>
    <mergeCell ref="B3:D3"/>
    <mergeCell ref="B4:D4"/>
    <mergeCell ref="B5:D5"/>
    <mergeCell ref="B31:D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E324-FA11-4C02-A99B-929E0A264223}">
  <dimension ref="A1:AH50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46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688</v>
      </c>
      <c r="C4" s="203"/>
      <c r="D4" s="203"/>
      <c r="F4" s="204" t="s">
        <v>689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 ht="15.75" customHeight="1">
      <c r="A8" s="26" t="s">
        <v>117</v>
      </c>
      <c r="B8" s="80"/>
      <c r="C8" s="83" t="s">
        <v>690</v>
      </c>
      <c r="D8" s="28" t="s">
        <v>690</v>
      </c>
      <c r="E8" s="28" t="s">
        <v>690</v>
      </c>
      <c r="F8" s="28" t="s">
        <v>690</v>
      </c>
      <c r="G8" s="28" t="s">
        <v>690</v>
      </c>
      <c r="H8" s="86" t="s">
        <v>690</v>
      </c>
      <c r="I8" s="28" t="s">
        <v>690</v>
      </c>
      <c r="J8" s="28" t="s">
        <v>690</v>
      </c>
      <c r="K8" s="28" t="s">
        <v>690</v>
      </c>
      <c r="L8" s="28" t="s">
        <v>690</v>
      </c>
      <c r="M8" s="28" t="s">
        <v>690</v>
      </c>
      <c r="N8" s="28" t="s">
        <v>690</v>
      </c>
      <c r="O8" s="28" t="s">
        <v>690</v>
      </c>
      <c r="P8" s="28" t="s">
        <v>691</v>
      </c>
      <c r="Q8" s="28" t="s">
        <v>691</v>
      </c>
      <c r="R8" s="80"/>
      <c r="S8" s="28" t="s">
        <v>692</v>
      </c>
      <c r="T8" s="80"/>
      <c r="U8" s="84"/>
      <c r="V8" s="84"/>
      <c r="W8" s="84"/>
      <c r="X8" s="28" t="s">
        <v>502</v>
      </c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 ht="15.75" customHeight="1">
      <c r="A9" s="26" t="s">
        <v>121</v>
      </c>
      <c r="B9" s="81"/>
      <c r="C9" s="29" t="s">
        <v>502</v>
      </c>
      <c r="D9" s="28" t="s">
        <v>693</v>
      </c>
      <c r="E9" s="28" t="s">
        <v>694</v>
      </c>
      <c r="F9" s="28" t="s">
        <v>694</v>
      </c>
      <c r="G9" s="29" t="s">
        <v>695</v>
      </c>
      <c r="H9" s="91" t="s">
        <v>696</v>
      </c>
      <c r="I9" s="28" t="s">
        <v>695</v>
      </c>
      <c r="J9" s="28" t="s">
        <v>695</v>
      </c>
      <c r="K9" s="28" t="s">
        <v>697</v>
      </c>
      <c r="L9" s="28" t="s">
        <v>695</v>
      </c>
      <c r="M9" s="28" t="s">
        <v>698</v>
      </c>
      <c r="N9" s="28" t="s">
        <v>690</v>
      </c>
      <c r="O9" s="28" t="s">
        <v>690</v>
      </c>
      <c r="P9" s="28" t="s">
        <v>690</v>
      </c>
      <c r="Q9" s="28" t="s">
        <v>690</v>
      </c>
      <c r="R9" s="80"/>
      <c r="S9" s="28" t="s">
        <v>695</v>
      </c>
      <c r="T9" s="80"/>
      <c r="U9" s="172"/>
      <c r="V9" s="172"/>
      <c r="W9" s="172"/>
      <c r="X9" s="29" t="s">
        <v>502</v>
      </c>
      <c r="Y9" s="81"/>
      <c r="Z9" s="81"/>
      <c r="AA9" s="81"/>
      <c r="AB9" s="81"/>
      <c r="AC9" s="81"/>
      <c r="AD9" s="81"/>
      <c r="AE9" s="81"/>
      <c r="AF9" s="81"/>
      <c r="AG9" s="81"/>
      <c r="AH9" s="81"/>
    </row>
    <row r="10" spans="1:34" ht="15.75" customHeight="1">
      <c r="A10" s="140" t="s">
        <v>122</v>
      </c>
      <c r="B10" s="174"/>
      <c r="C10" s="167">
        <v>501</v>
      </c>
      <c r="D10" s="167">
        <v>502</v>
      </c>
      <c r="E10" s="167">
        <v>508</v>
      </c>
      <c r="F10" s="167">
        <v>508</v>
      </c>
      <c r="G10" s="167">
        <v>504</v>
      </c>
      <c r="H10" s="171">
        <v>550</v>
      </c>
      <c r="I10" s="167">
        <v>504</v>
      </c>
      <c r="J10" s="167">
        <v>504</v>
      </c>
      <c r="K10" s="167">
        <v>515</v>
      </c>
      <c r="L10" s="167">
        <v>504</v>
      </c>
      <c r="M10" s="167">
        <v>514</v>
      </c>
      <c r="N10" s="167">
        <v>503</v>
      </c>
      <c r="O10" s="167">
        <v>503</v>
      </c>
      <c r="P10" s="167">
        <v>503</v>
      </c>
      <c r="Q10" s="167">
        <v>503</v>
      </c>
      <c r="R10" s="174"/>
      <c r="S10" s="167">
        <v>504</v>
      </c>
      <c r="T10" s="174"/>
      <c r="U10" s="175"/>
      <c r="V10" s="175"/>
      <c r="W10" s="175"/>
      <c r="X10" s="167">
        <v>501</v>
      </c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</row>
    <row r="11" spans="1:34" ht="15.75" customHeight="1">
      <c r="A11" s="26" t="s">
        <v>699</v>
      </c>
      <c r="B11" s="80"/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86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80"/>
      <c r="S11" s="28" t="s">
        <v>127</v>
      </c>
      <c r="T11" s="80"/>
      <c r="U11" s="84"/>
      <c r="V11" s="84"/>
      <c r="W11" s="84"/>
      <c r="X11" s="28" t="s">
        <v>127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 ht="15.75" customHeight="1">
      <c r="A12" s="26" t="s">
        <v>700</v>
      </c>
      <c r="B12" s="80"/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86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80"/>
      <c r="S12" s="28" t="s">
        <v>127</v>
      </c>
      <c r="T12" s="80"/>
      <c r="U12" s="84"/>
      <c r="V12" s="84"/>
      <c r="W12" s="84"/>
      <c r="X12" s="28" t="s">
        <v>127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 ht="15.75" customHeight="1">
      <c r="A13" s="26" t="s">
        <v>701</v>
      </c>
      <c r="B13" s="80"/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86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80"/>
      <c r="S13" s="28" t="s">
        <v>124</v>
      </c>
      <c r="T13" s="80"/>
      <c r="U13" s="84"/>
      <c r="V13" s="84"/>
      <c r="W13" s="84"/>
      <c r="X13" s="28" t="s">
        <v>124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 ht="15.75" customHeight="1">
      <c r="A14" s="26" t="s">
        <v>702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86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80"/>
      <c r="U14" s="84"/>
      <c r="V14" s="84"/>
      <c r="W14" s="84"/>
      <c r="X14" s="28" t="s">
        <v>127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 ht="15.75" customHeight="1">
      <c r="A15" s="26" t="s">
        <v>703</v>
      </c>
      <c r="B15" s="80"/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86" t="s">
        <v>127</v>
      </c>
      <c r="I15" s="28" t="s">
        <v>127</v>
      </c>
      <c r="J15" s="28" t="s">
        <v>127</v>
      </c>
      <c r="K15" s="28" t="s">
        <v>127</v>
      </c>
      <c r="L15" s="28" t="s">
        <v>127</v>
      </c>
      <c r="M15" s="28" t="s">
        <v>127</v>
      </c>
      <c r="N15" s="28" t="s">
        <v>127</v>
      </c>
      <c r="O15" s="28" t="s">
        <v>127</v>
      </c>
      <c r="P15" s="28" t="s">
        <v>127</v>
      </c>
      <c r="Q15" s="28" t="s">
        <v>127</v>
      </c>
      <c r="R15" s="80"/>
      <c r="S15" s="28" t="s">
        <v>127</v>
      </c>
      <c r="T15" s="80"/>
      <c r="U15" s="84"/>
      <c r="V15" s="84"/>
      <c r="W15" s="84"/>
      <c r="X15" s="28" t="s">
        <v>127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 ht="15.75" customHeight="1">
      <c r="A16" s="26" t="s">
        <v>704</v>
      </c>
      <c r="B16" s="80"/>
      <c r="C16" s="28" t="s">
        <v>127</v>
      </c>
      <c r="D16" s="28" t="s">
        <v>127</v>
      </c>
      <c r="E16" s="28" t="s">
        <v>127</v>
      </c>
      <c r="F16" s="28" t="s">
        <v>127</v>
      </c>
      <c r="G16" s="28" t="s">
        <v>127</v>
      </c>
      <c r="H16" s="28" t="s">
        <v>127</v>
      </c>
      <c r="I16" s="28" t="s">
        <v>127</v>
      </c>
      <c r="J16" s="28" t="s">
        <v>127</v>
      </c>
      <c r="K16" s="28" t="s">
        <v>127</v>
      </c>
      <c r="L16" s="28" t="s">
        <v>127</v>
      </c>
      <c r="M16" s="28" t="s">
        <v>127</v>
      </c>
      <c r="N16" s="28" t="s">
        <v>127</v>
      </c>
      <c r="O16" s="28" t="s">
        <v>127</v>
      </c>
      <c r="P16" s="28" t="s">
        <v>127</v>
      </c>
      <c r="Q16" s="28" t="s">
        <v>127</v>
      </c>
      <c r="R16" s="80"/>
      <c r="S16" s="28" t="s">
        <v>127</v>
      </c>
      <c r="T16" s="80"/>
      <c r="U16" s="84"/>
      <c r="V16" s="84"/>
      <c r="W16" s="84"/>
      <c r="X16" s="28" t="s">
        <v>127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 ht="15.75" customHeight="1">
      <c r="A17" s="26" t="s">
        <v>705</v>
      </c>
      <c r="B17" s="82"/>
      <c r="C17" s="30" t="s">
        <v>706</v>
      </c>
      <c r="D17" s="30" t="s">
        <v>706</v>
      </c>
      <c r="E17" s="28" t="s">
        <v>706</v>
      </c>
      <c r="F17" s="28" t="s">
        <v>706</v>
      </c>
      <c r="G17" s="30" t="s">
        <v>706</v>
      </c>
      <c r="H17" s="92" t="s">
        <v>706</v>
      </c>
      <c r="I17" s="30" t="s">
        <v>706</v>
      </c>
      <c r="J17" s="30" t="s">
        <v>706</v>
      </c>
      <c r="K17" s="30" t="s">
        <v>706</v>
      </c>
      <c r="L17" s="30" t="s">
        <v>706</v>
      </c>
      <c r="M17" s="30" t="s">
        <v>706</v>
      </c>
      <c r="N17" s="30"/>
      <c r="O17" s="30" t="s">
        <v>706</v>
      </c>
      <c r="P17" s="30" t="s">
        <v>707</v>
      </c>
      <c r="Q17" s="30" t="s">
        <v>707</v>
      </c>
      <c r="R17" s="80"/>
      <c r="S17" s="30" t="s">
        <v>706</v>
      </c>
      <c r="T17" s="80"/>
      <c r="U17" s="84"/>
      <c r="V17" s="84"/>
      <c r="W17" s="84"/>
      <c r="X17" s="28" t="s">
        <v>706</v>
      </c>
      <c r="Y17" s="80"/>
      <c r="Z17" s="80"/>
      <c r="AA17" s="82"/>
      <c r="AB17" s="82"/>
      <c r="AC17" s="82"/>
      <c r="AD17" s="82"/>
      <c r="AE17" s="82"/>
      <c r="AF17" s="82"/>
      <c r="AG17" s="82"/>
      <c r="AH17" s="82"/>
    </row>
    <row r="18" spans="1:34" ht="15.75" customHeight="1">
      <c r="A18" s="26" t="s">
        <v>708</v>
      </c>
      <c r="B18" s="82"/>
      <c r="C18" s="28" t="s">
        <v>709</v>
      </c>
      <c r="D18" s="28" t="s">
        <v>709</v>
      </c>
      <c r="E18" s="28" t="s">
        <v>709</v>
      </c>
      <c r="F18" s="28" t="s">
        <v>709</v>
      </c>
      <c r="G18" s="30" t="s">
        <v>710</v>
      </c>
      <c r="H18" s="92" t="s">
        <v>710</v>
      </c>
      <c r="I18" s="30" t="s">
        <v>710</v>
      </c>
      <c r="J18" s="30" t="s">
        <v>710</v>
      </c>
      <c r="K18" s="30" t="s">
        <v>710</v>
      </c>
      <c r="L18" s="30" t="s">
        <v>710</v>
      </c>
      <c r="M18" s="30" t="s">
        <v>710</v>
      </c>
      <c r="N18" s="28" t="s">
        <v>710</v>
      </c>
      <c r="O18" s="28" t="s">
        <v>710</v>
      </c>
      <c r="P18" s="28" t="s">
        <v>710</v>
      </c>
      <c r="Q18" s="28" t="s">
        <v>710</v>
      </c>
      <c r="R18" s="82"/>
      <c r="S18" s="30" t="s">
        <v>710</v>
      </c>
      <c r="T18" s="82"/>
      <c r="U18" s="190"/>
      <c r="V18" s="190"/>
      <c r="W18" s="190"/>
      <c r="X18" s="28" t="s">
        <v>709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1:34" ht="15.75" customHeight="1">
      <c r="A19" s="26" t="s">
        <v>711</v>
      </c>
      <c r="B19" s="80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8">
        <v>3</v>
      </c>
      <c r="J19" s="128">
        <v>3</v>
      </c>
      <c r="K19" s="128">
        <v>2</v>
      </c>
      <c r="L19" s="128">
        <v>3</v>
      </c>
      <c r="M19" s="128">
        <v>3</v>
      </c>
      <c r="N19" s="128">
        <v>4</v>
      </c>
      <c r="O19" s="128">
        <v>4</v>
      </c>
      <c r="P19" s="128">
        <v>4</v>
      </c>
      <c r="Q19" s="128">
        <v>4</v>
      </c>
      <c r="R19" s="81"/>
      <c r="S19" s="128">
        <v>3</v>
      </c>
      <c r="T19" s="81"/>
      <c r="U19" s="80"/>
      <c r="V19" s="80"/>
      <c r="W19" s="80"/>
      <c r="X19" s="30">
        <v>6</v>
      </c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 ht="15.75" customHeight="1">
      <c r="A20" s="26" t="s">
        <v>712</v>
      </c>
      <c r="B20" s="80"/>
      <c r="C20" s="28" t="s">
        <v>713</v>
      </c>
      <c r="D20" s="28" t="s">
        <v>713</v>
      </c>
      <c r="E20" s="28" t="s">
        <v>713</v>
      </c>
      <c r="F20" s="28" t="s">
        <v>713</v>
      </c>
      <c r="G20" s="28" t="s">
        <v>713</v>
      </c>
      <c r="H20" s="28" t="s">
        <v>713</v>
      </c>
      <c r="I20" s="28" t="s">
        <v>713</v>
      </c>
      <c r="J20" s="28" t="s">
        <v>713</v>
      </c>
      <c r="K20" s="28" t="s">
        <v>714</v>
      </c>
      <c r="L20" s="28" t="s">
        <v>713</v>
      </c>
      <c r="M20" s="28" t="s">
        <v>714</v>
      </c>
      <c r="N20" s="28" t="s">
        <v>713</v>
      </c>
      <c r="O20" s="28" t="s">
        <v>713</v>
      </c>
      <c r="P20" s="28" t="s">
        <v>713</v>
      </c>
      <c r="Q20" s="28" t="s">
        <v>713</v>
      </c>
      <c r="R20" s="80"/>
      <c r="S20" s="28" t="s">
        <v>713</v>
      </c>
      <c r="T20" s="80"/>
      <c r="U20" s="80"/>
      <c r="V20" s="80"/>
      <c r="W20" s="80"/>
      <c r="X20" s="28" t="s">
        <v>713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 ht="15.75" customHeight="1">
      <c r="A21" s="26" t="s">
        <v>715</v>
      </c>
      <c r="B21" s="82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/>
      <c r="S21" s="30">
        <v>1</v>
      </c>
      <c r="T21" s="82"/>
      <c r="U21" s="82"/>
      <c r="V21" s="82"/>
      <c r="W21" s="82"/>
      <c r="X21" s="30">
        <v>1</v>
      </c>
      <c r="Y21" s="82"/>
      <c r="Z21" s="82"/>
      <c r="AA21" s="82"/>
      <c r="AB21" s="82"/>
      <c r="AC21" s="82"/>
      <c r="AD21" s="82"/>
      <c r="AE21" s="82"/>
      <c r="AF21" s="82"/>
      <c r="AG21" s="82"/>
      <c r="AH21" s="82"/>
    </row>
    <row r="22" spans="1:34" ht="15.75" customHeight="1"/>
    <row r="23" spans="1:34" ht="15.75" customHeight="1">
      <c r="A23" s="26" t="s">
        <v>117</v>
      </c>
      <c r="B23" s="28" t="s">
        <v>362</v>
      </c>
      <c r="C23" s="28" t="s">
        <v>206</v>
      </c>
      <c r="D23" s="28" t="s">
        <v>206</v>
      </c>
      <c r="E23" s="28" t="s">
        <v>206</v>
      </c>
      <c r="F23" s="28" t="s">
        <v>206</v>
      </c>
      <c r="G23" s="28" t="s">
        <v>206</v>
      </c>
      <c r="H23" s="28" t="s">
        <v>206</v>
      </c>
      <c r="I23" s="28" t="s">
        <v>206</v>
      </c>
      <c r="J23" s="28" t="s">
        <v>206</v>
      </c>
      <c r="K23" s="28" t="s">
        <v>206</v>
      </c>
      <c r="L23" s="28" t="s">
        <v>206</v>
      </c>
      <c r="M23" s="28" t="s">
        <v>206</v>
      </c>
      <c r="N23" s="28" t="s">
        <v>206</v>
      </c>
      <c r="O23" s="28" t="s">
        <v>206</v>
      </c>
      <c r="P23" s="187"/>
      <c r="Q23" s="80"/>
      <c r="R23" s="86" t="s">
        <v>206</v>
      </c>
      <c r="S23" s="80"/>
      <c r="T23" s="28" t="s">
        <v>206</v>
      </c>
      <c r="U23" s="28" t="s">
        <v>206</v>
      </c>
      <c r="V23" s="28" t="s">
        <v>206</v>
      </c>
      <c r="W23" s="28" t="s">
        <v>206</v>
      </c>
      <c r="X23" s="83" t="s">
        <v>206</v>
      </c>
      <c r="Y23" s="28" t="s">
        <v>206</v>
      </c>
      <c r="Z23" s="28" t="s">
        <v>206</v>
      </c>
      <c r="AA23" s="28" t="s">
        <v>206</v>
      </c>
      <c r="AB23" s="28" t="s">
        <v>206</v>
      </c>
      <c r="AC23" s="28" t="s">
        <v>206</v>
      </c>
      <c r="AD23" s="28" t="s">
        <v>206</v>
      </c>
      <c r="AE23" s="28" t="s">
        <v>206</v>
      </c>
      <c r="AF23" s="28" t="s">
        <v>206</v>
      </c>
      <c r="AG23" s="28" t="s">
        <v>206</v>
      </c>
      <c r="AH23" s="83" t="s">
        <v>206</v>
      </c>
    </row>
    <row r="24" spans="1:34" ht="15.75" customHeight="1">
      <c r="A24" s="26" t="s">
        <v>121</v>
      </c>
      <c r="B24" s="29" t="s">
        <v>210</v>
      </c>
      <c r="C24" s="28" t="s">
        <v>231</v>
      </c>
      <c r="D24" s="29" t="s">
        <v>206</v>
      </c>
      <c r="E24" s="28" t="s">
        <v>210</v>
      </c>
      <c r="F24" s="28" t="s">
        <v>210</v>
      </c>
      <c r="G24" s="28" t="s">
        <v>210</v>
      </c>
      <c r="H24" s="28" t="s">
        <v>341</v>
      </c>
      <c r="I24" s="29" t="s">
        <v>206</v>
      </c>
      <c r="J24" s="28" t="s">
        <v>210</v>
      </c>
      <c r="K24" s="28" t="s">
        <v>210</v>
      </c>
      <c r="L24" s="28" t="s">
        <v>210</v>
      </c>
      <c r="M24" s="28" t="s">
        <v>210</v>
      </c>
      <c r="N24" s="28" t="s">
        <v>210</v>
      </c>
      <c r="O24" s="28" t="s">
        <v>210</v>
      </c>
      <c r="P24" s="188"/>
      <c r="Q24" s="80"/>
      <c r="R24" s="86" t="s">
        <v>211</v>
      </c>
      <c r="S24" s="80"/>
      <c r="T24" s="28" t="s">
        <v>716</v>
      </c>
      <c r="U24" s="28" t="s">
        <v>210</v>
      </c>
      <c r="V24" s="28" t="s">
        <v>231</v>
      </c>
      <c r="W24" s="28" t="s">
        <v>717</v>
      </c>
      <c r="X24" s="83" t="s">
        <v>210</v>
      </c>
      <c r="Y24" s="115" t="s">
        <v>364</v>
      </c>
      <c r="Z24" s="28" t="s">
        <v>206</v>
      </c>
      <c r="AA24" s="28" t="s">
        <v>206</v>
      </c>
      <c r="AB24" s="28" t="s">
        <v>206</v>
      </c>
      <c r="AC24" s="28" t="s">
        <v>231</v>
      </c>
      <c r="AD24" s="28" t="s">
        <v>206</v>
      </c>
      <c r="AE24" s="28" t="s">
        <v>718</v>
      </c>
      <c r="AF24" s="28" t="s">
        <v>210</v>
      </c>
      <c r="AG24" s="28" t="s">
        <v>211</v>
      </c>
      <c r="AH24" s="85" t="s">
        <v>211</v>
      </c>
    </row>
    <row r="25" spans="1:34" ht="15.75" customHeight="1">
      <c r="A25" s="140" t="s">
        <v>122</v>
      </c>
      <c r="B25" s="167">
        <v>52</v>
      </c>
      <c r="C25" s="167">
        <v>56</v>
      </c>
      <c r="D25" s="167">
        <v>50</v>
      </c>
      <c r="E25" s="167">
        <v>122</v>
      </c>
      <c r="F25" s="167">
        <v>52</v>
      </c>
      <c r="G25" s="167">
        <v>52</v>
      </c>
      <c r="H25" s="167">
        <v>68</v>
      </c>
      <c r="I25" s="167">
        <v>50</v>
      </c>
      <c r="J25" s="167">
        <v>52</v>
      </c>
      <c r="K25" s="167">
        <v>52</v>
      </c>
      <c r="L25" s="167">
        <v>52</v>
      </c>
      <c r="M25" s="167">
        <v>52</v>
      </c>
      <c r="N25" s="167">
        <v>52</v>
      </c>
      <c r="O25" s="167">
        <v>52</v>
      </c>
      <c r="P25" s="189"/>
      <c r="Q25" s="174"/>
      <c r="R25" s="171">
        <v>48</v>
      </c>
      <c r="S25" s="174"/>
      <c r="T25" s="167">
        <v>159</v>
      </c>
      <c r="U25" s="167">
        <v>52</v>
      </c>
      <c r="V25" s="167">
        <v>56</v>
      </c>
      <c r="W25" s="167">
        <v>103</v>
      </c>
      <c r="X25" s="168">
        <v>52</v>
      </c>
      <c r="Y25" s="167">
        <v>118</v>
      </c>
      <c r="Z25" s="167">
        <v>50</v>
      </c>
      <c r="AA25" s="167">
        <v>50</v>
      </c>
      <c r="AB25" s="167">
        <v>50</v>
      </c>
      <c r="AC25" s="167">
        <v>56</v>
      </c>
      <c r="AD25" s="167">
        <v>50</v>
      </c>
      <c r="AE25" s="167">
        <v>160</v>
      </c>
      <c r="AF25" s="167">
        <v>52</v>
      </c>
      <c r="AG25" s="167">
        <v>48</v>
      </c>
      <c r="AH25" s="168">
        <v>48</v>
      </c>
    </row>
    <row r="26" spans="1:34" ht="15.75" customHeight="1">
      <c r="A26" s="26" t="s">
        <v>123</v>
      </c>
      <c r="B26" s="29" t="s">
        <v>124</v>
      </c>
      <c r="C26" s="28" t="s">
        <v>124</v>
      </c>
      <c r="D26" s="28" t="s">
        <v>124</v>
      </c>
      <c r="E26" s="28" t="s">
        <v>124</v>
      </c>
      <c r="F26" s="28" t="s">
        <v>124</v>
      </c>
      <c r="G26" s="29" t="s">
        <v>124</v>
      </c>
      <c r="H26" s="29" t="s">
        <v>124</v>
      </c>
      <c r="I26" s="29" t="s">
        <v>124</v>
      </c>
      <c r="J26" s="28" t="s">
        <v>124</v>
      </c>
      <c r="K26" s="29" t="s">
        <v>124</v>
      </c>
      <c r="L26" s="29" t="s">
        <v>124</v>
      </c>
      <c r="M26" s="29" t="s">
        <v>124</v>
      </c>
      <c r="N26" s="28" t="s">
        <v>124</v>
      </c>
      <c r="O26" s="28" t="s">
        <v>124</v>
      </c>
      <c r="P26" s="80"/>
      <c r="Q26" s="81"/>
      <c r="R26" s="29" t="s">
        <v>124</v>
      </c>
      <c r="S26" s="81"/>
      <c r="T26" s="29" t="s">
        <v>124</v>
      </c>
      <c r="U26" s="29" t="s">
        <v>124</v>
      </c>
      <c r="V26" s="28" t="s">
        <v>124</v>
      </c>
      <c r="W26" s="28" t="s">
        <v>124</v>
      </c>
      <c r="X26" s="28" t="s">
        <v>124</v>
      </c>
      <c r="Y26" s="28" t="s">
        <v>124</v>
      </c>
      <c r="Z26" s="28" t="s">
        <v>124</v>
      </c>
      <c r="AA26" s="28" t="s">
        <v>124</v>
      </c>
      <c r="AB26" s="28" t="s">
        <v>124</v>
      </c>
      <c r="AC26" s="28" t="s">
        <v>124</v>
      </c>
      <c r="AD26" s="28" t="s">
        <v>124</v>
      </c>
      <c r="AE26" s="28" t="s">
        <v>124</v>
      </c>
      <c r="AF26" s="28" t="s">
        <v>124</v>
      </c>
      <c r="AG26" s="28" t="s">
        <v>124</v>
      </c>
      <c r="AH26" s="85" t="s">
        <v>124</v>
      </c>
    </row>
    <row r="27" spans="1:34" ht="15.75" customHeight="1">
      <c r="A27" s="26" t="s">
        <v>125</v>
      </c>
      <c r="B27" s="28" t="s">
        <v>127</v>
      </c>
      <c r="C27" s="28" t="s">
        <v>127</v>
      </c>
      <c r="D27" s="28" t="s">
        <v>127</v>
      </c>
      <c r="E27" s="28" t="s">
        <v>127</v>
      </c>
      <c r="F27" s="28" t="s">
        <v>127</v>
      </c>
      <c r="G27" s="28" t="s">
        <v>127</v>
      </c>
      <c r="H27" s="29" t="s">
        <v>124</v>
      </c>
      <c r="I27" s="28" t="s">
        <v>127</v>
      </c>
      <c r="J27" s="28" t="s">
        <v>127</v>
      </c>
      <c r="K27" s="28" t="s">
        <v>127</v>
      </c>
      <c r="L27" s="28" t="s">
        <v>127</v>
      </c>
      <c r="M27" s="28" t="s">
        <v>127</v>
      </c>
      <c r="N27" s="28" t="s">
        <v>127</v>
      </c>
      <c r="O27" s="28" t="s">
        <v>127</v>
      </c>
      <c r="P27" s="80"/>
      <c r="Q27" s="80"/>
      <c r="R27" s="28" t="s">
        <v>127</v>
      </c>
      <c r="S27" s="80"/>
      <c r="T27" s="28" t="s">
        <v>127</v>
      </c>
      <c r="U27" s="28" t="s">
        <v>127</v>
      </c>
      <c r="V27" s="28" t="s">
        <v>127</v>
      </c>
      <c r="W27" s="28" t="s">
        <v>127</v>
      </c>
      <c r="X27" s="29" t="s">
        <v>127</v>
      </c>
      <c r="Y27" s="29" t="s">
        <v>127</v>
      </c>
      <c r="Z27" s="28" t="s">
        <v>127</v>
      </c>
      <c r="AA27" s="28" t="s">
        <v>127</v>
      </c>
      <c r="AB27" s="28" t="s">
        <v>127</v>
      </c>
      <c r="AC27" s="28" t="s">
        <v>127</v>
      </c>
      <c r="AD27" s="28" t="s">
        <v>127</v>
      </c>
      <c r="AE27" s="28" t="s">
        <v>127</v>
      </c>
      <c r="AF27" s="28" t="s">
        <v>127</v>
      </c>
      <c r="AG27" s="28" t="s">
        <v>127</v>
      </c>
      <c r="AH27" s="83" t="s">
        <v>127</v>
      </c>
    </row>
    <row r="28" spans="1:34" ht="15.75" customHeight="1">
      <c r="A28" s="26" t="s">
        <v>126</v>
      </c>
      <c r="B28" s="28" t="s">
        <v>124</v>
      </c>
      <c r="C28" s="28" t="s">
        <v>124</v>
      </c>
      <c r="D28" s="28" t="s">
        <v>124</v>
      </c>
      <c r="E28" s="28" t="s">
        <v>124</v>
      </c>
      <c r="F28" s="28" t="s">
        <v>124</v>
      </c>
      <c r="G28" s="28" t="s">
        <v>124</v>
      </c>
      <c r="H28" s="28" t="s">
        <v>127</v>
      </c>
      <c r="I28" s="28" t="s">
        <v>124</v>
      </c>
      <c r="J28" s="28" t="s">
        <v>124</v>
      </c>
      <c r="K28" s="28" t="s">
        <v>124</v>
      </c>
      <c r="L28" s="28" t="s">
        <v>124</v>
      </c>
      <c r="M28" s="28" t="s">
        <v>124</v>
      </c>
      <c r="N28" s="28" t="s">
        <v>124</v>
      </c>
      <c r="O28" s="28" t="s">
        <v>124</v>
      </c>
      <c r="P28" s="80"/>
      <c r="Q28" s="80"/>
      <c r="R28" s="28" t="s">
        <v>124</v>
      </c>
      <c r="S28" s="80"/>
      <c r="T28" s="28" t="s">
        <v>124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 t="s">
        <v>124</v>
      </c>
      <c r="Z28" s="28" t="s">
        <v>124</v>
      </c>
      <c r="AA28" s="28" t="s">
        <v>124</v>
      </c>
      <c r="AB28" s="28" t="s">
        <v>124</v>
      </c>
      <c r="AC28" s="28" t="s">
        <v>124</v>
      </c>
      <c r="AD28" s="28" t="s">
        <v>124</v>
      </c>
      <c r="AE28" s="28" t="s">
        <v>124</v>
      </c>
      <c r="AF28" s="28" t="s">
        <v>124</v>
      </c>
      <c r="AG28" s="28" t="s">
        <v>124</v>
      </c>
      <c r="AH28" s="83" t="s">
        <v>124</v>
      </c>
    </row>
    <row r="29" spans="1:34" ht="15.75" customHeight="1">
      <c r="A29" s="26" t="s">
        <v>128</v>
      </c>
      <c r="B29" s="28" t="s">
        <v>127</v>
      </c>
      <c r="C29" s="28" t="s">
        <v>127</v>
      </c>
      <c r="D29" s="28" t="s">
        <v>127</v>
      </c>
      <c r="E29" s="28" t="s">
        <v>127</v>
      </c>
      <c r="F29" s="28" t="s">
        <v>127</v>
      </c>
      <c r="G29" s="28" t="s">
        <v>127</v>
      </c>
      <c r="H29" s="28" t="s">
        <v>127</v>
      </c>
      <c r="I29" s="28" t="s">
        <v>127</v>
      </c>
      <c r="J29" s="28" t="s">
        <v>127</v>
      </c>
      <c r="K29" s="28" t="s">
        <v>127</v>
      </c>
      <c r="L29" s="28" t="s">
        <v>127</v>
      </c>
      <c r="M29" s="28" t="s">
        <v>127</v>
      </c>
      <c r="N29" s="28" t="s">
        <v>127</v>
      </c>
      <c r="O29" s="28" t="s">
        <v>127</v>
      </c>
      <c r="P29" s="80"/>
      <c r="Q29" s="80"/>
      <c r="R29" s="28" t="s">
        <v>127</v>
      </c>
      <c r="S29" s="80"/>
      <c r="T29" s="28" t="s">
        <v>127</v>
      </c>
      <c r="U29" s="28" t="s">
        <v>127</v>
      </c>
      <c r="V29" s="28" t="s">
        <v>127</v>
      </c>
      <c r="W29" s="28" t="s">
        <v>127</v>
      </c>
      <c r="X29" s="28" t="s">
        <v>127</v>
      </c>
      <c r="Y29" s="28" t="s">
        <v>127</v>
      </c>
      <c r="Z29" s="28" t="s">
        <v>127</v>
      </c>
      <c r="AA29" s="28" t="s">
        <v>127</v>
      </c>
      <c r="AB29" s="28" t="s">
        <v>127</v>
      </c>
      <c r="AC29" s="28" t="s">
        <v>127</v>
      </c>
      <c r="AD29" s="28" t="s">
        <v>127</v>
      </c>
      <c r="AE29" s="28" t="s">
        <v>127</v>
      </c>
      <c r="AF29" s="28" t="s">
        <v>127</v>
      </c>
      <c r="AG29" s="28" t="s">
        <v>127</v>
      </c>
      <c r="AH29" s="83" t="s">
        <v>127</v>
      </c>
    </row>
    <row r="30" spans="1:34" ht="15.75" customHeight="1">
      <c r="A30" s="26" t="s">
        <v>129</v>
      </c>
      <c r="B30" s="28" t="s">
        <v>149</v>
      </c>
      <c r="C30" s="28" t="s">
        <v>150</v>
      </c>
      <c r="D30" s="28" t="s">
        <v>149</v>
      </c>
      <c r="E30" s="28" t="s">
        <v>149</v>
      </c>
      <c r="F30" s="28" t="s">
        <v>149</v>
      </c>
      <c r="G30" s="28" t="s">
        <v>149</v>
      </c>
      <c r="H30" s="28" t="s">
        <v>343</v>
      </c>
      <c r="I30" s="28" t="s">
        <v>149</v>
      </c>
      <c r="J30" s="28" t="s">
        <v>149</v>
      </c>
      <c r="K30" s="28" t="s">
        <v>149</v>
      </c>
      <c r="L30" s="28" t="s">
        <v>149</v>
      </c>
      <c r="M30" s="28" t="s">
        <v>149</v>
      </c>
      <c r="N30" s="28" t="s">
        <v>149</v>
      </c>
      <c r="O30" s="28" t="s">
        <v>149</v>
      </c>
      <c r="P30" s="80"/>
      <c r="Q30" s="80"/>
      <c r="R30" s="28" t="s">
        <v>149</v>
      </c>
      <c r="S30" s="80"/>
      <c r="T30" s="28" t="s">
        <v>149</v>
      </c>
      <c r="U30" s="28" t="s">
        <v>149</v>
      </c>
      <c r="V30" s="28" t="s">
        <v>150</v>
      </c>
      <c r="W30" s="28" t="s">
        <v>316</v>
      </c>
      <c r="X30" s="28" t="s">
        <v>149</v>
      </c>
      <c r="Y30" s="28" t="s">
        <v>149</v>
      </c>
      <c r="Z30" s="28" t="s">
        <v>149</v>
      </c>
      <c r="AA30" s="28" t="s">
        <v>149</v>
      </c>
      <c r="AB30" s="28" t="s">
        <v>149</v>
      </c>
      <c r="AC30" s="28" t="s">
        <v>150</v>
      </c>
      <c r="AD30" s="28" t="s">
        <v>149</v>
      </c>
      <c r="AE30" s="28" t="s">
        <v>316</v>
      </c>
      <c r="AF30" s="28" t="s">
        <v>149</v>
      </c>
      <c r="AG30" s="28" t="s">
        <v>149</v>
      </c>
      <c r="AH30" s="83" t="s">
        <v>149</v>
      </c>
    </row>
    <row r="31" spans="1:34" ht="15.75" customHeight="1">
      <c r="A31" s="26" t="s">
        <v>130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/>
      <c r="Q31" s="82"/>
      <c r="R31" s="30">
        <f>4/3</f>
        <v>1.3333333333333333</v>
      </c>
      <c r="S31" s="82"/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 ht="15.75" customHeight="1">
      <c r="A32" s="26" t="s">
        <v>131</v>
      </c>
      <c r="B32" s="28" t="s">
        <v>180</v>
      </c>
      <c r="C32" s="28" t="s">
        <v>180</v>
      </c>
      <c r="D32" s="28" t="s">
        <v>180</v>
      </c>
      <c r="E32" s="28" t="s">
        <v>180</v>
      </c>
      <c r="F32" s="28" t="s">
        <v>180</v>
      </c>
      <c r="G32" s="28" t="s">
        <v>180</v>
      </c>
      <c r="H32" s="28" t="s">
        <v>180</v>
      </c>
      <c r="I32" s="28" t="s">
        <v>180</v>
      </c>
      <c r="J32" s="28" t="s">
        <v>180</v>
      </c>
      <c r="K32" s="28" t="s">
        <v>180</v>
      </c>
      <c r="L32" s="28" t="s">
        <v>180</v>
      </c>
      <c r="M32" s="28" t="s">
        <v>180</v>
      </c>
      <c r="N32" s="28" t="s">
        <v>180</v>
      </c>
      <c r="O32" s="28" t="s">
        <v>180</v>
      </c>
      <c r="P32" s="80"/>
      <c r="Q32" s="80"/>
      <c r="R32" s="28" t="s">
        <v>180</v>
      </c>
      <c r="S32" s="80"/>
      <c r="T32" s="28" t="s">
        <v>180</v>
      </c>
      <c r="U32" s="28" t="s">
        <v>180</v>
      </c>
      <c r="V32" s="28" t="s">
        <v>180</v>
      </c>
      <c r="W32" s="28" t="s">
        <v>180</v>
      </c>
      <c r="X32" s="28" t="s">
        <v>180</v>
      </c>
      <c r="Y32" s="28" t="s">
        <v>180</v>
      </c>
      <c r="Z32" s="28" t="s">
        <v>180</v>
      </c>
      <c r="AA32" s="28" t="s">
        <v>180</v>
      </c>
      <c r="AB32" s="28" t="s">
        <v>180</v>
      </c>
      <c r="AC32" s="28" t="s">
        <v>180</v>
      </c>
      <c r="AD32" s="28" t="s">
        <v>180</v>
      </c>
      <c r="AE32" s="28" t="s">
        <v>180</v>
      </c>
      <c r="AF32" s="28" t="s">
        <v>180</v>
      </c>
      <c r="AG32" s="28" t="s">
        <v>180</v>
      </c>
      <c r="AH32" s="83" t="s">
        <v>180</v>
      </c>
    </row>
    <row r="33" spans="1:34" ht="15.75" customHeight="1">
      <c r="A33" s="26" t="s">
        <v>133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/>
      <c r="Q33" s="82"/>
      <c r="R33" s="30">
        <v>2</v>
      </c>
      <c r="S33" s="82"/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4" spans="1:34" ht="15.75" customHeight="1">
      <c r="B34" s="56"/>
    </row>
    <row r="35" spans="1:34" ht="15.75" customHeight="1">
      <c r="A35" s="26" t="s">
        <v>117</v>
      </c>
      <c r="B35" s="28" t="s">
        <v>132</v>
      </c>
      <c r="C35" s="28" t="s">
        <v>498</v>
      </c>
      <c r="D35" s="28" t="s">
        <v>498</v>
      </c>
      <c r="E35" s="28" t="s">
        <v>498</v>
      </c>
      <c r="F35" s="28" t="s">
        <v>498</v>
      </c>
      <c r="G35" s="28" t="s">
        <v>498</v>
      </c>
      <c r="H35" s="28" t="s">
        <v>498</v>
      </c>
      <c r="I35" s="28" t="s">
        <v>498</v>
      </c>
      <c r="J35" s="28" t="s">
        <v>498</v>
      </c>
      <c r="K35" s="28" t="s">
        <v>498</v>
      </c>
      <c r="L35" s="28" t="s">
        <v>498</v>
      </c>
      <c r="M35" s="28" t="s">
        <v>498</v>
      </c>
      <c r="N35" s="28" t="s">
        <v>498</v>
      </c>
      <c r="O35" s="28" t="s">
        <v>498</v>
      </c>
      <c r="P35" s="28" t="s">
        <v>498</v>
      </c>
      <c r="Q35" s="28" t="s">
        <v>498</v>
      </c>
      <c r="R35" s="28" t="s">
        <v>498</v>
      </c>
      <c r="S35" s="28" t="s">
        <v>498</v>
      </c>
      <c r="T35" s="28" t="s">
        <v>498</v>
      </c>
      <c r="U35" s="28" t="s">
        <v>498</v>
      </c>
      <c r="V35" s="28" t="s">
        <v>498</v>
      </c>
      <c r="W35" s="28" t="s">
        <v>498</v>
      </c>
      <c r="X35" s="28" t="s">
        <v>498</v>
      </c>
      <c r="Y35" s="28" t="s">
        <v>498</v>
      </c>
      <c r="Z35" s="28" t="s">
        <v>498</v>
      </c>
      <c r="AA35" s="28" t="s">
        <v>498</v>
      </c>
      <c r="AB35" s="28" t="s">
        <v>498</v>
      </c>
      <c r="AC35" s="28" t="s">
        <v>498</v>
      </c>
      <c r="AD35" s="28" t="s">
        <v>498</v>
      </c>
      <c r="AE35" s="28" t="s">
        <v>498</v>
      </c>
      <c r="AF35" s="28" t="s">
        <v>498</v>
      </c>
      <c r="AG35" s="28" t="s">
        <v>498</v>
      </c>
      <c r="AH35" s="28" t="s">
        <v>498</v>
      </c>
    </row>
    <row r="36" spans="1:34" ht="15.75" customHeight="1">
      <c r="A36" s="26" t="s">
        <v>121</v>
      </c>
      <c r="B36" s="28" t="s">
        <v>498</v>
      </c>
      <c r="C36" s="28" t="s">
        <v>498</v>
      </c>
      <c r="D36" s="28" t="s">
        <v>498</v>
      </c>
      <c r="E36" s="28" t="s">
        <v>498</v>
      </c>
      <c r="F36" s="28" t="s">
        <v>498</v>
      </c>
      <c r="G36" s="28" t="s">
        <v>498</v>
      </c>
      <c r="H36" s="28" t="s">
        <v>498</v>
      </c>
      <c r="I36" s="28" t="s">
        <v>498</v>
      </c>
      <c r="J36" s="28" t="s">
        <v>498</v>
      </c>
      <c r="K36" s="28" t="s">
        <v>498</v>
      </c>
      <c r="L36" s="28" t="s">
        <v>498</v>
      </c>
      <c r="M36" s="28" t="s">
        <v>498</v>
      </c>
      <c r="N36" s="28" t="s">
        <v>498</v>
      </c>
      <c r="O36" s="28" t="s">
        <v>498</v>
      </c>
      <c r="P36" s="28" t="s">
        <v>498</v>
      </c>
      <c r="Q36" s="28" t="s">
        <v>498</v>
      </c>
      <c r="R36" s="28" t="s">
        <v>498</v>
      </c>
      <c r="S36" s="28" t="s">
        <v>498</v>
      </c>
      <c r="T36" s="28" t="s">
        <v>498</v>
      </c>
      <c r="U36" s="28" t="s">
        <v>498</v>
      </c>
      <c r="V36" s="28" t="s">
        <v>498</v>
      </c>
      <c r="W36" s="28" t="s">
        <v>498</v>
      </c>
      <c r="X36" s="28" t="s">
        <v>498</v>
      </c>
      <c r="Y36" s="28" t="s">
        <v>498</v>
      </c>
      <c r="Z36" s="28" t="s">
        <v>498</v>
      </c>
      <c r="AA36" s="28" t="s">
        <v>498</v>
      </c>
      <c r="AB36" s="28" t="s">
        <v>498</v>
      </c>
      <c r="AC36" s="28" t="s">
        <v>498</v>
      </c>
      <c r="AD36" s="28" t="s">
        <v>498</v>
      </c>
      <c r="AE36" s="28" t="s">
        <v>498</v>
      </c>
      <c r="AF36" s="28" t="s">
        <v>498</v>
      </c>
      <c r="AG36" s="28" t="s">
        <v>498</v>
      </c>
      <c r="AH36" s="28" t="s">
        <v>498</v>
      </c>
    </row>
    <row r="37" spans="1:34" ht="15.75" customHeight="1">
      <c r="A37" s="140" t="s">
        <v>122</v>
      </c>
      <c r="B37" s="167">
        <v>1</v>
      </c>
      <c r="C37" s="167">
        <v>1</v>
      </c>
      <c r="D37" s="167">
        <v>1</v>
      </c>
      <c r="E37" s="167">
        <v>1</v>
      </c>
      <c r="F37" s="167">
        <v>1</v>
      </c>
      <c r="G37" s="167">
        <v>1</v>
      </c>
      <c r="H37" s="167">
        <v>1</v>
      </c>
      <c r="I37" s="167">
        <v>1</v>
      </c>
      <c r="J37" s="167">
        <v>1</v>
      </c>
      <c r="K37" s="167">
        <v>1</v>
      </c>
      <c r="L37" s="167">
        <v>1</v>
      </c>
      <c r="M37" s="167">
        <v>1</v>
      </c>
      <c r="N37" s="167">
        <v>1</v>
      </c>
      <c r="O37" s="167">
        <v>1</v>
      </c>
      <c r="P37" s="167">
        <v>1</v>
      </c>
      <c r="Q37" s="167">
        <v>1</v>
      </c>
      <c r="R37" s="167">
        <v>1</v>
      </c>
      <c r="S37" s="167">
        <v>1</v>
      </c>
      <c r="T37" s="167">
        <v>1</v>
      </c>
      <c r="U37" s="167">
        <v>1</v>
      </c>
      <c r="V37" s="167">
        <v>1</v>
      </c>
      <c r="W37" s="167">
        <v>1</v>
      </c>
      <c r="X37" s="167">
        <v>1</v>
      </c>
      <c r="Y37" s="167">
        <v>1</v>
      </c>
      <c r="Z37" s="167">
        <v>1</v>
      </c>
      <c r="AA37" s="167">
        <v>1</v>
      </c>
      <c r="AB37" s="167">
        <v>1</v>
      </c>
      <c r="AC37" s="167">
        <v>1</v>
      </c>
      <c r="AD37" s="167">
        <v>1</v>
      </c>
      <c r="AE37" s="167">
        <v>1</v>
      </c>
      <c r="AF37" s="167">
        <v>1</v>
      </c>
      <c r="AG37" s="167">
        <v>1</v>
      </c>
      <c r="AH37" s="167">
        <v>1</v>
      </c>
    </row>
    <row r="38" spans="1:34" ht="15.75" customHeight="1">
      <c r="A38" s="26" t="s">
        <v>123</v>
      </c>
      <c r="B38" s="29" t="s">
        <v>124</v>
      </c>
      <c r="C38" s="29" t="s">
        <v>124</v>
      </c>
      <c r="D38" s="29" t="s">
        <v>124</v>
      </c>
      <c r="E38" s="29" t="s">
        <v>124</v>
      </c>
      <c r="F38" s="29" t="s">
        <v>124</v>
      </c>
      <c r="G38" s="29" t="s">
        <v>124</v>
      </c>
      <c r="H38" s="29" t="s">
        <v>124</v>
      </c>
      <c r="I38" s="29" t="s">
        <v>124</v>
      </c>
      <c r="J38" s="29" t="s">
        <v>124</v>
      </c>
      <c r="K38" s="29" t="s">
        <v>124</v>
      </c>
      <c r="L38" s="29" t="s">
        <v>124</v>
      </c>
      <c r="M38" s="29" t="s">
        <v>124</v>
      </c>
      <c r="N38" s="29" t="s">
        <v>124</v>
      </c>
      <c r="O38" s="29" t="s">
        <v>124</v>
      </c>
      <c r="P38" s="29" t="s">
        <v>124</v>
      </c>
      <c r="Q38" s="29" t="s">
        <v>124</v>
      </c>
      <c r="R38" s="29" t="s">
        <v>124</v>
      </c>
      <c r="S38" s="29" t="s">
        <v>124</v>
      </c>
      <c r="T38" s="29" t="s">
        <v>124</v>
      </c>
      <c r="U38" s="29" t="s">
        <v>124</v>
      </c>
      <c r="V38" s="29" t="s">
        <v>124</v>
      </c>
      <c r="W38" s="29" t="s">
        <v>124</v>
      </c>
      <c r="X38" s="29" t="s">
        <v>124</v>
      </c>
      <c r="Y38" s="29" t="s">
        <v>124</v>
      </c>
      <c r="Z38" s="29" t="s">
        <v>124</v>
      </c>
      <c r="AA38" s="29" t="s">
        <v>124</v>
      </c>
      <c r="AB38" s="29" t="s">
        <v>124</v>
      </c>
      <c r="AC38" s="29" t="s">
        <v>124</v>
      </c>
      <c r="AD38" s="29" t="s">
        <v>124</v>
      </c>
      <c r="AE38" s="29" t="s">
        <v>124</v>
      </c>
      <c r="AF38" s="29" t="s">
        <v>124</v>
      </c>
      <c r="AG38" s="29" t="s">
        <v>124</v>
      </c>
      <c r="AH38" s="29" t="s">
        <v>124</v>
      </c>
    </row>
    <row r="39" spans="1:34" ht="15.75" customHeight="1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 t="s">
        <v>127</v>
      </c>
      <c r="S39" s="28" t="s">
        <v>127</v>
      </c>
      <c r="T39" s="28" t="s">
        <v>127</v>
      </c>
      <c r="U39" s="28" t="s">
        <v>127</v>
      </c>
      <c r="V39" s="28" t="s">
        <v>127</v>
      </c>
      <c r="W39" s="28" t="s">
        <v>127</v>
      </c>
      <c r="X39" s="28" t="s">
        <v>127</v>
      </c>
      <c r="Y39" s="28" t="s">
        <v>127</v>
      </c>
      <c r="Z39" s="28" t="s">
        <v>127</v>
      </c>
      <c r="AA39" s="28" t="s">
        <v>127</v>
      </c>
      <c r="AB39" s="28" t="s">
        <v>127</v>
      </c>
      <c r="AC39" s="28" t="s">
        <v>127</v>
      </c>
      <c r="AD39" s="28" t="s">
        <v>127</v>
      </c>
      <c r="AE39" s="28" t="s">
        <v>127</v>
      </c>
      <c r="AF39" s="28" t="s">
        <v>127</v>
      </c>
      <c r="AG39" s="28" t="s">
        <v>127</v>
      </c>
      <c r="AH39" s="28" t="s">
        <v>127</v>
      </c>
    </row>
    <row r="40" spans="1:34" ht="15.75" customHeight="1">
      <c r="A40" s="26" t="s">
        <v>126</v>
      </c>
      <c r="B40" s="28" t="s">
        <v>127</v>
      </c>
      <c r="C40" s="28" t="s">
        <v>127</v>
      </c>
      <c r="D40" s="28" t="s">
        <v>127</v>
      </c>
      <c r="E40" s="28" t="s">
        <v>127</v>
      </c>
      <c r="F40" s="28" t="s">
        <v>127</v>
      </c>
      <c r="G40" s="28" t="s">
        <v>127</v>
      </c>
      <c r="H40" s="28" t="s">
        <v>127</v>
      </c>
      <c r="I40" s="28" t="s">
        <v>127</v>
      </c>
      <c r="J40" s="28" t="s">
        <v>127</v>
      </c>
      <c r="K40" s="28" t="s">
        <v>127</v>
      </c>
      <c r="L40" s="28" t="s">
        <v>127</v>
      </c>
      <c r="M40" s="28" t="s">
        <v>127</v>
      </c>
      <c r="N40" s="28" t="s">
        <v>127</v>
      </c>
      <c r="O40" s="28" t="s">
        <v>127</v>
      </c>
      <c r="P40" s="28" t="s">
        <v>127</v>
      </c>
      <c r="Q40" s="28" t="s">
        <v>127</v>
      </c>
      <c r="R40" s="28" t="s">
        <v>127</v>
      </c>
      <c r="S40" s="28" t="s">
        <v>127</v>
      </c>
      <c r="T40" s="28" t="s">
        <v>127</v>
      </c>
      <c r="U40" s="28" t="s">
        <v>127</v>
      </c>
      <c r="V40" s="28" t="s">
        <v>127</v>
      </c>
      <c r="W40" s="28" t="s">
        <v>127</v>
      </c>
      <c r="X40" s="28" t="s">
        <v>127</v>
      </c>
      <c r="Y40" s="28" t="s">
        <v>127</v>
      </c>
      <c r="Z40" s="28" t="s">
        <v>127</v>
      </c>
      <c r="AA40" s="28" t="s">
        <v>127</v>
      </c>
      <c r="AB40" s="28" t="s">
        <v>127</v>
      </c>
      <c r="AC40" s="28" t="s">
        <v>127</v>
      </c>
      <c r="AD40" s="28" t="s">
        <v>127</v>
      </c>
      <c r="AE40" s="28" t="s">
        <v>127</v>
      </c>
      <c r="AF40" s="28" t="s">
        <v>127</v>
      </c>
      <c r="AG40" s="28" t="s">
        <v>127</v>
      </c>
      <c r="AH40" s="28" t="s">
        <v>127</v>
      </c>
    </row>
    <row r="41" spans="1:34" ht="15.75" customHeight="1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 t="s">
        <v>127</v>
      </c>
      <c r="S41" s="28" t="s">
        <v>127</v>
      </c>
      <c r="T41" s="28" t="s">
        <v>127</v>
      </c>
      <c r="U41" s="28" t="s">
        <v>127</v>
      </c>
      <c r="V41" s="28" t="s">
        <v>127</v>
      </c>
      <c r="W41" s="28" t="s">
        <v>127</v>
      </c>
      <c r="X41" s="28" t="s">
        <v>127</v>
      </c>
      <c r="Y41" s="28" t="s">
        <v>127</v>
      </c>
      <c r="Z41" s="28" t="s">
        <v>127</v>
      </c>
      <c r="AA41" s="28" t="s">
        <v>127</v>
      </c>
      <c r="AB41" s="28" t="s">
        <v>127</v>
      </c>
      <c r="AC41" s="28" t="s">
        <v>127</v>
      </c>
      <c r="AD41" s="28" t="s">
        <v>127</v>
      </c>
      <c r="AE41" s="28" t="s">
        <v>127</v>
      </c>
      <c r="AF41" s="28" t="s">
        <v>127</v>
      </c>
      <c r="AG41" s="28" t="s">
        <v>127</v>
      </c>
      <c r="AH41" s="28" t="s">
        <v>127</v>
      </c>
    </row>
    <row r="42" spans="1:34" ht="15.75" customHeight="1">
      <c r="A42" s="26" t="s">
        <v>129</v>
      </c>
      <c r="B42" s="28" t="s">
        <v>118</v>
      </c>
      <c r="C42" s="28" t="s">
        <v>118</v>
      </c>
      <c r="D42" s="28" t="s">
        <v>118</v>
      </c>
      <c r="E42" s="28" t="s">
        <v>118</v>
      </c>
      <c r="F42" s="28" t="s">
        <v>118</v>
      </c>
      <c r="G42" s="28" t="s">
        <v>118</v>
      </c>
      <c r="H42" s="28" t="s">
        <v>118</v>
      </c>
      <c r="I42" s="28" t="s">
        <v>118</v>
      </c>
      <c r="J42" s="28" t="s">
        <v>118</v>
      </c>
      <c r="K42" s="28" t="s">
        <v>118</v>
      </c>
      <c r="L42" s="28" t="s">
        <v>118</v>
      </c>
      <c r="M42" s="28" t="s">
        <v>118</v>
      </c>
      <c r="N42" s="28" t="s">
        <v>118</v>
      </c>
      <c r="O42" s="28" t="s">
        <v>118</v>
      </c>
      <c r="P42" s="28" t="s">
        <v>118</v>
      </c>
      <c r="Q42" s="28" t="s">
        <v>118</v>
      </c>
      <c r="R42" s="28" t="s">
        <v>118</v>
      </c>
      <c r="S42" s="28" t="s">
        <v>118</v>
      </c>
      <c r="T42" s="28" t="s">
        <v>118</v>
      </c>
      <c r="U42" s="28" t="s">
        <v>118</v>
      </c>
      <c r="V42" s="28" t="s">
        <v>118</v>
      </c>
      <c r="W42" s="28" t="s">
        <v>118</v>
      </c>
      <c r="X42" s="28" t="s">
        <v>118</v>
      </c>
      <c r="Y42" s="28" t="s">
        <v>118</v>
      </c>
      <c r="Z42" s="28" t="s">
        <v>118</v>
      </c>
      <c r="AA42" s="28" t="s">
        <v>118</v>
      </c>
      <c r="AB42" s="28" t="s">
        <v>118</v>
      </c>
      <c r="AC42" s="28" t="s">
        <v>118</v>
      </c>
      <c r="AD42" s="28" t="s">
        <v>118</v>
      </c>
      <c r="AE42" s="28" t="s">
        <v>118</v>
      </c>
      <c r="AF42" s="28" t="s">
        <v>118</v>
      </c>
      <c r="AG42" s="28" t="s">
        <v>118</v>
      </c>
      <c r="AH42" s="28" t="s">
        <v>118</v>
      </c>
    </row>
    <row r="43" spans="1:34" ht="15.75" customHeight="1">
      <c r="A43" s="26" t="s">
        <v>130</v>
      </c>
      <c r="B43" s="30">
        <v>3</v>
      </c>
      <c r="C43" s="30">
        <v>3</v>
      </c>
      <c r="D43" s="30">
        <v>3</v>
      </c>
      <c r="E43" s="30">
        <v>3</v>
      </c>
      <c r="F43" s="30">
        <v>3</v>
      </c>
      <c r="G43" s="30">
        <v>3</v>
      </c>
      <c r="H43" s="30">
        <v>3</v>
      </c>
      <c r="I43" s="30">
        <v>3</v>
      </c>
      <c r="J43" s="30">
        <v>3</v>
      </c>
      <c r="K43" s="30">
        <v>3</v>
      </c>
      <c r="L43" s="30">
        <v>3</v>
      </c>
      <c r="M43" s="30">
        <v>3</v>
      </c>
      <c r="N43" s="30">
        <v>3</v>
      </c>
      <c r="O43" s="30">
        <v>3</v>
      </c>
      <c r="P43" s="30">
        <v>3</v>
      </c>
      <c r="Q43" s="30">
        <v>3</v>
      </c>
      <c r="R43" s="30">
        <v>3</v>
      </c>
      <c r="S43" s="30">
        <v>3</v>
      </c>
      <c r="T43" s="30">
        <v>3</v>
      </c>
      <c r="U43" s="30">
        <v>3</v>
      </c>
      <c r="V43" s="30">
        <v>3</v>
      </c>
      <c r="W43" s="30">
        <v>3</v>
      </c>
      <c r="X43" s="30">
        <v>3</v>
      </c>
      <c r="Y43" s="30">
        <v>3</v>
      </c>
      <c r="Z43" s="30">
        <v>3</v>
      </c>
      <c r="AA43" s="30">
        <v>3</v>
      </c>
      <c r="AB43" s="30">
        <v>3</v>
      </c>
      <c r="AC43" s="30">
        <v>3</v>
      </c>
      <c r="AD43" s="30">
        <v>3</v>
      </c>
      <c r="AE43" s="30">
        <v>3</v>
      </c>
      <c r="AF43" s="30">
        <v>3</v>
      </c>
      <c r="AG43" s="30">
        <v>3</v>
      </c>
      <c r="AH43" s="30">
        <v>3</v>
      </c>
    </row>
    <row r="44" spans="1:34" ht="15.75" customHeight="1">
      <c r="A44" s="26" t="s">
        <v>131</v>
      </c>
      <c r="B44" s="28" t="s">
        <v>132</v>
      </c>
      <c r="C44" s="28" t="s">
        <v>132</v>
      </c>
      <c r="D44" s="28" t="s">
        <v>132</v>
      </c>
      <c r="E44" s="28" t="s">
        <v>132</v>
      </c>
      <c r="F44" s="28" t="s">
        <v>132</v>
      </c>
      <c r="G44" s="28" t="s">
        <v>132</v>
      </c>
      <c r="H44" s="28" t="s">
        <v>132</v>
      </c>
      <c r="I44" s="28" t="s">
        <v>132</v>
      </c>
      <c r="J44" s="28" t="s">
        <v>132</v>
      </c>
      <c r="K44" s="28" t="s">
        <v>132</v>
      </c>
      <c r="L44" s="28" t="s">
        <v>132</v>
      </c>
      <c r="M44" s="28" t="s">
        <v>132</v>
      </c>
      <c r="N44" s="28" t="s">
        <v>132</v>
      </c>
      <c r="O44" s="28" t="s">
        <v>132</v>
      </c>
      <c r="P44" s="28" t="s">
        <v>132</v>
      </c>
      <c r="Q44" s="28" t="s">
        <v>132</v>
      </c>
      <c r="R44" s="28" t="s">
        <v>132</v>
      </c>
      <c r="S44" s="28" t="s">
        <v>132</v>
      </c>
      <c r="T44" s="28" t="s">
        <v>132</v>
      </c>
      <c r="U44" s="28" t="s">
        <v>132</v>
      </c>
      <c r="V44" s="28" t="s">
        <v>132</v>
      </c>
      <c r="W44" s="28" t="s">
        <v>132</v>
      </c>
      <c r="X44" s="28" t="s">
        <v>132</v>
      </c>
      <c r="Y44" s="28" t="s">
        <v>132</v>
      </c>
      <c r="Z44" s="28" t="s">
        <v>132</v>
      </c>
      <c r="AA44" s="28" t="s">
        <v>132</v>
      </c>
      <c r="AB44" s="28" t="s">
        <v>132</v>
      </c>
      <c r="AC44" s="28" t="s">
        <v>132</v>
      </c>
      <c r="AD44" s="28" t="s">
        <v>132</v>
      </c>
      <c r="AE44" s="28" t="s">
        <v>132</v>
      </c>
      <c r="AF44" s="28" t="s">
        <v>132</v>
      </c>
      <c r="AG44" s="28" t="s">
        <v>132</v>
      </c>
      <c r="AH44" s="28" t="s">
        <v>132</v>
      </c>
    </row>
    <row r="45" spans="1:34" ht="15.75" customHeight="1">
      <c r="A45" s="26" t="s">
        <v>133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</row>
    <row r="47" spans="1:34">
      <c r="A47" s="31" t="s">
        <v>134</v>
      </c>
    </row>
    <row r="48" spans="1:34">
      <c r="A48" s="223" t="s">
        <v>719</v>
      </c>
      <c r="B48" s="56" t="s">
        <v>720</v>
      </c>
    </row>
    <row r="49" spans="1:2">
      <c r="A49" s="223"/>
      <c r="B49" s="93" t="s">
        <v>721</v>
      </c>
    </row>
    <row r="50" spans="1:2">
      <c r="A50" s="223"/>
      <c r="B50" s="93" t="s">
        <v>722</v>
      </c>
    </row>
  </sheetData>
  <mergeCells count="6">
    <mergeCell ref="F3:O3"/>
    <mergeCell ref="F4:O5"/>
    <mergeCell ref="A48:A50"/>
    <mergeCell ref="B3:D3"/>
    <mergeCell ref="B4:D4"/>
    <mergeCell ref="B5:D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EC87-983B-4E88-A983-93B717D51694}">
  <dimension ref="A1:AK54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>
      <c r="A1" s="25" t="s">
        <v>74</v>
      </c>
      <c r="D1" s="25" t="s">
        <v>75</v>
      </c>
      <c r="I1" s="25" t="s">
        <v>495</v>
      </c>
    </row>
    <row r="3" spans="1:37" ht="17.45">
      <c r="A3" s="25" t="s">
        <v>77</v>
      </c>
      <c r="B3" s="203">
        <v>47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723</v>
      </c>
      <c r="C4" s="203"/>
      <c r="D4" s="203"/>
      <c r="F4" s="204" t="s">
        <v>724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7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76" t="s">
        <v>115</v>
      </c>
      <c r="AH7" s="76" t="s">
        <v>116</v>
      </c>
      <c r="AJ7" s="76" t="s">
        <v>115</v>
      </c>
      <c r="AK7" s="76" t="s">
        <v>116</v>
      </c>
    </row>
    <row r="8" spans="1:37">
      <c r="A8" s="26" t="s">
        <v>117</v>
      </c>
      <c r="B8" s="80"/>
      <c r="C8" s="83" t="s">
        <v>690</v>
      </c>
      <c r="D8" s="28" t="s">
        <v>690</v>
      </c>
      <c r="E8" s="28" t="s">
        <v>690</v>
      </c>
      <c r="F8" s="28" t="s">
        <v>690</v>
      </c>
      <c r="G8" s="28" t="s">
        <v>690</v>
      </c>
      <c r="H8" s="86" t="s">
        <v>690</v>
      </c>
      <c r="I8" s="28" t="s">
        <v>690</v>
      </c>
      <c r="J8" s="28" t="s">
        <v>690</v>
      </c>
      <c r="K8" s="28" t="s">
        <v>690</v>
      </c>
      <c r="L8" s="28" t="s">
        <v>690</v>
      </c>
      <c r="M8" s="28" t="s">
        <v>690</v>
      </c>
      <c r="N8" s="28" t="s">
        <v>690</v>
      </c>
      <c r="O8" s="28" t="s">
        <v>690</v>
      </c>
      <c r="P8" s="28" t="s">
        <v>691</v>
      </c>
      <c r="Q8" s="28" t="s">
        <v>691</v>
      </c>
      <c r="R8" s="80"/>
      <c r="S8" s="28" t="s">
        <v>692</v>
      </c>
      <c r="T8" s="80"/>
      <c r="U8" s="84"/>
      <c r="V8" s="84"/>
      <c r="W8" s="84"/>
      <c r="X8" s="28" t="s">
        <v>502</v>
      </c>
      <c r="Y8" s="80"/>
      <c r="Z8" s="80"/>
      <c r="AA8" s="80"/>
      <c r="AB8" s="80"/>
      <c r="AC8" s="80"/>
      <c r="AD8" s="80"/>
      <c r="AE8" s="80"/>
      <c r="AF8" s="80"/>
      <c r="AG8" s="80"/>
      <c r="AH8" s="80"/>
      <c r="AJ8" s="80"/>
      <c r="AK8" s="80"/>
    </row>
    <row r="9" spans="1:37">
      <c r="A9" s="26" t="s">
        <v>121</v>
      </c>
      <c r="B9" s="81"/>
      <c r="C9" s="29" t="s">
        <v>502</v>
      </c>
      <c r="D9" s="28" t="s">
        <v>693</v>
      </c>
      <c r="E9" s="28" t="s">
        <v>694</v>
      </c>
      <c r="F9" s="28" t="s">
        <v>694</v>
      </c>
      <c r="G9" s="29" t="s">
        <v>695</v>
      </c>
      <c r="H9" s="91" t="s">
        <v>696</v>
      </c>
      <c r="I9" s="28" t="s">
        <v>695</v>
      </c>
      <c r="J9" s="28" t="s">
        <v>695</v>
      </c>
      <c r="K9" s="28" t="s">
        <v>697</v>
      </c>
      <c r="L9" s="28" t="s">
        <v>695</v>
      </c>
      <c r="M9" s="28" t="s">
        <v>698</v>
      </c>
      <c r="N9" s="28" t="s">
        <v>690</v>
      </c>
      <c r="O9" s="28" t="s">
        <v>690</v>
      </c>
      <c r="P9" s="28" t="s">
        <v>690</v>
      </c>
      <c r="Q9" s="28" t="s">
        <v>690</v>
      </c>
      <c r="R9" s="80"/>
      <c r="S9" s="28" t="s">
        <v>695</v>
      </c>
      <c r="T9" s="80"/>
      <c r="U9" s="172"/>
      <c r="V9" s="172"/>
      <c r="W9" s="172"/>
      <c r="X9" s="29" t="s">
        <v>502</v>
      </c>
      <c r="Y9" s="81"/>
      <c r="Z9" s="81"/>
      <c r="AA9" s="81"/>
      <c r="AB9" s="81"/>
      <c r="AC9" s="81"/>
      <c r="AD9" s="81"/>
      <c r="AE9" s="81"/>
      <c r="AF9" s="81"/>
      <c r="AG9" s="81"/>
      <c r="AH9" s="81"/>
      <c r="AJ9" s="81"/>
      <c r="AK9" s="81"/>
    </row>
    <row r="10" spans="1:37">
      <c r="A10" s="140" t="s">
        <v>122</v>
      </c>
      <c r="B10" s="174"/>
      <c r="C10" s="167">
        <v>501</v>
      </c>
      <c r="D10" s="167">
        <v>502</v>
      </c>
      <c r="E10" s="167">
        <v>508</v>
      </c>
      <c r="F10" s="167">
        <v>508</v>
      </c>
      <c r="G10" s="167">
        <v>504</v>
      </c>
      <c r="H10" s="171">
        <v>550</v>
      </c>
      <c r="I10" s="167">
        <v>504</v>
      </c>
      <c r="J10" s="167">
        <v>504</v>
      </c>
      <c r="K10" s="167">
        <v>515</v>
      </c>
      <c r="L10" s="167">
        <v>504</v>
      </c>
      <c r="M10" s="167">
        <v>514</v>
      </c>
      <c r="N10" s="167">
        <v>503</v>
      </c>
      <c r="O10" s="167">
        <v>503</v>
      </c>
      <c r="P10" s="167">
        <v>503</v>
      </c>
      <c r="Q10" s="167">
        <v>503</v>
      </c>
      <c r="R10" s="174"/>
      <c r="S10" s="167">
        <v>504</v>
      </c>
      <c r="T10" s="174"/>
      <c r="U10" s="175"/>
      <c r="V10" s="175"/>
      <c r="W10" s="175"/>
      <c r="X10" s="167">
        <v>501</v>
      </c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J10" s="81"/>
      <c r="AK10" s="81"/>
    </row>
    <row r="11" spans="1:37">
      <c r="A11" s="26" t="s">
        <v>699</v>
      </c>
      <c r="B11" s="80"/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86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80"/>
      <c r="S11" s="28" t="s">
        <v>127</v>
      </c>
      <c r="T11" s="80"/>
      <c r="U11" s="84"/>
      <c r="V11" s="84"/>
      <c r="W11" s="84"/>
      <c r="X11" s="28" t="s">
        <v>127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J11" s="80"/>
      <c r="AK11" s="80"/>
    </row>
    <row r="12" spans="1:37">
      <c r="A12" s="26" t="s">
        <v>700</v>
      </c>
      <c r="B12" s="80"/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86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80"/>
      <c r="S12" s="28" t="s">
        <v>127</v>
      </c>
      <c r="T12" s="80"/>
      <c r="U12" s="84"/>
      <c r="V12" s="84"/>
      <c r="W12" s="84"/>
      <c r="X12" s="28" t="s">
        <v>127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J12" s="80"/>
      <c r="AK12" s="80"/>
    </row>
    <row r="13" spans="1:37">
      <c r="A13" s="26" t="s">
        <v>701</v>
      </c>
      <c r="B13" s="80"/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86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80"/>
      <c r="S13" s="28" t="s">
        <v>124</v>
      </c>
      <c r="T13" s="80"/>
      <c r="U13" s="84"/>
      <c r="V13" s="84"/>
      <c r="W13" s="84"/>
      <c r="X13" s="28" t="s">
        <v>124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J13" s="80"/>
      <c r="AK13" s="80"/>
    </row>
    <row r="14" spans="1:37">
      <c r="A14" s="26" t="s">
        <v>702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86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80"/>
      <c r="U14" s="84"/>
      <c r="V14" s="84"/>
      <c r="W14" s="84"/>
      <c r="X14" s="28" t="s">
        <v>127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J14" s="80"/>
      <c r="AK14" s="80"/>
    </row>
    <row r="15" spans="1:37">
      <c r="A15" s="26" t="s">
        <v>703</v>
      </c>
      <c r="B15" s="80"/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86" t="s">
        <v>127</v>
      </c>
      <c r="I15" s="28" t="s">
        <v>127</v>
      </c>
      <c r="J15" s="28" t="s">
        <v>127</v>
      </c>
      <c r="K15" s="28" t="s">
        <v>127</v>
      </c>
      <c r="L15" s="28" t="s">
        <v>127</v>
      </c>
      <c r="M15" s="28" t="s">
        <v>127</v>
      </c>
      <c r="N15" s="28" t="s">
        <v>127</v>
      </c>
      <c r="O15" s="28" t="s">
        <v>127</v>
      </c>
      <c r="P15" s="28" t="s">
        <v>127</v>
      </c>
      <c r="Q15" s="28" t="s">
        <v>127</v>
      </c>
      <c r="R15" s="80"/>
      <c r="S15" s="28" t="s">
        <v>127</v>
      </c>
      <c r="T15" s="80"/>
      <c r="U15" s="84"/>
      <c r="V15" s="84"/>
      <c r="W15" s="84"/>
      <c r="X15" s="28" t="s">
        <v>127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J15" s="80"/>
      <c r="AK15" s="80"/>
    </row>
    <row r="16" spans="1:37">
      <c r="A16" s="26" t="s">
        <v>704</v>
      </c>
      <c r="B16" s="80"/>
      <c r="C16" s="28" t="s">
        <v>127</v>
      </c>
      <c r="D16" s="28" t="s">
        <v>127</v>
      </c>
      <c r="E16" s="28" t="s">
        <v>127</v>
      </c>
      <c r="F16" s="28" t="s">
        <v>127</v>
      </c>
      <c r="G16" s="28" t="s">
        <v>127</v>
      </c>
      <c r="H16" s="28" t="s">
        <v>127</v>
      </c>
      <c r="I16" s="28" t="s">
        <v>127</v>
      </c>
      <c r="J16" s="28" t="s">
        <v>127</v>
      </c>
      <c r="K16" s="28" t="s">
        <v>127</v>
      </c>
      <c r="L16" s="28" t="s">
        <v>127</v>
      </c>
      <c r="M16" s="28" t="s">
        <v>127</v>
      </c>
      <c r="N16" s="28" t="s">
        <v>127</v>
      </c>
      <c r="O16" s="28" t="s">
        <v>127</v>
      </c>
      <c r="P16" s="28" t="s">
        <v>127</v>
      </c>
      <c r="Q16" s="28" t="s">
        <v>127</v>
      </c>
      <c r="R16" s="80"/>
      <c r="S16" s="28" t="s">
        <v>127</v>
      </c>
      <c r="T16" s="80"/>
      <c r="U16" s="84"/>
      <c r="V16" s="84"/>
      <c r="W16" s="84"/>
      <c r="X16" s="28" t="s">
        <v>127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J16" s="80"/>
      <c r="AK16" s="80"/>
    </row>
    <row r="17" spans="1:37">
      <c r="A17" s="26" t="s">
        <v>705</v>
      </c>
      <c r="B17" s="82"/>
      <c r="C17" s="30" t="s">
        <v>706</v>
      </c>
      <c r="D17" s="30" t="s">
        <v>706</v>
      </c>
      <c r="E17" s="28" t="s">
        <v>706</v>
      </c>
      <c r="F17" s="28" t="s">
        <v>706</v>
      </c>
      <c r="G17" s="30" t="s">
        <v>706</v>
      </c>
      <c r="H17" s="92" t="s">
        <v>706</v>
      </c>
      <c r="I17" s="30" t="s">
        <v>706</v>
      </c>
      <c r="J17" s="30" t="s">
        <v>706</v>
      </c>
      <c r="K17" s="30" t="s">
        <v>706</v>
      </c>
      <c r="L17" s="30" t="s">
        <v>706</v>
      </c>
      <c r="M17" s="30" t="s">
        <v>706</v>
      </c>
      <c r="N17" s="30"/>
      <c r="O17" s="30" t="s">
        <v>706</v>
      </c>
      <c r="P17" s="30" t="s">
        <v>707</v>
      </c>
      <c r="Q17" s="30" t="s">
        <v>707</v>
      </c>
      <c r="R17" s="80"/>
      <c r="S17" s="30" t="s">
        <v>706</v>
      </c>
      <c r="T17" s="80"/>
      <c r="U17" s="84"/>
      <c r="V17" s="84"/>
      <c r="W17" s="84"/>
      <c r="X17" s="28" t="s">
        <v>706</v>
      </c>
      <c r="Y17" s="80"/>
      <c r="Z17" s="80"/>
      <c r="AA17" s="82"/>
      <c r="AB17" s="82"/>
      <c r="AC17" s="82"/>
      <c r="AD17" s="82"/>
      <c r="AE17" s="82"/>
      <c r="AF17" s="82"/>
      <c r="AG17" s="82"/>
      <c r="AH17" s="82"/>
      <c r="AJ17" s="80"/>
      <c r="AK17" s="82"/>
    </row>
    <row r="18" spans="1:37">
      <c r="A18" s="26" t="s">
        <v>708</v>
      </c>
      <c r="B18" s="82"/>
      <c r="C18" s="28" t="s">
        <v>709</v>
      </c>
      <c r="D18" s="28" t="s">
        <v>709</v>
      </c>
      <c r="E18" s="28" t="s">
        <v>709</v>
      </c>
      <c r="F18" s="28" t="s">
        <v>709</v>
      </c>
      <c r="G18" s="30" t="s">
        <v>710</v>
      </c>
      <c r="H18" s="92" t="s">
        <v>710</v>
      </c>
      <c r="I18" s="30" t="s">
        <v>710</v>
      </c>
      <c r="J18" s="30" t="s">
        <v>710</v>
      </c>
      <c r="K18" s="30" t="s">
        <v>710</v>
      </c>
      <c r="L18" s="30" t="s">
        <v>710</v>
      </c>
      <c r="M18" s="30" t="s">
        <v>710</v>
      </c>
      <c r="N18" s="28" t="s">
        <v>710</v>
      </c>
      <c r="O18" s="28" t="s">
        <v>710</v>
      </c>
      <c r="P18" s="28" t="s">
        <v>710</v>
      </c>
      <c r="Q18" s="28" t="s">
        <v>710</v>
      </c>
      <c r="R18" s="82"/>
      <c r="S18" s="30" t="s">
        <v>710</v>
      </c>
      <c r="T18" s="82"/>
      <c r="U18" s="190"/>
      <c r="V18" s="190"/>
      <c r="W18" s="190"/>
      <c r="X18" s="28" t="s">
        <v>709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J18" s="80"/>
      <c r="AK18" s="82"/>
    </row>
    <row r="19" spans="1:37">
      <c r="A19" s="26" t="s">
        <v>711</v>
      </c>
      <c r="B19" s="80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8">
        <v>3</v>
      </c>
      <c r="J19" s="128">
        <v>3</v>
      </c>
      <c r="K19" s="128">
        <v>2</v>
      </c>
      <c r="L19" s="128">
        <v>3</v>
      </c>
      <c r="M19" s="128">
        <v>3</v>
      </c>
      <c r="N19" s="128">
        <v>4</v>
      </c>
      <c r="O19" s="128">
        <v>4</v>
      </c>
      <c r="P19" s="128">
        <v>4</v>
      </c>
      <c r="Q19" s="128">
        <v>4</v>
      </c>
      <c r="R19" s="81"/>
      <c r="S19" s="128">
        <v>3</v>
      </c>
      <c r="T19" s="81"/>
      <c r="U19" s="80"/>
      <c r="V19" s="80"/>
      <c r="W19" s="80"/>
      <c r="X19" s="30">
        <v>6</v>
      </c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J19" s="82"/>
      <c r="AK19" s="80"/>
    </row>
    <row r="20" spans="1:37">
      <c r="A20" s="26" t="s">
        <v>712</v>
      </c>
      <c r="B20" s="80"/>
      <c r="C20" s="28" t="s">
        <v>713</v>
      </c>
      <c r="D20" s="28" t="s">
        <v>713</v>
      </c>
      <c r="E20" s="28" t="s">
        <v>713</v>
      </c>
      <c r="F20" s="28" t="s">
        <v>713</v>
      </c>
      <c r="G20" s="28" t="s">
        <v>713</v>
      </c>
      <c r="H20" s="28" t="s">
        <v>713</v>
      </c>
      <c r="I20" s="28" t="s">
        <v>713</v>
      </c>
      <c r="J20" s="28" t="s">
        <v>713</v>
      </c>
      <c r="K20" s="28" t="s">
        <v>714</v>
      </c>
      <c r="L20" s="28" t="s">
        <v>713</v>
      </c>
      <c r="M20" s="28" t="s">
        <v>714</v>
      </c>
      <c r="N20" s="28" t="s">
        <v>713</v>
      </c>
      <c r="O20" s="28" t="s">
        <v>713</v>
      </c>
      <c r="P20" s="28" t="s">
        <v>713</v>
      </c>
      <c r="Q20" s="28" t="s">
        <v>713</v>
      </c>
      <c r="R20" s="80"/>
      <c r="S20" s="28" t="s">
        <v>713</v>
      </c>
      <c r="T20" s="80"/>
      <c r="U20" s="80"/>
      <c r="V20" s="80"/>
      <c r="W20" s="80"/>
      <c r="X20" s="28" t="s">
        <v>713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J20" s="80"/>
      <c r="AK20" s="80"/>
    </row>
    <row r="21" spans="1:37">
      <c r="A21" s="26" t="s">
        <v>715</v>
      </c>
      <c r="B21" s="82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/>
      <c r="S21" s="30">
        <v>1</v>
      </c>
      <c r="T21" s="82"/>
      <c r="U21" s="82"/>
      <c r="V21" s="82"/>
      <c r="W21" s="82"/>
      <c r="X21" s="30">
        <v>1</v>
      </c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J21" s="82"/>
      <c r="AK21" s="82"/>
    </row>
    <row r="22" spans="1:37">
      <c r="A22" s="31"/>
    </row>
    <row r="23" spans="1:37">
      <c r="A23" s="26" t="s">
        <v>117</v>
      </c>
      <c r="B23" s="28" t="s">
        <v>362</v>
      </c>
      <c r="C23" s="28" t="s">
        <v>206</v>
      </c>
      <c r="D23" s="28" t="s">
        <v>206</v>
      </c>
      <c r="E23" s="28" t="s">
        <v>206</v>
      </c>
      <c r="F23" s="28" t="s">
        <v>206</v>
      </c>
      <c r="G23" s="28" t="s">
        <v>206</v>
      </c>
      <c r="H23" s="28" t="s">
        <v>206</v>
      </c>
      <c r="I23" s="28" t="s">
        <v>206</v>
      </c>
      <c r="J23" s="28" t="s">
        <v>206</v>
      </c>
      <c r="K23" s="28" t="s">
        <v>206</v>
      </c>
      <c r="L23" s="28" t="s">
        <v>206</v>
      </c>
      <c r="M23" s="28" t="s">
        <v>206</v>
      </c>
      <c r="N23" s="28" t="s">
        <v>206</v>
      </c>
      <c r="O23" s="28" t="s">
        <v>206</v>
      </c>
      <c r="P23" s="187"/>
      <c r="Q23" s="80"/>
      <c r="R23" s="86" t="s">
        <v>206</v>
      </c>
      <c r="S23" s="80"/>
      <c r="T23" s="28" t="s">
        <v>206</v>
      </c>
      <c r="U23" s="28" t="s">
        <v>206</v>
      </c>
      <c r="V23" s="28" t="s">
        <v>206</v>
      </c>
      <c r="W23" s="28" t="s">
        <v>206</v>
      </c>
      <c r="X23" s="83" t="s">
        <v>206</v>
      </c>
      <c r="Y23" s="28" t="s">
        <v>206</v>
      </c>
      <c r="Z23" s="28" t="s">
        <v>206</v>
      </c>
      <c r="AA23" s="28" t="s">
        <v>206</v>
      </c>
      <c r="AB23" s="28" t="s">
        <v>206</v>
      </c>
      <c r="AC23" s="28" t="s">
        <v>206</v>
      </c>
      <c r="AD23" s="28" t="s">
        <v>206</v>
      </c>
      <c r="AE23" s="28" t="s">
        <v>206</v>
      </c>
      <c r="AF23" s="28" t="s">
        <v>206</v>
      </c>
      <c r="AG23" s="28" t="s">
        <v>206</v>
      </c>
      <c r="AH23" s="83" t="s">
        <v>206</v>
      </c>
      <c r="AJ23" s="28" t="s">
        <v>363</v>
      </c>
      <c r="AK23" s="28" t="s">
        <v>363</v>
      </c>
    </row>
    <row r="24" spans="1:37">
      <c r="A24" s="26" t="s">
        <v>121</v>
      </c>
      <c r="B24" s="29" t="s">
        <v>210</v>
      </c>
      <c r="C24" s="28" t="s">
        <v>231</v>
      </c>
      <c r="D24" s="29" t="s">
        <v>206</v>
      </c>
      <c r="E24" s="28" t="s">
        <v>210</v>
      </c>
      <c r="F24" s="28" t="s">
        <v>210</v>
      </c>
      <c r="G24" s="28" t="s">
        <v>210</v>
      </c>
      <c r="H24" s="28" t="s">
        <v>341</v>
      </c>
      <c r="I24" s="29" t="s">
        <v>206</v>
      </c>
      <c r="J24" s="28" t="s">
        <v>210</v>
      </c>
      <c r="K24" s="28" t="s">
        <v>210</v>
      </c>
      <c r="L24" s="28" t="s">
        <v>210</v>
      </c>
      <c r="M24" s="28" t="s">
        <v>210</v>
      </c>
      <c r="N24" s="28" t="s">
        <v>210</v>
      </c>
      <c r="O24" s="28" t="s">
        <v>210</v>
      </c>
      <c r="P24" s="188"/>
      <c r="Q24" s="80"/>
      <c r="R24" s="86" t="s">
        <v>211</v>
      </c>
      <c r="S24" s="80"/>
      <c r="T24" s="28" t="s">
        <v>716</v>
      </c>
      <c r="U24" s="28" t="s">
        <v>210</v>
      </c>
      <c r="V24" s="28" t="s">
        <v>231</v>
      </c>
      <c r="W24" s="28" t="s">
        <v>717</v>
      </c>
      <c r="X24" s="83" t="s">
        <v>210</v>
      </c>
      <c r="Y24" s="115" t="s">
        <v>364</v>
      </c>
      <c r="Z24" s="28" t="s">
        <v>206</v>
      </c>
      <c r="AA24" s="28" t="s">
        <v>206</v>
      </c>
      <c r="AB24" s="28" t="s">
        <v>206</v>
      </c>
      <c r="AC24" s="28" t="s">
        <v>231</v>
      </c>
      <c r="AD24" s="28" t="s">
        <v>206</v>
      </c>
      <c r="AE24" s="28" t="s">
        <v>718</v>
      </c>
      <c r="AF24" s="28" t="s">
        <v>210</v>
      </c>
      <c r="AG24" s="28" t="s">
        <v>211</v>
      </c>
      <c r="AH24" s="85" t="s">
        <v>211</v>
      </c>
      <c r="AJ24" s="28" t="s">
        <v>231</v>
      </c>
      <c r="AK24" s="28" t="s">
        <v>231</v>
      </c>
    </row>
    <row r="25" spans="1:37">
      <c r="A25" s="140" t="s">
        <v>122</v>
      </c>
      <c r="B25" s="167">
        <v>52</v>
      </c>
      <c r="C25" s="167">
        <v>56</v>
      </c>
      <c r="D25" s="167">
        <v>50</v>
      </c>
      <c r="E25" s="167">
        <v>122</v>
      </c>
      <c r="F25" s="167">
        <v>52</v>
      </c>
      <c r="G25" s="167">
        <v>52</v>
      </c>
      <c r="H25" s="167">
        <v>68</v>
      </c>
      <c r="I25" s="167">
        <v>50</v>
      </c>
      <c r="J25" s="167">
        <v>52</v>
      </c>
      <c r="K25" s="167">
        <v>52</v>
      </c>
      <c r="L25" s="167">
        <v>52</v>
      </c>
      <c r="M25" s="167">
        <v>52</v>
      </c>
      <c r="N25" s="167">
        <v>52</v>
      </c>
      <c r="O25" s="167">
        <v>52</v>
      </c>
      <c r="P25" s="189"/>
      <c r="Q25" s="174"/>
      <c r="R25" s="171">
        <v>48</v>
      </c>
      <c r="S25" s="174"/>
      <c r="T25" s="167">
        <v>159</v>
      </c>
      <c r="U25" s="167">
        <v>52</v>
      </c>
      <c r="V25" s="167">
        <v>56</v>
      </c>
      <c r="W25" s="167">
        <v>103</v>
      </c>
      <c r="X25" s="168">
        <v>52</v>
      </c>
      <c r="Y25" s="167">
        <v>118</v>
      </c>
      <c r="Z25" s="167">
        <v>50</v>
      </c>
      <c r="AA25" s="167">
        <v>50</v>
      </c>
      <c r="AB25" s="167">
        <v>50</v>
      </c>
      <c r="AC25" s="167">
        <v>56</v>
      </c>
      <c r="AD25" s="167">
        <v>50</v>
      </c>
      <c r="AE25" s="167">
        <v>160</v>
      </c>
      <c r="AF25" s="167">
        <v>52</v>
      </c>
      <c r="AG25" s="167">
        <v>48</v>
      </c>
      <c r="AH25" s="168">
        <v>48</v>
      </c>
      <c r="AJ25" s="167">
        <v>56</v>
      </c>
      <c r="AK25" s="167">
        <v>56</v>
      </c>
    </row>
    <row r="26" spans="1:37">
      <c r="A26" s="26" t="s">
        <v>123</v>
      </c>
      <c r="B26" s="29" t="s">
        <v>124</v>
      </c>
      <c r="C26" s="28" t="s">
        <v>124</v>
      </c>
      <c r="D26" s="28" t="s">
        <v>124</v>
      </c>
      <c r="E26" s="28" t="s">
        <v>124</v>
      </c>
      <c r="F26" s="28" t="s">
        <v>124</v>
      </c>
      <c r="G26" s="29" t="s">
        <v>124</v>
      </c>
      <c r="H26" s="29" t="s">
        <v>124</v>
      </c>
      <c r="I26" s="29" t="s">
        <v>124</v>
      </c>
      <c r="J26" s="28" t="s">
        <v>124</v>
      </c>
      <c r="K26" s="29" t="s">
        <v>124</v>
      </c>
      <c r="L26" s="29" t="s">
        <v>124</v>
      </c>
      <c r="M26" s="29" t="s">
        <v>124</v>
      </c>
      <c r="N26" s="28" t="s">
        <v>124</v>
      </c>
      <c r="O26" s="28" t="s">
        <v>124</v>
      </c>
      <c r="P26" s="80"/>
      <c r="Q26" s="81"/>
      <c r="R26" s="29" t="s">
        <v>124</v>
      </c>
      <c r="S26" s="81"/>
      <c r="T26" s="29" t="s">
        <v>124</v>
      </c>
      <c r="U26" s="29" t="s">
        <v>124</v>
      </c>
      <c r="V26" s="28" t="s">
        <v>124</v>
      </c>
      <c r="W26" s="28" t="s">
        <v>124</v>
      </c>
      <c r="X26" s="28" t="s">
        <v>124</v>
      </c>
      <c r="Y26" s="28" t="s">
        <v>124</v>
      </c>
      <c r="Z26" s="28" t="s">
        <v>124</v>
      </c>
      <c r="AA26" s="28" t="s">
        <v>124</v>
      </c>
      <c r="AB26" s="28" t="s">
        <v>124</v>
      </c>
      <c r="AC26" s="28" t="s">
        <v>124</v>
      </c>
      <c r="AD26" s="28" t="s">
        <v>124</v>
      </c>
      <c r="AE26" s="28" t="s">
        <v>124</v>
      </c>
      <c r="AF26" s="28" t="s">
        <v>124</v>
      </c>
      <c r="AG26" s="28" t="s">
        <v>124</v>
      </c>
      <c r="AH26" s="85" t="s">
        <v>124</v>
      </c>
      <c r="AJ26" s="28" t="s">
        <v>124</v>
      </c>
      <c r="AK26" s="28" t="s">
        <v>124</v>
      </c>
    </row>
    <row r="27" spans="1:37">
      <c r="A27" s="26" t="s">
        <v>125</v>
      </c>
      <c r="B27" s="28" t="s">
        <v>127</v>
      </c>
      <c r="C27" s="28" t="s">
        <v>127</v>
      </c>
      <c r="D27" s="28" t="s">
        <v>127</v>
      </c>
      <c r="E27" s="28" t="s">
        <v>127</v>
      </c>
      <c r="F27" s="28" t="s">
        <v>127</v>
      </c>
      <c r="G27" s="28" t="s">
        <v>127</v>
      </c>
      <c r="H27" s="29" t="s">
        <v>124</v>
      </c>
      <c r="I27" s="28" t="s">
        <v>127</v>
      </c>
      <c r="J27" s="28" t="s">
        <v>127</v>
      </c>
      <c r="K27" s="28" t="s">
        <v>127</v>
      </c>
      <c r="L27" s="28" t="s">
        <v>127</v>
      </c>
      <c r="M27" s="28" t="s">
        <v>127</v>
      </c>
      <c r="N27" s="28" t="s">
        <v>127</v>
      </c>
      <c r="O27" s="28" t="s">
        <v>127</v>
      </c>
      <c r="P27" s="80"/>
      <c r="Q27" s="80"/>
      <c r="R27" s="28" t="s">
        <v>127</v>
      </c>
      <c r="S27" s="80"/>
      <c r="T27" s="28" t="s">
        <v>127</v>
      </c>
      <c r="U27" s="28" t="s">
        <v>127</v>
      </c>
      <c r="V27" s="28" t="s">
        <v>127</v>
      </c>
      <c r="W27" s="28" t="s">
        <v>127</v>
      </c>
      <c r="X27" s="29" t="s">
        <v>127</v>
      </c>
      <c r="Y27" s="29" t="s">
        <v>127</v>
      </c>
      <c r="Z27" s="28" t="s">
        <v>127</v>
      </c>
      <c r="AA27" s="28" t="s">
        <v>127</v>
      </c>
      <c r="AB27" s="28" t="s">
        <v>127</v>
      </c>
      <c r="AC27" s="28" t="s">
        <v>127</v>
      </c>
      <c r="AD27" s="28" t="s">
        <v>127</v>
      </c>
      <c r="AE27" s="28" t="s">
        <v>127</v>
      </c>
      <c r="AF27" s="28" t="s">
        <v>127</v>
      </c>
      <c r="AG27" s="28" t="s">
        <v>127</v>
      </c>
      <c r="AH27" s="83" t="s">
        <v>127</v>
      </c>
      <c r="AJ27" s="28" t="s">
        <v>127</v>
      </c>
      <c r="AK27" s="28" t="s">
        <v>127</v>
      </c>
    </row>
    <row r="28" spans="1:37">
      <c r="A28" s="26" t="s">
        <v>126</v>
      </c>
      <c r="B28" s="28" t="s">
        <v>124</v>
      </c>
      <c r="C28" s="28" t="s">
        <v>124</v>
      </c>
      <c r="D28" s="28" t="s">
        <v>124</v>
      </c>
      <c r="E28" s="28" t="s">
        <v>124</v>
      </c>
      <c r="F28" s="28" t="s">
        <v>124</v>
      </c>
      <c r="G28" s="28" t="s">
        <v>124</v>
      </c>
      <c r="H28" s="28" t="s">
        <v>127</v>
      </c>
      <c r="I28" s="28" t="s">
        <v>124</v>
      </c>
      <c r="J28" s="28" t="s">
        <v>124</v>
      </c>
      <c r="K28" s="28" t="s">
        <v>124</v>
      </c>
      <c r="L28" s="28" t="s">
        <v>124</v>
      </c>
      <c r="M28" s="28" t="s">
        <v>124</v>
      </c>
      <c r="N28" s="28" t="s">
        <v>124</v>
      </c>
      <c r="O28" s="28" t="s">
        <v>124</v>
      </c>
      <c r="P28" s="80"/>
      <c r="Q28" s="80"/>
      <c r="R28" s="28" t="s">
        <v>124</v>
      </c>
      <c r="S28" s="80"/>
      <c r="T28" s="28" t="s">
        <v>124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 t="s">
        <v>124</v>
      </c>
      <c r="Z28" s="28" t="s">
        <v>124</v>
      </c>
      <c r="AA28" s="28" t="s">
        <v>124</v>
      </c>
      <c r="AB28" s="28" t="s">
        <v>124</v>
      </c>
      <c r="AC28" s="28" t="s">
        <v>124</v>
      </c>
      <c r="AD28" s="28" t="s">
        <v>124</v>
      </c>
      <c r="AE28" s="28" t="s">
        <v>124</v>
      </c>
      <c r="AF28" s="28" t="s">
        <v>124</v>
      </c>
      <c r="AG28" s="28" t="s">
        <v>124</v>
      </c>
      <c r="AH28" s="83" t="s">
        <v>124</v>
      </c>
      <c r="AJ28" s="28" t="s">
        <v>124</v>
      </c>
      <c r="AK28" s="28" t="s">
        <v>124</v>
      </c>
    </row>
    <row r="29" spans="1:37">
      <c r="A29" s="26" t="s">
        <v>128</v>
      </c>
      <c r="B29" s="28" t="s">
        <v>127</v>
      </c>
      <c r="C29" s="28" t="s">
        <v>127</v>
      </c>
      <c r="D29" s="28" t="s">
        <v>127</v>
      </c>
      <c r="E29" s="28" t="s">
        <v>127</v>
      </c>
      <c r="F29" s="28" t="s">
        <v>127</v>
      </c>
      <c r="G29" s="28" t="s">
        <v>127</v>
      </c>
      <c r="H29" s="28" t="s">
        <v>127</v>
      </c>
      <c r="I29" s="28" t="s">
        <v>127</v>
      </c>
      <c r="J29" s="28" t="s">
        <v>127</v>
      </c>
      <c r="K29" s="28" t="s">
        <v>127</v>
      </c>
      <c r="L29" s="28" t="s">
        <v>127</v>
      </c>
      <c r="M29" s="28" t="s">
        <v>127</v>
      </c>
      <c r="N29" s="28" t="s">
        <v>127</v>
      </c>
      <c r="O29" s="28" t="s">
        <v>127</v>
      </c>
      <c r="P29" s="80"/>
      <c r="Q29" s="80"/>
      <c r="R29" s="28" t="s">
        <v>127</v>
      </c>
      <c r="S29" s="80"/>
      <c r="T29" s="28" t="s">
        <v>127</v>
      </c>
      <c r="U29" s="28" t="s">
        <v>127</v>
      </c>
      <c r="V29" s="28" t="s">
        <v>127</v>
      </c>
      <c r="W29" s="28" t="s">
        <v>127</v>
      </c>
      <c r="X29" s="28" t="s">
        <v>127</v>
      </c>
      <c r="Y29" s="28" t="s">
        <v>127</v>
      </c>
      <c r="Z29" s="28" t="s">
        <v>127</v>
      </c>
      <c r="AA29" s="28" t="s">
        <v>127</v>
      </c>
      <c r="AB29" s="28" t="s">
        <v>127</v>
      </c>
      <c r="AC29" s="28" t="s">
        <v>127</v>
      </c>
      <c r="AD29" s="28" t="s">
        <v>127</v>
      </c>
      <c r="AE29" s="28" t="s">
        <v>127</v>
      </c>
      <c r="AF29" s="28" t="s">
        <v>127</v>
      </c>
      <c r="AG29" s="28" t="s">
        <v>127</v>
      </c>
      <c r="AH29" s="83" t="s">
        <v>127</v>
      </c>
      <c r="AJ29" s="28" t="s">
        <v>127</v>
      </c>
      <c r="AK29" s="28" t="s">
        <v>127</v>
      </c>
    </row>
    <row r="30" spans="1:37">
      <c r="A30" s="26" t="s">
        <v>129</v>
      </c>
      <c r="B30" s="28" t="s">
        <v>149</v>
      </c>
      <c r="C30" s="28" t="s">
        <v>150</v>
      </c>
      <c r="D30" s="28" t="s">
        <v>149</v>
      </c>
      <c r="E30" s="28" t="s">
        <v>149</v>
      </c>
      <c r="F30" s="28" t="s">
        <v>149</v>
      </c>
      <c r="G30" s="28" t="s">
        <v>149</v>
      </c>
      <c r="H30" s="28" t="s">
        <v>343</v>
      </c>
      <c r="I30" s="28" t="s">
        <v>149</v>
      </c>
      <c r="J30" s="28" t="s">
        <v>149</v>
      </c>
      <c r="K30" s="28" t="s">
        <v>149</v>
      </c>
      <c r="L30" s="28" t="s">
        <v>149</v>
      </c>
      <c r="M30" s="28" t="s">
        <v>149</v>
      </c>
      <c r="N30" s="28" t="s">
        <v>149</v>
      </c>
      <c r="O30" s="28" t="s">
        <v>149</v>
      </c>
      <c r="P30" s="80"/>
      <c r="Q30" s="80"/>
      <c r="R30" s="28" t="s">
        <v>149</v>
      </c>
      <c r="S30" s="80"/>
      <c r="T30" s="28" t="s">
        <v>149</v>
      </c>
      <c r="U30" s="28" t="s">
        <v>149</v>
      </c>
      <c r="V30" s="28" t="s">
        <v>150</v>
      </c>
      <c r="W30" s="28" t="s">
        <v>316</v>
      </c>
      <c r="X30" s="28" t="s">
        <v>149</v>
      </c>
      <c r="Y30" s="28" t="s">
        <v>149</v>
      </c>
      <c r="Z30" s="28" t="s">
        <v>149</v>
      </c>
      <c r="AA30" s="28" t="s">
        <v>149</v>
      </c>
      <c r="AB30" s="28" t="s">
        <v>149</v>
      </c>
      <c r="AC30" s="28" t="s">
        <v>150</v>
      </c>
      <c r="AD30" s="28" t="s">
        <v>149</v>
      </c>
      <c r="AE30" s="28" t="s">
        <v>316</v>
      </c>
      <c r="AF30" s="28" t="s">
        <v>149</v>
      </c>
      <c r="AG30" s="28" t="s">
        <v>149</v>
      </c>
      <c r="AH30" s="83" t="s">
        <v>149</v>
      </c>
      <c r="AJ30" s="28" t="s">
        <v>150</v>
      </c>
      <c r="AK30" s="28" t="s">
        <v>150</v>
      </c>
    </row>
    <row r="31" spans="1:37">
      <c r="A31" s="26" t="s">
        <v>130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/>
      <c r="Q31" s="82"/>
      <c r="R31" s="30">
        <f>4/3</f>
        <v>1.3333333333333333</v>
      </c>
      <c r="S31" s="82"/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  <c r="AJ31" s="30">
        <v>-0.5</v>
      </c>
      <c r="AK31" s="30">
        <v>-0.5</v>
      </c>
    </row>
    <row r="32" spans="1:37">
      <c r="A32" s="26" t="s">
        <v>131</v>
      </c>
      <c r="B32" s="28" t="s">
        <v>180</v>
      </c>
      <c r="C32" s="28" t="s">
        <v>180</v>
      </c>
      <c r="D32" s="28" t="s">
        <v>180</v>
      </c>
      <c r="E32" s="28" t="s">
        <v>180</v>
      </c>
      <c r="F32" s="28" t="s">
        <v>180</v>
      </c>
      <c r="G32" s="28" t="s">
        <v>180</v>
      </c>
      <c r="H32" s="28" t="s">
        <v>180</v>
      </c>
      <c r="I32" s="28" t="s">
        <v>180</v>
      </c>
      <c r="J32" s="28" t="s">
        <v>180</v>
      </c>
      <c r="K32" s="28" t="s">
        <v>180</v>
      </c>
      <c r="L32" s="28" t="s">
        <v>180</v>
      </c>
      <c r="M32" s="28" t="s">
        <v>180</v>
      </c>
      <c r="N32" s="28" t="s">
        <v>180</v>
      </c>
      <c r="O32" s="28" t="s">
        <v>180</v>
      </c>
      <c r="P32" s="80"/>
      <c r="Q32" s="80"/>
      <c r="R32" s="28" t="s">
        <v>180</v>
      </c>
      <c r="S32" s="80"/>
      <c r="T32" s="28" t="s">
        <v>180</v>
      </c>
      <c r="U32" s="28" t="s">
        <v>180</v>
      </c>
      <c r="V32" s="28" t="s">
        <v>180</v>
      </c>
      <c r="W32" s="28" t="s">
        <v>180</v>
      </c>
      <c r="X32" s="28" t="s">
        <v>180</v>
      </c>
      <c r="Y32" s="28" t="s">
        <v>180</v>
      </c>
      <c r="Z32" s="28" t="s">
        <v>180</v>
      </c>
      <c r="AA32" s="28" t="s">
        <v>180</v>
      </c>
      <c r="AB32" s="28" t="s">
        <v>180</v>
      </c>
      <c r="AC32" s="28" t="s">
        <v>180</v>
      </c>
      <c r="AD32" s="28" t="s">
        <v>180</v>
      </c>
      <c r="AE32" s="28" t="s">
        <v>180</v>
      </c>
      <c r="AF32" s="28" t="s">
        <v>180</v>
      </c>
      <c r="AG32" s="28" t="s">
        <v>180</v>
      </c>
      <c r="AH32" s="83" t="s">
        <v>180</v>
      </c>
      <c r="AJ32" s="28" t="s">
        <v>180</v>
      </c>
      <c r="AK32" s="28" t="s">
        <v>180</v>
      </c>
    </row>
    <row r="33" spans="1:37">
      <c r="A33" s="26" t="s">
        <v>133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/>
      <c r="Q33" s="82"/>
      <c r="R33" s="30">
        <v>2</v>
      </c>
      <c r="S33" s="82"/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  <c r="AJ33" s="30">
        <v>2</v>
      </c>
      <c r="AK33" s="30">
        <v>2</v>
      </c>
    </row>
    <row r="35" spans="1:37">
      <c r="A35" s="26" t="s">
        <v>117</v>
      </c>
      <c r="B35" s="28" t="s">
        <v>142</v>
      </c>
      <c r="C35" s="28" t="s">
        <v>143</v>
      </c>
      <c r="D35" s="28" t="s">
        <v>143</v>
      </c>
      <c r="E35" s="28" t="s">
        <v>143</v>
      </c>
      <c r="F35" s="28" t="s">
        <v>143</v>
      </c>
      <c r="G35" s="28" t="s">
        <v>143</v>
      </c>
      <c r="H35" s="28" t="s">
        <v>143</v>
      </c>
      <c r="I35" s="28" t="s">
        <v>143</v>
      </c>
      <c r="J35" s="28" t="s">
        <v>143</v>
      </c>
      <c r="K35" s="28" t="s">
        <v>143</v>
      </c>
      <c r="L35" s="28" t="s">
        <v>143</v>
      </c>
      <c r="M35" s="28" t="s">
        <v>143</v>
      </c>
      <c r="N35" s="28" t="s">
        <v>143</v>
      </c>
      <c r="O35" s="28" t="s">
        <v>143</v>
      </c>
      <c r="P35" s="28" t="s">
        <v>143</v>
      </c>
      <c r="Q35" s="28" t="s">
        <v>143</v>
      </c>
      <c r="R35" s="28" t="s">
        <v>143</v>
      </c>
      <c r="S35" s="28" t="s">
        <v>143</v>
      </c>
      <c r="T35" s="28" t="s">
        <v>143</v>
      </c>
      <c r="U35" s="28" t="s">
        <v>143</v>
      </c>
      <c r="V35" s="28" t="s">
        <v>143</v>
      </c>
      <c r="W35" s="28" t="s">
        <v>143</v>
      </c>
      <c r="X35" s="28" t="s">
        <v>143</v>
      </c>
      <c r="Y35" s="28" t="s">
        <v>143</v>
      </c>
      <c r="Z35" s="28" t="s">
        <v>143</v>
      </c>
      <c r="AA35" s="28" t="s">
        <v>143</v>
      </c>
      <c r="AB35" s="28" t="s">
        <v>143</v>
      </c>
      <c r="AC35" s="28" t="s">
        <v>143</v>
      </c>
      <c r="AD35" s="28" t="s">
        <v>143</v>
      </c>
      <c r="AE35" s="28" t="s">
        <v>143</v>
      </c>
      <c r="AF35" s="28" t="s">
        <v>143</v>
      </c>
      <c r="AG35" s="28" t="s">
        <v>143</v>
      </c>
      <c r="AH35" s="28" t="s">
        <v>143</v>
      </c>
      <c r="AJ35" s="28" t="s">
        <v>143</v>
      </c>
      <c r="AK35" s="28" t="s">
        <v>143</v>
      </c>
    </row>
    <row r="36" spans="1:37">
      <c r="A36" s="26" t="s">
        <v>121</v>
      </c>
      <c r="B36" s="29" t="s">
        <v>146</v>
      </c>
      <c r="C36" s="29" t="s">
        <v>146</v>
      </c>
      <c r="D36" s="29" t="s">
        <v>146</v>
      </c>
      <c r="E36" s="29" t="s">
        <v>146</v>
      </c>
      <c r="F36" s="29" t="s">
        <v>146</v>
      </c>
      <c r="G36" s="29" t="s">
        <v>146</v>
      </c>
      <c r="H36" s="29" t="s">
        <v>146</v>
      </c>
      <c r="I36" s="29" t="s">
        <v>146</v>
      </c>
      <c r="J36" s="29" t="s">
        <v>146</v>
      </c>
      <c r="K36" s="29" t="s">
        <v>146</v>
      </c>
      <c r="L36" s="29" t="s">
        <v>146</v>
      </c>
      <c r="M36" s="29" t="s">
        <v>146</v>
      </c>
      <c r="N36" s="29" t="s">
        <v>146</v>
      </c>
      <c r="O36" s="29" t="s">
        <v>146</v>
      </c>
      <c r="P36" s="29" t="s">
        <v>146</v>
      </c>
      <c r="Q36" s="29" t="s">
        <v>146</v>
      </c>
      <c r="R36" s="29" t="s">
        <v>146</v>
      </c>
      <c r="S36" s="29" t="s">
        <v>146</v>
      </c>
      <c r="T36" s="29" t="s">
        <v>146</v>
      </c>
      <c r="U36" s="29" t="s">
        <v>146</v>
      </c>
      <c r="V36" s="29" t="s">
        <v>146</v>
      </c>
      <c r="W36" s="29" t="s">
        <v>146</v>
      </c>
      <c r="X36" s="29" t="s">
        <v>146</v>
      </c>
      <c r="Y36" s="29" t="s">
        <v>146</v>
      </c>
      <c r="Z36" s="29" t="s">
        <v>146</v>
      </c>
      <c r="AA36" s="29" t="s">
        <v>146</v>
      </c>
      <c r="AB36" s="29" t="s">
        <v>146</v>
      </c>
      <c r="AC36" s="29" t="s">
        <v>146</v>
      </c>
      <c r="AD36" s="29" t="s">
        <v>146</v>
      </c>
      <c r="AE36" s="29" t="s">
        <v>146</v>
      </c>
      <c r="AF36" s="29" t="s">
        <v>146</v>
      </c>
      <c r="AG36" s="29" t="s">
        <v>146</v>
      </c>
      <c r="AH36" s="29" t="s">
        <v>146</v>
      </c>
      <c r="AJ36" s="29" t="s">
        <v>146</v>
      </c>
      <c r="AK36" s="29" t="s">
        <v>146</v>
      </c>
    </row>
    <row r="37" spans="1:37">
      <c r="A37" s="140" t="s">
        <v>122</v>
      </c>
      <c r="B37" s="141">
        <v>5</v>
      </c>
      <c r="C37" s="141">
        <v>5</v>
      </c>
      <c r="D37" s="141">
        <v>5</v>
      </c>
      <c r="E37" s="141">
        <v>5</v>
      </c>
      <c r="F37" s="141">
        <v>5</v>
      </c>
      <c r="G37" s="141">
        <v>5</v>
      </c>
      <c r="H37" s="141">
        <v>5</v>
      </c>
      <c r="I37" s="141">
        <v>5</v>
      </c>
      <c r="J37" s="141">
        <v>5</v>
      </c>
      <c r="K37" s="141">
        <v>5</v>
      </c>
      <c r="L37" s="141">
        <v>5</v>
      </c>
      <c r="M37" s="141">
        <v>5</v>
      </c>
      <c r="N37" s="141">
        <v>5</v>
      </c>
      <c r="O37" s="141">
        <v>5</v>
      </c>
      <c r="P37" s="141">
        <v>5</v>
      </c>
      <c r="Q37" s="141">
        <v>5</v>
      </c>
      <c r="R37" s="141">
        <v>5</v>
      </c>
      <c r="S37" s="141">
        <v>5</v>
      </c>
      <c r="T37" s="141">
        <v>5</v>
      </c>
      <c r="U37" s="141">
        <v>5</v>
      </c>
      <c r="V37" s="141">
        <v>5</v>
      </c>
      <c r="W37" s="141">
        <v>5</v>
      </c>
      <c r="X37" s="141">
        <v>5</v>
      </c>
      <c r="Y37" s="141">
        <v>5</v>
      </c>
      <c r="Z37" s="141">
        <v>5</v>
      </c>
      <c r="AA37" s="141">
        <v>5</v>
      </c>
      <c r="AB37" s="141">
        <v>5</v>
      </c>
      <c r="AC37" s="141">
        <v>5</v>
      </c>
      <c r="AD37" s="141">
        <v>5</v>
      </c>
      <c r="AE37" s="141">
        <v>5</v>
      </c>
      <c r="AF37" s="141">
        <v>5</v>
      </c>
      <c r="AG37" s="141">
        <v>5</v>
      </c>
      <c r="AH37" s="141">
        <v>5</v>
      </c>
      <c r="AJ37" s="141">
        <v>5</v>
      </c>
      <c r="AK37" s="141">
        <v>5</v>
      </c>
    </row>
    <row r="38" spans="1:37">
      <c r="A38" s="26" t="s">
        <v>123</v>
      </c>
      <c r="B38" s="28" t="s">
        <v>124</v>
      </c>
      <c r="C38" s="28" t="s">
        <v>124</v>
      </c>
      <c r="D38" s="28" t="s">
        <v>124</v>
      </c>
      <c r="E38" s="28" t="s">
        <v>124</v>
      </c>
      <c r="F38" s="28" t="s">
        <v>124</v>
      </c>
      <c r="G38" s="28" t="s">
        <v>124</v>
      </c>
      <c r="H38" s="28" t="s">
        <v>124</v>
      </c>
      <c r="I38" s="28" t="s">
        <v>124</v>
      </c>
      <c r="J38" s="28" t="s">
        <v>124</v>
      </c>
      <c r="K38" s="28" t="s">
        <v>124</v>
      </c>
      <c r="L38" s="28" t="s">
        <v>124</v>
      </c>
      <c r="M38" s="28" t="s">
        <v>124</v>
      </c>
      <c r="N38" s="28" t="s">
        <v>124</v>
      </c>
      <c r="O38" s="28" t="s">
        <v>124</v>
      </c>
      <c r="P38" s="28" t="s">
        <v>124</v>
      </c>
      <c r="Q38" s="28" t="s">
        <v>124</v>
      </c>
      <c r="R38" s="28" t="s">
        <v>124</v>
      </c>
      <c r="S38" s="28" t="s">
        <v>124</v>
      </c>
      <c r="T38" s="28" t="s">
        <v>124</v>
      </c>
      <c r="U38" s="28" t="s">
        <v>124</v>
      </c>
      <c r="V38" s="28" t="s">
        <v>124</v>
      </c>
      <c r="W38" s="28" t="s">
        <v>124</v>
      </c>
      <c r="X38" s="28" t="s">
        <v>124</v>
      </c>
      <c r="Y38" s="28" t="s">
        <v>124</v>
      </c>
      <c r="Z38" s="28" t="s">
        <v>124</v>
      </c>
      <c r="AA38" s="28" t="s">
        <v>124</v>
      </c>
      <c r="AB38" s="28" t="s">
        <v>124</v>
      </c>
      <c r="AC38" s="28" t="s">
        <v>124</v>
      </c>
      <c r="AD38" s="28" t="s">
        <v>124</v>
      </c>
      <c r="AE38" s="28" t="s">
        <v>124</v>
      </c>
      <c r="AF38" s="28" t="s">
        <v>124</v>
      </c>
      <c r="AG38" s="28" t="s">
        <v>124</v>
      </c>
      <c r="AH38" s="28" t="s">
        <v>124</v>
      </c>
      <c r="AJ38" s="28" t="s">
        <v>124</v>
      </c>
      <c r="AK38" s="28" t="s">
        <v>124</v>
      </c>
    </row>
    <row r="39" spans="1:37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 t="s">
        <v>127</v>
      </c>
      <c r="S39" s="28" t="s">
        <v>127</v>
      </c>
      <c r="T39" s="28" t="s">
        <v>127</v>
      </c>
      <c r="U39" s="28" t="s">
        <v>127</v>
      </c>
      <c r="V39" s="28" t="s">
        <v>127</v>
      </c>
      <c r="W39" s="28" t="s">
        <v>127</v>
      </c>
      <c r="X39" s="28" t="s">
        <v>127</v>
      </c>
      <c r="Y39" s="28" t="s">
        <v>127</v>
      </c>
      <c r="Z39" s="28" t="s">
        <v>127</v>
      </c>
      <c r="AA39" s="28" t="s">
        <v>127</v>
      </c>
      <c r="AB39" s="28" t="s">
        <v>127</v>
      </c>
      <c r="AC39" s="28" t="s">
        <v>127</v>
      </c>
      <c r="AD39" s="28" t="s">
        <v>127</v>
      </c>
      <c r="AE39" s="28" t="s">
        <v>127</v>
      </c>
      <c r="AF39" s="28" t="s">
        <v>127</v>
      </c>
      <c r="AG39" s="28" t="s">
        <v>127</v>
      </c>
      <c r="AH39" s="28" t="s">
        <v>127</v>
      </c>
      <c r="AJ39" s="28" t="s">
        <v>127</v>
      </c>
      <c r="AK39" s="28" t="s">
        <v>127</v>
      </c>
    </row>
    <row r="40" spans="1:37">
      <c r="A40" s="26" t="s">
        <v>126</v>
      </c>
      <c r="B40" s="28" t="s">
        <v>127</v>
      </c>
      <c r="C40" s="28" t="s">
        <v>127</v>
      </c>
      <c r="D40" s="28" t="s">
        <v>127</v>
      </c>
      <c r="E40" s="28" t="s">
        <v>127</v>
      </c>
      <c r="F40" s="28" t="s">
        <v>127</v>
      </c>
      <c r="G40" s="28" t="s">
        <v>127</v>
      </c>
      <c r="H40" s="28" t="s">
        <v>127</v>
      </c>
      <c r="I40" s="28" t="s">
        <v>127</v>
      </c>
      <c r="J40" s="28" t="s">
        <v>127</v>
      </c>
      <c r="K40" s="28" t="s">
        <v>127</v>
      </c>
      <c r="L40" s="28" t="s">
        <v>127</v>
      </c>
      <c r="M40" s="28" t="s">
        <v>127</v>
      </c>
      <c r="N40" s="28" t="s">
        <v>127</v>
      </c>
      <c r="O40" s="28" t="s">
        <v>127</v>
      </c>
      <c r="P40" s="28" t="s">
        <v>127</v>
      </c>
      <c r="Q40" s="28" t="s">
        <v>127</v>
      </c>
      <c r="R40" s="28" t="s">
        <v>127</v>
      </c>
      <c r="S40" s="28" t="s">
        <v>127</v>
      </c>
      <c r="T40" s="28" t="s">
        <v>127</v>
      </c>
      <c r="U40" s="28" t="s">
        <v>127</v>
      </c>
      <c r="V40" s="28" t="s">
        <v>127</v>
      </c>
      <c r="W40" s="28" t="s">
        <v>127</v>
      </c>
      <c r="X40" s="28" t="s">
        <v>127</v>
      </c>
      <c r="Y40" s="28" t="s">
        <v>127</v>
      </c>
      <c r="Z40" s="28" t="s">
        <v>127</v>
      </c>
      <c r="AA40" s="28" t="s">
        <v>127</v>
      </c>
      <c r="AB40" s="28" t="s">
        <v>127</v>
      </c>
      <c r="AC40" s="28" t="s">
        <v>127</v>
      </c>
      <c r="AD40" s="28" t="s">
        <v>127</v>
      </c>
      <c r="AE40" s="28" t="s">
        <v>127</v>
      </c>
      <c r="AF40" s="28" t="s">
        <v>127</v>
      </c>
      <c r="AG40" s="28" t="s">
        <v>127</v>
      </c>
      <c r="AH40" s="28" t="s">
        <v>127</v>
      </c>
      <c r="AJ40" s="28" t="s">
        <v>127</v>
      </c>
      <c r="AK40" s="28" t="s">
        <v>127</v>
      </c>
    </row>
    <row r="41" spans="1:37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 t="s">
        <v>127</v>
      </c>
      <c r="S41" s="28" t="s">
        <v>127</v>
      </c>
      <c r="T41" s="28" t="s">
        <v>127</v>
      </c>
      <c r="U41" s="28" t="s">
        <v>127</v>
      </c>
      <c r="V41" s="28" t="s">
        <v>127</v>
      </c>
      <c r="W41" s="28" t="s">
        <v>127</v>
      </c>
      <c r="X41" s="28" t="s">
        <v>127</v>
      </c>
      <c r="Y41" s="28" t="s">
        <v>127</v>
      </c>
      <c r="Z41" s="28" t="s">
        <v>127</v>
      </c>
      <c r="AA41" s="28" t="s">
        <v>127</v>
      </c>
      <c r="AB41" s="28" t="s">
        <v>127</v>
      </c>
      <c r="AC41" s="28" t="s">
        <v>127</v>
      </c>
      <c r="AD41" s="28" t="s">
        <v>127</v>
      </c>
      <c r="AE41" s="28" t="s">
        <v>127</v>
      </c>
      <c r="AF41" s="28" t="s">
        <v>127</v>
      </c>
      <c r="AG41" s="28" t="s">
        <v>127</v>
      </c>
      <c r="AH41" s="28" t="s">
        <v>127</v>
      </c>
      <c r="AJ41" s="28" t="s">
        <v>127</v>
      </c>
      <c r="AK41" s="28" t="s">
        <v>127</v>
      </c>
    </row>
    <row r="42" spans="1:37">
      <c r="A42" s="26" t="s">
        <v>129</v>
      </c>
      <c r="B42" s="28" t="s">
        <v>149</v>
      </c>
      <c r="C42" s="28" t="s">
        <v>149</v>
      </c>
      <c r="D42" s="28" t="s">
        <v>149</v>
      </c>
      <c r="E42" s="28" t="s">
        <v>149</v>
      </c>
      <c r="F42" s="28" t="s">
        <v>149</v>
      </c>
      <c r="G42" s="28" t="s">
        <v>149</v>
      </c>
      <c r="H42" s="28" t="s">
        <v>149</v>
      </c>
      <c r="I42" s="28" t="s">
        <v>149</v>
      </c>
      <c r="J42" s="28" t="s">
        <v>149</v>
      </c>
      <c r="K42" s="28" t="s">
        <v>149</v>
      </c>
      <c r="L42" s="28" t="s">
        <v>149</v>
      </c>
      <c r="M42" s="28" t="s">
        <v>149</v>
      </c>
      <c r="N42" s="28" t="s">
        <v>149</v>
      </c>
      <c r="O42" s="28" t="s">
        <v>149</v>
      </c>
      <c r="P42" s="28" t="s">
        <v>149</v>
      </c>
      <c r="Q42" s="28" t="s">
        <v>149</v>
      </c>
      <c r="R42" s="28" t="s">
        <v>149</v>
      </c>
      <c r="S42" s="28" t="s">
        <v>149</v>
      </c>
      <c r="T42" s="28" t="s">
        <v>149</v>
      </c>
      <c r="U42" s="28" t="s">
        <v>149</v>
      </c>
      <c r="V42" s="28" t="s">
        <v>149</v>
      </c>
      <c r="W42" s="28" t="s">
        <v>149</v>
      </c>
      <c r="X42" s="28" t="s">
        <v>149</v>
      </c>
      <c r="Y42" s="28" t="s">
        <v>149</v>
      </c>
      <c r="Z42" s="28" t="s">
        <v>149</v>
      </c>
      <c r="AA42" s="28" t="s">
        <v>149</v>
      </c>
      <c r="AB42" s="28" t="s">
        <v>149</v>
      </c>
      <c r="AC42" s="28" t="s">
        <v>149</v>
      </c>
      <c r="AD42" s="28" t="s">
        <v>149</v>
      </c>
      <c r="AE42" s="28" t="s">
        <v>149</v>
      </c>
      <c r="AF42" s="28" t="s">
        <v>149</v>
      </c>
      <c r="AG42" s="28" t="s">
        <v>149</v>
      </c>
      <c r="AH42" s="28" t="s">
        <v>149</v>
      </c>
      <c r="AJ42" s="28" t="s">
        <v>149</v>
      </c>
      <c r="AK42" s="28" t="s">
        <v>149</v>
      </c>
    </row>
    <row r="43" spans="1:37">
      <c r="A43" s="26" t="s">
        <v>130</v>
      </c>
      <c r="B43" s="30">
        <f>5/3</f>
        <v>1.6666666666666667</v>
      </c>
      <c r="C43" s="30">
        <f t="shared" ref="C43:O43" si="0">5/3</f>
        <v>1.6666666666666667</v>
      </c>
      <c r="D43" s="30">
        <f t="shared" si="0"/>
        <v>1.6666666666666667</v>
      </c>
      <c r="E43" s="30">
        <f t="shared" si="0"/>
        <v>1.6666666666666667</v>
      </c>
      <c r="F43" s="30">
        <f t="shared" si="0"/>
        <v>1.6666666666666667</v>
      </c>
      <c r="G43" s="30">
        <f t="shared" si="0"/>
        <v>1.6666666666666667</v>
      </c>
      <c r="H43" s="30">
        <f t="shared" si="0"/>
        <v>1.6666666666666667</v>
      </c>
      <c r="I43" s="30">
        <f t="shared" si="0"/>
        <v>1.6666666666666667</v>
      </c>
      <c r="J43" s="30">
        <f t="shared" si="0"/>
        <v>1.6666666666666667</v>
      </c>
      <c r="K43" s="30">
        <f t="shared" si="0"/>
        <v>1.6666666666666667</v>
      </c>
      <c r="L43" s="30">
        <f t="shared" si="0"/>
        <v>1.6666666666666667</v>
      </c>
      <c r="M43" s="30">
        <f t="shared" si="0"/>
        <v>1.6666666666666667</v>
      </c>
      <c r="N43" s="30">
        <f t="shared" si="0"/>
        <v>1.6666666666666667</v>
      </c>
      <c r="O43" s="30">
        <f t="shared" si="0"/>
        <v>1.6666666666666667</v>
      </c>
      <c r="P43" s="30">
        <f t="shared" ref="P43:U43" si="1">5/3</f>
        <v>1.6666666666666667</v>
      </c>
      <c r="Q43" s="30">
        <f t="shared" si="1"/>
        <v>1.6666666666666667</v>
      </c>
      <c r="R43" s="30">
        <f t="shared" si="1"/>
        <v>1.6666666666666667</v>
      </c>
      <c r="S43" s="30">
        <f t="shared" si="1"/>
        <v>1.6666666666666667</v>
      </c>
      <c r="T43" s="30">
        <f t="shared" si="1"/>
        <v>1.6666666666666667</v>
      </c>
      <c r="U43" s="30">
        <f t="shared" si="1"/>
        <v>1.6666666666666667</v>
      </c>
      <c r="V43" s="30">
        <f t="shared" ref="V43:Y43" si="2">5/3</f>
        <v>1.6666666666666667</v>
      </c>
      <c r="W43" s="30">
        <f t="shared" si="2"/>
        <v>1.6666666666666667</v>
      </c>
      <c r="X43" s="30">
        <f t="shared" si="2"/>
        <v>1.6666666666666667</v>
      </c>
      <c r="Y43" s="30">
        <f t="shared" si="2"/>
        <v>1.6666666666666667</v>
      </c>
      <c r="Z43" s="30">
        <f>5/3</f>
        <v>1.6666666666666667</v>
      </c>
      <c r="AA43" s="30">
        <f t="shared" ref="AA43:AD43" si="3">5/3</f>
        <v>1.6666666666666667</v>
      </c>
      <c r="AB43" s="30">
        <f t="shared" si="3"/>
        <v>1.6666666666666667</v>
      </c>
      <c r="AC43" s="30">
        <f t="shared" si="3"/>
        <v>1.6666666666666667</v>
      </c>
      <c r="AD43" s="30">
        <f t="shared" si="3"/>
        <v>1.6666666666666667</v>
      </c>
      <c r="AE43" s="30">
        <f>5/3</f>
        <v>1.6666666666666667</v>
      </c>
      <c r="AF43" s="30">
        <f>5/3</f>
        <v>1.6666666666666667</v>
      </c>
      <c r="AG43" s="30">
        <f>5/3</f>
        <v>1.6666666666666667</v>
      </c>
      <c r="AH43" s="30">
        <f>5/3</f>
        <v>1.6666666666666667</v>
      </c>
      <c r="AJ43" s="30">
        <f t="shared" ref="AJ43:AK43" si="4">5/3</f>
        <v>1.6666666666666667</v>
      </c>
      <c r="AK43" s="30">
        <f t="shared" si="4"/>
        <v>1.6666666666666667</v>
      </c>
    </row>
    <row r="44" spans="1:37">
      <c r="A44" s="26" t="s">
        <v>131</v>
      </c>
      <c r="B44" s="28" t="s">
        <v>132</v>
      </c>
      <c r="C44" s="28" t="s">
        <v>132</v>
      </c>
      <c r="D44" s="28" t="s">
        <v>132</v>
      </c>
      <c r="E44" s="28" t="s">
        <v>132</v>
      </c>
      <c r="F44" s="28" t="s">
        <v>132</v>
      </c>
      <c r="G44" s="28" t="s">
        <v>132</v>
      </c>
      <c r="H44" s="28" t="s">
        <v>132</v>
      </c>
      <c r="I44" s="28" t="s">
        <v>132</v>
      </c>
      <c r="J44" s="28" t="s">
        <v>132</v>
      </c>
      <c r="K44" s="28" t="s">
        <v>132</v>
      </c>
      <c r="L44" s="28" t="s">
        <v>132</v>
      </c>
      <c r="M44" s="28" t="s">
        <v>132</v>
      </c>
      <c r="N44" s="28" t="s">
        <v>132</v>
      </c>
      <c r="O44" s="28" t="s">
        <v>132</v>
      </c>
      <c r="P44" s="28" t="s">
        <v>132</v>
      </c>
      <c r="Q44" s="28" t="s">
        <v>132</v>
      </c>
      <c r="R44" s="28" t="s">
        <v>132</v>
      </c>
      <c r="S44" s="28" t="s">
        <v>132</v>
      </c>
      <c r="T44" s="28" t="s">
        <v>132</v>
      </c>
      <c r="U44" s="28" t="s">
        <v>132</v>
      </c>
      <c r="V44" s="28" t="s">
        <v>132</v>
      </c>
      <c r="W44" s="28" t="s">
        <v>132</v>
      </c>
      <c r="X44" s="28" t="s">
        <v>132</v>
      </c>
      <c r="Y44" s="28" t="s">
        <v>132</v>
      </c>
      <c r="Z44" s="28" t="s">
        <v>132</v>
      </c>
      <c r="AA44" s="28" t="s">
        <v>132</v>
      </c>
      <c r="AB44" s="28" t="s">
        <v>132</v>
      </c>
      <c r="AC44" s="28" t="s">
        <v>132</v>
      </c>
      <c r="AD44" s="28" t="s">
        <v>132</v>
      </c>
      <c r="AE44" s="28" t="s">
        <v>132</v>
      </c>
      <c r="AF44" s="28" t="s">
        <v>132</v>
      </c>
      <c r="AG44" s="28" t="s">
        <v>132</v>
      </c>
      <c r="AH44" s="28" t="s">
        <v>132</v>
      </c>
      <c r="AJ44" s="28" t="s">
        <v>132</v>
      </c>
      <c r="AK44" s="28" t="s">
        <v>132</v>
      </c>
    </row>
    <row r="45" spans="1:37">
      <c r="A45" s="26" t="s">
        <v>133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  <c r="AJ45" s="30">
        <v>4</v>
      </c>
      <c r="AK45" s="30">
        <v>4</v>
      </c>
    </row>
    <row r="46" spans="1:37">
      <c r="AG46" s="217" t="s">
        <v>725</v>
      </c>
      <c r="AH46" s="217"/>
      <c r="AJ46" s="217" t="s">
        <v>726</v>
      </c>
      <c r="AK46" s="217"/>
    </row>
    <row r="47" spans="1:37">
      <c r="A47" s="31" t="s">
        <v>134</v>
      </c>
    </row>
    <row r="48" spans="1:37">
      <c r="A48" s="223" t="s">
        <v>727</v>
      </c>
      <c r="B48" s="56" t="s">
        <v>728</v>
      </c>
    </row>
    <row r="49" spans="1:2">
      <c r="A49" s="223"/>
      <c r="B49" s="93" t="s">
        <v>729</v>
      </c>
    </row>
    <row r="50" spans="1:2">
      <c r="A50" s="223"/>
      <c r="B50" s="93" t="s">
        <v>730</v>
      </c>
    </row>
    <row r="51" spans="1:2">
      <c r="A51" s="223" t="s">
        <v>731</v>
      </c>
      <c r="B51" s="56" t="s">
        <v>728</v>
      </c>
    </row>
    <row r="52" spans="1:2">
      <c r="A52" s="223"/>
      <c r="B52" s="93" t="s">
        <v>729</v>
      </c>
    </row>
    <row r="53" spans="1:2">
      <c r="A53" s="223"/>
      <c r="B53" s="93" t="s">
        <v>732</v>
      </c>
    </row>
    <row r="54" spans="1:2">
      <c r="A54" s="223"/>
      <c r="B54" s="93" t="s">
        <v>733</v>
      </c>
    </row>
  </sheetData>
  <mergeCells count="9">
    <mergeCell ref="F3:O3"/>
    <mergeCell ref="F4:O5"/>
    <mergeCell ref="A51:A54"/>
    <mergeCell ref="A48:A50"/>
    <mergeCell ref="AJ46:AK46"/>
    <mergeCell ref="B3:D3"/>
    <mergeCell ref="B4:D4"/>
    <mergeCell ref="B5:D5"/>
    <mergeCell ref="AG46:AH4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A23F-B28A-47F2-8989-62F1F86C604F}">
  <dimension ref="A1:AH50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495</v>
      </c>
    </row>
    <row r="3" spans="1:34" ht="17.45">
      <c r="A3" s="25" t="s">
        <v>77</v>
      </c>
      <c r="B3" s="203">
        <v>48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723</v>
      </c>
      <c r="C4" s="203"/>
      <c r="D4" s="203"/>
      <c r="F4" s="204" t="s">
        <v>734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0"/>
      <c r="C8" s="83" t="s">
        <v>690</v>
      </c>
      <c r="D8" s="28" t="s">
        <v>690</v>
      </c>
      <c r="E8" s="28" t="s">
        <v>690</v>
      </c>
      <c r="F8" s="28" t="s">
        <v>690</v>
      </c>
      <c r="G8" s="28" t="s">
        <v>690</v>
      </c>
      <c r="H8" s="86" t="s">
        <v>690</v>
      </c>
      <c r="I8" s="28" t="s">
        <v>690</v>
      </c>
      <c r="J8" s="28" t="s">
        <v>690</v>
      </c>
      <c r="K8" s="28" t="s">
        <v>690</v>
      </c>
      <c r="L8" s="28" t="s">
        <v>690</v>
      </c>
      <c r="M8" s="28" t="s">
        <v>690</v>
      </c>
      <c r="N8" s="28" t="s">
        <v>690</v>
      </c>
      <c r="O8" s="28" t="s">
        <v>690</v>
      </c>
      <c r="P8" s="28" t="s">
        <v>691</v>
      </c>
      <c r="Q8" s="28" t="s">
        <v>691</v>
      </c>
      <c r="R8" s="80"/>
      <c r="S8" s="28" t="s">
        <v>692</v>
      </c>
      <c r="T8" s="80"/>
      <c r="U8" s="84"/>
      <c r="V8" s="84"/>
      <c r="W8" s="84"/>
      <c r="X8" s="28" t="s">
        <v>502</v>
      </c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>
      <c r="A9" s="26" t="s">
        <v>121</v>
      </c>
      <c r="B9" s="81"/>
      <c r="C9" s="29" t="s">
        <v>502</v>
      </c>
      <c r="D9" s="28" t="s">
        <v>693</v>
      </c>
      <c r="E9" s="28" t="s">
        <v>694</v>
      </c>
      <c r="F9" s="28" t="s">
        <v>694</v>
      </c>
      <c r="G9" s="29" t="s">
        <v>695</v>
      </c>
      <c r="H9" s="91" t="s">
        <v>696</v>
      </c>
      <c r="I9" s="28" t="s">
        <v>695</v>
      </c>
      <c r="J9" s="28" t="s">
        <v>695</v>
      </c>
      <c r="K9" s="28" t="s">
        <v>697</v>
      </c>
      <c r="L9" s="28" t="s">
        <v>695</v>
      </c>
      <c r="M9" s="28" t="s">
        <v>698</v>
      </c>
      <c r="N9" s="28" t="s">
        <v>690</v>
      </c>
      <c r="O9" s="28" t="s">
        <v>690</v>
      </c>
      <c r="P9" s="28" t="s">
        <v>690</v>
      </c>
      <c r="Q9" s="28" t="s">
        <v>690</v>
      </c>
      <c r="R9" s="80"/>
      <c r="S9" s="28" t="s">
        <v>695</v>
      </c>
      <c r="T9" s="80"/>
      <c r="U9" s="172"/>
      <c r="V9" s="172"/>
      <c r="W9" s="172"/>
      <c r="X9" s="29" t="s">
        <v>502</v>
      </c>
      <c r="Y9" s="81"/>
      <c r="Z9" s="81"/>
      <c r="AA9" s="81"/>
      <c r="AB9" s="81"/>
      <c r="AC9" s="81"/>
      <c r="AD9" s="81"/>
      <c r="AE9" s="81"/>
      <c r="AF9" s="81"/>
      <c r="AG9" s="81"/>
      <c r="AH9" s="81"/>
    </row>
    <row r="10" spans="1:34">
      <c r="A10" s="140" t="s">
        <v>122</v>
      </c>
      <c r="B10" s="174"/>
      <c r="C10" s="167">
        <v>501</v>
      </c>
      <c r="D10" s="167">
        <v>502</v>
      </c>
      <c r="E10" s="167">
        <v>508</v>
      </c>
      <c r="F10" s="167">
        <v>508</v>
      </c>
      <c r="G10" s="167">
        <v>504</v>
      </c>
      <c r="H10" s="171">
        <v>550</v>
      </c>
      <c r="I10" s="167">
        <v>504</v>
      </c>
      <c r="J10" s="167">
        <v>504</v>
      </c>
      <c r="K10" s="167">
        <v>515</v>
      </c>
      <c r="L10" s="167">
        <v>504</v>
      </c>
      <c r="M10" s="167">
        <v>514</v>
      </c>
      <c r="N10" s="167">
        <v>503</v>
      </c>
      <c r="O10" s="167">
        <v>503</v>
      </c>
      <c r="P10" s="167">
        <v>503</v>
      </c>
      <c r="Q10" s="167">
        <v>503</v>
      </c>
      <c r="R10" s="174"/>
      <c r="S10" s="167">
        <v>504</v>
      </c>
      <c r="T10" s="174"/>
      <c r="U10" s="175"/>
      <c r="V10" s="175"/>
      <c r="W10" s="175"/>
      <c r="X10" s="167">
        <v>501</v>
      </c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</row>
    <row r="11" spans="1:34">
      <c r="A11" s="26" t="s">
        <v>699</v>
      </c>
      <c r="B11" s="80"/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86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80"/>
      <c r="S11" s="28" t="s">
        <v>127</v>
      </c>
      <c r="T11" s="80"/>
      <c r="U11" s="84"/>
      <c r="V11" s="84"/>
      <c r="W11" s="84"/>
      <c r="X11" s="28" t="s">
        <v>127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>
      <c r="A12" s="26" t="s">
        <v>700</v>
      </c>
      <c r="B12" s="80"/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86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80"/>
      <c r="S12" s="28" t="s">
        <v>127</v>
      </c>
      <c r="T12" s="80"/>
      <c r="U12" s="84"/>
      <c r="V12" s="84"/>
      <c r="W12" s="84"/>
      <c r="X12" s="28" t="s">
        <v>127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>
      <c r="A13" s="26" t="s">
        <v>701</v>
      </c>
      <c r="B13" s="80"/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86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80"/>
      <c r="S13" s="28" t="s">
        <v>124</v>
      </c>
      <c r="T13" s="80"/>
      <c r="U13" s="84"/>
      <c r="V13" s="84"/>
      <c r="W13" s="84"/>
      <c r="X13" s="28" t="s">
        <v>124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>
      <c r="A14" s="26" t="s">
        <v>702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86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80"/>
      <c r="U14" s="84"/>
      <c r="V14" s="84"/>
      <c r="W14" s="84"/>
      <c r="X14" s="28" t="s">
        <v>127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>
      <c r="A15" s="26" t="s">
        <v>703</v>
      </c>
      <c r="B15" s="80"/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86" t="s">
        <v>127</v>
      </c>
      <c r="I15" s="28" t="s">
        <v>127</v>
      </c>
      <c r="J15" s="28" t="s">
        <v>127</v>
      </c>
      <c r="K15" s="28" t="s">
        <v>127</v>
      </c>
      <c r="L15" s="28" t="s">
        <v>127</v>
      </c>
      <c r="M15" s="28" t="s">
        <v>127</v>
      </c>
      <c r="N15" s="28" t="s">
        <v>127</v>
      </c>
      <c r="O15" s="28" t="s">
        <v>127</v>
      </c>
      <c r="P15" s="28" t="s">
        <v>127</v>
      </c>
      <c r="Q15" s="28" t="s">
        <v>127</v>
      </c>
      <c r="R15" s="80"/>
      <c r="S15" s="28" t="s">
        <v>127</v>
      </c>
      <c r="T15" s="80"/>
      <c r="U15" s="84"/>
      <c r="V15" s="84"/>
      <c r="W15" s="84"/>
      <c r="X15" s="28" t="s">
        <v>127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>
      <c r="A16" s="26" t="s">
        <v>704</v>
      </c>
      <c r="B16" s="80"/>
      <c r="C16" s="28" t="s">
        <v>127</v>
      </c>
      <c r="D16" s="28" t="s">
        <v>127</v>
      </c>
      <c r="E16" s="28" t="s">
        <v>127</v>
      </c>
      <c r="F16" s="28" t="s">
        <v>127</v>
      </c>
      <c r="G16" s="28" t="s">
        <v>127</v>
      </c>
      <c r="H16" s="28" t="s">
        <v>127</v>
      </c>
      <c r="I16" s="28" t="s">
        <v>127</v>
      </c>
      <c r="J16" s="28" t="s">
        <v>127</v>
      </c>
      <c r="K16" s="28" t="s">
        <v>127</v>
      </c>
      <c r="L16" s="28" t="s">
        <v>127</v>
      </c>
      <c r="M16" s="28" t="s">
        <v>127</v>
      </c>
      <c r="N16" s="28" t="s">
        <v>127</v>
      </c>
      <c r="O16" s="28" t="s">
        <v>127</v>
      </c>
      <c r="P16" s="28" t="s">
        <v>127</v>
      </c>
      <c r="Q16" s="28" t="s">
        <v>127</v>
      </c>
      <c r="R16" s="80"/>
      <c r="S16" s="28" t="s">
        <v>127</v>
      </c>
      <c r="T16" s="80"/>
      <c r="U16" s="84"/>
      <c r="V16" s="84"/>
      <c r="W16" s="84"/>
      <c r="X16" s="28" t="s">
        <v>127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>
      <c r="A17" s="26" t="s">
        <v>705</v>
      </c>
      <c r="B17" s="82"/>
      <c r="C17" s="30" t="s">
        <v>706</v>
      </c>
      <c r="D17" s="30" t="s">
        <v>706</v>
      </c>
      <c r="E17" s="28" t="s">
        <v>706</v>
      </c>
      <c r="F17" s="28" t="s">
        <v>706</v>
      </c>
      <c r="G17" s="30" t="s">
        <v>706</v>
      </c>
      <c r="H17" s="92" t="s">
        <v>706</v>
      </c>
      <c r="I17" s="30" t="s">
        <v>706</v>
      </c>
      <c r="J17" s="30" t="s">
        <v>706</v>
      </c>
      <c r="K17" s="30" t="s">
        <v>706</v>
      </c>
      <c r="L17" s="30" t="s">
        <v>706</v>
      </c>
      <c r="M17" s="30" t="s">
        <v>706</v>
      </c>
      <c r="N17" s="30"/>
      <c r="O17" s="30" t="s">
        <v>706</v>
      </c>
      <c r="P17" s="30" t="s">
        <v>707</v>
      </c>
      <c r="Q17" s="30" t="s">
        <v>707</v>
      </c>
      <c r="R17" s="80"/>
      <c r="S17" s="30" t="s">
        <v>706</v>
      </c>
      <c r="T17" s="80"/>
      <c r="U17" s="84"/>
      <c r="V17" s="84"/>
      <c r="W17" s="84"/>
      <c r="X17" s="28" t="s">
        <v>706</v>
      </c>
      <c r="Y17" s="80"/>
      <c r="Z17" s="80"/>
      <c r="AA17" s="82"/>
      <c r="AB17" s="82"/>
      <c r="AC17" s="82"/>
      <c r="AD17" s="82"/>
      <c r="AE17" s="82"/>
      <c r="AF17" s="82"/>
      <c r="AG17" s="82"/>
      <c r="AH17" s="82"/>
    </row>
    <row r="18" spans="1:34">
      <c r="A18" s="26" t="s">
        <v>708</v>
      </c>
      <c r="B18" s="82"/>
      <c r="C18" s="28" t="s">
        <v>709</v>
      </c>
      <c r="D18" s="28" t="s">
        <v>709</v>
      </c>
      <c r="E18" s="28" t="s">
        <v>709</v>
      </c>
      <c r="F18" s="28" t="s">
        <v>709</v>
      </c>
      <c r="G18" s="30" t="s">
        <v>710</v>
      </c>
      <c r="H18" s="92" t="s">
        <v>710</v>
      </c>
      <c r="I18" s="30" t="s">
        <v>710</v>
      </c>
      <c r="J18" s="30" t="s">
        <v>710</v>
      </c>
      <c r="K18" s="30" t="s">
        <v>710</v>
      </c>
      <c r="L18" s="30" t="s">
        <v>710</v>
      </c>
      <c r="M18" s="30" t="s">
        <v>710</v>
      </c>
      <c r="N18" s="28" t="s">
        <v>710</v>
      </c>
      <c r="O18" s="28" t="s">
        <v>710</v>
      </c>
      <c r="P18" s="28" t="s">
        <v>710</v>
      </c>
      <c r="Q18" s="28" t="s">
        <v>710</v>
      </c>
      <c r="R18" s="82"/>
      <c r="S18" s="30" t="s">
        <v>710</v>
      </c>
      <c r="T18" s="82"/>
      <c r="U18" s="190"/>
      <c r="V18" s="190"/>
      <c r="W18" s="190"/>
      <c r="X18" s="28" t="s">
        <v>709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1:34">
      <c r="A19" s="26" t="s">
        <v>711</v>
      </c>
      <c r="B19" s="80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8">
        <v>3</v>
      </c>
      <c r="J19" s="128">
        <v>3</v>
      </c>
      <c r="K19" s="128">
        <v>2</v>
      </c>
      <c r="L19" s="128">
        <v>3</v>
      </c>
      <c r="M19" s="128">
        <v>3</v>
      </c>
      <c r="N19" s="128">
        <v>4</v>
      </c>
      <c r="O19" s="128">
        <v>4</v>
      </c>
      <c r="P19" s="128">
        <v>4</v>
      </c>
      <c r="Q19" s="128">
        <v>4</v>
      </c>
      <c r="R19" s="81"/>
      <c r="S19" s="128">
        <v>3</v>
      </c>
      <c r="T19" s="81"/>
      <c r="U19" s="80"/>
      <c r="V19" s="80"/>
      <c r="W19" s="80"/>
      <c r="X19" s="30">
        <v>6</v>
      </c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>
      <c r="A20" s="26" t="s">
        <v>712</v>
      </c>
      <c r="B20" s="80"/>
      <c r="C20" s="28" t="s">
        <v>713</v>
      </c>
      <c r="D20" s="28" t="s">
        <v>713</v>
      </c>
      <c r="E20" s="28" t="s">
        <v>713</v>
      </c>
      <c r="F20" s="28" t="s">
        <v>713</v>
      </c>
      <c r="G20" s="28" t="s">
        <v>713</v>
      </c>
      <c r="H20" s="28" t="s">
        <v>713</v>
      </c>
      <c r="I20" s="28" t="s">
        <v>713</v>
      </c>
      <c r="J20" s="28" t="s">
        <v>713</v>
      </c>
      <c r="K20" s="28" t="s">
        <v>714</v>
      </c>
      <c r="L20" s="28" t="s">
        <v>713</v>
      </c>
      <c r="M20" s="28" t="s">
        <v>714</v>
      </c>
      <c r="N20" s="28" t="s">
        <v>713</v>
      </c>
      <c r="O20" s="28" t="s">
        <v>713</v>
      </c>
      <c r="P20" s="28" t="s">
        <v>713</v>
      </c>
      <c r="Q20" s="28" t="s">
        <v>713</v>
      </c>
      <c r="R20" s="80"/>
      <c r="S20" s="28" t="s">
        <v>713</v>
      </c>
      <c r="T20" s="80"/>
      <c r="U20" s="80"/>
      <c r="V20" s="80"/>
      <c r="W20" s="80"/>
      <c r="X20" s="28" t="s">
        <v>713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>
      <c r="A21" s="26" t="s">
        <v>715</v>
      </c>
      <c r="B21" s="82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/>
      <c r="S21" s="30">
        <v>1</v>
      </c>
      <c r="T21" s="82"/>
      <c r="U21" s="82"/>
      <c r="V21" s="82"/>
      <c r="W21" s="82"/>
      <c r="X21" s="30">
        <v>1</v>
      </c>
      <c r="Y21" s="82"/>
      <c r="Z21" s="82"/>
      <c r="AA21" s="82"/>
      <c r="AB21" s="82"/>
      <c r="AC21" s="82"/>
      <c r="AD21" s="82"/>
      <c r="AE21" s="82"/>
      <c r="AF21" s="82"/>
      <c r="AG21" s="82"/>
      <c r="AH21" s="82"/>
    </row>
    <row r="22" spans="1:34">
      <c r="A22" s="31"/>
    </row>
    <row r="23" spans="1:34">
      <c r="A23" s="26" t="s">
        <v>117</v>
      </c>
      <c r="B23" s="28" t="s">
        <v>362</v>
      </c>
      <c r="C23" s="28" t="s">
        <v>206</v>
      </c>
      <c r="D23" s="28" t="s">
        <v>206</v>
      </c>
      <c r="E23" s="28" t="s">
        <v>206</v>
      </c>
      <c r="F23" s="28" t="s">
        <v>206</v>
      </c>
      <c r="G23" s="28" t="s">
        <v>206</v>
      </c>
      <c r="H23" s="28" t="s">
        <v>206</v>
      </c>
      <c r="I23" s="28" t="s">
        <v>206</v>
      </c>
      <c r="J23" s="28" t="s">
        <v>206</v>
      </c>
      <c r="K23" s="28" t="s">
        <v>206</v>
      </c>
      <c r="L23" s="28" t="s">
        <v>206</v>
      </c>
      <c r="M23" s="28" t="s">
        <v>206</v>
      </c>
      <c r="N23" s="28" t="s">
        <v>206</v>
      </c>
      <c r="O23" s="28" t="s">
        <v>206</v>
      </c>
      <c r="P23" s="187"/>
      <c r="Q23" s="80"/>
      <c r="R23" s="86" t="s">
        <v>206</v>
      </c>
      <c r="S23" s="80"/>
      <c r="T23" s="28" t="s">
        <v>206</v>
      </c>
      <c r="U23" s="28" t="s">
        <v>206</v>
      </c>
      <c r="V23" s="28" t="s">
        <v>206</v>
      </c>
      <c r="W23" s="28" t="s">
        <v>206</v>
      </c>
      <c r="X23" s="83" t="s">
        <v>206</v>
      </c>
      <c r="Y23" s="28" t="s">
        <v>206</v>
      </c>
      <c r="Z23" s="28" t="s">
        <v>206</v>
      </c>
      <c r="AA23" s="28" t="s">
        <v>206</v>
      </c>
      <c r="AB23" s="28" t="s">
        <v>206</v>
      </c>
      <c r="AC23" s="28" t="s">
        <v>206</v>
      </c>
      <c r="AD23" s="28" t="s">
        <v>206</v>
      </c>
      <c r="AE23" s="28" t="s">
        <v>206</v>
      </c>
      <c r="AF23" s="28" t="s">
        <v>206</v>
      </c>
      <c r="AG23" s="28" t="s">
        <v>206</v>
      </c>
      <c r="AH23" s="83" t="s">
        <v>206</v>
      </c>
    </row>
    <row r="24" spans="1:34">
      <c r="A24" s="26" t="s">
        <v>121</v>
      </c>
      <c r="B24" s="29" t="s">
        <v>210</v>
      </c>
      <c r="C24" s="28" t="s">
        <v>231</v>
      </c>
      <c r="D24" s="29" t="s">
        <v>206</v>
      </c>
      <c r="E24" s="28" t="s">
        <v>210</v>
      </c>
      <c r="F24" s="28" t="s">
        <v>210</v>
      </c>
      <c r="G24" s="28" t="s">
        <v>210</v>
      </c>
      <c r="H24" s="28" t="s">
        <v>341</v>
      </c>
      <c r="I24" s="29" t="s">
        <v>206</v>
      </c>
      <c r="J24" s="28" t="s">
        <v>210</v>
      </c>
      <c r="K24" s="28" t="s">
        <v>210</v>
      </c>
      <c r="L24" s="28" t="s">
        <v>210</v>
      </c>
      <c r="M24" s="28" t="s">
        <v>210</v>
      </c>
      <c r="N24" s="28" t="s">
        <v>210</v>
      </c>
      <c r="O24" s="28" t="s">
        <v>210</v>
      </c>
      <c r="P24" s="188"/>
      <c r="Q24" s="80"/>
      <c r="R24" s="86" t="s">
        <v>211</v>
      </c>
      <c r="S24" s="80"/>
      <c r="T24" s="28" t="s">
        <v>716</v>
      </c>
      <c r="U24" s="28" t="s">
        <v>210</v>
      </c>
      <c r="V24" s="28" t="s">
        <v>231</v>
      </c>
      <c r="W24" s="28" t="s">
        <v>717</v>
      </c>
      <c r="X24" s="83" t="s">
        <v>210</v>
      </c>
      <c r="Y24" s="115" t="s">
        <v>364</v>
      </c>
      <c r="Z24" s="28" t="s">
        <v>206</v>
      </c>
      <c r="AA24" s="28" t="s">
        <v>206</v>
      </c>
      <c r="AB24" s="28" t="s">
        <v>206</v>
      </c>
      <c r="AC24" s="28" t="s">
        <v>231</v>
      </c>
      <c r="AD24" s="28" t="s">
        <v>206</v>
      </c>
      <c r="AE24" s="28" t="s">
        <v>718</v>
      </c>
      <c r="AF24" s="28" t="s">
        <v>210</v>
      </c>
      <c r="AG24" s="28" t="s">
        <v>211</v>
      </c>
      <c r="AH24" s="85" t="s">
        <v>211</v>
      </c>
    </row>
    <row r="25" spans="1:34">
      <c r="A25" s="140" t="s">
        <v>122</v>
      </c>
      <c r="B25" s="167">
        <v>52</v>
      </c>
      <c r="C25" s="167">
        <v>56</v>
      </c>
      <c r="D25" s="167">
        <v>50</v>
      </c>
      <c r="E25" s="167">
        <v>122</v>
      </c>
      <c r="F25" s="167">
        <v>52</v>
      </c>
      <c r="G25" s="167">
        <v>52</v>
      </c>
      <c r="H25" s="167">
        <v>68</v>
      </c>
      <c r="I25" s="167">
        <v>50</v>
      </c>
      <c r="J25" s="167">
        <v>52</v>
      </c>
      <c r="K25" s="167">
        <v>52</v>
      </c>
      <c r="L25" s="167">
        <v>52</v>
      </c>
      <c r="M25" s="167">
        <v>52</v>
      </c>
      <c r="N25" s="167">
        <v>52</v>
      </c>
      <c r="O25" s="167">
        <v>52</v>
      </c>
      <c r="P25" s="189"/>
      <c r="Q25" s="174"/>
      <c r="R25" s="171">
        <v>48</v>
      </c>
      <c r="S25" s="174"/>
      <c r="T25" s="167">
        <v>159</v>
      </c>
      <c r="U25" s="167">
        <v>52</v>
      </c>
      <c r="V25" s="167">
        <v>56</v>
      </c>
      <c r="W25" s="167">
        <v>103</v>
      </c>
      <c r="X25" s="168">
        <v>52</v>
      </c>
      <c r="Y25" s="167">
        <v>118</v>
      </c>
      <c r="Z25" s="167">
        <v>50</v>
      </c>
      <c r="AA25" s="167">
        <v>50</v>
      </c>
      <c r="AB25" s="167">
        <v>50</v>
      </c>
      <c r="AC25" s="167">
        <v>56</v>
      </c>
      <c r="AD25" s="167">
        <v>50</v>
      </c>
      <c r="AE25" s="167">
        <v>160</v>
      </c>
      <c r="AF25" s="167">
        <v>52</v>
      </c>
      <c r="AG25" s="167">
        <v>48</v>
      </c>
      <c r="AH25" s="168">
        <v>48</v>
      </c>
    </row>
    <row r="26" spans="1:34">
      <c r="A26" s="26" t="s">
        <v>123</v>
      </c>
      <c r="B26" s="29" t="s">
        <v>124</v>
      </c>
      <c r="C26" s="28" t="s">
        <v>124</v>
      </c>
      <c r="D26" s="28" t="s">
        <v>124</v>
      </c>
      <c r="E26" s="28" t="s">
        <v>124</v>
      </c>
      <c r="F26" s="28" t="s">
        <v>124</v>
      </c>
      <c r="G26" s="29" t="s">
        <v>124</v>
      </c>
      <c r="H26" s="29" t="s">
        <v>124</v>
      </c>
      <c r="I26" s="29" t="s">
        <v>124</v>
      </c>
      <c r="J26" s="28" t="s">
        <v>124</v>
      </c>
      <c r="K26" s="29" t="s">
        <v>124</v>
      </c>
      <c r="L26" s="29" t="s">
        <v>124</v>
      </c>
      <c r="M26" s="29" t="s">
        <v>124</v>
      </c>
      <c r="N26" s="28" t="s">
        <v>124</v>
      </c>
      <c r="O26" s="28" t="s">
        <v>124</v>
      </c>
      <c r="P26" s="80"/>
      <c r="Q26" s="81"/>
      <c r="R26" s="29" t="s">
        <v>124</v>
      </c>
      <c r="S26" s="81"/>
      <c r="T26" s="29" t="s">
        <v>124</v>
      </c>
      <c r="U26" s="29" t="s">
        <v>124</v>
      </c>
      <c r="V26" s="28" t="s">
        <v>124</v>
      </c>
      <c r="W26" s="28" t="s">
        <v>124</v>
      </c>
      <c r="X26" s="28" t="s">
        <v>124</v>
      </c>
      <c r="Y26" s="28" t="s">
        <v>124</v>
      </c>
      <c r="Z26" s="28" t="s">
        <v>124</v>
      </c>
      <c r="AA26" s="28" t="s">
        <v>124</v>
      </c>
      <c r="AB26" s="28" t="s">
        <v>124</v>
      </c>
      <c r="AC26" s="28" t="s">
        <v>124</v>
      </c>
      <c r="AD26" s="28" t="s">
        <v>124</v>
      </c>
      <c r="AE26" s="28" t="s">
        <v>124</v>
      </c>
      <c r="AF26" s="28" t="s">
        <v>124</v>
      </c>
      <c r="AG26" s="28" t="s">
        <v>124</v>
      </c>
      <c r="AH26" s="85" t="s">
        <v>124</v>
      </c>
    </row>
    <row r="27" spans="1:34">
      <c r="A27" s="26" t="s">
        <v>125</v>
      </c>
      <c r="B27" s="28" t="s">
        <v>127</v>
      </c>
      <c r="C27" s="28" t="s">
        <v>127</v>
      </c>
      <c r="D27" s="28" t="s">
        <v>127</v>
      </c>
      <c r="E27" s="28" t="s">
        <v>127</v>
      </c>
      <c r="F27" s="28" t="s">
        <v>127</v>
      </c>
      <c r="G27" s="28" t="s">
        <v>127</v>
      </c>
      <c r="H27" s="29" t="s">
        <v>124</v>
      </c>
      <c r="I27" s="28" t="s">
        <v>127</v>
      </c>
      <c r="J27" s="28" t="s">
        <v>127</v>
      </c>
      <c r="K27" s="28" t="s">
        <v>127</v>
      </c>
      <c r="L27" s="28" t="s">
        <v>127</v>
      </c>
      <c r="M27" s="28" t="s">
        <v>127</v>
      </c>
      <c r="N27" s="28" t="s">
        <v>127</v>
      </c>
      <c r="O27" s="28" t="s">
        <v>127</v>
      </c>
      <c r="P27" s="80"/>
      <c r="Q27" s="80"/>
      <c r="R27" s="28" t="s">
        <v>127</v>
      </c>
      <c r="S27" s="80"/>
      <c r="T27" s="28" t="s">
        <v>127</v>
      </c>
      <c r="U27" s="28" t="s">
        <v>127</v>
      </c>
      <c r="V27" s="28" t="s">
        <v>127</v>
      </c>
      <c r="W27" s="28" t="s">
        <v>127</v>
      </c>
      <c r="X27" s="29" t="s">
        <v>127</v>
      </c>
      <c r="Y27" s="29" t="s">
        <v>127</v>
      </c>
      <c r="Z27" s="28" t="s">
        <v>127</v>
      </c>
      <c r="AA27" s="28" t="s">
        <v>127</v>
      </c>
      <c r="AB27" s="28" t="s">
        <v>127</v>
      </c>
      <c r="AC27" s="28" t="s">
        <v>127</v>
      </c>
      <c r="AD27" s="28" t="s">
        <v>127</v>
      </c>
      <c r="AE27" s="28" t="s">
        <v>127</v>
      </c>
      <c r="AF27" s="28" t="s">
        <v>127</v>
      </c>
      <c r="AG27" s="28" t="s">
        <v>127</v>
      </c>
      <c r="AH27" s="83" t="s">
        <v>127</v>
      </c>
    </row>
    <row r="28" spans="1:34">
      <c r="A28" s="26" t="s">
        <v>126</v>
      </c>
      <c r="B28" s="28" t="s">
        <v>124</v>
      </c>
      <c r="C28" s="28" t="s">
        <v>124</v>
      </c>
      <c r="D28" s="28" t="s">
        <v>124</v>
      </c>
      <c r="E28" s="28" t="s">
        <v>124</v>
      </c>
      <c r="F28" s="28" t="s">
        <v>124</v>
      </c>
      <c r="G28" s="28" t="s">
        <v>124</v>
      </c>
      <c r="H28" s="28" t="s">
        <v>127</v>
      </c>
      <c r="I28" s="28" t="s">
        <v>124</v>
      </c>
      <c r="J28" s="28" t="s">
        <v>124</v>
      </c>
      <c r="K28" s="28" t="s">
        <v>124</v>
      </c>
      <c r="L28" s="28" t="s">
        <v>124</v>
      </c>
      <c r="M28" s="28" t="s">
        <v>124</v>
      </c>
      <c r="N28" s="28" t="s">
        <v>124</v>
      </c>
      <c r="O28" s="28" t="s">
        <v>124</v>
      </c>
      <c r="P28" s="80"/>
      <c r="Q28" s="80"/>
      <c r="R28" s="28" t="s">
        <v>124</v>
      </c>
      <c r="S28" s="80"/>
      <c r="T28" s="28" t="s">
        <v>124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 t="s">
        <v>124</v>
      </c>
      <c r="Z28" s="28" t="s">
        <v>124</v>
      </c>
      <c r="AA28" s="28" t="s">
        <v>124</v>
      </c>
      <c r="AB28" s="28" t="s">
        <v>124</v>
      </c>
      <c r="AC28" s="28" t="s">
        <v>124</v>
      </c>
      <c r="AD28" s="28" t="s">
        <v>124</v>
      </c>
      <c r="AE28" s="28" t="s">
        <v>124</v>
      </c>
      <c r="AF28" s="28" t="s">
        <v>124</v>
      </c>
      <c r="AG28" s="28" t="s">
        <v>124</v>
      </c>
      <c r="AH28" s="83" t="s">
        <v>124</v>
      </c>
    </row>
    <row r="29" spans="1:34">
      <c r="A29" s="26" t="s">
        <v>128</v>
      </c>
      <c r="B29" s="28" t="s">
        <v>127</v>
      </c>
      <c r="C29" s="28" t="s">
        <v>127</v>
      </c>
      <c r="D29" s="28" t="s">
        <v>127</v>
      </c>
      <c r="E29" s="28" t="s">
        <v>127</v>
      </c>
      <c r="F29" s="28" t="s">
        <v>127</v>
      </c>
      <c r="G29" s="28" t="s">
        <v>127</v>
      </c>
      <c r="H29" s="28" t="s">
        <v>127</v>
      </c>
      <c r="I29" s="28" t="s">
        <v>127</v>
      </c>
      <c r="J29" s="28" t="s">
        <v>127</v>
      </c>
      <c r="K29" s="28" t="s">
        <v>127</v>
      </c>
      <c r="L29" s="28" t="s">
        <v>127</v>
      </c>
      <c r="M29" s="28" t="s">
        <v>127</v>
      </c>
      <c r="N29" s="28" t="s">
        <v>127</v>
      </c>
      <c r="O29" s="28" t="s">
        <v>127</v>
      </c>
      <c r="P29" s="80"/>
      <c r="Q29" s="80"/>
      <c r="R29" s="28" t="s">
        <v>127</v>
      </c>
      <c r="S29" s="80"/>
      <c r="T29" s="28" t="s">
        <v>127</v>
      </c>
      <c r="U29" s="28" t="s">
        <v>127</v>
      </c>
      <c r="V29" s="28" t="s">
        <v>127</v>
      </c>
      <c r="W29" s="28" t="s">
        <v>127</v>
      </c>
      <c r="X29" s="28" t="s">
        <v>127</v>
      </c>
      <c r="Y29" s="28" t="s">
        <v>127</v>
      </c>
      <c r="Z29" s="28" t="s">
        <v>127</v>
      </c>
      <c r="AA29" s="28" t="s">
        <v>127</v>
      </c>
      <c r="AB29" s="28" t="s">
        <v>127</v>
      </c>
      <c r="AC29" s="28" t="s">
        <v>127</v>
      </c>
      <c r="AD29" s="28" t="s">
        <v>127</v>
      </c>
      <c r="AE29" s="28" t="s">
        <v>127</v>
      </c>
      <c r="AF29" s="28" t="s">
        <v>127</v>
      </c>
      <c r="AG29" s="28" t="s">
        <v>127</v>
      </c>
      <c r="AH29" s="83" t="s">
        <v>127</v>
      </c>
    </row>
    <row r="30" spans="1:34">
      <c r="A30" s="26" t="s">
        <v>129</v>
      </c>
      <c r="B30" s="28" t="s">
        <v>149</v>
      </c>
      <c r="C30" s="28" t="s">
        <v>150</v>
      </c>
      <c r="D30" s="28" t="s">
        <v>149</v>
      </c>
      <c r="E30" s="28" t="s">
        <v>149</v>
      </c>
      <c r="F30" s="28" t="s">
        <v>149</v>
      </c>
      <c r="G30" s="28" t="s">
        <v>149</v>
      </c>
      <c r="H30" s="28" t="s">
        <v>343</v>
      </c>
      <c r="I30" s="28" t="s">
        <v>149</v>
      </c>
      <c r="J30" s="28" t="s">
        <v>149</v>
      </c>
      <c r="K30" s="28" t="s">
        <v>149</v>
      </c>
      <c r="L30" s="28" t="s">
        <v>149</v>
      </c>
      <c r="M30" s="28" t="s">
        <v>149</v>
      </c>
      <c r="N30" s="28" t="s">
        <v>149</v>
      </c>
      <c r="O30" s="28" t="s">
        <v>149</v>
      </c>
      <c r="P30" s="80"/>
      <c r="Q30" s="80"/>
      <c r="R30" s="28" t="s">
        <v>149</v>
      </c>
      <c r="S30" s="80"/>
      <c r="T30" s="28" t="s">
        <v>149</v>
      </c>
      <c r="U30" s="28" t="s">
        <v>149</v>
      </c>
      <c r="V30" s="28" t="s">
        <v>150</v>
      </c>
      <c r="W30" s="28" t="s">
        <v>316</v>
      </c>
      <c r="X30" s="28" t="s">
        <v>149</v>
      </c>
      <c r="Y30" s="28" t="s">
        <v>149</v>
      </c>
      <c r="Z30" s="28" t="s">
        <v>149</v>
      </c>
      <c r="AA30" s="28" t="s">
        <v>149</v>
      </c>
      <c r="AB30" s="28" t="s">
        <v>149</v>
      </c>
      <c r="AC30" s="28" t="s">
        <v>150</v>
      </c>
      <c r="AD30" s="28" t="s">
        <v>149</v>
      </c>
      <c r="AE30" s="28" t="s">
        <v>316</v>
      </c>
      <c r="AF30" s="28" t="s">
        <v>149</v>
      </c>
      <c r="AG30" s="28" t="s">
        <v>149</v>
      </c>
      <c r="AH30" s="83" t="s">
        <v>149</v>
      </c>
    </row>
    <row r="31" spans="1:34">
      <c r="A31" s="26" t="s">
        <v>130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/>
      <c r="Q31" s="82"/>
      <c r="R31" s="30">
        <f>4/3</f>
        <v>1.3333333333333333</v>
      </c>
      <c r="S31" s="82"/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>
      <c r="A32" s="26" t="s">
        <v>131</v>
      </c>
      <c r="B32" s="28" t="s">
        <v>180</v>
      </c>
      <c r="C32" s="28" t="s">
        <v>180</v>
      </c>
      <c r="D32" s="28" t="s">
        <v>180</v>
      </c>
      <c r="E32" s="28" t="s">
        <v>180</v>
      </c>
      <c r="F32" s="28" t="s">
        <v>180</v>
      </c>
      <c r="G32" s="28" t="s">
        <v>180</v>
      </c>
      <c r="H32" s="28" t="s">
        <v>180</v>
      </c>
      <c r="I32" s="28" t="s">
        <v>180</v>
      </c>
      <c r="J32" s="28" t="s">
        <v>180</v>
      </c>
      <c r="K32" s="28" t="s">
        <v>180</v>
      </c>
      <c r="L32" s="28" t="s">
        <v>180</v>
      </c>
      <c r="M32" s="28" t="s">
        <v>180</v>
      </c>
      <c r="N32" s="28" t="s">
        <v>180</v>
      </c>
      <c r="O32" s="28" t="s">
        <v>180</v>
      </c>
      <c r="P32" s="80"/>
      <c r="Q32" s="80"/>
      <c r="R32" s="28" t="s">
        <v>180</v>
      </c>
      <c r="S32" s="80"/>
      <c r="T32" s="28" t="s">
        <v>180</v>
      </c>
      <c r="U32" s="28" t="s">
        <v>180</v>
      </c>
      <c r="V32" s="28" t="s">
        <v>180</v>
      </c>
      <c r="W32" s="28" t="s">
        <v>180</v>
      </c>
      <c r="X32" s="28" t="s">
        <v>180</v>
      </c>
      <c r="Y32" s="28" t="s">
        <v>180</v>
      </c>
      <c r="Z32" s="28" t="s">
        <v>180</v>
      </c>
      <c r="AA32" s="28" t="s">
        <v>180</v>
      </c>
      <c r="AB32" s="28" t="s">
        <v>180</v>
      </c>
      <c r="AC32" s="28" t="s">
        <v>180</v>
      </c>
      <c r="AD32" s="28" t="s">
        <v>180</v>
      </c>
      <c r="AE32" s="28" t="s">
        <v>180</v>
      </c>
      <c r="AF32" s="28" t="s">
        <v>180</v>
      </c>
      <c r="AG32" s="28" t="s">
        <v>180</v>
      </c>
      <c r="AH32" s="83" t="s">
        <v>180</v>
      </c>
    </row>
    <row r="33" spans="1:34">
      <c r="A33" s="26" t="s">
        <v>133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/>
      <c r="Q33" s="82"/>
      <c r="R33" s="30">
        <v>2</v>
      </c>
      <c r="S33" s="82"/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5" spans="1:34">
      <c r="A35" s="26" t="s">
        <v>117</v>
      </c>
      <c r="B35" s="28" t="s">
        <v>142</v>
      </c>
      <c r="C35" s="28" t="s">
        <v>143</v>
      </c>
      <c r="D35" s="28" t="s">
        <v>143</v>
      </c>
      <c r="E35" s="28" t="s">
        <v>143</v>
      </c>
      <c r="F35" s="28" t="s">
        <v>143</v>
      </c>
      <c r="G35" s="28" t="s">
        <v>143</v>
      </c>
      <c r="H35" s="28" t="s">
        <v>143</v>
      </c>
      <c r="I35" s="28" t="s">
        <v>143</v>
      </c>
      <c r="J35" s="28" t="s">
        <v>143</v>
      </c>
      <c r="K35" s="28" t="s">
        <v>143</v>
      </c>
      <c r="L35" s="28" t="s">
        <v>143</v>
      </c>
      <c r="M35" s="28" t="s">
        <v>143</v>
      </c>
      <c r="N35" s="28" t="s">
        <v>143</v>
      </c>
      <c r="O35" s="28" t="s">
        <v>143</v>
      </c>
      <c r="P35" s="28" t="s">
        <v>143</v>
      </c>
      <c r="Q35" s="28" t="s">
        <v>143</v>
      </c>
      <c r="R35" s="28" t="s">
        <v>143</v>
      </c>
      <c r="S35" s="28" t="s">
        <v>143</v>
      </c>
      <c r="T35" s="28" t="s">
        <v>143</v>
      </c>
      <c r="U35" s="28" t="s">
        <v>143</v>
      </c>
      <c r="V35" s="28" t="s">
        <v>143</v>
      </c>
      <c r="W35" s="28" t="s">
        <v>143</v>
      </c>
      <c r="X35" s="28" t="s">
        <v>143</v>
      </c>
      <c r="Y35" s="28" t="s">
        <v>143</v>
      </c>
      <c r="Z35" s="28" t="s">
        <v>143</v>
      </c>
      <c r="AA35" s="28" t="s">
        <v>143</v>
      </c>
      <c r="AB35" s="28" t="s">
        <v>143</v>
      </c>
      <c r="AC35" s="28" t="s">
        <v>143</v>
      </c>
      <c r="AD35" s="28" t="s">
        <v>143</v>
      </c>
      <c r="AE35" s="28" t="s">
        <v>143</v>
      </c>
      <c r="AF35" s="28" t="s">
        <v>143</v>
      </c>
      <c r="AG35" s="28" t="s">
        <v>143</v>
      </c>
      <c r="AH35" s="28" t="s">
        <v>143</v>
      </c>
    </row>
    <row r="36" spans="1:34">
      <c r="A36" s="26" t="s">
        <v>121</v>
      </c>
      <c r="B36" s="29" t="s">
        <v>146</v>
      </c>
      <c r="C36" s="29" t="s">
        <v>146</v>
      </c>
      <c r="D36" s="29" t="s">
        <v>146</v>
      </c>
      <c r="E36" s="29" t="s">
        <v>146</v>
      </c>
      <c r="F36" s="29" t="s">
        <v>146</v>
      </c>
      <c r="G36" s="29" t="s">
        <v>146</v>
      </c>
      <c r="H36" s="29" t="s">
        <v>146</v>
      </c>
      <c r="I36" s="29" t="s">
        <v>146</v>
      </c>
      <c r="J36" s="29" t="s">
        <v>146</v>
      </c>
      <c r="K36" s="29" t="s">
        <v>146</v>
      </c>
      <c r="L36" s="29" t="s">
        <v>146</v>
      </c>
      <c r="M36" s="29" t="s">
        <v>146</v>
      </c>
      <c r="N36" s="29" t="s">
        <v>146</v>
      </c>
      <c r="O36" s="29" t="s">
        <v>146</v>
      </c>
      <c r="P36" s="29" t="s">
        <v>146</v>
      </c>
      <c r="Q36" s="29" t="s">
        <v>146</v>
      </c>
      <c r="R36" s="29" t="s">
        <v>146</v>
      </c>
      <c r="S36" s="29" t="s">
        <v>146</v>
      </c>
      <c r="T36" s="29" t="s">
        <v>146</v>
      </c>
      <c r="U36" s="29" t="s">
        <v>146</v>
      </c>
      <c r="V36" s="29" t="s">
        <v>146</v>
      </c>
      <c r="W36" s="29" t="s">
        <v>146</v>
      </c>
      <c r="X36" s="29" t="s">
        <v>146</v>
      </c>
      <c r="Y36" s="29" t="s">
        <v>146</v>
      </c>
      <c r="Z36" s="29" t="s">
        <v>146</v>
      </c>
      <c r="AA36" s="29" t="s">
        <v>146</v>
      </c>
      <c r="AB36" s="29" t="s">
        <v>146</v>
      </c>
      <c r="AC36" s="29" t="s">
        <v>146</v>
      </c>
      <c r="AD36" s="29" t="s">
        <v>146</v>
      </c>
      <c r="AE36" s="29" t="s">
        <v>146</v>
      </c>
      <c r="AF36" s="29" t="s">
        <v>146</v>
      </c>
      <c r="AG36" s="29" t="s">
        <v>146</v>
      </c>
      <c r="AH36" s="29" t="s">
        <v>146</v>
      </c>
    </row>
    <row r="37" spans="1:34">
      <c r="A37" s="140" t="s">
        <v>122</v>
      </c>
      <c r="B37" s="141">
        <v>5</v>
      </c>
      <c r="C37" s="141">
        <v>5</v>
      </c>
      <c r="D37" s="141">
        <v>5</v>
      </c>
      <c r="E37" s="141">
        <v>5</v>
      </c>
      <c r="F37" s="141">
        <v>5</v>
      </c>
      <c r="G37" s="141">
        <v>5</v>
      </c>
      <c r="H37" s="141">
        <v>5</v>
      </c>
      <c r="I37" s="141">
        <v>5</v>
      </c>
      <c r="J37" s="141">
        <v>5</v>
      </c>
      <c r="K37" s="141">
        <v>5</v>
      </c>
      <c r="L37" s="141">
        <v>5</v>
      </c>
      <c r="M37" s="141">
        <v>5</v>
      </c>
      <c r="N37" s="141">
        <v>5</v>
      </c>
      <c r="O37" s="141">
        <v>5</v>
      </c>
      <c r="P37" s="141">
        <v>5</v>
      </c>
      <c r="Q37" s="141">
        <v>5</v>
      </c>
      <c r="R37" s="141">
        <v>5</v>
      </c>
      <c r="S37" s="141">
        <v>5</v>
      </c>
      <c r="T37" s="141">
        <v>5</v>
      </c>
      <c r="U37" s="141">
        <v>5</v>
      </c>
      <c r="V37" s="141">
        <v>5</v>
      </c>
      <c r="W37" s="141">
        <v>5</v>
      </c>
      <c r="X37" s="141">
        <v>5</v>
      </c>
      <c r="Y37" s="141">
        <v>5</v>
      </c>
      <c r="Z37" s="141">
        <v>5</v>
      </c>
      <c r="AA37" s="141">
        <v>5</v>
      </c>
      <c r="AB37" s="141">
        <v>5</v>
      </c>
      <c r="AC37" s="141">
        <v>5</v>
      </c>
      <c r="AD37" s="141">
        <v>5</v>
      </c>
      <c r="AE37" s="141">
        <v>5</v>
      </c>
      <c r="AF37" s="141">
        <v>5</v>
      </c>
      <c r="AG37" s="141">
        <v>5</v>
      </c>
      <c r="AH37" s="141">
        <v>5</v>
      </c>
    </row>
    <row r="38" spans="1:34">
      <c r="A38" s="26" t="s">
        <v>123</v>
      </c>
      <c r="B38" s="28" t="s">
        <v>124</v>
      </c>
      <c r="C38" s="28" t="s">
        <v>124</v>
      </c>
      <c r="D38" s="28" t="s">
        <v>124</v>
      </c>
      <c r="E38" s="28" t="s">
        <v>124</v>
      </c>
      <c r="F38" s="28" t="s">
        <v>124</v>
      </c>
      <c r="G38" s="28" t="s">
        <v>124</v>
      </c>
      <c r="H38" s="28" t="s">
        <v>124</v>
      </c>
      <c r="I38" s="28" t="s">
        <v>124</v>
      </c>
      <c r="J38" s="28" t="s">
        <v>124</v>
      </c>
      <c r="K38" s="28" t="s">
        <v>124</v>
      </c>
      <c r="L38" s="28" t="s">
        <v>124</v>
      </c>
      <c r="M38" s="28" t="s">
        <v>124</v>
      </c>
      <c r="N38" s="28" t="s">
        <v>124</v>
      </c>
      <c r="O38" s="28" t="s">
        <v>124</v>
      </c>
      <c r="P38" s="28" t="s">
        <v>124</v>
      </c>
      <c r="Q38" s="28" t="s">
        <v>124</v>
      </c>
      <c r="R38" s="28" t="s">
        <v>124</v>
      </c>
      <c r="S38" s="28" t="s">
        <v>124</v>
      </c>
      <c r="T38" s="28" t="s">
        <v>124</v>
      </c>
      <c r="U38" s="28" t="s">
        <v>124</v>
      </c>
      <c r="V38" s="28" t="s">
        <v>124</v>
      </c>
      <c r="W38" s="28" t="s">
        <v>124</v>
      </c>
      <c r="X38" s="28" t="s">
        <v>124</v>
      </c>
      <c r="Y38" s="28" t="s">
        <v>124</v>
      </c>
      <c r="Z38" s="28" t="s">
        <v>124</v>
      </c>
      <c r="AA38" s="28" t="s">
        <v>124</v>
      </c>
      <c r="AB38" s="28" t="s">
        <v>124</v>
      </c>
      <c r="AC38" s="28" t="s">
        <v>124</v>
      </c>
      <c r="AD38" s="28" t="s">
        <v>124</v>
      </c>
      <c r="AE38" s="28" t="s">
        <v>124</v>
      </c>
      <c r="AF38" s="28" t="s">
        <v>124</v>
      </c>
      <c r="AG38" s="28" t="s">
        <v>124</v>
      </c>
      <c r="AH38" s="28" t="s">
        <v>124</v>
      </c>
    </row>
    <row r="39" spans="1:34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 t="s">
        <v>127</v>
      </c>
      <c r="S39" s="28" t="s">
        <v>127</v>
      </c>
      <c r="T39" s="28" t="s">
        <v>127</v>
      </c>
      <c r="U39" s="28" t="s">
        <v>127</v>
      </c>
      <c r="V39" s="28" t="s">
        <v>127</v>
      </c>
      <c r="W39" s="28" t="s">
        <v>127</v>
      </c>
      <c r="X39" s="28" t="s">
        <v>127</v>
      </c>
      <c r="Y39" s="28" t="s">
        <v>127</v>
      </c>
      <c r="Z39" s="28" t="s">
        <v>127</v>
      </c>
      <c r="AA39" s="28" t="s">
        <v>127</v>
      </c>
      <c r="AB39" s="28" t="s">
        <v>127</v>
      </c>
      <c r="AC39" s="28" t="s">
        <v>127</v>
      </c>
      <c r="AD39" s="28" t="s">
        <v>127</v>
      </c>
      <c r="AE39" s="28" t="s">
        <v>127</v>
      </c>
      <c r="AF39" s="28" t="s">
        <v>127</v>
      </c>
      <c r="AG39" s="28" t="s">
        <v>127</v>
      </c>
      <c r="AH39" s="28" t="s">
        <v>127</v>
      </c>
    </row>
    <row r="40" spans="1:34">
      <c r="A40" s="26" t="s">
        <v>126</v>
      </c>
      <c r="B40" s="28" t="s">
        <v>127</v>
      </c>
      <c r="C40" s="28" t="s">
        <v>127</v>
      </c>
      <c r="D40" s="28" t="s">
        <v>127</v>
      </c>
      <c r="E40" s="28" t="s">
        <v>127</v>
      </c>
      <c r="F40" s="28" t="s">
        <v>127</v>
      </c>
      <c r="G40" s="28" t="s">
        <v>127</v>
      </c>
      <c r="H40" s="28" t="s">
        <v>127</v>
      </c>
      <c r="I40" s="28" t="s">
        <v>127</v>
      </c>
      <c r="J40" s="28" t="s">
        <v>127</v>
      </c>
      <c r="K40" s="28" t="s">
        <v>127</v>
      </c>
      <c r="L40" s="28" t="s">
        <v>127</v>
      </c>
      <c r="M40" s="28" t="s">
        <v>127</v>
      </c>
      <c r="N40" s="28" t="s">
        <v>127</v>
      </c>
      <c r="O40" s="28" t="s">
        <v>127</v>
      </c>
      <c r="P40" s="28" t="s">
        <v>127</v>
      </c>
      <c r="Q40" s="28" t="s">
        <v>127</v>
      </c>
      <c r="R40" s="28" t="s">
        <v>127</v>
      </c>
      <c r="S40" s="28" t="s">
        <v>127</v>
      </c>
      <c r="T40" s="28" t="s">
        <v>127</v>
      </c>
      <c r="U40" s="28" t="s">
        <v>127</v>
      </c>
      <c r="V40" s="28" t="s">
        <v>127</v>
      </c>
      <c r="W40" s="28" t="s">
        <v>127</v>
      </c>
      <c r="X40" s="28" t="s">
        <v>127</v>
      </c>
      <c r="Y40" s="28" t="s">
        <v>127</v>
      </c>
      <c r="Z40" s="28" t="s">
        <v>127</v>
      </c>
      <c r="AA40" s="28" t="s">
        <v>127</v>
      </c>
      <c r="AB40" s="28" t="s">
        <v>127</v>
      </c>
      <c r="AC40" s="28" t="s">
        <v>127</v>
      </c>
      <c r="AD40" s="28" t="s">
        <v>127</v>
      </c>
      <c r="AE40" s="28" t="s">
        <v>127</v>
      </c>
      <c r="AF40" s="28" t="s">
        <v>127</v>
      </c>
      <c r="AG40" s="28" t="s">
        <v>127</v>
      </c>
      <c r="AH40" s="28" t="s">
        <v>127</v>
      </c>
    </row>
    <row r="41" spans="1:34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 t="s">
        <v>127</v>
      </c>
      <c r="S41" s="28" t="s">
        <v>127</v>
      </c>
      <c r="T41" s="28" t="s">
        <v>127</v>
      </c>
      <c r="U41" s="28" t="s">
        <v>127</v>
      </c>
      <c r="V41" s="28" t="s">
        <v>127</v>
      </c>
      <c r="W41" s="28" t="s">
        <v>127</v>
      </c>
      <c r="X41" s="28" t="s">
        <v>127</v>
      </c>
      <c r="Y41" s="28" t="s">
        <v>127</v>
      </c>
      <c r="Z41" s="28" t="s">
        <v>127</v>
      </c>
      <c r="AA41" s="28" t="s">
        <v>127</v>
      </c>
      <c r="AB41" s="28" t="s">
        <v>127</v>
      </c>
      <c r="AC41" s="28" t="s">
        <v>127</v>
      </c>
      <c r="AD41" s="28" t="s">
        <v>127</v>
      </c>
      <c r="AE41" s="28" t="s">
        <v>127</v>
      </c>
      <c r="AF41" s="28" t="s">
        <v>127</v>
      </c>
      <c r="AG41" s="28" t="s">
        <v>127</v>
      </c>
      <c r="AH41" s="28" t="s">
        <v>127</v>
      </c>
    </row>
    <row r="42" spans="1:34">
      <c r="A42" s="26" t="s">
        <v>129</v>
      </c>
      <c r="B42" s="28" t="s">
        <v>149</v>
      </c>
      <c r="C42" s="28" t="s">
        <v>149</v>
      </c>
      <c r="D42" s="28" t="s">
        <v>149</v>
      </c>
      <c r="E42" s="28" t="s">
        <v>149</v>
      </c>
      <c r="F42" s="28" t="s">
        <v>149</v>
      </c>
      <c r="G42" s="28" t="s">
        <v>149</v>
      </c>
      <c r="H42" s="28" t="s">
        <v>149</v>
      </c>
      <c r="I42" s="28" t="s">
        <v>149</v>
      </c>
      <c r="J42" s="28" t="s">
        <v>149</v>
      </c>
      <c r="K42" s="28" t="s">
        <v>149</v>
      </c>
      <c r="L42" s="28" t="s">
        <v>149</v>
      </c>
      <c r="M42" s="28" t="s">
        <v>149</v>
      </c>
      <c r="N42" s="28" t="s">
        <v>149</v>
      </c>
      <c r="O42" s="28" t="s">
        <v>149</v>
      </c>
      <c r="P42" s="28" t="s">
        <v>149</v>
      </c>
      <c r="Q42" s="28" t="s">
        <v>149</v>
      </c>
      <c r="R42" s="28" t="s">
        <v>149</v>
      </c>
      <c r="S42" s="28" t="s">
        <v>149</v>
      </c>
      <c r="T42" s="28" t="s">
        <v>149</v>
      </c>
      <c r="U42" s="28" t="s">
        <v>149</v>
      </c>
      <c r="V42" s="28" t="s">
        <v>149</v>
      </c>
      <c r="W42" s="28" t="s">
        <v>149</v>
      </c>
      <c r="X42" s="28" t="s">
        <v>149</v>
      </c>
      <c r="Y42" s="28" t="s">
        <v>149</v>
      </c>
      <c r="Z42" s="28" t="s">
        <v>149</v>
      </c>
      <c r="AA42" s="28" t="s">
        <v>149</v>
      </c>
      <c r="AB42" s="28" t="s">
        <v>149</v>
      </c>
      <c r="AC42" s="28" t="s">
        <v>149</v>
      </c>
      <c r="AD42" s="28" t="s">
        <v>149</v>
      </c>
      <c r="AE42" s="28" t="s">
        <v>149</v>
      </c>
      <c r="AF42" s="28" t="s">
        <v>149</v>
      </c>
      <c r="AG42" s="28" t="s">
        <v>149</v>
      </c>
      <c r="AH42" s="28" t="s">
        <v>149</v>
      </c>
    </row>
    <row r="43" spans="1:34">
      <c r="A43" s="26" t="s">
        <v>130</v>
      </c>
      <c r="B43" s="30">
        <f>5/3</f>
        <v>1.6666666666666667</v>
      </c>
      <c r="C43" s="30">
        <f t="shared" ref="C43:O43" si="0">5/3</f>
        <v>1.6666666666666667</v>
      </c>
      <c r="D43" s="30">
        <f t="shared" si="0"/>
        <v>1.6666666666666667</v>
      </c>
      <c r="E43" s="30">
        <f t="shared" si="0"/>
        <v>1.6666666666666667</v>
      </c>
      <c r="F43" s="30">
        <f t="shared" si="0"/>
        <v>1.6666666666666667</v>
      </c>
      <c r="G43" s="30">
        <f t="shared" si="0"/>
        <v>1.6666666666666667</v>
      </c>
      <c r="H43" s="30">
        <f t="shared" si="0"/>
        <v>1.6666666666666667</v>
      </c>
      <c r="I43" s="30">
        <f t="shared" si="0"/>
        <v>1.6666666666666667</v>
      </c>
      <c r="J43" s="30">
        <f t="shared" si="0"/>
        <v>1.6666666666666667</v>
      </c>
      <c r="K43" s="30">
        <f t="shared" si="0"/>
        <v>1.6666666666666667</v>
      </c>
      <c r="L43" s="30">
        <f t="shared" si="0"/>
        <v>1.6666666666666667</v>
      </c>
      <c r="M43" s="30">
        <f t="shared" si="0"/>
        <v>1.6666666666666667</v>
      </c>
      <c r="N43" s="30">
        <f t="shared" si="0"/>
        <v>1.6666666666666667</v>
      </c>
      <c r="O43" s="30">
        <f t="shared" si="0"/>
        <v>1.6666666666666667</v>
      </c>
      <c r="P43" s="30">
        <f t="shared" ref="P43:U43" si="1">5/3</f>
        <v>1.6666666666666667</v>
      </c>
      <c r="Q43" s="30">
        <f t="shared" si="1"/>
        <v>1.6666666666666667</v>
      </c>
      <c r="R43" s="30">
        <f t="shared" si="1"/>
        <v>1.6666666666666667</v>
      </c>
      <c r="S43" s="30">
        <f t="shared" si="1"/>
        <v>1.6666666666666667</v>
      </c>
      <c r="T43" s="30">
        <f t="shared" si="1"/>
        <v>1.6666666666666667</v>
      </c>
      <c r="U43" s="30">
        <f t="shared" si="1"/>
        <v>1.6666666666666667</v>
      </c>
      <c r="V43" s="30">
        <f t="shared" ref="V43:Y43" si="2">5/3</f>
        <v>1.6666666666666667</v>
      </c>
      <c r="W43" s="30">
        <f t="shared" si="2"/>
        <v>1.6666666666666667</v>
      </c>
      <c r="X43" s="30">
        <f t="shared" si="2"/>
        <v>1.6666666666666667</v>
      </c>
      <c r="Y43" s="30">
        <f t="shared" si="2"/>
        <v>1.6666666666666667</v>
      </c>
      <c r="Z43" s="30">
        <f>5/3</f>
        <v>1.6666666666666667</v>
      </c>
      <c r="AA43" s="30">
        <f t="shared" ref="AA43:AD43" si="3">5/3</f>
        <v>1.6666666666666667</v>
      </c>
      <c r="AB43" s="30">
        <f t="shared" si="3"/>
        <v>1.6666666666666667</v>
      </c>
      <c r="AC43" s="30">
        <f t="shared" si="3"/>
        <v>1.6666666666666667</v>
      </c>
      <c r="AD43" s="30">
        <f t="shared" si="3"/>
        <v>1.6666666666666667</v>
      </c>
      <c r="AE43" s="30">
        <f>5/3</f>
        <v>1.6666666666666667</v>
      </c>
      <c r="AF43" s="30">
        <f>5/3</f>
        <v>1.6666666666666667</v>
      </c>
      <c r="AG43" s="30">
        <f>5/3</f>
        <v>1.6666666666666667</v>
      </c>
      <c r="AH43" s="30">
        <f>5/3</f>
        <v>1.6666666666666667</v>
      </c>
    </row>
    <row r="44" spans="1:34">
      <c r="A44" s="26" t="s">
        <v>131</v>
      </c>
      <c r="B44" s="28" t="s">
        <v>132</v>
      </c>
      <c r="C44" s="28" t="s">
        <v>132</v>
      </c>
      <c r="D44" s="28" t="s">
        <v>132</v>
      </c>
      <c r="E44" s="28" t="s">
        <v>132</v>
      </c>
      <c r="F44" s="28" t="s">
        <v>132</v>
      </c>
      <c r="G44" s="28" t="s">
        <v>132</v>
      </c>
      <c r="H44" s="28" t="s">
        <v>132</v>
      </c>
      <c r="I44" s="28" t="s">
        <v>132</v>
      </c>
      <c r="J44" s="28" t="s">
        <v>132</v>
      </c>
      <c r="K44" s="28" t="s">
        <v>132</v>
      </c>
      <c r="L44" s="28" t="s">
        <v>132</v>
      </c>
      <c r="M44" s="28" t="s">
        <v>132</v>
      </c>
      <c r="N44" s="28" t="s">
        <v>132</v>
      </c>
      <c r="O44" s="28" t="s">
        <v>132</v>
      </c>
      <c r="P44" s="28" t="s">
        <v>132</v>
      </c>
      <c r="Q44" s="28" t="s">
        <v>132</v>
      </c>
      <c r="R44" s="28" t="s">
        <v>132</v>
      </c>
      <c r="S44" s="28" t="s">
        <v>132</v>
      </c>
      <c r="T44" s="28" t="s">
        <v>132</v>
      </c>
      <c r="U44" s="28" t="s">
        <v>132</v>
      </c>
      <c r="V44" s="28" t="s">
        <v>132</v>
      </c>
      <c r="W44" s="28" t="s">
        <v>132</v>
      </c>
      <c r="X44" s="28" t="s">
        <v>132</v>
      </c>
      <c r="Y44" s="28" t="s">
        <v>132</v>
      </c>
      <c r="Z44" s="28" t="s">
        <v>132</v>
      </c>
      <c r="AA44" s="28" t="s">
        <v>132</v>
      </c>
      <c r="AB44" s="28" t="s">
        <v>132</v>
      </c>
      <c r="AC44" s="28" t="s">
        <v>132</v>
      </c>
      <c r="AD44" s="28" t="s">
        <v>132</v>
      </c>
      <c r="AE44" s="28" t="s">
        <v>132</v>
      </c>
      <c r="AF44" s="28" t="s">
        <v>132</v>
      </c>
      <c r="AG44" s="28" t="s">
        <v>132</v>
      </c>
      <c r="AH44" s="28" t="s">
        <v>132</v>
      </c>
    </row>
    <row r="45" spans="1:34">
      <c r="A45" s="26" t="s">
        <v>133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</row>
    <row r="47" spans="1:34">
      <c r="A47" s="31" t="s">
        <v>134</v>
      </c>
    </row>
    <row r="48" spans="1:34">
      <c r="A48" s="223" t="s">
        <v>735</v>
      </c>
      <c r="B48" s="56" t="s">
        <v>728</v>
      </c>
    </row>
    <row r="49" spans="1:2">
      <c r="A49" s="223"/>
      <c r="B49" s="93" t="s">
        <v>729</v>
      </c>
    </row>
    <row r="50" spans="1:2">
      <c r="A50" s="223"/>
      <c r="B50" s="93" t="s">
        <v>730</v>
      </c>
    </row>
  </sheetData>
  <mergeCells count="6">
    <mergeCell ref="F3:O3"/>
    <mergeCell ref="F4:O5"/>
    <mergeCell ref="A48:A50"/>
    <mergeCell ref="B3:D3"/>
    <mergeCell ref="B4:D4"/>
    <mergeCell ref="B5:D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EF35-86B6-49FC-BF81-4791CF2C5251}">
  <dimension ref="A1:AK53"/>
  <sheetViews>
    <sheetView workbookViewId="0">
      <selection activeCell="R24" sqref="R24"/>
    </sheetView>
  </sheetViews>
  <sheetFormatPr defaultColWidth="9.140625" defaultRowHeight="1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7">
      <c r="A1" s="25" t="s">
        <v>74</v>
      </c>
      <c r="D1" s="25" t="s">
        <v>75</v>
      </c>
      <c r="I1" s="25" t="s">
        <v>495</v>
      </c>
    </row>
    <row r="3" spans="1:37" ht="17.45">
      <c r="A3" s="25" t="s">
        <v>77</v>
      </c>
      <c r="B3" s="203" t="s">
        <v>736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737</v>
      </c>
      <c r="C4" s="203"/>
      <c r="D4" s="203"/>
      <c r="F4" s="204" t="s">
        <v>738</v>
      </c>
      <c r="G4" s="205"/>
      <c r="H4" s="205"/>
      <c r="I4" s="205"/>
      <c r="J4" s="205"/>
      <c r="K4" s="205"/>
      <c r="L4" s="205"/>
      <c r="M4" s="205"/>
      <c r="N4" s="205"/>
      <c r="O4" s="206"/>
      <c r="Q4" s="56" t="s">
        <v>739</v>
      </c>
    </row>
    <row r="5" spans="1:37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76" t="s">
        <v>115</v>
      </c>
      <c r="AH7" s="76" t="s">
        <v>116</v>
      </c>
      <c r="AJ7" s="67" t="s">
        <v>98</v>
      </c>
      <c r="AK7" s="42" t="s">
        <v>99</v>
      </c>
    </row>
    <row r="8" spans="1:37">
      <c r="A8" s="26" t="s">
        <v>117</v>
      </c>
      <c r="B8" s="80"/>
      <c r="C8" s="83" t="s">
        <v>690</v>
      </c>
      <c r="D8" s="28" t="s">
        <v>690</v>
      </c>
      <c r="E8" s="28" t="s">
        <v>690</v>
      </c>
      <c r="F8" s="28" t="s">
        <v>690</v>
      </c>
      <c r="G8" s="28" t="s">
        <v>690</v>
      </c>
      <c r="H8" s="86" t="s">
        <v>690</v>
      </c>
      <c r="I8" s="28" t="s">
        <v>690</v>
      </c>
      <c r="J8" s="28" t="s">
        <v>690</v>
      </c>
      <c r="K8" s="28" t="s">
        <v>690</v>
      </c>
      <c r="L8" s="28" t="s">
        <v>690</v>
      </c>
      <c r="M8" s="28" t="s">
        <v>690</v>
      </c>
      <c r="N8" s="28" t="s">
        <v>690</v>
      </c>
      <c r="O8" s="28" t="s">
        <v>690</v>
      </c>
      <c r="P8" s="28" t="s">
        <v>691</v>
      </c>
      <c r="Q8" s="28" t="s">
        <v>691</v>
      </c>
      <c r="R8" s="80"/>
      <c r="S8" s="28" t="s">
        <v>692</v>
      </c>
      <c r="T8" s="80"/>
      <c r="U8" s="84"/>
      <c r="V8" s="84"/>
      <c r="W8" s="84"/>
      <c r="X8" s="28" t="s">
        <v>502</v>
      </c>
      <c r="Y8" s="80"/>
      <c r="Z8" s="80"/>
      <c r="AA8" s="80"/>
      <c r="AB8" s="80"/>
      <c r="AC8" s="80"/>
      <c r="AD8" s="80"/>
      <c r="AE8" s="80"/>
      <c r="AF8" s="80"/>
      <c r="AG8" s="80"/>
      <c r="AH8" s="80"/>
      <c r="AJ8" s="28" t="s">
        <v>691</v>
      </c>
      <c r="AK8" s="28" t="s">
        <v>691</v>
      </c>
    </row>
    <row r="9" spans="1:37">
      <c r="A9" s="26" t="s">
        <v>121</v>
      </c>
      <c r="B9" s="81"/>
      <c r="C9" s="29" t="s">
        <v>502</v>
      </c>
      <c r="D9" s="28" t="s">
        <v>693</v>
      </c>
      <c r="E9" s="28" t="s">
        <v>694</v>
      </c>
      <c r="F9" s="28" t="s">
        <v>694</v>
      </c>
      <c r="G9" s="29" t="s">
        <v>695</v>
      </c>
      <c r="H9" s="91" t="s">
        <v>696</v>
      </c>
      <c r="I9" s="28" t="s">
        <v>695</v>
      </c>
      <c r="J9" s="28" t="s">
        <v>695</v>
      </c>
      <c r="K9" s="28" t="s">
        <v>697</v>
      </c>
      <c r="L9" s="28" t="s">
        <v>695</v>
      </c>
      <c r="M9" s="28" t="s">
        <v>698</v>
      </c>
      <c r="N9" s="28" t="s">
        <v>690</v>
      </c>
      <c r="O9" s="28" t="s">
        <v>690</v>
      </c>
      <c r="P9" s="28" t="s">
        <v>690</v>
      </c>
      <c r="Q9" s="28" t="s">
        <v>690</v>
      </c>
      <c r="R9" s="80"/>
      <c r="S9" s="28" t="s">
        <v>695</v>
      </c>
      <c r="T9" s="80"/>
      <c r="U9" s="172"/>
      <c r="V9" s="172"/>
      <c r="W9" s="172"/>
      <c r="X9" s="29" t="s">
        <v>502</v>
      </c>
      <c r="Y9" s="81"/>
      <c r="Z9" s="81"/>
      <c r="AA9" s="81"/>
      <c r="AB9" s="81"/>
      <c r="AC9" s="81"/>
      <c r="AD9" s="81"/>
      <c r="AE9" s="81"/>
      <c r="AF9" s="81"/>
      <c r="AG9" s="81"/>
      <c r="AH9" s="81"/>
      <c r="AJ9" s="29" t="s">
        <v>690</v>
      </c>
      <c r="AK9" s="28" t="s">
        <v>690</v>
      </c>
    </row>
    <row r="10" spans="1:37">
      <c r="A10" s="140" t="s">
        <v>122</v>
      </c>
      <c r="B10" s="174"/>
      <c r="C10" s="167">
        <v>501</v>
      </c>
      <c r="D10" s="167">
        <v>502</v>
      </c>
      <c r="E10" s="167">
        <v>508</v>
      </c>
      <c r="F10" s="167">
        <v>508</v>
      </c>
      <c r="G10" s="167">
        <v>504</v>
      </c>
      <c r="H10" s="171">
        <v>550</v>
      </c>
      <c r="I10" s="167">
        <v>504</v>
      </c>
      <c r="J10" s="167">
        <v>504</v>
      </c>
      <c r="K10" s="167">
        <v>515</v>
      </c>
      <c r="L10" s="167">
        <v>504</v>
      </c>
      <c r="M10" s="167">
        <v>514</v>
      </c>
      <c r="N10" s="167">
        <v>503</v>
      </c>
      <c r="O10" s="167">
        <v>503</v>
      </c>
      <c r="P10" s="167">
        <v>503</v>
      </c>
      <c r="Q10" s="167">
        <v>503</v>
      </c>
      <c r="R10" s="174"/>
      <c r="S10" s="167">
        <v>504</v>
      </c>
      <c r="T10" s="174"/>
      <c r="U10" s="175"/>
      <c r="V10" s="175"/>
      <c r="W10" s="175"/>
      <c r="X10" s="167">
        <v>501</v>
      </c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J10" s="167">
        <v>503</v>
      </c>
      <c r="AK10" s="167">
        <v>503</v>
      </c>
    </row>
    <row r="11" spans="1:37" ht="15.75" customHeight="1">
      <c r="A11" s="26" t="s">
        <v>699</v>
      </c>
      <c r="B11" s="80"/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86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80"/>
      <c r="S11" s="28" t="s">
        <v>127</v>
      </c>
      <c r="T11" s="80"/>
      <c r="U11" s="84"/>
      <c r="V11" s="84"/>
      <c r="W11" s="84"/>
      <c r="X11" s="28" t="s">
        <v>127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J11" s="28" t="s">
        <v>127</v>
      </c>
      <c r="AK11" s="28" t="s">
        <v>127</v>
      </c>
    </row>
    <row r="12" spans="1:37" ht="15.75" customHeight="1">
      <c r="A12" s="26" t="s">
        <v>700</v>
      </c>
      <c r="B12" s="80"/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86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80"/>
      <c r="S12" s="28" t="s">
        <v>127</v>
      </c>
      <c r="T12" s="80"/>
      <c r="U12" s="84"/>
      <c r="V12" s="84"/>
      <c r="W12" s="84"/>
      <c r="X12" s="28" t="s">
        <v>127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J12" s="28" t="s">
        <v>127</v>
      </c>
      <c r="AK12" s="28" t="s">
        <v>127</v>
      </c>
    </row>
    <row r="13" spans="1:37" ht="15.75" customHeight="1">
      <c r="A13" s="26" t="s">
        <v>701</v>
      </c>
      <c r="B13" s="80"/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86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80"/>
      <c r="S13" s="28" t="s">
        <v>124</v>
      </c>
      <c r="T13" s="80"/>
      <c r="U13" s="84"/>
      <c r="V13" s="84"/>
      <c r="W13" s="84"/>
      <c r="X13" s="28" t="s">
        <v>124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J13" s="28" t="s">
        <v>124</v>
      </c>
      <c r="AK13" s="28" t="s">
        <v>124</v>
      </c>
    </row>
    <row r="14" spans="1:37" ht="15.75" customHeight="1">
      <c r="A14" s="26" t="s">
        <v>702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86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80"/>
      <c r="U14" s="84"/>
      <c r="V14" s="84"/>
      <c r="W14" s="84"/>
      <c r="X14" s="28" t="s">
        <v>127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J14" s="28" t="s">
        <v>127</v>
      </c>
      <c r="AK14" s="28" t="s">
        <v>127</v>
      </c>
    </row>
    <row r="15" spans="1:37" ht="15.75" customHeight="1">
      <c r="A15" s="26" t="s">
        <v>703</v>
      </c>
      <c r="B15" s="80"/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86" t="s">
        <v>127</v>
      </c>
      <c r="I15" s="28" t="s">
        <v>127</v>
      </c>
      <c r="J15" s="28" t="s">
        <v>127</v>
      </c>
      <c r="K15" s="28" t="s">
        <v>127</v>
      </c>
      <c r="L15" s="28" t="s">
        <v>127</v>
      </c>
      <c r="M15" s="28" t="s">
        <v>127</v>
      </c>
      <c r="N15" s="28" t="s">
        <v>127</v>
      </c>
      <c r="O15" s="28" t="s">
        <v>127</v>
      </c>
      <c r="P15" s="28" t="s">
        <v>127</v>
      </c>
      <c r="Q15" s="28" t="s">
        <v>127</v>
      </c>
      <c r="R15" s="80"/>
      <c r="S15" s="28" t="s">
        <v>127</v>
      </c>
      <c r="T15" s="80"/>
      <c r="U15" s="84"/>
      <c r="V15" s="84"/>
      <c r="W15" s="84"/>
      <c r="X15" s="28" t="s">
        <v>127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J15" s="28" t="s">
        <v>127</v>
      </c>
      <c r="AK15" s="28" t="s">
        <v>127</v>
      </c>
    </row>
    <row r="16" spans="1:37" ht="15.75" customHeight="1">
      <c r="A16" s="26" t="s">
        <v>704</v>
      </c>
      <c r="B16" s="80"/>
      <c r="C16" s="28" t="s">
        <v>127</v>
      </c>
      <c r="D16" s="28" t="s">
        <v>127</v>
      </c>
      <c r="E16" s="28" t="s">
        <v>127</v>
      </c>
      <c r="F16" s="28" t="s">
        <v>127</v>
      </c>
      <c r="G16" s="28" t="s">
        <v>127</v>
      </c>
      <c r="H16" s="28" t="s">
        <v>127</v>
      </c>
      <c r="I16" s="28" t="s">
        <v>127</v>
      </c>
      <c r="J16" s="28" t="s">
        <v>127</v>
      </c>
      <c r="K16" s="28" t="s">
        <v>127</v>
      </c>
      <c r="L16" s="28" t="s">
        <v>127</v>
      </c>
      <c r="M16" s="28" t="s">
        <v>127</v>
      </c>
      <c r="N16" s="28" t="s">
        <v>127</v>
      </c>
      <c r="O16" s="28" t="s">
        <v>127</v>
      </c>
      <c r="P16" s="28" t="s">
        <v>127</v>
      </c>
      <c r="Q16" s="28" t="s">
        <v>127</v>
      </c>
      <c r="R16" s="80"/>
      <c r="S16" s="28" t="s">
        <v>127</v>
      </c>
      <c r="T16" s="80"/>
      <c r="U16" s="84"/>
      <c r="V16" s="84"/>
      <c r="W16" s="84"/>
      <c r="X16" s="28" t="s">
        <v>127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J16" s="28" t="s">
        <v>127</v>
      </c>
      <c r="AK16" s="28" t="s">
        <v>127</v>
      </c>
    </row>
    <row r="17" spans="1:37" ht="15.75" customHeight="1">
      <c r="A17" s="26" t="s">
        <v>705</v>
      </c>
      <c r="B17" s="82"/>
      <c r="C17" s="30" t="s">
        <v>706</v>
      </c>
      <c r="D17" s="30" t="s">
        <v>706</v>
      </c>
      <c r="E17" s="28" t="s">
        <v>706</v>
      </c>
      <c r="F17" s="28" t="s">
        <v>706</v>
      </c>
      <c r="G17" s="30" t="s">
        <v>706</v>
      </c>
      <c r="H17" s="92" t="s">
        <v>706</v>
      </c>
      <c r="I17" s="30" t="s">
        <v>706</v>
      </c>
      <c r="J17" s="30" t="s">
        <v>706</v>
      </c>
      <c r="K17" s="30" t="s">
        <v>706</v>
      </c>
      <c r="L17" s="30" t="s">
        <v>706</v>
      </c>
      <c r="M17" s="30" t="s">
        <v>706</v>
      </c>
      <c r="N17" s="30" t="s">
        <v>706</v>
      </c>
      <c r="O17" s="30" t="s">
        <v>706</v>
      </c>
      <c r="P17" s="30" t="s">
        <v>707</v>
      </c>
      <c r="Q17" s="30" t="s">
        <v>707</v>
      </c>
      <c r="R17" s="80"/>
      <c r="S17" s="30" t="s">
        <v>706</v>
      </c>
      <c r="T17" s="80"/>
      <c r="U17" s="84"/>
      <c r="V17" s="84"/>
      <c r="W17" s="84"/>
      <c r="X17" s="28" t="s">
        <v>706</v>
      </c>
      <c r="Y17" s="80"/>
      <c r="Z17" s="80"/>
      <c r="AA17" s="82"/>
      <c r="AB17" s="82"/>
      <c r="AC17" s="82"/>
      <c r="AD17" s="82"/>
      <c r="AE17" s="82"/>
      <c r="AF17" s="82"/>
      <c r="AG17" s="82"/>
      <c r="AH17" s="82"/>
      <c r="AJ17" s="30" t="s">
        <v>707</v>
      </c>
      <c r="AK17" s="30" t="s">
        <v>707</v>
      </c>
    </row>
    <row r="18" spans="1:37" ht="15.75" customHeight="1">
      <c r="A18" s="26" t="s">
        <v>708</v>
      </c>
      <c r="B18" s="82"/>
      <c r="C18" s="28" t="s">
        <v>709</v>
      </c>
      <c r="D18" s="28" t="s">
        <v>709</v>
      </c>
      <c r="E18" s="28" t="s">
        <v>709</v>
      </c>
      <c r="F18" s="28" t="s">
        <v>709</v>
      </c>
      <c r="G18" s="30" t="s">
        <v>710</v>
      </c>
      <c r="H18" s="92" t="s">
        <v>710</v>
      </c>
      <c r="I18" s="30" t="s">
        <v>710</v>
      </c>
      <c r="J18" s="30" t="s">
        <v>710</v>
      </c>
      <c r="K18" s="30" t="s">
        <v>710</v>
      </c>
      <c r="L18" s="30" t="s">
        <v>710</v>
      </c>
      <c r="M18" s="30" t="s">
        <v>710</v>
      </c>
      <c r="N18" s="28" t="s">
        <v>710</v>
      </c>
      <c r="O18" s="28" t="s">
        <v>710</v>
      </c>
      <c r="P18" s="28" t="s">
        <v>710</v>
      </c>
      <c r="Q18" s="28" t="s">
        <v>710</v>
      </c>
      <c r="R18" s="82"/>
      <c r="S18" s="30" t="s">
        <v>710</v>
      </c>
      <c r="T18" s="82"/>
      <c r="U18" s="190"/>
      <c r="V18" s="190"/>
      <c r="W18" s="190"/>
      <c r="X18" s="28" t="s">
        <v>709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J18" s="28" t="s">
        <v>710</v>
      </c>
      <c r="AK18" s="28" t="s">
        <v>710</v>
      </c>
    </row>
    <row r="19" spans="1:37" ht="15.75" customHeight="1">
      <c r="A19" s="26" t="s">
        <v>711</v>
      </c>
      <c r="B19" s="80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8">
        <v>3</v>
      </c>
      <c r="J19" s="128">
        <v>3</v>
      </c>
      <c r="K19" s="128">
        <v>2</v>
      </c>
      <c r="L19" s="128">
        <v>3</v>
      </c>
      <c r="M19" s="128">
        <v>3</v>
      </c>
      <c r="N19" s="128">
        <v>4</v>
      </c>
      <c r="O19" s="128">
        <v>4</v>
      </c>
      <c r="P19" s="128">
        <v>4</v>
      </c>
      <c r="Q19" s="128">
        <v>4</v>
      </c>
      <c r="R19" s="81"/>
      <c r="S19" s="128">
        <v>3</v>
      </c>
      <c r="T19" s="81"/>
      <c r="U19" s="80"/>
      <c r="V19" s="80"/>
      <c r="W19" s="80"/>
      <c r="X19" s="30">
        <v>6</v>
      </c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J19" s="30">
        <v>4</v>
      </c>
      <c r="AK19" s="128">
        <v>4</v>
      </c>
    </row>
    <row r="20" spans="1:37" ht="15.75" customHeight="1">
      <c r="A20" s="26" t="s">
        <v>712</v>
      </c>
      <c r="B20" s="80"/>
      <c r="C20" s="28" t="s">
        <v>713</v>
      </c>
      <c r="D20" s="28" t="s">
        <v>713</v>
      </c>
      <c r="E20" s="28" t="s">
        <v>713</v>
      </c>
      <c r="F20" s="28" t="s">
        <v>713</v>
      </c>
      <c r="G20" s="28" t="s">
        <v>713</v>
      </c>
      <c r="H20" s="28" t="s">
        <v>713</v>
      </c>
      <c r="I20" s="28" t="s">
        <v>713</v>
      </c>
      <c r="J20" s="28" t="s">
        <v>713</v>
      </c>
      <c r="K20" s="28" t="s">
        <v>714</v>
      </c>
      <c r="L20" s="28" t="s">
        <v>713</v>
      </c>
      <c r="M20" s="28" t="s">
        <v>714</v>
      </c>
      <c r="N20" s="28" t="s">
        <v>713</v>
      </c>
      <c r="O20" s="28" t="s">
        <v>713</v>
      </c>
      <c r="P20" s="28" t="s">
        <v>713</v>
      </c>
      <c r="Q20" s="28" t="s">
        <v>713</v>
      </c>
      <c r="R20" s="80"/>
      <c r="S20" s="28" t="s">
        <v>713</v>
      </c>
      <c r="T20" s="80"/>
      <c r="U20" s="80"/>
      <c r="V20" s="80"/>
      <c r="W20" s="80"/>
      <c r="X20" s="28" t="s">
        <v>713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J20" s="28" t="s">
        <v>713</v>
      </c>
      <c r="AK20" s="28" t="s">
        <v>713</v>
      </c>
    </row>
    <row r="21" spans="1:37" ht="15.75" customHeight="1">
      <c r="A21" s="26" t="s">
        <v>715</v>
      </c>
      <c r="B21" s="82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/>
      <c r="S21" s="30">
        <v>1</v>
      </c>
      <c r="T21" s="82"/>
      <c r="U21" s="82"/>
      <c r="V21" s="82"/>
      <c r="W21" s="82"/>
      <c r="X21" s="30">
        <v>1</v>
      </c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J21" s="30">
        <v>1</v>
      </c>
      <c r="AK21" s="30">
        <v>1</v>
      </c>
    </row>
    <row r="22" spans="1:37">
      <c r="A22" s="31"/>
    </row>
    <row r="23" spans="1:37">
      <c r="A23" s="26" t="s">
        <v>117</v>
      </c>
      <c r="B23" s="28" t="s">
        <v>362</v>
      </c>
      <c r="C23" s="28" t="s">
        <v>206</v>
      </c>
      <c r="D23" s="28" t="s">
        <v>206</v>
      </c>
      <c r="E23" s="28" t="s">
        <v>206</v>
      </c>
      <c r="F23" s="28" t="s">
        <v>206</v>
      </c>
      <c r="G23" s="28" t="s">
        <v>206</v>
      </c>
      <c r="H23" s="28" t="s">
        <v>206</v>
      </c>
      <c r="I23" s="28" t="s">
        <v>206</v>
      </c>
      <c r="J23" s="28" t="s">
        <v>206</v>
      </c>
      <c r="K23" s="28" t="s">
        <v>206</v>
      </c>
      <c r="L23" s="28" t="s">
        <v>206</v>
      </c>
      <c r="M23" s="28" t="s">
        <v>206</v>
      </c>
      <c r="N23" s="28" t="s">
        <v>206</v>
      </c>
      <c r="O23" s="28" t="s">
        <v>206</v>
      </c>
      <c r="P23" s="187"/>
      <c r="Q23" s="80"/>
      <c r="R23" s="86" t="s">
        <v>206</v>
      </c>
      <c r="S23" s="80"/>
      <c r="T23" s="28" t="s">
        <v>206</v>
      </c>
      <c r="U23" s="28" t="s">
        <v>206</v>
      </c>
      <c r="V23" s="28" t="s">
        <v>206</v>
      </c>
      <c r="W23" s="28" t="s">
        <v>206</v>
      </c>
      <c r="X23" s="83" t="s">
        <v>206</v>
      </c>
      <c r="Y23" s="28" t="s">
        <v>206</v>
      </c>
      <c r="Z23" s="28" t="s">
        <v>206</v>
      </c>
      <c r="AA23" s="28" t="s">
        <v>206</v>
      </c>
      <c r="AB23" s="28" t="s">
        <v>206</v>
      </c>
      <c r="AC23" s="28" t="s">
        <v>206</v>
      </c>
      <c r="AD23" s="28" t="s">
        <v>206</v>
      </c>
      <c r="AE23" s="28" t="s">
        <v>206</v>
      </c>
      <c r="AF23" s="28" t="s">
        <v>206</v>
      </c>
      <c r="AG23" s="80"/>
      <c r="AH23" s="80"/>
      <c r="AJ23" s="80"/>
      <c r="AK23" s="80"/>
    </row>
    <row r="24" spans="1:37">
      <c r="A24" s="26" t="s">
        <v>121</v>
      </c>
      <c r="B24" s="29" t="s">
        <v>210</v>
      </c>
      <c r="C24" s="28" t="s">
        <v>231</v>
      </c>
      <c r="D24" s="29" t="s">
        <v>206</v>
      </c>
      <c r="E24" s="28" t="s">
        <v>210</v>
      </c>
      <c r="F24" s="28" t="s">
        <v>210</v>
      </c>
      <c r="G24" s="28" t="s">
        <v>210</v>
      </c>
      <c r="H24" s="28" t="s">
        <v>341</v>
      </c>
      <c r="I24" s="29" t="s">
        <v>206</v>
      </c>
      <c r="J24" s="28" t="s">
        <v>210</v>
      </c>
      <c r="K24" s="28" t="s">
        <v>210</v>
      </c>
      <c r="L24" s="28" t="s">
        <v>210</v>
      </c>
      <c r="M24" s="28" t="s">
        <v>210</v>
      </c>
      <c r="N24" s="28" t="s">
        <v>210</v>
      </c>
      <c r="O24" s="28" t="s">
        <v>210</v>
      </c>
      <c r="P24" s="188"/>
      <c r="Q24" s="80"/>
      <c r="R24" s="191" t="s">
        <v>740</v>
      </c>
      <c r="S24" s="80"/>
      <c r="T24" s="28" t="s">
        <v>716</v>
      </c>
      <c r="U24" s="28" t="s">
        <v>210</v>
      </c>
      <c r="V24" s="28" t="s">
        <v>231</v>
      </c>
      <c r="W24" s="28" t="s">
        <v>717</v>
      </c>
      <c r="X24" s="83" t="s">
        <v>210</v>
      </c>
      <c r="Y24" s="115" t="s">
        <v>364</v>
      </c>
      <c r="Z24" s="28" t="s">
        <v>206</v>
      </c>
      <c r="AA24" s="28" t="s">
        <v>206</v>
      </c>
      <c r="AB24" s="28" t="s">
        <v>206</v>
      </c>
      <c r="AC24" s="28" t="s">
        <v>231</v>
      </c>
      <c r="AD24" s="28" t="s">
        <v>206</v>
      </c>
      <c r="AE24" s="28" t="s">
        <v>718</v>
      </c>
      <c r="AF24" s="28" t="s">
        <v>210</v>
      </c>
      <c r="AG24" s="81"/>
      <c r="AH24" s="81"/>
      <c r="AJ24" s="81"/>
      <c r="AK24" s="80"/>
    </row>
    <row r="25" spans="1:37">
      <c r="A25" s="140" t="s">
        <v>122</v>
      </c>
      <c r="B25" s="167">
        <v>52</v>
      </c>
      <c r="C25" s="167">
        <v>56</v>
      </c>
      <c r="D25" s="167">
        <v>50</v>
      </c>
      <c r="E25" s="167">
        <v>122</v>
      </c>
      <c r="F25" s="167">
        <v>52</v>
      </c>
      <c r="G25" s="167">
        <v>52</v>
      </c>
      <c r="H25" s="167">
        <v>68</v>
      </c>
      <c r="I25" s="167">
        <v>50</v>
      </c>
      <c r="J25" s="167">
        <v>52</v>
      </c>
      <c r="K25" s="167">
        <v>52</v>
      </c>
      <c r="L25" s="167">
        <v>52</v>
      </c>
      <c r="M25" s="167">
        <v>52</v>
      </c>
      <c r="N25" s="167">
        <v>52</v>
      </c>
      <c r="O25" s="167">
        <v>52</v>
      </c>
      <c r="P25" s="189"/>
      <c r="Q25" s="174"/>
      <c r="R25" s="171">
        <v>162</v>
      </c>
      <c r="S25" s="174"/>
      <c r="T25" s="167">
        <v>159</v>
      </c>
      <c r="U25" s="167">
        <v>52</v>
      </c>
      <c r="V25" s="167">
        <v>56</v>
      </c>
      <c r="W25" s="167">
        <v>103</v>
      </c>
      <c r="X25" s="168">
        <v>52</v>
      </c>
      <c r="Y25" s="167">
        <v>118</v>
      </c>
      <c r="Z25" s="167">
        <v>50</v>
      </c>
      <c r="AA25" s="167">
        <v>50</v>
      </c>
      <c r="AB25" s="167">
        <v>50</v>
      </c>
      <c r="AC25" s="167">
        <v>56</v>
      </c>
      <c r="AD25" s="167">
        <v>50</v>
      </c>
      <c r="AE25" s="167">
        <v>160</v>
      </c>
      <c r="AF25" s="167">
        <v>52</v>
      </c>
      <c r="AG25" s="81"/>
      <c r="AH25" s="81"/>
      <c r="AJ25" s="81"/>
      <c r="AK25" s="174"/>
    </row>
    <row r="26" spans="1:37">
      <c r="A26" s="26" t="s">
        <v>123</v>
      </c>
      <c r="B26" s="29" t="s">
        <v>124</v>
      </c>
      <c r="C26" s="28" t="s">
        <v>124</v>
      </c>
      <c r="D26" s="28" t="s">
        <v>124</v>
      </c>
      <c r="E26" s="28" t="s">
        <v>124</v>
      </c>
      <c r="F26" s="28" t="s">
        <v>124</v>
      </c>
      <c r="G26" s="29" t="s">
        <v>124</v>
      </c>
      <c r="H26" s="29" t="s">
        <v>124</v>
      </c>
      <c r="I26" s="29" t="s">
        <v>124</v>
      </c>
      <c r="J26" s="28" t="s">
        <v>124</v>
      </c>
      <c r="K26" s="29" t="s">
        <v>124</v>
      </c>
      <c r="L26" s="29" t="s">
        <v>124</v>
      </c>
      <c r="M26" s="29" t="s">
        <v>124</v>
      </c>
      <c r="N26" s="28" t="s">
        <v>124</v>
      </c>
      <c r="O26" s="28" t="s">
        <v>124</v>
      </c>
      <c r="P26" s="80"/>
      <c r="Q26" s="81"/>
      <c r="R26" s="29" t="s">
        <v>124</v>
      </c>
      <c r="S26" s="81"/>
      <c r="T26" s="29" t="s">
        <v>124</v>
      </c>
      <c r="U26" s="29" t="s">
        <v>124</v>
      </c>
      <c r="V26" s="28" t="s">
        <v>124</v>
      </c>
      <c r="W26" s="28" t="s">
        <v>124</v>
      </c>
      <c r="X26" s="28" t="s">
        <v>124</v>
      </c>
      <c r="Y26" s="28" t="s">
        <v>124</v>
      </c>
      <c r="Z26" s="28" t="s">
        <v>124</v>
      </c>
      <c r="AA26" s="28" t="s">
        <v>124</v>
      </c>
      <c r="AB26" s="28" t="s">
        <v>124</v>
      </c>
      <c r="AC26" s="28" t="s">
        <v>124</v>
      </c>
      <c r="AD26" s="28" t="s">
        <v>124</v>
      </c>
      <c r="AE26" s="28" t="s">
        <v>124</v>
      </c>
      <c r="AF26" s="28" t="s">
        <v>124</v>
      </c>
      <c r="AG26" s="80"/>
      <c r="AH26" s="80"/>
      <c r="AJ26" s="80"/>
      <c r="AK26" s="81"/>
    </row>
    <row r="27" spans="1:37">
      <c r="A27" s="26" t="s">
        <v>125</v>
      </c>
      <c r="B27" s="28" t="s">
        <v>127</v>
      </c>
      <c r="C27" s="28" t="s">
        <v>127</v>
      </c>
      <c r="D27" s="28" t="s">
        <v>127</v>
      </c>
      <c r="E27" s="28" t="s">
        <v>127</v>
      </c>
      <c r="F27" s="28" t="s">
        <v>127</v>
      </c>
      <c r="G27" s="28" t="s">
        <v>127</v>
      </c>
      <c r="H27" s="29" t="s">
        <v>124</v>
      </c>
      <c r="I27" s="28" t="s">
        <v>127</v>
      </c>
      <c r="J27" s="28" t="s">
        <v>127</v>
      </c>
      <c r="K27" s="28" t="s">
        <v>127</v>
      </c>
      <c r="L27" s="28" t="s">
        <v>127</v>
      </c>
      <c r="M27" s="28" t="s">
        <v>127</v>
      </c>
      <c r="N27" s="28" t="s">
        <v>127</v>
      </c>
      <c r="O27" s="28" t="s">
        <v>127</v>
      </c>
      <c r="P27" s="80"/>
      <c r="Q27" s="80"/>
      <c r="R27" s="87" t="s">
        <v>127</v>
      </c>
      <c r="S27" s="80"/>
      <c r="T27" s="28" t="s">
        <v>127</v>
      </c>
      <c r="U27" s="28" t="s">
        <v>127</v>
      </c>
      <c r="V27" s="28" t="s">
        <v>127</v>
      </c>
      <c r="W27" s="28" t="s">
        <v>127</v>
      </c>
      <c r="X27" s="29" t="s">
        <v>127</v>
      </c>
      <c r="Y27" s="29" t="s">
        <v>127</v>
      </c>
      <c r="Z27" s="28" t="s">
        <v>127</v>
      </c>
      <c r="AA27" s="28" t="s">
        <v>127</v>
      </c>
      <c r="AB27" s="28" t="s">
        <v>127</v>
      </c>
      <c r="AC27" s="28" t="s">
        <v>127</v>
      </c>
      <c r="AD27" s="28" t="s">
        <v>127</v>
      </c>
      <c r="AE27" s="28" t="s">
        <v>127</v>
      </c>
      <c r="AF27" s="28" t="s">
        <v>127</v>
      </c>
      <c r="AG27" s="80"/>
      <c r="AH27" s="80"/>
      <c r="AJ27" s="80"/>
      <c r="AK27" s="193"/>
    </row>
    <row r="28" spans="1:37">
      <c r="A28" s="26" t="s">
        <v>126</v>
      </c>
      <c r="B28" s="28" t="s">
        <v>124</v>
      </c>
      <c r="C28" s="28" t="s">
        <v>124</v>
      </c>
      <c r="D28" s="28" t="s">
        <v>124</v>
      </c>
      <c r="E28" s="28" t="s">
        <v>124</v>
      </c>
      <c r="F28" s="28" t="s">
        <v>124</v>
      </c>
      <c r="G28" s="28" t="s">
        <v>124</v>
      </c>
      <c r="H28" s="28" t="s">
        <v>127</v>
      </c>
      <c r="I28" s="28" t="s">
        <v>124</v>
      </c>
      <c r="J28" s="28" t="s">
        <v>124</v>
      </c>
      <c r="K28" s="28" t="s">
        <v>124</v>
      </c>
      <c r="L28" s="28" t="s">
        <v>124</v>
      </c>
      <c r="M28" s="28" t="s">
        <v>124</v>
      </c>
      <c r="N28" s="28" t="s">
        <v>124</v>
      </c>
      <c r="O28" s="28" t="s">
        <v>124</v>
      </c>
      <c r="P28" s="80"/>
      <c r="Q28" s="187"/>
      <c r="R28" s="192" t="s">
        <v>301</v>
      </c>
      <c r="S28" s="84"/>
      <c r="T28" s="28" t="s">
        <v>124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 t="s">
        <v>124</v>
      </c>
      <c r="Z28" s="28" t="s">
        <v>124</v>
      </c>
      <c r="AA28" s="28" t="s">
        <v>124</v>
      </c>
      <c r="AB28" s="28" t="s">
        <v>124</v>
      </c>
      <c r="AC28" s="28" t="s">
        <v>124</v>
      </c>
      <c r="AD28" s="28" t="s">
        <v>124</v>
      </c>
      <c r="AE28" s="28" t="s">
        <v>124</v>
      </c>
      <c r="AF28" s="28" t="s">
        <v>124</v>
      </c>
      <c r="AG28" s="80"/>
      <c r="AH28" s="80"/>
      <c r="AJ28" s="187"/>
      <c r="AK28" s="80"/>
    </row>
    <row r="29" spans="1:37">
      <c r="A29" s="26" t="s">
        <v>128</v>
      </c>
      <c r="B29" s="28" t="s">
        <v>127</v>
      </c>
      <c r="C29" s="28" t="s">
        <v>127</v>
      </c>
      <c r="D29" s="28" t="s">
        <v>127</v>
      </c>
      <c r="E29" s="28" t="s">
        <v>127</v>
      </c>
      <c r="F29" s="28" t="s">
        <v>127</v>
      </c>
      <c r="G29" s="28" t="s">
        <v>127</v>
      </c>
      <c r="H29" s="28" t="s">
        <v>127</v>
      </c>
      <c r="I29" s="28" t="s">
        <v>127</v>
      </c>
      <c r="J29" s="28" t="s">
        <v>127</v>
      </c>
      <c r="K29" s="28" t="s">
        <v>127</v>
      </c>
      <c r="L29" s="28" t="s">
        <v>127</v>
      </c>
      <c r="M29" s="28" t="s">
        <v>127</v>
      </c>
      <c r="N29" s="28" t="s">
        <v>127</v>
      </c>
      <c r="O29" s="28" t="s">
        <v>127</v>
      </c>
      <c r="P29" s="80"/>
      <c r="Q29" s="80"/>
      <c r="R29" s="28" t="s">
        <v>127</v>
      </c>
      <c r="S29" s="80"/>
      <c r="T29" s="28" t="s">
        <v>127</v>
      </c>
      <c r="U29" s="28" t="s">
        <v>127</v>
      </c>
      <c r="V29" s="28" t="s">
        <v>127</v>
      </c>
      <c r="W29" s="28" t="s">
        <v>127</v>
      </c>
      <c r="X29" s="28" t="s">
        <v>127</v>
      </c>
      <c r="Y29" s="28" t="s">
        <v>127</v>
      </c>
      <c r="Z29" s="28" t="s">
        <v>127</v>
      </c>
      <c r="AA29" s="28" t="s">
        <v>127</v>
      </c>
      <c r="AB29" s="28" t="s">
        <v>127</v>
      </c>
      <c r="AC29" s="28" t="s">
        <v>127</v>
      </c>
      <c r="AD29" s="28" t="s">
        <v>127</v>
      </c>
      <c r="AE29" s="28" t="s">
        <v>127</v>
      </c>
      <c r="AF29" s="28" t="s">
        <v>127</v>
      </c>
      <c r="AG29" s="80"/>
      <c r="AH29" s="80"/>
      <c r="AJ29" s="80"/>
      <c r="AK29" s="81"/>
    </row>
    <row r="30" spans="1:37">
      <c r="A30" s="26" t="s">
        <v>129</v>
      </c>
      <c r="B30" s="28" t="s">
        <v>149</v>
      </c>
      <c r="C30" s="28" t="s">
        <v>150</v>
      </c>
      <c r="D30" s="28" t="s">
        <v>149</v>
      </c>
      <c r="E30" s="28" t="s">
        <v>149</v>
      </c>
      <c r="F30" s="28" t="s">
        <v>149</v>
      </c>
      <c r="G30" s="28" t="s">
        <v>149</v>
      </c>
      <c r="H30" s="28" t="s">
        <v>343</v>
      </c>
      <c r="I30" s="28" t="s">
        <v>149</v>
      </c>
      <c r="J30" s="28" t="s">
        <v>149</v>
      </c>
      <c r="K30" s="28" t="s">
        <v>149</v>
      </c>
      <c r="L30" s="28" t="s">
        <v>149</v>
      </c>
      <c r="M30" s="28" t="s">
        <v>149</v>
      </c>
      <c r="N30" s="28" t="s">
        <v>149</v>
      </c>
      <c r="O30" s="28" t="s">
        <v>149</v>
      </c>
      <c r="P30" s="80"/>
      <c r="Q30" s="80"/>
      <c r="R30" s="116" t="s">
        <v>741</v>
      </c>
      <c r="S30" s="80"/>
      <c r="T30" s="28" t="s">
        <v>149</v>
      </c>
      <c r="U30" s="28" t="s">
        <v>149</v>
      </c>
      <c r="V30" s="28" t="s">
        <v>150</v>
      </c>
      <c r="W30" s="28" t="s">
        <v>316</v>
      </c>
      <c r="X30" s="28" t="s">
        <v>149</v>
      </c>
      <c r="Y30" s="28" t="s">
        <v>149</v>
      </c>
      <c r="Z30" s="28" t="s">
        <v>149</v>
      </c>
      <c r="AA30" s="28" t="s">
        <v>149</v>
      </c>
      <c r="AB30" s="28" t="s">
        <v>149</v>
      </c>
      <c r="AC30" s="28" t="s">
        <v>150</v>
      </c>
      <c r="AD30" s="28" t="s">
        <v>149</v>
      </c>
      <c r="AE30" s="28" t="s">
        <v>316</v>
      </c>
      <c r="AF30" s="28" t="s">
        <v>149</v>
      </c>
      <c r="AG30" s="80"/>
      <c r="AH30" s="80"/>
      <c r="AJ30" s="80"/>
      <c r="AK30" s="80"/>
    </row>
    <row r="31" spans="1:37">
      <c r="A31" s="26" t="s">
        <v>130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/>
      <c r="Q31" s="82"/>
      <c r="R31" s="30">
        <f>AVERAGE(4/3,-0.5,-6)</f>
        <v>-1.7222222222222223</v>
      </c>
      <c r="S31" s="82"/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82"/>
      <c r="AH31" s="82"/>
      <c r="AJ31" s="82"/>
      <c r="AK31" s="82"/>
    </row>
    <row r="32" spans="1:37">
      <c r="A32" s="26" t="s">
        <v>131</v>
      </c>
      <c r="B32" s="28" t="s">
        <v>180</v>
      </c>
      <c r="C32" s="28" t="s">
        <v>180</v>
      </c>
      <c r="D32" s="28" t="s">
        <v>180</v>
      </c>
      <c r="E32" s="28" t="s">
        <v>180</v>
      </c>
      <c r="F32" s="28" t="s">
        <v>180</v>
      </c>
      <c r="G32" s="28" t="s">
        <v>180</v>
      </c>
      <c r="H32" s="28" t="s">
        <v>180</v>
      </c>
      <c r="I32" s="28" t="s">
        <v>180</v>
      </c>
      <c r="J32" s="28" t="s">
        <v>180</v>
      </c>
      <c r="K32" s="28" t="s">
        <v>180</v>
      </c>
      <c r="L32" s="28" t="s">
        <v>180</v>
      </c>
      <c r="M32" s="28" t="s">
        <v>180</v>
      </c>
      <c r="N32" s="28" t="s">
        <v>180</v>
      </c>
      <c r="O32" s="28" t="s">
        <v>180</v>
      </c>
      <c r="P32" s="80"/>
      <c r="Q32" s="80"/>
      <c r="R32" s="28" t="s">
        <v>180</v>
      </c>
      <c r="S32" s="80"/>
      <c r="T32" s="28" t="s">
        <v>180</v>
      </c>
      <c r="U32" s="28" t="s">
        <v>180</v>
      </c>
      <c r="V32" s="28" t="s">
        <v>180</v>
      </c>
      <c r="W32" s="28" t="s">
        <v>180</v>
      </c>
      <c r="X32" s="28" t="s">
        <v>180</v>
      </c>
      <c r="Y32" s="28" t="s">
        <v>180</v>
      </c>
      <c r="Z32" s="28" t="s">
        <v>180</v>
      </c>
      <c r="AA32" s="28" t="s">
        <v>180</v>
      </c>
      <c r="AB32" s="28" t="s">
        <v>180</v>
      </c>
      <c r="AC32" s="28" t="s">
        <v>180</v>
      </c>
      <c r="AD32" s="28" t="s">
        <v>180</v>
      </c>
      <c r="AE32" s="28" t="s">
        <v>180</v>
      </c>
      <c r="AF32" s="28" t="s">
        <v>180</v>
      </c>
      <c r="AG32" s="82"/>
      <c r="AH32" s="82"/>
      <c r="AJ32" s="80"/>
      <c r="AK32" s="80"/>
    </row>
    <row r="33" spans="1:37">
      <c r="A33" s="26" t="s">
        <v>133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/>
      <c r="Q33" s="82"/>
      <c r="R33" s="30">
        <v>2</v>
      </c>
      <c r="S33" s="82"/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80"/>
      <c r="AH33" s="80"/>
      <c r="AJ33" s="82"/>
      <c r="AK33" s="82"/>
    </row>
    <row r="35" spans="1:37">
      <c r="A35" s="26" t="s">
        <v>117</v>
      </c>
      <c r="B35" s="28" t="s">
        <v>199</v>
      </c>
      <c r="C35" s="28" t="s">
        <v>576</v>
      </c>
      <c r="D35" s="28" t="s">
        <v>576</v>
      </c>
      <c r="E35" s="28" t="s">
        <v>576</v>
      </c>
      <c r="F35" s="28" t="s">
        <v>576</v>
      </c>
      <c r="G35" s="28" t="s">
        <v>576</v>
      </c>
      <c r="H35" s="28" t="s">
        <v>576</v>
      </c>
      <c r="I35" s="28" t="s">
        <v>576</v>
      </c>
      <c r="J35" s="28" t="s">
        <v>576</v>
      </c>
      <c r="K35" s="28" t="s">
        <v>576</v>
      </c>
      <c r="L35" s="28" t="s">
        <v>576</v>
      </c>
      <c r="M35" s="28" t="s">
        <v>576</v>
      </c>
      <c r="N35" s="28" t="s">
        <v>576</v>
      </c>
      <c r="O35" s="28" t="s">
        <v>576</v>
      </c>
      <c r="P35" s="28" t="s">
        <v>203</v>
      </c>
      <c r="Q35" s="28" t="s">
        <v>203</v>
      </c>
      <c r="R35" s="86" t="s">
        <v>203</v>
      </c>
      <c r="S35" s="28" t="s">
        <v>203</v>
      </c>
      <c r="T35" s="83" t="s">
        <v>203</v>
      </c>
      <c r="U35" s="194" t="s">
        <v>203</v>
      </c>
      <c r="V35" s="28"/>
      <c r="W35" s="28"/>
      <c r="X35" s="28"/>
      <c r="Y35" s="28"/>
      <c r="Z35" s="28"/>
      <c r="AA35" s="28" t="s">
        <v>203</v>
      </c>
      <c r="AB35" s="28"/>
      <c r="AC35" s="28"/>
      <c r="AD35" s="28"/>
      <c r="AE35" s="28"/>
      <c r="AF35" s="28" t="s">
        <v>203</v>
      </c>
      <c r="AG35" s="80"/>
      <c r="AH35" s="80"/>
      <c r="AJ35" s="28" t="s">
        <v>576</v>
      </c>
      <c r="AK35" s="28" t="s">
        <v>576</v>
      </c>
    </row>
    <row r="36" spans="1:37">
      <c r="A36" s="26" t="s">
        <v>121</v>
      </c>
      <c r="B36" s="28" t="s">
        <v>205</v>
      </c>
      <c r="C36" s="28" t="s">
        <v>205</v>
      </c>
      <c r="D36" s="28" t="s">
        <v>205</v>
      </c>
      <c r="E36" s="28" t="s">
        <v>205</v>
      </c>
      <c r="F36" s="28" t="s">
        <v>205</v>
      </c>
      <c r="G36" s="28" t="s">
        <v>205</v>
      </c>
      <c r="H36" s="28" t="s">
        <v>205</v>
      </c>
      <c r="I36" s="28" t="s">
        <v>205</v>
      </c>
      <c r="J36" s="28" t="s">
        <v>205</v>
      </c>
      <c r="K36" s="28" t="s">
        <v>205</v>
      </c>
      <c r="L36" s="28" t="s">
        <v>205</v>
      </c>
      <c r="M36" s="28" t="s">
        <v>205</v>
      </c>
      <c r="N36" s="28" t="s">
        <v>205</v>
      </c>
      <c r="O36" s="28" t="s">
        <v>205</v>
      </c>
      <c r="P36" s="28" t="s">
        <v>231</v>
      </c>
      <c r="Q36" s="28" t="s">
        <v>231</v>
      </c>
      <c r="R36" s="114" t="s">
        <v>742</v>
      </c>
      <c r="S36" s="29" t="s">
        <v>232</v>
      </c>
      <c r="T36" s="28" t="s">
        <v>205</v>
      </c>
      <c r="U36" s="194" t="s">
        <v>205</v>
      </c>
      <c r="V36" s="29"/>
      <c r="W36" s="29"/>
      <c r="X36" s="29"/>
      <c r="Y36" s="29"/>
      <c r="Z36" s="29"/>
      <c r="AA36" s="28" t="s">
        <v>205</v>
      </c>
      <c r="AB36" s="29"/>
      <c r="AC36" s="29"/>
      <c r="AD36" s="29"/>
      <c r="AE36" s="29"/>
      <c r="AF36" s="28" t="s">
        <v>205</v>
      </c>
      <c r="AG36" s="81"/>
      <c r="AH36" s="81"/>
      <c r="AJ36" s="28" t="s">
        <v>205</v>
      </c>
      <c r="AK36" s="28" t="s">
        <v>205</v>
      </c>
    </row>
    <row r="37" spans="1:37">
      <c r="A37" s="140" t="s">
        <v>122</v>
      </c>
      <c r="B37" s="167">
        <v>19</v>
      </c>
      <c r="C37" s="167">
        <v>19</v>
      </c>
      <c r="D37" s="167">
        <v>19</v>
      </c>
      <c r="E37" s="167">
        <v>19</v>
      </c>
      <c r="F37" s="167">
        <v>19</v>
      </c>
      <c r="G37" s="167">
        <v>19</v>
      </c>
      <c r="H37" s="167">
        <v>19</v>
      </c>
      <c r="I37" s="167">
        <v>19</v>
      </c>
      <c r="J37" s="167">
        <v>19</v>
      </c>
      <c r="K37" s="167">
        <v>19</v>
      </c>
      <c r="L37" s="167">
        <v>19</v>
      </c>
      <c r="M37" s="167">
        <v>19</v>
      </c>
      <c r="N37" s="167">
        <v>19</v>
      </c>
      <c r="O37" s="167">
        <v>19</v>
      </c>
      <c r="P37" s="167">
        <v>56</v>
      </c>
      <c r="Q37" s="167">
        <v>56</v>
      </c>
      <c r="R37" s="167">
        <v>163</v>
      </c>
      <c r="S37" s="141">
        <v>106</v>
      </c>
      <c r="T37" s="167">
        <v>19</v>
      </c>
      <c r="U37" s="195">
        <v>19</v>
      </c>
      <c r="V37" s="167"/>
      <c r="W37" s="167"/>
      <c r="X37" s="167"/>
      <c r="Y37" s="167"/>
      <c r="Z37" s="167"/>
      <c r="AA37" s="167">
        <v>19</v>
      </c>
      <c r="AB37" s="167"/>
      <c r="AC37" s="167"/>
      <c r="AD37" s="167"/>
      <c r="AE37" s="167"/>
      <c r="AF37" s="167">
        <v>19</v>
      </c>
      <c r="AG37" s="81"/>
      <c r="AH37" s="81"/>
      <c r="AJ37" s="167">
        <v>19</v>
      </c>
      <c r="AK37" s="167">
        <v>19</v>
      </c>
    </row>
    <row r="38" spans="1:37">
      <c r="A38" s="26" t="s">
        <v>123</v>
      </c>
      <c r="B38" s="29" t="s">
        <v>124</v>
      </c>
      <c r="C38" s="29" t="s">
        <v>124</v>
      </c>
      <c r="D38" s="29" t="s">
        <v>124</v>
      </c>
      <c r="E38" s="29" t="s">
        <v>124</v>
      </c>
      <c r="F38" s="29" t="s">
        <v>124</v>
      </c>
      <c r="G38" s="29" t="s">
        <v>124</v>
      </c>
      <c r="H38" s="29" t="s">
        <v>124</v>
      </c>
      <c r="I38" s="29" t="s">
        <v>124</v>
      </c>
      <c r="J38" s="29" t="s">
        <v>124</v>
      </c>
      <c r="K38" s="29" t="s">
        <v>124</v>
      </c>
      <c r="L38" s="29" t="s">
        <v>124</v>
      </c>
      <c r="M38" s="29" t="s">
        <v>124</v>
      </c>
      <c r="N38" s="29" t="s">
        <v>124</v>
      </c>
      <c r="O38" s="29" t="s">
        <v>124</v>
      </c>
      <c r="P38" s="28" t="s">
        <v>124</v>
      </c>
      <c r="Q38" s="28" t="s">
        <v>124</v>
      </c>
      <c r="R38" s="29" t="s">
        <v>124</v>
      </c>
      <c r="S38" s="28" t="s">
        <v>124</v>
      </c>
      <c r="T38" s="29" t="s">
        <v>124</v>
      </c>
      <c r="U38" s="196" t="s">
        <v>124</v>
      </c>
      <c r="V38" s="28"/>
      <c r="W38" s="28"/>
      <c r="X38" s="28"/>
      <c r="Y38" s="28"/>
      <c r="Z38" s="28"/>
      <c r="AA38" s="29" t="s">
        <v>124</v>
      </c>
      <c r="AB38" s="28"/>
      <c r="AC38" s="29"/>
      <c r="AD38" s="28"/>
      <c r="AE38" s="29"/>
      <c r="AF38" s="29" t="s">
        <v>124</v>
      </c>
      <c r="AG38" s="80"/>
      <c r="AH38" s="80"/>
      <c r="AJ38" s="29" t="s">
        <v>124</v>
      </c>
      <c r="AK38" s="29" t="s">
        <v>124</v>
      </c>
    </row>
    <row r="39" spans="1:37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 t="s">
        <v>127</v>
      </c>
      <c r="S39" s="87" t="s">
        <v>127</v>
      </c>
      <c r="T39" s="28" t="s">
        <v>127</v>
      </c>
      <c r="U39" s="194" t="s">
        <v>127</v>
      </c>
      <c r="V39" s="28"/>
      <c r="W39" s="28"/>
      <c r="X39" s="28"/>
      <c r="Y39" s="28"/>
      <c r="Z39" s="28"/>
      <c r="AA39" s="28" t="s">
        <v>127</v>
      </c>
      <c r="AB39" s="28"/>
      <c r="AC39" s="28"/>
      <c r="AD39" s="28"/>
      <c r="AE39" s="28"/>
      <c r="AF39" s="28" t="s">
        <v>127</v>
      </c>
      <c r="AG39" s="80"/>
      <c r="AH39" s="80"/>
      <c r="AJ39" s="28" t="s">
        <v>127</v>
      </c>
      <c r="AK39" s="28" t="s">
        <v>127</v>
      </c>
    </row>
    <row r="40" spans="1:37">
      <c r="A40" s="26" t="s">
        <v>126</v>
      </c>
      <c r="B40" s="28" t="s">
        <v>127</v>
      </c>
      <c r="C40" s="28" t="s">
        <v>127</v>
      </c>
      <c r="D40" s="28" t="s">
        <v>127</v>
      </c>
      <c r="E40" s="28" t="s">
        <v>127</v>
      </c>
      <c r="F40" s="28" t="s">
        <v>127</v>
      </c>
      <c r="G40" s="28" t="s">
        <v>127</v>
      </c>
      <c r="H40" s="28" t="s">
        <v>127</v>
      </c>
      <c r="I40" s="28" t="s">
        <v>127</v>
      </c>
      <c r="J40" s="28" t="s">
        <v>127</v>
      </c>
      <c r="K40" s="28" t="s">
        <v>127</v>
      </c>
      <c r="L40" s="28" t="s">
        <v>127</v>
      </c>
      <c r="M40" s="28" t="s">
        <v>127</v>
      </c>
      <c r="N40" s="28" t="s">
        <v>127</v>
      </c>
      <c r="O40" s="28" t="s">
        <v>127</v>
      </c>
      <c r="P40" s="28" t="s">
        <v>124</v>
      </c>
      <c r="Q40" s="28" t="s">
        <v>124</v>
      </c>
      <c r="R40" s="182" t="s">
        <v>743</v>
      </c>
      <c r="S40" s="118" t="s">
        <v>236</v>
      </c>
      <c r="T40" s="83" t="s">
        <v>127</v>
      </c>
      <c r="U40" s="194" t="s">
        <v>127</v>
      </c>
      <c r="V40" s="28"/>
      <c r="W40" s="28"/>
      <c r="X40" s="28"/>
      <c r="Y40" s="28"/>
      <c r="Z40" s="28"/>
      <c r="AA40" s="28" t="s">
        <v>127</v>
      </c>
      <c r="AB40" s="28"/>
      <c r="AC40" s="28"/>
      <c r="AD40" s="28"/>
      <c r="AE40" s="28"/>
      <c r="AF40" s="28" t="s">
        <v>127</v>
      </c>
      <c r="AG40" s="80"/>
      <c r="AH40" s="80"/>
      <c r="AJ40" s="28" t="s">
        <v>127</v>
      </c>
      <c r="AK40" s="28" t="s">
        <v>127</v>
      </c>
    </row>
    <row r="41" spans="1:37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 t="s">
        <v>127</v>
      </c>
      <c r="S41" s="29" t="s">
        <v>127</v>
      </c>
      <c r="T41" s="28" t="s">
        <v>127</v>
      </c>
      <c r="U41" s="194" t="s">
        <v>127</v>
      </c>
      <c r="V41" s="28"/>
      <c r="W41" s="28"/>
      <c r="X41" s="28"/>
      <c r="Y41" s="28"/>
      <c r="Z41" s="28"/>
      <c r="AA41" s="28" t="s">
        <v>127</v>
      </c>
      <c r="AB41" s="28"/>
      <c r="AC41" s="28"/>
      <c r="AD41" s="28"/>
      <c r="AE41" s="28"/>
      <c r="AF41" s="28" t="s">
        <v>127</v>
      </c>
      <c r="AG41" s="80"/>
      <c r="AH41" s="80"/>
      <c r="AJ41" s="28" t="s">
        <v>127</v>
      </c>
      <c r="AK41" s="28" t="s">
        <v>127</v>
      </c>
    </row>
    <row r="42" spans="1:37">
      <c r="A42" s="26" t="s">
        <v>129</v>
      </c>
      <c r="B42" s="28" t="s">
        <v>216</v>
      </c>
      <c r="C42" s="28" t="s">
        <v>216</v>
      </c>
      <c r="D42" s="28" t="s">
        <v>216</v>
      </c>
      <c r="E42" s="28" t="s">
        <v>216</v>
      </c>
      <c r="F42" s="28" t="s">
        <v>216</v>
      </c>
      <c r="G42" s="28" t="s">
        <v>216</v>
      </c>
      <c r="H42" s="28" t="s">
        <v>216</v>
      </c>
      <c r="I42" s="28" t="s">
        <v>216</v>
      </c>
      <c r="J42" s="28" t="s">
        <v>216</v>
      </c>
      <c r="K42" s="28" t="s">
        <v>216</v>
      </c>
      <c r="L42" s="28" t="s">
        <v>216</v>
      </c>
      <c r="M42" s="28" t="s">
        <v>216</v>
      </c>
      <c r="N42" s="28" t="s">
        <v>216</v>
      </c>
      <c r="O42" s="28" t="s">
        <v>216</v>
      </c>
      <c r="P42" s="28" t="s">
        <v>150</v>
      </c>
      <c r="Q42" s="28" t="s">
        <v>150</v>
      </c>
      <c r="R42" s="116" t="s">
        <v>744</v>
      </c>
      <c r="S42" s="28" t="s">
        <v>217</v>
      </c>
      <c r="T42" s="28" t="s">
        <v>216</v>
      </c>
      <c r="U42" s="194" t="s">
        <v>216</v>
      </c>
      <c r="V42" s="28"/>
      <c r="W42" s="28"/>
      <c r="X42" s="28"/>
      <c r="Y42" s="28"/>
      <c r="Z42" s="28"/>
      <c r="AA42" s="28" t="s">
        <v>216</v>
      </c>
      <c r="AB42" s="28"/>
      <c r="AC42" s="28"/>
      <c r="AD42" s="28"/>
      <c r="AE42" s="28"/>
      <c r="AF42" s="28" t="s">
        <v>216</v>
      </c>
      <c r="AG42" s="80"/>
      <c r="AH42" s="80"/>
      <c r="AJ42" s="28" t="s">
        <v>216</v>
      </c>
      <c r="AK42" s="28" t="s">
        <v>216</v>
      </c>
    </row>
    <row r="43" spans="1:37">
      <c r="A43" s="26" t="s">
        <v>130</v>
      </c>
      <c r="B43" s="30">
        <v>-3</v>
      </c>
      <c r="C43" s="30">
        <v>-3</v>
      </c>
      <c r="D43" s="30">
        <v>-3</v>
      </c>
      <c r="E43" s="30">
        <v>-3</v>
      </c>
      <c r="F43" s="30">
        <v>-3</v>
      </c>
      <c r="G43" s="30">
        <v>-3</v>
      </c>
      <c r="H43" s="30">
        <v>-3</v>
      </c>
      <c r="I43" s="30">
        <v>-3</v>
      </c>
      <c r="J43" s="30">
        <v>-3</v>
      </c>
      <c r="K43" s="30">
        <v>-3</v>
      </c>
      <c r="L43" s="30">
        <v>-3</v>
      </c>
      <c r="M43" s="30">
        <v>-3</v>
      </c>
      <c r="N43" s="30">
        <v>-3</v>
      </c>
      <c r="O43" s="30">
        <v>-3</v>
      </c>
      <c r="P43" s="30">
        <v>-0.5</v>
      </c>
      <c r="Q43" s="30">
        <v>-0.5</v>
      </c>
      <c r="R43" s="30">
        <f>AVERAGE(-0.5,-3,-6)</f>
        <v>-3.1666666666666665</v>
      </c>
      <c r="S43" s="30">
        <f>AVERAGE(-0.5,2)</f>
        <v>0.75</v>
      </c>
      <c r="T43" s="30">
        <v>-3</v>
      </c>
      <c r="U43" s="197">
        <v>-3</v>
      </c>
      <c r="V43" s="30"/>
      <c r="W43" s="30"/>
      <c r="X43" s="30"/>
      <c r="Y43" s="30"/>
      <c r="Z43" s="30"/>
      <c r="AA43" s="30">
        <v>-3</v>
      </c>
      <c r="AB43" s="30"/>
      <c r="AC43" s="30"/>
      <c r="AD43" s="30"/>
      <c r="AE43" s="30"/>
      <c r="AF43" s="30">
        <v>-3</v>
      </c>
      <c r="AG43" s="82"/>
      <c r="AH43" s="82"/>
      <c r="AJ43" s="30">
        <v>-3</v>
      </c>
      <c r="AK43" s="30">
        <v>-3</v>
      </c>
    </row>
    <row r="44" spans="1:37">
      <c r="A44" s="26" t="s">
        <v>131</v>
      </c>
      <c r="B44" s="28" t="s">
        <v>132</v>
      </c>
      <c r="C44" s="28" t="s">
        <v>132</v>
      </c>
      <c r="D44" s="28" t="s">
        <v>132</v>
      </c>
      <c r="E44" s="28" t="s">
        <v>132</v>
      </c>
      <c r="F44" s="28" t="s">
        <v>132</v>
      </c>
      <c r="G44" s="28" t="s">
        <v>132</v>
      </c>
      <c r="H44" s="28" t="s">
        <v>132</v>
      </c>
      <c r="I44" s="28" t="s">
        <v>132</v>
      </c>
      <c r="J44" s="28" t="s">
        <v>132</v>
      </c>
      <c r="K44" s="28" t="s">
        <v>132</v>
      </c>
      <c r="L44" s="28" t="s">
        <v>132</v>
      </c>
      <c r="M44" s="28" t="s">
        <v>132</v>
      </c>
      <c r="N44" s="28" t="s">
        <v>132</v>
      </c>
      <c r="O44" s="28" t="s">
        <v>132</v>
      </c>
      <c r="P44" s="28" t="s">
        <v>180</v>
      </c>
      <c r="Q44" s="28" t="s">
        <v>180</v>
      </c>
      <c r="R44" s="28" t="s">
        <v>745</v>
      </c>
      <c r="S44" s="28" t="s">
        <v>240</v>
      </c>
      <c r="T44" s="28" t="s">
        <v>132</v>
      </c>
      <c r="U44" s="194" t="s">
        <v>132</v>
      </c>
      <c r="V44" s="28"/>
      <c r="W44" s="28"/>
      <c r="X44" s="28"/>
      <c r="Y44" s="28"/>
      <c r="Z44" s="28"/>
      <c r="AA44" s="28" t="s">
        <v>132</v>
      </c>
      <c r="AB44" s="28"/>
      <c r="AC44" s="28"/>
      <c r="AD44" s="28"/>
      <c r="AE44" s="28"/>
      <c r="AF44" s="28" t="s">
        <v>132</v>
      </c>
      <c r="AG44" s="82"/>
      <c r="AH44" s="82"/>
      <c r="AJ44" s="28" t="s">
        <v>132</v>
      </c>
      <c r="AK44" s="28" t="s">
        <v>132</v>
      </c>
    </row>
    <row r="45" spans="1:37">
      <c r="A45" s="26" t="s">
        <v>133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2</v>
      </c>
      <c r="Q45" s="30">
        <v>2</v>
      </c>
      <c r="R45" s="30">
        <f>AVERAGE(2,4,2)</f>
        <v>2.6666666666666665</v>
      </c>
      <c r="S45" s="30">
        <f>AVERAGE(3,2)</f>
        <v>2.5</v>
      </c>
      <c r="T45" s="30">
        <v>4</v>
      </c>
      <c r="U45" s="197">
        <v>4</v>
      </c>
      <c r="V45" s="30"/>
      <c r="W45" s="30"/>
      <c r="X45" s="30"/>
      <c r="Y45" s="30"/>
      <c r="Z45" s="30"/>
      <c r="AA45" s="30">
        <v>4</v>
      </c>
      <c r="AB45" s="30"/>
      <c r="AC45" s="30"/>
      <c r="AD45" s="30"/>
      <c r="AE45" s="30"/>
      <c r="AF45" s="30">
        <v>4</v>
      </c>
      <c r="AG45" s="80"/>
      <c r="AH45" s="80"/>
      <c r="AJ45" s="30">
        <v>4</v>
      </c>
      <c r="AK45" s="30">
        <v>4</v>
      </c>
    </row>
    <row r="46" spans="1:37" ht="15.75" customHeight="1">
      <c r="P46" s="217" t="s">
        <v>746</v>
      </c>
      <c r="Q46" s="217"/>
      <c r="AJ46" s="217" t="s">
        <v>747</v>
      </c>
      <c r="AK46" s="217"/>
    </row>
    <row r="47" spans="1:37">
      <c r="A47" s="31" t="s">
        <v>134</v>
      </c>
    </row>
    <row r="48" spans="1:37">
      <c r="A48" s="229" t="s">
        <v>748</v>
      </c>
      <c r="B48" s="95" t="s">
        <v>749</v>
      </c>
    </row>
    <row r="49" spans="1:2">
      <c r="A49" s="223"/>
      <c r="B49" s="96" t="s">
        <v>750</v>
      </c>
    </row>
    <row r="50" spans="1:2">
      <c r="A50" s="223"/>
      <c r="B50" s="96" t="s">
        <v>751</v>
      </c>
    </row>
    <row r="51" spans="1:2">
      <c r="A51" s="223" t="s">
        <v>752</v>
      </c>
      <c r="B51" s="95" t="s">
        <v>749</v>
      </c>
    </row>
    <row r="52" spans="1:2">
      <c r="A52" s="223"/>
      <c r="B52" s="96" t="s">
        <v>753</v>
      </c>
    </row>
    <row r="53" spans="1:2">
      <c r="A53" s="223"/>
      <c r="B53" s="96" t="s">
        <v>751</v>
      </c>
    </row>
  </sheetData>
  <mergeCells count="9">
    <mergeCell ref="P46:Q46"/>
    <mergeCell ref="AJ46:AK46"/>
    <mergeCell ref="F3:O3"/>
    <mergeCell ref="F4:O5"/>
    <mergeCell ref="A51:A53"/>
    <mergeCell ref="A48:A50"/>
    <mergeCell ref="B3:D3"/>
    <mergeCell ref="B4:D4"/>
    <mergeCell ref="B5:D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CA55-0FA5-48E5-9689-B231027F3FE8}">
  <dimension ref="A1:AY54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60" width="5.7109375" style="26" customWidth="1"/>
    <col min="61" max="16384" width="9.140625" style="26"/>
  </cols>
  <sheetData>
    <row r="1" spans="1:51">
      <c r="A1" s="25" t="s">
        <v>74</v>
      </c>
      <c r="D1" s="25" t="s">
        <v>75</v>
      </c>
      <c r="I1" s="25" t="s">
        <v>495</v>
      </c>
    </row>
    <row r="3" spans="1:51" ht="17.45">
      <c r="A3" s="25" t="s">
        <v>77</v>
      </c>
      <c r="B3" s="203" t="s">
        <v>754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51" ht="17.45">
      <c r="A4" s="25" t="s">
        <v>79</v>
      </c>
      <c r="B4" s="203" t="s">
        <v>737</v>
      </c>
      <c r="C4" s="203"/>
      <c r="D4" s="203"/>
      <c r="F4" s="204" t="s">
        <v>755</v>
      </c>
      <c r="G4" s="205"/>
      <c r="H4" s="205"/>
      <c r="I4" s="205"/>
      <c r="J4" s="205"/>
      <c r="K4" s="205"/>
      <c r="L4" s="205"/>
      <c r="M4" s="205"/>
      <c r="N4" s="205"/>
      <c r="O4" s="206"/>
      <c r="Q4" s="93" t="s">
        <v>756</v>
      </c>
    </row>
    <row r="5" spans="1:51" ht="17.45">
      <c r="A5" s="25" t="s">
        <v>82</v>
      </c>
      <c r="B5" s="203" t="s">
        <v>138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51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58" t="s">
        <v>85</v>
      </c>
      <c r="AK7" s="58" t="s">
        <v>86</v>
      </c>
      <c r="AL7" s="59" t="s">
        <v>87</v>
      </c>
      <c r="AM7" s="34" t="s">
        <v>88</v>
      </c>
      <c r="AN7" s="35" t="s">
        <v>89</v>
      </c>
      <c r="AO7" s="35" t="s">
        <v>90</v>
      </c>
      <c r="AP7" s="36" t="s">
        <v>91</v>
      </c>
      <c r="AQ7" s="64" t="s">
        <v>93</v>
      </c>
      <c r="AR7" s="64" t="s">
        <v>94</v>
      </c>
      <c r="AS7" s="64" t="s">
        <v>95</v>
      </c>
      <c r="AT7" s="40" t="s">
        <v>96</v>
      </c>
      <c r="AU7" s="40" t="s">
        <v>97</v>
      </c>
      <c r="AV7" s="42" t="s">
        <v>98</v>
      </c>
      <c r="AW7" s="42" t="s">
        <v>99</v>
      </c>
      <c r="AX7" s="72" t="s">
        <v>109</v>
      </c>
      <c r="AY7" s="76" t="s">
        <v>116</v>
      </c>
    </row>
    <row r="8" spans="1:51">
      <c r="A8" s="26" t="s">
        <v>117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28"/>
      <c r="S8" s="28"/>
      <c r="T8" s="28"/>
      <c r="U8" s="28"/>
      <c r="V8" s="28"/>
      <c r="W8" s="28"/>
      <c r="X8" s="28"/>
      <c r="Y8" s="28"/>
      <c r="Z8" s="28"/>
      <c r="AA8" s="80"/>
      <c r="AB8" s="28"/>
      <c r="AC8" s="28"/>
      <c r="AD8" s="28"/>
      <c r="AE8" s="28"/>
      <c r="AF8" s="28"/>
      <c r="AG8" s="28"/>
      <c r="AH8" s="80"/>
      <c r="AJ8" s="28" t="s">
        <v>690</v>
      </c>
      <c r="AK8" s="28" t="s">
        <v>690</v>
      </c>
      <c r="AL8" s="28" t="s">
        <v>690</v>
      </c>
      <c r="AM8" s="83" t="s">
        <v>690</v>
      </c>
      <c r="AN8" s="28" t="s">
        <v>690</v>
      </c>
      <c r="AO8" s="86" t="s">
        <v>690</v>
      </c>
      <c r="AP8" s="28" t="s">
        <v>690</v>
      </c>
      <c r="AQ8" s="28" t="s">
        <v>690</v>
      </c>
      <c r="AR8" s="28" t="s">
        <v>690</v>
      </c>
      <c r="AS8" s="28" t="s">
        <v>690</v>
      </c>
      <c r="AT8" s="28" t="s">
        <v>690</v>
      </c>
      <c r="AU8" s="28" t="s">
        <v>690</v>
      </c>
      <c r="AV8" s="28" t="s">
        <v>691</v>
      </c>
      <c r="AW8" s="28" t="s">
        <v>691</v>
      </c>
      <c r="AX8" s="80"/>
      <c r="AY8" s="80"/>
    </row>
    <row r="9" spans="1:51">
      <c r="A9" s="26" t="s">
        <v>121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29"/>
      <c r="S9" s="29"/>
      <c r="T9" s="29"/>
      <c r="U9" s="29"/>
      <c r="V9" s="29"/>
      <c r="W9" s="29"/>
      <c r="X9" s="29"/>
      <c r="Y9" s="29"/>
      <c r="Z9" s="29"/>
      <c r="AA9" s="81"/>
      <c r="AB9" s="29"/>
      <c r="AC9" s="29"/>
      <c r="AD9" s="29"/>
      <c r="AE9" s="29"/>
      <c r="AF9" s="29"/>
      <c r="AG9" s="29"/>
      <c r="AH9" s="81"/>
      <c r="AJ9" s="28" t="s">
        <v>502</v>
      </c>
      <c r="AK9" s="28" t="s">
        <v>693</v>
      </c>
      <c r="AL9" s="28" t="s">
        <v>694</v>
      </c>
      <c r="AM9" s="83" t="s">
        <v>694</v>
      </c>
      <c r="AN9" s="29" t="s">
        <v>695</v>
      </c>
      <c r="AO9" s="91" t="s">
        <v>696</v>
      </c>
      <c r="AP9" s="28" t="s">
        <v>695</v>
      </c>
      <c r="AQ9" s="29" t="s">
        <v>698</v>
      </c>
      <c r="AR9" s="29" t="s">
        <v>695</v>
      </c>
      <c r="AS9" s="29" t="s">
        <v>698</v>
      </c>
      <c r="AT9" s="28" t="s">
        <v>690</v>
      </c>
      <c r="AU9" s="28" t="s">
        <v>690</v>
      </c>
      <c r="AV9" s="28" t="s">
        <v>690</v>
      </c>
      <c r="AW9" s="28" t="s">
        <v>690</v>
      </c>
      <c r="AX9" s="81"/>
      <c r="AY9" s="81"/>
    </row>
    <row r="10" spans="1:51">
      <c r="A10" s="140" t="s">
        <v>122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29"/>
      <c r="S10" s="29"/>
      <c r="T10" s="29"/>
      <c r="U10" s="29"/>
      <c r="V10" s="29"/>
      <c r="W10" s="29"/>
      <c r="X10" s="29"/>
      <c r="Y10" s="29"/>
      <c r="Z10" s="29"/>
      <c r="AA10" s="81"/>
      <c r="AB10" s="29"/>
      <c r="AC10" s="29"/>
      <c r="AD10" s="29"/>
      <c r="AE10" s="29"/>
      <c r="AF10" s="29"/>
      <c r="AG10" s="29"/>
      <c r="AH10" s="81"/>
      <c r="AJ10" s="167">
        <v>501</v>
      </c>
      <c r="AK10" s="167">
        <v>502</v>
      </c>
      <c r="AL10" s="167">
        <v>508</v>
      </c>
      <c r="AM10" s="168">
        <v>508</v>
      </c>
      <c r="AN10" s="167">
        <v>504</v>
      </c>
      <c r="AO10" s="171">
        <v>550</v>
      </c>
      <c r="AP10" s="167">
        <v>504</v>
      </c>
      <c r="AQ10" s="167">
        <v>515</v>
      </c>
      <c r="AR10" s="167">
        <v>504</v>
      </c>
      <c r="AS10" s="167">
        <v>514</v>
      </c>
      <c r="AT10" s="167">
        <v>503</v>
      </c>
      <c r="AU10" s="167">
        <v>503</v>
      </c>
      <c r="AV10" s="167">
        <v>503</v>
      </c>
      <c r="AW10" s="167">
        <v>503</v>
      </c>
      <c r="AX10" s="81"/>
      <c r="AY10" s="81"/>
    </row>
    <row r="11" spans="1:51">
      <c r="A11" s="26" t="s">
        <v>699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28"/>
      <c r="S11" s="28"/>
      <c r="T11" s="28"/>
      <c r="U11" s="28"/>
      <c r="V11" s="28"/>
      <c r="W11" s="28"/>
      <c r="X11" s="28"/>
      <c r="Y11" s="28"/>
      <c r="Z11" s="28"/>
      <c r="AA11" s="80"/>
      <c r="AB11" s="28"/>
      <c r="AC11" s="29"/>
      <c r="AD11" s="28"/>
      <c r="AE11" s="29"/>
      <c r="AF11" s="28"/>
      <c r="AG11" s="28"/>
      <c r="AH11" s="80"/>
      <c r="AJ11" s="28" t="s">
        <v>127</v>
      </c>
      <c r="AK11" s="28" t="s">
        <v>127</v>
      </c>
      <c r="AL11" s="28" t="s">
        <v>127</v>
      </c>
      <c r="AM11" s="83" t="s">
        <v>127</v>
      </c>
      <c r="AN11" s="28" t="s">
        <v>127</v>
      </c>
      <c r="AO11" s="86" t="s">
        <v>127</v>
      </c>
      <c r="AP11" s="28" t="s">
        <v>127</v>
      </c>
      <c r="AQ11" s="28" t="s">
        <v>127</v>
      </c>
      <c r="AR11" s="28" t="s">
        <v>127</v>
      </c>
      <c r="AS11" s="28" t="s">
        <v>127</v>
      </c>
      <c r="AT11" s="28" t="s">
        <v>127</v>
      </c>
      <c r="AU11" s="28" t="s">
        <v>127</v>
      </c>
      <c r="AV11" s="28" t="s">
        <v>127</v>
      </c>
      <c r="AW11" s="28" t="s">
        <v>127</v>
      </c>
      <c r="AX11" s="80"/>
      <c r="AY11" s="80"/>
    </row>
    <row r="12" spans="1:51">
      <c r="A12" s="26" t="s">
        <v>700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28"/>
      <c r="S12" s="28"/>
      <c r="T12" s="28"/>
      <c r="U12" s="28"/>
      <c r="V12" s="28"/>
      <c r="W12" s="28"/>
      <c r="X12" s="28"/>
      <c r="Y12" s="28"/>
      <c r="Z12" s="28"/>
      <c r="AA12" s="80"/>
      <c r="AB12" s="28"/>
      <c r="AC12" s="28"/>
      <c r="AD12" s="28"/>
      <c r="AE12" s="28"/>
      <c r="AF12" s="28"/>
      <c r="AG12" s="28"/>
      <c r="AH12" s="80"/>
      <c r="AJ12" s="28" t="s">
        <v>127</v>
      </c>
      <c r="AK12" s="28" t="s">
        <v>127</v>
      </c>
      <c r="AL12" s="28" t="s">
        <v>127</v>
      </c>
      <c r="AM12" s="83" t="s">
        <v>127</v>
      </c>
      <c r="AN12" s="28" t="s">
        <v>127</v>
      </c>
      <c r="AO12" s="86" t="s">
        <v>127</v>
      </c>
      <c r="AP12" s="28" t="s">
        <v>127</v>
      </c>
      <c r="AQ12" s="28" t="s">
        <v>127</v>
      </c>
      <c r="AR12" s="28" t="s">
        <v>127</v>
      </c>
      <c r="AS12" s="28" t="s">
        <v>127</v>
      </c>
      <c r="AT12" s="28" t="s">
        <v>127</v>
      </c>
      <c r="AU12" s="28" t="s">
        <v>127</v>
      </c>
      <c r="AV12" s="28" t="s">
        <v>127</v>
      </c>
      <c r="AW12" s="28" t="s">
        <v>127</v>
      </c>
      <c r="AX12" s="80"/>
      <c r="AY12" s="80"/>
    </row>
    <row r="13" spans="1:51">
      <c r="A13" s="26" t="s">
        <v>701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28"/>
      <c r="S13" s="28"/>
      <c r="T13" s="28"/>
      <c r="U13" s="28"/>
      <c r="V13" s="28"/>
      <c r="W13" s="28"/>
      <c r="X13" s="28"/>
      <c r="Y13" s="28"/>
      <c r="Z13" s="28"/>
      <c r="AA13" s="80"/>
      <c r="AB13" s="28"/>
      <c r="AC13" s="28"/>
      <c r="AD13" s="28"/>
      <c r="AE13" s="28"/>
      <c r="AF13" s="28"/>
      <c r="AG13" s="28"/>
      <c r="AH13" s="80"/>
      <c r="AJ13" s="28" t="s">
        <v>124</v>
      </c>
      <c r="AK13" s="28" t="s">
        <v>124</v>
      </c>
      <c r="AL13" s="28" t="s">
        <v>124</v>
      </c>
      <c r="AM13" s="83" t="s">
        <v>124</v>
      </c>
      <c r="AN13" s="28" t="s">
        <v>124</v>
      </c>
      <c r="AO13" s="86" t="s">
        <v>124</v>
      </c>
      <c r="AP13" s="28" t="s">
        <v>124</v>
      </c>
      <c r="AQ13" s="28" t="s">
        <v>124</v>
      </c>
      <c r="AR13" s="28" t="s">
        <v>124</v>
      </c>
      <c r="AS13" s="28" t="s">
        <v>124</v>
      </c>
      <c r="AT13" s="28" t="s">
        <v>124</v>
      </c>
      <c r="AU13" s="28" t="s">
        <v>124</v>
      </c>
      <c r="AV13" s="28" t="s">
        <v>124</v>
      </c>
      <c r="AW13" s="28" t="s">
        <v>124</v>
      </c>
      <c r="AX13" s="80"/>
      <c r="AY13" s="80"/>
    </row>
    <row r="14" spans="1:51">
      <c r="A14" s="26" t="s">
        <v>702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28"/>
      <c r="S14" s="28"/>
      <c r="T14" s="28"/>
      <c r="U14" s="28"/>
      <c r="V14" s="28"/>
      <c r="W14" s="28"/>
      <c r="X14" s="28"/>
      <c r="Y14" s="28"/>
      <c r="Z14" s="28"/>
      <c r="AA14" s="80"/>
      <c r="AB14" s="28"/>
      <c r="AC14" s="28"/>
      <c r="AD14" s="28"/>
      <c r="AE14" s="28"/>
      <c r="AF14" s="28"/>
      <c r="AG14" s="28"/>
      <c r="AH14" s="80"/>
      <c r="AJ14" s="29" t="s">
        <v>127</v>
      </c>
      <c r="AK14" s="29" t="s">
        <v>127</v>
      </c>
      <c r="AL14" s="29" t="s">
        <v>127</v>
      </c>
      <c r="AM14" s="28" t="s">
        <v>127</v>
      </c>
      <c r="AN14" s="28" t="s">
        <v>127</v>
      </c>
      <c r="AO14" s="86" t="s">
        <v>127</v>
      </c>
      <c r="AP14" s="28" t="s">
        <v>127</v>
      </c>
      <c r="AQ14" s="28" t="s">
        <v>127</v>
      </c>
      <c r="AR14" s="28" t="s">
        <v>127</v>
      </c>
      <c r="AS14" s="28" t="s">
        <v>127</v>
      </c>
      <c r="AT14" s="28" t="s">
        <v>127</v>
      </c>
      <c r="AU14" s="28" t="s">
        <v>127</v>
      </c>
      <c r="AV14" s="28" t="s">
        <v>127</v>
      </c>
      <c r="AW14" s="28" t="s">
        <v>127</v>
      </c>
      <c r="AX14" s="80"/>
      <c r="AY14" s="80"/>
    </row>
    <row r="15" spans="1:51">
      <c r="A15" s="26" t="s">
        <v>703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28"/>
      <c r="S15" s="28"/>
      <c r="T15" s="28"/>
      <c r="U15" s="28"/>
      <c r="V15" s="28"/>
      <c r="W15" s="28"/>
      <c r="X15" s="28"/>
      <c r="Y15" s="28"/>
      <c r="Z15" s="28"/>
      <c r="AA15" s="80"/>
      <c r="AB15" s="28"/>
      <c r="AC15" s="28"/>
      <c r="AD15" s="28"/>
      <c r="AE15" s="28"/>
      <c r="AF15" s="28"/>
      <c r="AG15" s="28"/>
      <c r="AH15" s="80"/>
      <c r="AJ15" s="28" t="s">
        <v>127</v>
      </c>
      <c r="AK15" s="28" t="s">
        <v>127</v>
      </c>
      <c r="AL15" s="28" t="s">
        <v>127</v>
      </c>
      <c r="AM15" s="28" t="s">
        <v>127</v>
      </c>
      <c r="AN15" s="28" t="s">
        <v>127</v>
      </c>
      <c r="AO15" s="86" t="s">
        <v>127</v>
      </c>
      <c r="AP15" s="28" t="s">
        <v>127</v>
      </c>
      <c r="AQ15" s="28" t="s">
        <v>127</v>
      </c>
      <c r="AR15" s="28" t="s">
        <v>127</v>
      </c>
      <c r="AS15" s="28" t="s">
        <v>127</v>
      </c>
      <c r="AT15" s="28" t="s">
        <v>127</v>
      </c>
      <c r="AU15" s="28" t="s">
        <v>127</v>
      </c>
      <c r="AV15" s="28" t="s">
        <v>127</v>
      </c>
      <c r="AW15" s="28" t="s">
        <v>127</v>
      </c>
      <c r="AX15" s="80"/>
      <c r="AY15" s="80"/>
    </row>
    <row r="16" spans="1:51">
      <c r="A16" s="26" t="s">
        <v>704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28"/>
      <c r="S16" s="28"/>
      <c r="T16" s="28"/>
      <c r="U16" s="28"/>
      <c r="V16" s="28"/>
      <c r="W16" s="28"/>
      <c r="X16" s="28"/>
      <c r="Y16" s="28"/>
      <c r="Z16" s="28"/>
      <c r="AA16" s="80"/>
      <c r="AB16" s="28"/>
      <c r="AC16" s="28"/>
      <c r="AD16" s="28"/>
      <c r="AE16" s="28"/>
      <c r="AF16" s="28"/>
      <c r="AG16" s="28"/>
      <c r="AH16" s="80"/>
      <c r="AJ16" s="28" t="s">
        <v>127</v>
      </c>
      <c r="AK16" s="28" t="s">
        <v>127</v>
      </c>
      <c r="AL16" s="28" t="s">
        <v>127</v>
      </c>
      <c r="AM16" s="28" t="s">
        <v>127</v>
      </c>
      <c r="AN16" s="28" t="s">
        <v>127</v>
      </c>
      <c r="AO16" s="28" t="s">
        <v>127</v>
      </c>
      <c r="AP16" s="28" t="s">
        <v>127</v>
      </c>
      <c r="AQ16" s="28" t="s">
        <v>127</v>
      </c>
      <c r="AR16" s="28" t="s">
        <v>127</v>
      </c>
      <c r="AS16" s="28" t="s">
        <v>127</v>
      </c>
      <c r="AT16" s="28" t="s">
        <v>127</v>
      </c>
      <c r="AU16" s="28" t="s">
        <v>127</v>
      </c>
      <c r="AV16" s="28" t="s">
        <v>127</v>
      </c>
      <c r="AW16" s="28" t="s">
        <v>127</v>
      </c>
      <c r="AX16" s="80"/>
      <c r="AY16" s="80"/>
    </row>
    <row r="17" spans="1:51" ht="15.75" customHeight="1">
      <c r="A17" s="26" t="s">
        <v>705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28"/>
      <c r="S17" s="28"/>
      <c r="T17" s="28"/>
      <c r="U17" s="28"/>
      <c r="V17" s="28"/>
      <c r="W17" s="28"/>
      <c r="X17" s="28"/>
      <c r="Y17" s="28"/>
      <c r="Z17" s="28"/>
      <c r="AA17" s="82"/>
      <c r="AB17" s="28"/>
      <c r="AC17" s="28"/>
      <c r="AD17" s="28"/>
      <c r="AE17" s="28"/>
      <c r="AF17" s="28"/>
      <c r="AG17" s="28"/>
      <c r="AH17" s="82"/>
      <c r="AJ17" s="30" t="s">
        <v>706</v>
      </c>
      <c r="AK17" s="30" t="s">
        <v>706</v>
      </c>
      <c r="AL17" s="28" t="s">
        <v>706</v>
      </c>
      <c r="AM17" s="28" t="s">
        <v>706</v>
      </c>
      <c r="AN17" s="30" t="s">
        <v>706</v>
      </c>
      <c r="AO17" s="92" t="s">
        <v>706</v>
      </c>
      <c r="AP17" s="30" t="s">
        <v>706</v>
      </c>
      <c r="AQ17" s="30" t="s">
        <v>706</v>
      </c>
      <c r="AR17" s="30" t="s">
        <v>706</v>
      </c>
      <c r="AS17" s="30" t="s">
        <v>706</v>
      </c>
      <c r="AT17" s="30" t="s">
        <v>706</v>
      </c>
      <c r="AU17" s="30" t="s">
        <v>706</v>
      </c>
      <c r="AV17" s="30" t="s">
        <v>706</v>
      </c>
      <c r="AW17" s="30" t="s">
        <v>706</v>
      </c>
      <c r="AX17" s="82"/>
      <c r="AY17" s="82"/>
    </row>
    <row r="18" spans="1:51">
      <c r="A18" s="26" t="s">
        <v>708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28"/>
      <c r="S18" s="28"/>
      <c r="T18" s="28"/>
      <c r="U18" s="28"/>
      <c r="V18" s="28"/>
      <c r="W18" s="28"/>
      <c r="X18" s="28"/>
      <c r="Y18" s="28"/>
      <c r="Z18" s="28"/>
      <c r="AA18" s="82"/>
      <c r="AB18" s="28"/>
      <c r="AC18" s="28"/>
      <c r="AD18" s="28"/>
      <c r="AE18" s="28"/>
      <c r="AF18" s="28"/>
      <c r="AG18" s="28"/>
      <c r="AH18" s="82"/>
      <c r="AJ18" s="28" t="s">
        <v>709</v>
      </c>
      <c r="AK18" s="28" t="s">
        <v>709</v>
      </c>
      <c r="AL18" s="28" t="s">
        <v>709</v>
      </c>
      <c r="AM18" s="28" t="s">
        <v>709</v>
      </c>
      <c r="AN18" s="30" t="s">
        <v>710</v>
      </c>
      <c r="AO18" s="92" t="s">
        <v>710</v>
      </c>
      <c r="AP18" s="30" t="s">
        <v>710</v>
      </c>
      <c r="AQ18" s="30" t="s">
        <v>710</v>
      </c>
      <c r="AR18" s="30" t="s">
        <v>710</v>
      </c>
      <c r="AS18" s="30" t="s">
        <v>710</v>
      </c>
      <c r="AT18" s="28" t="s">
        <v>710</v>
      </c>
      <c r="AU18" s="28" t="s">
        <v>710</v>
      </c>
      <c r="AV18" s="28" t="s">
        <v>710</v>
      </c>
      <c r="AW18" s="28" t="s">
        <v>710</v>
      </c>
      <c r="AX18" s="82"/>
      <c r="AY18" s="82"/>
    </row>
    <row r="19" spans="1:51">
      <c r="A19" s="26" t="s">
        <v>711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30"/>
      <c r="S19" s="30"/>
      <c r="T19" s="30"/>
      <c r="U19" s="30"/>
      <c r="V19" s="30"/>
      <c r="W19" s="30"/>
      <c r="X19" s="30"/>
      <c r="Y19" s="30"/>
      <c r="Z19" s="30"/>
      <c r="AA19" s="80"/>
      <c r="AB19" s="30"/>
      <c r="AC19" s="30"/>
      <c r="AD19" s="30"/>
      <c r="AE19" s="30"/>
      <c r="AF19" s="30"/>
      <c r="AG19" s="30"/>
      <c r="AH19" s="80"/>
      <c r="AJ19" s="30">
        <v>6</v>
      </c>
      <c r="AK19" s="30">
        <v>5</v>
      </c>
      <c r="AL19" s="30">
        <v>5</v>
      </c>
      <c r="AM19" s="30">
        <v>5</v>
      </c>
      <c r="AN19" s="30">
        <v>3</v>
      </c>
      <c r="AO19" s="30">
        <f>AVERAGE(3,2)</f>
        <v>2.5</v>
      </c>
      <c r="AP19" s="128">
        <v>3</v>
      </c>
      <c r="AQ19" s="30">
        <v>3</v>
      </c>
      <c r="AR19" s="30">
        <v>3</v>
      </c>
      <c r="AS19" s="30">
        <v>3</v>
      </c>
      <c r="AT19" s="128">
        <v>4</v>
      </c>
      <c r="AU19" s="128">
        <v>4</v>
      </c>
      <c r="AV19" s="128">
        <v>4</v>
      </c>
      <c r="AW19" s="128">
        <v>4</v>
      </c>
      <c r="AX19" s="80"/>
      <c r="AY19" s="80"/>
    </row>
    <row r="20" spans="1:51">
      <c r="A20" s="26" t="s">
        <v>712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80"/>
      <c r="AJ20" s="28" t="s">
        <v>713</v>
      </c>
      <c r="AK20" s="28" t="s">
        <v>713</v>
      </c>
      <c r="AL20" s="28" t="s">
        <v>713</v>
      </c>
      <c r="AM20" s="28" t="s">
        <v>713</v>
      </c>
      <c r="AN20" s="28" t="s">
        <v>713</v>
      </c>
      <c r="AO20" s="28" t="s">
        <v>713</v>
      </c>
      <c r="AP20" s="28" t="s">
        <v>713</v>
      </c>
      <c r="AQ20" s="28" t="s">
        <v>714</v>
      </c>
      <c r="AR20" s="28" t="s">
        <v>713</v>
      </c>
      <c r="AS20" s="28" t="s">
        <v>714</v>
      </c>
      <c r="AT20" s="28" t="s">
        <v>713</v>
      </c>
      <c r="AU20" s="28" t="s">
        <v>713</v>
      </c>
      <c r="AV20" s="28" t="s">
        <v>713</v>
      </c>
      <c r="AW20" s="28" t="s">
        <v>713</v>
      </c>
      <c r="AX20" s="80"/>
      <c r="AY20" s="80"/>
    </row>
    <row r="21" spans="1:51">
      <c r="A21" s="26" t="s">
        <v>715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30"/>
      <c r="S21" s="30"/>
      <c r="T21" s="30"/>
      <c r="U21" s="30"/>
      <c r="V21" s="30"/>
      <c r="W21" s="30"/>
      <c r="X21" s="30"/>
      <c r="Y21" s="30"/>
      <c r="Z21" s="30"/>
      <c r="AA21" s="82"/>
      <c r="AB21" s="30"/>
      <c r="AC21" s="30"/>
      <c r="AD21" s="30"/>
      <c r="AE21" s="30"/>
      <c r="AF21" s="30"/>
      <c r="AG21" s="30"/>
      <c r="AH21" s="82"/>
      <c r="AJ21" s="30">
        <v>1</v>
      </c>
      <c r="AK21" s="30">
        <v>1</v>
      </c>
      <c r="AL21" s="30">
        <v>0.5</v>
      </c>
      <c r="AM21" s="30">
        <v>0.5</v>
      </c>
      <c r="AN21" s="30">
        <v>1</v>
      </c>
      <c r="AO21" s="30">
        <v>1</v>
      </c>
      <c r="AP21" s="30">
        <v>1</v>
      </c>
      <c r="AQ21" s="30">
        <v>0</v>
      </c>
      <c r="AR21" s="30">
        <v>1</v>
      </c>
      <c r="AS21" s="30">
        <v>0</v>
      </c>
      <c r="AT21" s="30">
        <v>1</v>
      </c>
      <c r="AU21" s="30">
        <v>1</v>
      </c>
      <c r="AV21" s="30">
        <v>1</v>
      </c>
      <c r="AW21" s="30">
        <v>1</v>
      </c>
      <c r="AX21" s="82"/>
      <c r="AY21" s="82"/>
    </row>
    <row r="22" spans="1:51">
      <c r="A22" s="31"/>
    </row>
    <row r="23" spans="1:51">
      <c r="A23" s="26" t="s">
        <v>117</v>
      </c>
      <c r="B23" s="28" t="s">
        <v>362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8"/>
      <c r="AD23" s="28"/>
      <c r="AE23" s="28"/>
      <c r="AF23" s="28"/>
      <c r="AG23" s="28" t="s">
        <v>206</v>
      </c>
      <c r="AH23" s="28" t="s">
        <v>206</v>
      </c>
      <c r="AJ23" s="28" t="s">
        <v>206</v>
      </c>
      <c r="AK23" s="28" t="s">
        <v>206</v>
      </c>
      <c r="AL23" s="28" t="s">
        <v>206</v>
      </c>
      <c r="AM23" s="28" t="s">
        <v>206</v>
      </c>
      <c r="AN23" s="28" t="s">
        <v>206</v>
      </c>
      <c r="AO23" s="28" t="s">
        <v>206</v>
      </c>
      <c r="AP23" s="28" t="s">
        <v>206</v>
      </c>
      <c r="AQ23" s="28" t="s">
        <v>206</v>
      </c>
      <c r="AR23" s="28" t="s">
        <v>206</v>
      </c>
      <c r="AS23" s="28" t="s">
        <v>206</v>
      </c>
      <c r="AT23" s="28" t="s">
        <v>206</v>
      </c>
      <c r="AU23" s="28" t="s">
        <v>206</v>
      </c>
      <c r="AV23" s="28" t="s">
        <v>206</v>
      </c>
      <c r="AW23" s="28" t="s">
        <v>206</v>
      </c>
      <c r="AX23" s="28" t="s">
        <v>206</v>
      </c>
      <c r="AY23" s="28" t="s">
        <v>363</v>
      </c>
    </row>
    <row r="24" spans="1:51" ht="15.75" customHeight="1">
      <c r="A24" s="26" t="s">
        <v>121</v>
      </c>
      <c r="B24" s="29" t="s">
        <v>210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29"/>
      <c r="S24" s="29"/>
      <c r="T24" s="29"/>
      <c r="U24" s="29"/>
      <c r="V24" s="29"/>
      <c r="W24" s="29"/>
      <c r="X24" s="29"/>
      <c r="Y24" s="29"/>
      <c r="Z24" s="29"/>
      <c r="AA24" s="81"/>
      <c r="AB24" s="29"/>
      <c r="AC24" s="29"/>
      <c r="AD24" s="29"/>
      <c r="AE24" s="29"/>
      <c r="AF24" s="29"/>
      <c r="AG24" s="29" t="s">
        <v>211</v>
      </c>
      <c r="AH24" s="29" t="s">
        <v>211</v>
      </c>
      <c r="AJ24" s="28" t="s">
        <v>231</v>
      </c>
      <c r="AK24" s="29" t="s">
        <v>206</v>
      </c>
      <c r="AL24" s="28" t="s">
        <v>210</v>
      </c>
      <c r="AM24" s="28" t="s">
        <v>210</v>
      </c>
      <c r="AN24" s="28" t="s">
        <v>210</v>
      </c>
      <c r="AO24" s="28" t="s">
        <v>341</v>
      </c>
      <c r="AP24" s="29" t="s">
        <v>206</v>
      </c>
      <c r="AQ24" s="28" t="s">
        <v>210</v>
      </c>
      <c r="AR24" s="28" t="s">
        <v>210</v>
      </c>
      <c r="AS24" s="28" t="s">
        <v>210</v>
      </c>
      <c r="AT24" s="28" t="s">
        <v>210</v>
      </c>
      <c r="AU24" s="28" t="s">
        <v>210</v>
      </c>
      <c r="AV24" s="29" t="s">
        <v>211</v>
      </c>
      <c r="AW24" s="29" t="s">
        <v>211</v>
      </c>
      <c r="AX24" s="28" t="s">
        <v>206</v>
      </c>
      <c r="AY24" s="28" t="s">
        <v>231</v>
      </c>
    </row>
    <row r="25" spans="1:51">
      <c r="A25" s="140" t="s">
        <v>122</v>
      </c>
      <c r="B25" s="167">
        <v>52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29"/>
      <c r="S25" s="29"/>
      <c r="T25" s="29"/>
      <c r="U25" s="29"/>
      <c r="V25" s="29"/>
      <c r="W25" s="29"/>
      <c r="X25" s="29"/>
      <c r="Y25" s="29"/>
      <c r="Z25" s="29"/>
      <c r="AA25" s="81"/>
      <c r="AB25" s="29"/>
      <c r="AC25" s="29"/>
      <c r="AD25" s="29"/>
      <c r="AE25" s="29"/>
      <c r="AF25" s="29"/>
      <c r="AG25" s="167">
        <v>48</v>
      </c>
      <c r="AH25" s="167">
        <v>48</v>
      </c>
      <c r="AJ25" s="167">
        <v>56</v>
      </c>
      <c r="AK25" s="167">
        <v>50</v>
      </c>
      <c r="AL25" s="167">
        <v>122</v>
      </c>
      <c r="AM25" s="167">
        <v>52</v>
      </c>
      <c r="AN25" s="167">
        <v>52</v>
      </c>
      <c r="AO25" s="167">
        <v>68</v>
      </c>
      <c r="AP25" s="167">
        <v>50</v>
      </c>
      <c r="AQ25" s="167">
        <v>52</v>
      </c>
      <c r="AR25" s="167">
        <v>52</v>
      </c>
      <c r="AS25" s="167">
        <v>52</v>
      </c>
      <c r="AT25" s="167">
        <v>52</v>
      </c>
      <c r="AU25" s="167">
        <v>52</v>
      </c>
      <c r="AV25" s="167">
        <v>48</v>
      </c>
      <c r="AW25" s="167">
        <v>48</v>
      </c>
      <c r="AX25" s="167">
        <v>50</v>
      </c>
      <c r="AY25" s="167">
        <v>56</v>
      </c>
    </row>
    <row r="26" spans="1:51">
      <c r="A26" s="26" t="s">
        <v>123</v>
      </c>
      <c r="B26" s="29" t="s">
        <v>124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9"/>
      <c r="AD26" s="28"/>
      <c r="AE26" s="29"/>
      <c r="AF26" s="28"/>
      <c r="AG26" s="29" t="s">
        <v>124</v>
      </c>
      <c r="AH26" s="29" t="s">
        <v>124</v>
      </c>
      <c r="AJ26" s="28" t="s">
        <v>124</v>
      </c>
      <c r="AK26" s="28" t="s">
        <v>124</v>
      </c>
      <c r="AL26" s="28" t="s">
        <v>124</v>
      </c>
      <c r="AM26" s="28" t="s">
        <v>124</v>
      </c>
      <c r="AN26" s="29" t="s">
        <v>124</v>
      </c>
      <c r="AO26" s="29" t="s">
        <v>124</v>
      </c>
      <c r="AP26" s="29" t="s">
        <v>124</v>
      </c>
      <c r="AQ26" s="29" t="s">
        <v>124</v>
      </c>
      <c r="AR26" s="29" t="s">
        <v>124</v>
      </c>
      <c r="AS26" s="29" t="s">
        <v>124</v>
      </c>
      <c r="AT26" s="28" t="s">
        <v>124</v>
      </c>
      <c r="AU26" s="28" t="s">
        <v>124</v>
      </c>
      <c r="AV26" s="29" t="s">
        <v>124</v>
      </c>
      <c r="AW26" s="29" t="s">
        <v>124</v>
      </c>
      <c r="AX26" s="28" t="s">
        <v>124</v>
      </c>
      <c r="AY26" s="28" t="s">
        <v>124</v>
      </c>
    </row>
    <row r="27" spans="1:51">
      <c r="A27" s="26" t="s">
        <v>125</v>
      </c>
      <c r="B27" s="28" t="s">
        <v>127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 t="s">
        <v>127</v>
      </c>
      <c r="AH27" s="28" t="s">
        <v>127</v>
      </c>
      <c r="AJ27" s="28" t="s">
        <v>127</v>
      </c>
      <c r="AK27" s="28" t="s">
        <v>127</v>
      </c>
      <c r="AL27" s="28" t="s">
        <v>127</v>
      </c>
      <c r="AM27" s="28" t="s">
        <v>127</v>
      </c>
      <c r="AN27" s="28" t="s">
        <v>127</v>
      </c>
      <c r="AO27" s="29" t="s">
        <v>124</v>
      </c>
      <c r="AP27" s="28" t="s">
        <v>127</v>
      </c>
      <c r="AQ27" s="28" t="s">
        <v>127</v>
      </c>
      <c r="AR27" s="28" t="s">
        <v>127</v>
      </c>
      <c r="AS27" s="28" t="s">
        <v>127</v>
      </c>
      <c r="AT27" s="28" t="s">
        <v>127</v>
      </c>
      <c r="AU27" s="28" t="s">
        <v>127</v>
      </c>
      <c r="AV27" s="28" t="s">
        <v>127</v>
      </c>
      <c r="AW27" s="28" t="s">
        <v>127</v>
      </c>
      <c r="AX27" s="28" t="s">
        <v>127</v>
      </c>
      <c r="AY27" s="28" t="s">
        <v>127</v>
      </c>
    </row>
    <row r="28" spans="1:51">
      <c r="A28" s="26" t="s">
        <v>126</v>
      </c>
      <c r="B28" s="28" t="s">
        <v>124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8"/>
      <c r="S28" s="28"/>
      <c r="T28" s="28"/>
      <c r="U28" s="28"/>
      <c r="V28" s="28"/>
      <c r="W28" s="28"/>
      <c r="X28" s="28"/>
      <c r="Y28" s="28"/>
      <c r="Z28" s="28"/>
      <c r="AA28" s="80"/>
      <c r="AB28" s="28"/>
      <c r="AC28" s="28"/>
      <c r="AD28" s="28"/>
      <c r="AE28" s="28"/>
      <c r="AF28" s="28"/>
      <c r="AG28" s="28" t="s">
        <v>124</v>
      </c>
      <c r="AH28" s="28" t="s">
        <v>124</v>
      </c>
      <c r="AJ28" s="28" t="s">
        <v>124</v>
      </c>
      <c r="AK28" s="28" t="s">
        <v>124</v>
      </c>
      <c r="AL28" s="28" t="s">
        <v>124</v>
      </c>
      <c r="AM28" s="28" t="s">
        <v>124</v>
      </c>
      <c r="AN28" s="28" t="s">
        <v>124</v>
      </c>
      <c r="AO28" s="28" t="s">
        <v>127</v>
      </c>
      <c r="AP28" s="28" t="s">
        <v>124</v>
      </c>
      <c r="AQ28" s="28" t="s">
        <v>124</v>
      </c>
      <c r="AR28" s="28" t="s">
        <v>124</v>
      </c>
      <c r="AS28" s="28" t="s">
        <v>124</v>
      </c>
      <c r="AT28" s="28" t="s">
        <v>124</v>
      </c>
      <c r="AU28" s="28" t="s">
        <v>124</v>
      </c>
      <c r="AV28" s="28" t="s">
        <v>124</v>
      </c>
      <c r="AW28" s="28" t="s">
        <v>124</v>
      </c>
      <c r="AX28" s="28" t="s">
        <v>124</v>
      </c>
      <c r="AY28" s="28" t="s">
        <v>124</v>
      </c>
    </row>
    <row r="29" spans="1:51">
      <c r="A29" s="26" t="s">
        <v>128</v>
      </c>
      <c r="B29" s="28" t="s">
        <v>127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 t="s">
        <v>127</v>
      </c>
      <c r="AH29" s="28" t="s">
        <v>127</v>
      </c>
      <c r="AJ29" s="28" t="s">
        <v>127</v>
      </c>
      <c r="AK29" s="28" t="s">
        <v>127</v>
      </c>
      <c r="AL29" s="28" t="s">
        <v>127</v>
      </c>
      <c r="AM29" s="28" t="s">
        <v>127</v>
      </c>
      <c r="AN29" s="28" t="s">
        <v>127</v>
      </c>
      <c r="AO29" s="28" t="s">
        <v>127</v>
      </c>
      <c r="AP29" s="28" t="s">
        <v>127</v>
      </c>
      <c r="AQ29" s="28" t="s">
        <v>127</v>
      </c>
      <c r="AR29" s="28" t="s">
        <v>127</v>
      </c>
      <c r="AS29" s="28" t="s">
        <v>127</v>
      </c>
      <c r="AT29" s="28" t="s">
        <v>127</v>
      </c>
      <c r="AU29" s="28" t="s">
        <v>127</v>
      </c>
      <c r="AV29" s="28" t="s">
        <v>127</v>
      </c>
      <c r="AW29" s="28" t="s">
        <v>127</v>
      </c>
      <c r="AX29" s="28" t="s">
        <v>127</v>
      </c>
      <c r="AY29" s="28" t="s">
        <v>127</v>
      </c>
    </row>
    <row r="30" spans="1:51">
      <c r="A30" s="26" t="s">
        <v>129</v>
      </c>
      <c r="B30" s="28" t="s">
        <v>149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28"/>
      <c r="S30" s="28"/>
      <c r="T30" s="28"/>
      <c r="U30" s="28"/>
      <c r="V30" s="28"/>
      <c r="W30" s="28"/>
      <c r="X30" s="28"/>
      <c r="Y30" s="28"/>
      <c r="Z30" s="28"/>
      <c r="AA30" s="80"/>
      <c r="AB30" s="28"/>
      <c r="AC30" s="28"/>
      <c r="AD30" s="28"/>
      <c r="AE30" s="28"/>
      <c r="AF30" s="28"/>
      <c r="AG30" s="28" t="s">
        <v>149</v>
      </c>
      <c r="AH30" s="28" t="s">
        <v>149</v>
      </c>
      <c r="AJ30" s="28" t="s">
        <v>150</v>
      </c>
      <c r="AK30" s="28" t="s">
        <v>149</v>
      </c>
      <c r="AL30" s="28" t="s">
        <v>149</v>
      </c>
      <c r="AM30" s="28" t="s">
        <v>149</v>
      </c>
      <c r="AN30" s="28" t="s">
        <v>149</v>
      </c>
      <c r="AO30" s="28" t="s">
        <v>343</v>
      </c>
      <c r="AP30" s="28" t="s">
        <v>149</v>
      </c>
      <c r="AQ30" s="28" t="s">
        <v>149</v>
      </c>
      <c r="AR30" s="28" t="s">
        <v>149</v>
      </c>
      <c r="AS30" s="28" t="s">
        <v>149</v>
      </c>
      <c r="AT30" s="28" t="s">
        <v>149</v>
      </c>
      <c r="AU30" s="28" t="s">
        <v>149</v>
      </c>
      <c r="AV30" s="28" t="s">
        <v>149</v>
      </c>
      <c r="AW30" s="28" t="s">
        <v>149</v>
      </c>
      <c r="AX30" s="28" t="s">
        <v>149</v>
      </c>
      <c r="AY30" s="28" t="s">
        <v>150</v>
      </c>
    </row>
    <row r="31" spans="1:51">
      <c r="A31" s="26" t="s">
        <v>130</v>
      </c>
      <c r="B31" s="30">
        <v>0.5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30"/>
      <c r="S31" s="30"/>
      <c r="T31" s="30"/>
      <c r="U31" s="30"/>
      <c r="V31" s="30"/>
      <c r="W31" s="30"/>
      <c r="X31" s="30"/>
      <c r="Y31" s="30"/>
      <c r="Z31" s="30"/>
      <c r="AA31" s="82"/>
      <c r="AB31" s="30"/>
      <c r="AC31" s="30"/>
      <c r="AD31" s="30"/>
      <c r="AE31" s="30"/>
      <c r="AF31" s="30"/>
      <c r="AG31" s="30">
        <f>4/3</f>
        <v>1.3333333333333333</v>
      </c>
      <c r="AH31" s="30">
        <f>4/3</f>
        <v>1.3333333333333333</v>
      </c>
      <c r="AJ31" s="30">
        <v>-0.5</v>
      </c>
      <c r="AK31" s="30">
        <v>1</v>
      </c>
      <c r="AL31" s="30">
        <f>AVERAGE(0.5,0.5,0.5,1)</f>
        <v>0.625</v>
      </c>
      <c r="AM31" s="30">
        <v>0.5</v>
      </c>
      <c r="AN31" s="30">
        <v>0.5</v>
      </c>
      <c r="AO31" s="30">
        <v>-6</v>
      </c>
      <c r="AP31" s="30">
        <v>1</v>
      </c>
      <c r="AQ31" s="30">
        <v>0.5</v>
      </c>
      <c r="AR31" s="30">
        <v>0.5</v>
      </c>
      <c r="AS31" s="30">
        <v>0.5</v>
      </c>
      <c r="AT31" s="30">
        <v>0.5</v>
      </c>
      <c r="AU31" s="30">
        <v>0.5</v>
      </c>
      <c r="AV31" s="30">
        <f>4/3</f>
        <v>1.3333333333333333</v>
      </c>
      <c r="AW31" s="30">
        <f>4/3</f>
        <v>1.3333333333333333</v>
      </c>
      <c r="AX31" s="30">
        <v>1</v>
      </c>
      <c r="AY31" s="30">
        <v>-0.5</v>
      </c>
    </row>
    <row r="32" spans="1:51">
      <c r="A32" s="26" t="s">
        <v>131</v>
      </c>
      <c r="B32" s="28" t="s">
        <v>180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28"/>
      <c r="S32" s="28"/>
      <c r="T32" s="28"/>
      <c r="U32" s="28"/>
      <c r="V32" s="28"/>
      <c r="W32" s="28"/>
      <c r="X32" s="28"/>
      <c r="Y32" s="28"/>
      <c r="Z32" s="28"/>
      <c r="AA32" s="80"/>
      <c r="AB32" s="28"/>
      <c r="AC32" s="28"/>
      <c r="AD32" s="28"/>
      <c r="AE32" s="28"/>
      <c r="AF32" s="28"/>
      <c r="AG32" s="28" t="s">
        <v>180</v>
      </c>
      <c r="AH32" s="28" t="s">
        <v>180</v>
      </c>
      <c r="AJ32" s="28" t="s">
        <v>180</v>
      </c>
      <c r="AK32" s="28" t="s">
        <v>180</v>
      </c>
      <c r="AL32" s="28" t="s">
        <v>180</v>
      </c>
      <c r="AM32" s="28" t="s">
        <v>180</v>
      </c>
      <c r="AN32" s="28" t="s">
        <v>180</v>
      </c>
      <c r="AO32" s="28" t="s">
        <v>180</v>
      </c>
      <c r="AP32" s="28" t="s">
        <v>180</v>
      </c>
      <c r="AQ32" s="28" t="s">
        <v>180</v>
      </c>
      <c r="AR32" s="28" t="s">
        <v>180</v>
      </c>
      <c r="AS32" s="28" t="s">
        <v>180</v>
      </c>
      <c r="AT32" s="28" t="s">
        <v>180</v>
      </c>
      <c r="AU32" s="28" t="s">
        <v>180</v>
      </c>
      <c r="AV32" s="28" t="s">
        <v>180</v>
      </c>
      <c r="AW32" s="28" t="s">
        <v>180</v>
      </c>
      <c r="AX32" s="28" t="s">
        <v>180</v>
      </c>
      <c r="AY32" s="28" t="s">
        <v>180</v>
      </c>
    </row>
    <row r="33" spans="1:51">
      <c r="A33" s="26" t="s">
        <v>133</v>
      </c>
      <c r="B33" s="30">
        <v>2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30"/>
      <c r="S33" s="30"/>
      <c r="T33" s="30"/>
      <c r="U33" s="30"/>
      <c r="V33" s="30"/>
      <c r="W33" s="30"/>
      <c r="X33" s="30"/>
      <c r="Y33" s="30"/>
      <c r="Z33" s="30"/>
      <c r="AA33" s="82"/>
      <c r="AB33" s="30"/>
      <c r="AC33" s="30"/>
      <c r="AD33" s="30"/>
      <c r="AE33" s="30"/>
      <c r="AF33" s="30"/>
      <c r="AG33" s="30">
        <v>2</v>
      </c>
      <c r="AH33" s="30">
        <v>2</v>
      </c>
      <c r="AJ33" s="30">
        <v>2</v>
      </c>
      <c r="AK33" s="30">
        <v>2</v>
      </c>
      <c r="AL33" s="30">
        <v>2</v>
      </c>
      <c r="AM33" s="30">
        <v>2</v>
      </c>
      <c r="AN33" s="30">
        <v>2</v>
      </c>
      <c r="AO33" s="30">
        <v>2</v>
      </c>
      <c r="AP33" s="30">
        <v>2</v>
      </c>
      <c r="AQ33" s="30">
        <v>2</v>
      </c>
      <c r="AR33" s="30">
        <v>2</v>
      </c>
      <c r="AS33" s="30">
        <v>2</v>
      </c>
      <c r="AT33" s="30">
        <v>2</v>
      </c>
      <c r="AU33" s="30">
        <v>2</v>
      </c>
      <c r="AV33" s="30">
        <v>2</v>
      </c>
      <c r="AW33" s="30">
        <v>2</v>
      </c>
      <c r="AX33" s="30">
        <v>2</v>
      </c>
      <c r="AY33" s="30">
        <v>2</v>
      </c>
    </row>
    <row r="35" spans="1:51">
      <c r="A35" s="26" t="s">
        <v>117</v>
      </c>
      <c r="B35" s="28" t="s">
        <v>199</v>
      </c>
      <c r="C35" s="28" t="s">
        <v>200</v>
      </c>
      <c r="D35" s="28" t="s">
        <v>200</v>
      </c>
      <c r="E35" s="28" t="s">
        <v>200</v>
      </c>
      <c r="F35" s="28" t="s">
        <v>200</v>
      </c>
      <c r="G35" s="86" t="s">
        <v>200</v>
      </c>
      <c r="H35" s="28" t="s">
        <v>200</v>
      </c>
      <c r="I35" s="28" t="s">
        <v>200</v>
      </c>
      <c r="J35" s="28" t="s">
        <v>200</v>
      </c>
      <c r="K35" s="28" t="s">
        <v>200</v>
      </c>
      <c r="L35" s="28" t="s">
        <v>200</v>
      </c>
      <c r="M35" s="28" t="s">
        <v>200</v>
      </c>
      <c r="N35" s="28" t="s">
        <v>200</v>
      </c>
      <c r="O35" s="28" t="s">
        <v>200</v>
      </c>
      <c r="P35" s="28" t="s">
        <v>200</v>
      </c>
      <c r="Q35" s="28" t="s">
        <v>200</v>
      </c>
      <c r="R35" s="83"/>
      <c r="S35" s="28"/>
      <c r="T35" s="28"/>
      <c r="U35" s="28"/>
      <c r="V35" s="28"/>
      <c r="W35" s="28"/>
      <c r="X35" s="28"/>
      <c r="Y35" s="28"/>
      <c r="Z35" s="28"/>
      <c r="AA35" s="28" t="s">
        <v>201</v>
      </c>
      <c r="AB35" s="28"/>
      <c r="AC35" s="28"/>
      <c r="AD35" s="28"/>
      <c r="AE35" s="28"/>
      <c r="AF35" s="28"/>
      <c r="AG35" s="28" t="s">
        <v>757</v>
      </c>
      <c r="AH35" s="28" t="s">
        <v>757</v>
      </c>
      <c r="AJ35" s="28" t="s">
        <v>576</v>
      </c>
      <c r="AK35" s="28" t="s">
        <v>576</v>
      </c>
      <c r="AL35" s="28" t="s">
        <v>576</v>
      </c>
      <c r="AM35" s="28" t="s">
        <v>576</v>
      </c>
      <c r="AN35" s="28" t="s">
        <v>576</v>
      </c>
      <c r="AO35" s="28" t="s">
        <v>576</v>
      </c>
      <c r="AP35" s="28" t="s">
        <v>576</v>
      </c>
      <c r="AQ35" s="28" t="s">
        <v>576</v>
      </c>
      <c r="AR35" s="28" t="s">
        <v>576</v>
      </c>
      <c r="AS35" s="28" t="s">
        <v>576</v>
      </c>
      <c r="AT35" s="28" t="s">
        <v>576</v>
      </c>
      <c r="AU35" s="28" t="s">
        <v>576</v>
      </c>
      <c r="AV35" s="28" t="s">
        <v>576</v>
      </c>
      <c r="AW35" s="28" t="s">
        <v>576</v>
      </c>
      <c r="AX35" s="28" t="s">
        <v>203</v>
      </c>
      <c r="AY35" s="28" t="s">
        <v>143</v>
      </c>
    </row>
    <row r="36" spans="1:51">
      <c r="A36" s="26" t="s">
        <v>121</v>
      </c>
      <c r="B36" s="28" t="s">
        <v>205</v>
      </c>
      <c r="C36" s="28" t="s">
        <v>206</v>
      </c>
      <c r="D36" s="28" t="s">
        <v>206</v>
      </c>
      <c r="E36" s="28" t="s">
        <v>207</v>
      </c>
      <c r="F36" s="28" t="s">
        <v>208</v>
      </c>
      <c r="G36" s="86" t="s">
        <v>208</v>
      </c>
      <c r="H36" s="28" t="s">
        <v>209</v>
      </c>
      <c r="I36" s="28" t="s">
        <v>206</v>
      </c>
      <c r="J36" s="28" t="s">
        <v>208</v>
      </c>
      <c r="K36" s="28" t="s">
        <v>210</v>
      </c>
      <c r="L36" s="28" t="s">
        <v>210</v>
      </c>
      <c r="M36" s="28" t="s">
        <v>210</v>
      </c>
      <c r="N36" s="28" t="s">
        <v>210</v>
      </c>
      <c r="O36" s="28" t="s">
        <v>210</v>
      </c>
      <c r="P36" s="28" t="s">
        <v>211</v>
      </c>
      <c r="Q36" s="28" t="s">
        <v>211</v>
      </c>
      <c r="R36" s="85"/>
      <c r="S36" s="29"/>
      <c r="T36" s="29"/>
      <c r="U36" s="29"/>
      <c r="V36" s="29"/>
      <c r="W36" s="29"/>
      <c r="X36" s="29"/>
      <c r="Y36" s="29"/>
      <c r="Z36" s="29"/>
      <c r="AA36" s="28" t="s">
        <v>231</v>
      </c>
      <c r="AB36" s="29"/>
      <c r="AC36" s="29"/>
      <c r="AD36" s="29"/>
      <c r="AE36" s="29"/>
      <c r="AF36" s="29"/>
      <c r="AG36" s="28" t="s">
        <v>205</v>
      </c>
      <c r="AH36" s="28" t="s">
        <v>205</v>
      </c>
      <c r="AJ36" s="28" t="s">
        <v>205</v>
      </c>
      <c r="AK36" s="28" t="s">
        <v>205</v>
      </c>
      <c r="AL36" s="28" t="s">
        <v>205</v>
      </c>
      <c r="AM36" s="28" t="s">
        <v>205</v>
      </c>
      <c r="AN36" s="28" t="s">
        <v>205</v>
      </c>
      <c r="AO36" s="28" t="s">
        <v>205</v>
      </c>
      <c r="AP36" s="28" t="s">
        <v>205</v>
      </c>
      <c r="AQ36" s="28" t="s">
        <v>205</v>
      </c>
      <c r="AR36" s="28" t="s">
        <v>205</v>
      </c>
      <c r="AS36" s="28" t="s">
        <v>205</v>
      </c>
      <c r="AT36" s="28" t="s">
        <v>205</v>
      </c>
      <c r="AU36" s="28" t="s">
        <v>205</v>
      </c>
      <c r="AV36" s="28" t="s">
        <v>205</v>
      </c>
      <c r="AW36" s="28" t="s">
        <v>205</v>
      </c>
      <c r="AX36" s="28" t="s">
        <v>205</v>
      </c>
      <c r="AY36" s="29" t="s">
        <v>146</v>
      </c>
    </row>
    <row r="37" spans="1:51">
      <c r="A37" s="140" t="s">
        <v>122</v>
      </c>
      <c r="B37" s="167">
        <v>19</v>
      </c>
      <c r="C37" s="167">
        <v>50</v>
      </c>
      <c r="D37" s="167">
        <v>50</v>
      </c>
      <c r="E37" s="167">
        <v>102</v>
      </c>
      <c r="F37" s="167">
        <v>44</v>
      </c>
      <c r="G37" s="171">
        <v>44</v>
      </c>
      <c r="H37" s="167">
        <v>46</v>
      </c>
      <c r="I37" s="167">
        <v>50</v>
      </c>
      <c r="J37" s="167">
        <v>44</v>
      </c>
      <c r="K37" s="167">
        <v>52</v>
      </c>
      <c r="L37" s="167">
        <v>52</v>
      </c>
      <c r="M37" s="167">
        <v>52</v>
      </c>
      <c r="N37" s="167">
        <v>52</v>
      </c>
      <c r="O37" s="167">
        <v>52</v>
      </c>
      <c r="P37" s="167">
        <v>48</v>
      </c>
      <c r="Q37" s="167">
        <v>48</v>
      </c>
      <c r="R37" s="168"/>
      <c r="S37" s="167"/>
      <c r="T37" s="167"/>
      <c r="U37" s="167"/>
      <c r="V37" s="167"/>
      <c r="W37" s="167"/>
      <c r="X37" s="167"/>
      <c r="Y37" s="167"/>
      <c r="Z37" s="167"/>
      <c r="AA37" s="167">
        <v>56</v>
      </c>
      <c r="AB37" s="167"/>
      <c r="AC37" s="167"/>
      <c r="AD37" s="167"/>
      <c r="AE37" s="167"/>
      <c r="AF37" s="167"/>
      <c r="AG37" s="167">
        <v>19</v>
      </c>
      <c r="AH37" s="167">
        <v>19</v>
      </c>
      <c r="AJ37" s="167">
        <v>19</v>
      </c>
      <c r="AK37" s="167">
        <v>19</v>
      </c>
      <c r="AL37" s="167">
        <v>19</v>
      </c>
      <c r="AM37" s="167">
        <v>19</v>
      </c>
      <c r="AN37" s="167">
        <v>19</v>
      </c>
      <c r="AO37" s="167">
        <v>19</v>
      </c>
      <c r="AP37" s="167">
        <v>19</v>
      </c>
      <c r="AQ37" s="167">
        <v>19</v>
      </c>
      <c r="AR37" s="167">
        <v>19</v>
      </c>
      <c r="AS37" s="167">
        <v>19</v>
      </c>
      <c r="AT37" s="167">
        <v>19</v>
      </c>
      <c r="AU37" s="167">
        <v>19</v>
      </c>
      <c r="AV37" s="167">
        <v>19</v>
      </c>
      <c r="AW37" s="167">
        <v>19</v>
      </c>
      <c r="AX37" s="167">
        <v>19</v>
      </c>
      <c r="AY37" s="167">
        <v>5</v>
      </c>
    </row>
    <row r="38" spans="1:51">
      <c r="A38" s="26" t="s">
        <v>123</v>
      </c>
      <c r="B38" s="29" t="s">
        <v>124</v>
      </c>
      <c r="C38" s="28" t="s">
        <v>124</v>
      </c>
      <c r="D38" s="28" t="s">
        <v>124</v>
      </c>
      <c r="E38" s="28" t="s">
        <v>124</v>
      </c>
      <c r="F38" s="28" t="s">
        <v>124</v>
      </c>
      <c r="G38" s="28" t="s">
        <v>124</v>
      </c>
      <c r="H38" s="29" t="s">
        <v>124</v>
      </c>
      <c r="I38" s="29" t="s">
        <v>124</v>
      </c>
      <c r="J38" s="29" t="s">
        <v>124</v>
      </c>
      <c r="K38" s="29" t="s">
        <v>124</v>
      </c>
      <c r="L38" s="29" t="s">
        <v>124</v>
      </c>
      <c r="M38" s="29" t="s">
        <v>124</v>
      </c>
      <c r="N38" s="29" t="s">
        <v>124</v>
      </c>
      <c r="O38" s="29" t="s">
        <v>124</v>
      </c>
      <c r="P38" s="29" t="s">
        <v>124</v>
      </c>
      <c r="Q38" s="29" t="s">
        <v>124</v>
      </c>
      <c r="R38" s="28"/>
      <c r="S38" s="28"/>
      <c r="T38" s="28"/>
      <c r="U38" s="28"/>
      <c r="V38" s="28"/>
      <c r="W38" s="28"/>
      <c r="X38" s="28"/>
      <c r="Y38" s="28"/>
      <c r="Z38" s="28"/>
      <c r="AA38" s="28" t="s">
        <v>124</v>
      </c>
      <c r="AB38" s="28"/>
      <c r="AC38" s="29"/>
      <c r="AD38" s="28"/>
      <c r="AE38" s="29"/>
      <c r="AF38" s="28"/>
      <c r="AG38" s="29" t="s">
        <v>124</v>
      </c>
      <c r="AH38" s="29" t="s">
        <v>124</v>
      </c>
      <c r="AJ38" s="29" t="s">
        <v>124</v>
      </c>
      <c r="AK38" s="29" t="s">
        <v>124</v>
      </c>
      <c r="AL38" s="29" t="s">
        <v>124</v>
      </c>
      <c r="AM38" s="29" t="s">
        <v>124</v>
      </c>
      <c r="AN38" s="29" t="s">
        <v>124</v>
      </c>
      <c r="AO38" s="29" t="s">
        <v>124</v>
      </c>
      <c r="AP38" s="29" t="s">
        <v>124</v>
      </c>
      <c r="AQ38" s="29" t="s">
        <v>124</v>
      </c>
      <c r="AR38" s="29" t="s">
        <v>124</v>
      </c>
      <c r="AS38" s="29" t="s">
        <v>124</v>
      </c>
      <c r="AT38" s="29" t="s">
        <v>124</v>
      </c>
      <c r="AU38" s="29" t="s">
        <v>124</v>
      </c>
      <c r="AV38" s="29" t="s">
        <v>124</v>
      </c>
      <c r="AW38" s="29" t="s">
        <v>124</v>
      </c>
      <c r="AX38" s="29" t="s">
        <v>124</v>
      </c>
      <c r="AY38" s="28" t="s">
        <v>124</v>
      </c>
    </row>
    <row r="39" spans="1:51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/>
      <c r="S39" s="28"/>
      <c r="T39" s="28"/>
      <c r="U39" s="28"/>
      <c r="V39" s="28"/>
      <c r="W39" s="28"/>
      <c r="X39" s="28"/>
      <c r="Y39" s="28"/>
      <c r="Z39" s="28"/>
      <c r="AA39" s="28" t="s">
        <v>127</v>
      </c>
      <c r="AB39" s="28"/>
      <c r="AC39" s="28"/>
      <c r="AD39" s="28"/>
      <c r="AE39" s="28"/>
      <c r="AF39" s="28"/>
      <c r="AG39" s="28" t="s">
        <v>127</v>
      </c>
      <c r="AH39" s="28" t="s">
        <v>127</v>
      </c>
      <c r="AJ39" s="28" t="s">
        <v>127</v>
      </c>
      <c r="AK39" s="28" t="s">
        <v>127</v>
      </c>
      <c r="AL39" s="28" t="s">
        <v>127</v>
      </c>
      <c r="AM39" s="28" t="s">
        <v>127</v>
      </c>
      <c r="AN39" s="28" t="s">
        <v>127</v>
      </c>
      <c r="AO39" s="28" t="s">
        <v>127</v>
      </c>
      <c r="AP39" s="28" t="s">
        <v>127</v>
      </c>
      <c r="AQ39" s="28" t="s">
        <v>127</v>
      </c>
      <c r="AR39" s="28" t="s">
        <v>127</v>
      </c>
      <c r="AS39" s="28" t="s">
        <v>127</v>
      </c>
      <c r="AT39" s="28" t="s">
        <v>127</v>
      </c>
      <c r="AU39" s="28" t="s">
        <v>127</v>
      </c>
      <c r="AV39" s="28" t="s">
        <v>127</v>
      </c>
      <c r="AW39" s="28" t="s">
        <v>127</v>
      </c>
      <c r="AX39" s="28" t="s">
        <v>127</v>
      </c>
      <c r="AY39" s="28" t="s">
        <v>127</v>
      </c>
    </row>
    <row r="40" spans="1:51">
      <c r="A40" s="26" t="s">
        <v>126</v>
      </c>
      <c r="B40" s="28" t="s">
        <v>127</v>
      </c>
      <c r="C40" s="28" t="s">
        <v>124</v>
      </c>
      <c r="D40" s="28" t="s">
        <v>124</v>
      </c>
      <c r="E40" s="139" t="s">
        <v>215</v>
      </c>
      <c r="F40" s="28" t="s">
        <v>127</v>
      </c>
      <c r="G40" s="28" t="s">
        <v>127</v>
      </c>
      <c r="H40" s="28" t="s">
        <v>124</v>
      </c>
      <c r="I40" s="28" t="s">
        <v>124</v>
      </c>
      <c r="J40" s="28" t="s">
        <v>127</v>
      </c>
      <c r="K40" s="28" t="s">
        <v>124</v>
      </c>
      <c r="L40" s="28" t="s">
        <v>124</v>
      </c>
      <c r="M40" s="28" t="s">
        <v>124</v>
      </c>
      <c r="N40" s="28" t="s">
        <v>124</v>
      </c>
      <c r="O40" s="28" t="s">
        <v>124</v>
      </c>
      <c r="P40" s="28" t="s">
        <v>124</v>
      </c>
      <c r="Q40" s="28" t="s">
        <v>124</v>
      </c>
      <c r="R40" s="28"/>
      <c r="S40" s="28"/>
      <c r="T40" s="28"/>
      <c r="U40" s="28"/>
      <c r="V40" s="28"/>
      <c r="W40" s="28"/>
      <c r="X40" s="28"/>
      <c r="Y40" s="28"/>
      <c r="Z40" s="28"/>
      <c r="AA40" s="28" t="s">
        <v>124</v>
      </c>
      <c r="AB40" s="28"/>
      <c r="AC40" s="28"/>
      <c r="AD40" s="28"/>
      <c r="AE40" s="28"/>
      <c r="AF40" s="28"/>
      <c r="AG40" s="28" t="s">
        <v>127</v>
      </c>
      <c r="AH40" s="28" t="s">
        <v>127</v>
      </c>
      <c r="AJ40" s="28" t="s">
        <v>127</v>
      </c>
      <c r="AK40" s="28" t="s">
        <v>127</v>
      </c>
      <c r="AL40" s="28" t="s">
        <v>127</v>
      </c>
      <c r="AM40" s="28" t="s">
        <v>127</v>
      </c>
      <c r="AN40" s="28" t="s">
        <v>127</v>
      </c>
      <c r="AO40" s="28" t="s">
        <v>127</v>
      </c>
      <c r="AP40" s="28" t="s">
        <v>127</v>
      </c>
      <c r="AQ40" s="28" t="s">
        <v>127</v>
      </c>
      <c r="AR40" s="28" t="s">
        <v>127</v>
      </c>
      <c r="AS40" s="28" t="s">
        <v>127</v>
      </c>
      <c r="AT40" s="28" t="s">
        <v>127</v>
      </c>
      <c r="AU40" s="28" t="s">
        <v>127</v>
      </c>
      <c r="AV40" s="28" t="s">
        <v>127</v>
      </c>
      <c r="AW40" s="28" t="s">
        <v>127</v>
      </c>
      <c r="AX40" s="28" t="s">
        <v>127</v>
      </c>
      <c r="AY40" s="28" t="s">
        <v>127</v>
      </c>
    </row>
    <row r="41" spans="1:51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/>
      <c r="S41" s="28"/>
      <c r="T41" s="28"/>
      <c r="U41" s="28"/>
      <c r="V41" s="28"/>
      <c r="W41" s="28"/>
      <c r="X41" s="28"/>
      <c r="Y41" s="28"/>
      <c r="Z41" s="28"/>
      <c r="AA41" s="28" t="s">
        <v>127</v>
      </c>
      <c r="AB41" s="28"/>
      <c r="AC41" s="28"/>
      <c r="AD41" s="28"/>
      <c r="AE41" s="28"/>
      <c r="AF41" s="28"/>
      <c r="AG41" s="28" t="s">
        <v>127</v>
      </c>
      <c r="AH41" s="28" t="s">
        <v>127</v>
      </c>
      <c r="AJ41" s="28" t="s">
        <v>127</v>
      </c>
      <c r="AK41" s="28" t="s">
        <v>127</v>
      </c>
      <c r="AL41" s="28" t="s">
        <v>127</v>
      </c>
      <c r="AM41" s="28" t="s">
        <v>127</v>
      </c>
      <c r="AN41" s="28" t="s">
        <v>127</v>
      </c>
      <c r="AO41" s="28" t="s">
        <v>127</v>
      </c>
      <c r="AP41" s="28" t="s">
        <v>127</v>
      </c>
      <c r="AQ41" s="28" t="s">
        <v>127</v>
      </c>
      <c r="AR41" s="28" t="s">
        <v>127</v>
      </c>
      <c r="AS41" s="28" t="s">
        <v>127</v>
      </c>
      <c r="AT41" s="28" t="s">
        <v>127</v>
      </c>
      <c r="AU41" s="28" t="s">
        <v>127</v>
      </c>
      <c r="AV41" s="28" t="s">
        <v>127</v>
      </c>
      <c r="AW41" s="28" t="s">
        <v>127</v>
      </c>
      <c r="AX41" s="28" t="s">
        <v>127</v>
      </c>
      <c r="AY41" s="28" t="s">
        <v>127</v>
      </c>
    </row>
    <row r="42" spans="1:51">
      <c r="A42" s="26" t="s">
        <v>129</v>
      </c>
      <c r="B42" s="28" t="s">
        <v>216</v>
      </c>
      <c r="C42" s="28" t="s">
        <v>149</v>
      </c>
      <c r="D42" s="28" t="s">
        <v>149</v>
      </c>
      <c r="E42" s="28" t="s">
        <v>149</v>
      </c>
      <c r="F42" s="28" t="s">
        <v>149</v>
      </c>
      <c r="G42" s="28" t="s">
        <v>149</v>
      </c>
      <c r="H42" s="28" t="s">
        <v>149</v>
      </c>
      <c r="I42" s="28" t="s">
        <v>149</v>
      </c>
      <c r="J42" s="28" t="s">
        <v>149</v>
      </c>
      <c r="K42" s="28" t="s">
        <v>149</v>
      </c>
      <c r="L42" s="28" t="s">
        <v>149</v>
      </c>
      <c r="M42" s="28" t="s">
        <v>149</v>
      </c>
      <c r="N42" s="28" t="s">
        <v>149</v>
      </c>
      <c r="O42" s="28" t="s">
        <v>149</v>
      </c>
      <c r="P42" s="28" t="s">
        <v>149</v>
      </c>
      <c r="Q42" s="28" t="s">
        <v>149</v>
      </c>
      <c r="R42" s="28"/>
      <c r="S42" s="28"/>
      <c r="T42" s="28"/>
      <c r="U42" s="28"/>
      <c r="V42" s="28"/>
      <c r="W42" s="28"/>
      <c r="X42" s="28"/>
      <c r="Y42" s="28"/>
      <c r="Z42" s="28"/>
      <c r="AA42" s="28" t="s">
        <v>150</v>
      </c>
      <c r="AB42" s="28"/>
      <c r="AC42" s="28"/>
      <c r="AD42" s="28"/>
      <c r="AE42" s="28"/>
      <c r="AF42" s="28"/>
      <c r="AG42" s="28" t="s">
        <v>216</v>
      </c>
      <c r="AH42" s="28" t="s">
        <v>216</v>
      </c>
      <c r="AJ42" s="28" t="s">
        <v>216</v>
      </c>
      <c r="AK42" s="28" t="s">
        <v>216</v>
      </c>
      <c r="AL42" s="28" t="s">
        <v>216</v>
      </c>
      <c r="AM42" s="28" t="s">
        <v>216</v>
      </c>
      <c r="AN42" s="28" t="s">
        <v>216</v>
      </c>
      <c r="AO42" s="28" t="s">
        <v>216</v>
      </c>
      <c r="AP42" s="28" t="s">
        <v>216</v>
      </c>
      <c r="AQ42" s="28" t="s">
        <v>216</v>
      </c>
      <c r="AR42" s="28" t="s">
        <v>216</v>
      </c>
      <c r="AS42" s="28" t="s">
        <v>216</v>
      </c>
      <c r="AT42" s="28" t="s">
        <v>216</v>
      </c>
      <c r="AU42" s="28" t="s">
        <v>216</v>
      </c>
      <c r="AV42" s="28" t="s">
        <v>216</v>
      </c>
      <c r="AW42" s="28" t="s">
        <v>216</v>
      </c>
      <c r="AX42" s="28" t="s">
        <v>216</v>
      </c>
      <c r="AY42" s="28" t="s">
        <v>149</v>
      </c>
    </row>
    <row r="43" spans="1:51">
      <c r="A43" s="26" t="s">
        <v>130</v>
      </c>
      <c r="B43" s="30">
        <v>-3</v>
      </c>
      <c r="C43" s="30">
        <v>1</v>
      </c>
      <c r="D43" s="30">
        <v>1</v>
      </c>
      <c r="E43" s="30">
        <f>AVERAGE(2,2,1)</f>
        <v>1.6666666666666667</v>
      </c>
      <c r="F43" s="30">
        <v>2</v>
      </c>
      <c r="G43" s="30">
        <v>2</v>
      </c>
      <c r="H43" s="30">
        <f>5/3</f>
        <v>1.6666666666666667</v>
      </c>
      <c r="I43" s="30">
        <v>1</v>
      </c>
      <c r="J43" s="30">
        <v>2</v>
      </c>
      <c r="K43" s="30">
        <v>0.5</v>
      </c>
      <c r="L43" s="30">
        <v>0.5</v>
      </c>
      <c r="M43" s="30">
        <v>0.5</v>
      </c>
      <c r="N43" s="30">
        <v>0.5</v>
      </c>
      <c r="O43" s="30">
        <v>0.5</v>
      </c>
      <c r="P43" s="30">
        <f>4/3</f>
        <v>1.3333333333333333</v>
      </c>
      <c r="Q43" s="30">
        <f>4/3</f>
        <v>1.3333333333333333</v>
      </c>
      <c r="R43" s="30"/>
      <c r="S43" s="30"/>
      <c r="T43" s="30"/>
      <c r="U43" s="30"/>
      <c r="V43" s="30"/>
      <c r="W43" s="30"/>
      <c r="X43" s="30"/>
      <c r="Y43" s="30"/>
      <c r="Z43" s="30"/>
      <c r="AA43" s="30">
        <v>-0.5</v>
      </c>
      <c r="AB43" s="30"/>
      <c r="AC43" s="30"/>
      <c r="AD43" s="30"/>
      <c r="AE43" s="30"/>
      <c r="AF43" s="30"/>
      <c r="AG43" s="30">
        <v>-3</v>
      </c>
      <c r="AH43" s="30">
        <v>-3</v>
      </c>
      <c r="AJ43" s="30">
        <v>-3</v>
      </c>
      <c r="AK43" s="30">
        <v>-3</v>
      </c>
      <c r="AL43" s="30">
        <v>-3</v>
      </c>
      <c r="AM43" s="30">
        <v>-3</v>
      </c>
      <c r="AN43" s="30">
        <v>-3</v>
      </c>
      <c r="AO43" s="30">
        <v>-3</v>
      </c>
      <c r="AP43" s="30">
        <v>-3</v>
      </c>
      <c r="AQ43" s="30">
        <v>-3</v>
      </c>
      <c r="AR43" s="30">
        <v>-3</v>
      </c>
      <c r="AS43" s="30">
        <v>-3</v>
      </c>
      <c r="AT43" s="30">
        <v>-3</v>
      </c>
      <c r="AU43" s="30">
        <v>-3</v>
      </c>
      <c r="AV43" s="30">
        <v>-3</v>
      </c>
      <c r="AW43" s="30">
        <v>-3</v>
      </c>
      <c r="AX43" s="30">
        <v>-3</v>
      </c>
      <c r="AY43" s="30">
        <f t="shared" ref="AY43" si="0">5/3</f>
        <v>1.6666666666666667</v>
      </c>
    </row>
    <row r="44" spans="1:51">
      <c r="A44" s="26" t="s">
        <v>131</v>
      </c>
      <c r="B44" s="28" t="s">
        <v>132</v>
      </c>
      <c r="C44" s="28" t="s">
        <v>180</v>
      </c>
      <c r="D44" s="28" t="s">
        <v>180</v>
      </c>
      <c r="E44" s="28" t="s">
        <v>180</v>
      </c>
      <c r="F44" s="28" t="s">
        <v>180</v>
      </c>
      <c r="G44" s="28" t="s">
        <v>180</v>
      </c>
      <c r="H44" s="28" t="s">
        <v>180</v>
      </c>
      <c r="I44" s="28" t="s">
        <v>180</v>
      </c>
      <c r="J44" s="28" t="s">
        <v>180</v>
      </c>
      <c r="K44" s="28" t="s">
        <v>180</v>
      </c>
      <c r="L44" s="28" t="s">
        <v>180</v>
      </c>
      <c r="M44" s="28" t="s">
        <v>180</v>
      </c>
      <c r="N44" s="28" t="s">
        <v>180</v>
      </c>
      <c r="O44" s="28" t="s">
        <v>180</v>
      </c>
      <c r="P44" s="28" t="s">
        <v>180</v>
      </c>
      <c r="Q44" s="28" t="s">
        <v>180</v>
      </c>
      <c r="R44" s="28"/>
      <c r="S44" s="28"/>
      <c r="T44" s="28"/>
      <c r="U44" s="28"/>
      <c r="V44" s="28"/>
      <c r="W44" s="28"/>
      <c r="X44" s="28"/>
      <c r="Y44" s="28"/>
      <c r="Z44" s="28"/>
      <c r="AA44" s="28" t="s">
        <v>180</v>
      </c>
      <c r="AB44" s="28"/>
      <c r="AC44" s="28"/>
      <c r="AD44" s="28"/>
      <c r="AE44" s="28"/>
      <c r="AF44" s="28"/>
      <c r="AG44" s="28" t="s">
        <v>132</v>
      </c>
      <c r="AH44" s="28" t="s">
        <v>132</v>
      </c>
      <c r="AJ44" s="28" t="s">
        <v>132</v>
      </c>
      <c r="AK44" s="28" t="s">
        <v>132</v>
      </c>
      <c r="AL44" s="28" t="s">
        <v>132</v>
      </c>
      <c r="AM44" s="28" t="s">
        <v>132</v>
      </c>
      <c r="AN44" s="28" t="s">
        <v>132</v>
      </c>
      <c r="AO44" s="28" t="s">
        <v>132</v>
      </c>
      <c r="AP44" s="28" t="s">
        <v>132</v>
      </c>
      <c r="AQ44" s="28" t="s">
        <v>132</v>
      </c>
      <c r="AR44" s="28" t="s">
        <v>132</v>
      </c>
      <c r="AS44" s="28" t="s">
        <v>132</v>
      </c>
      <c r="AT44" s="28" t="s">
        <v>132</v>
      </c>
      <c r="AU44" s="28" t="s">
        <v>132</v>
      </c>
      <c r="AV44" s="28" t="s">
        <v>132</v>
      </c>
      <c r="AW44" s="28" t="s">
        <v>132</v>
      </c>
      <c r="AX44" s="28" t="s">
        <v>132</v>
      </c>
      <c r="AY44" s="28" t="s">
        <v>132</v>
      </c>
    </row>
    <row r="45" spans="1:51">
      <c r="A45" s="26" t="s">
        <v>133</v>
      </c>
      <c r="B45" s="30">
        <v>4</v>
      </c>
      <c r="C45" s="30">
        <v>2</v>
      </c>
      <c r="D45" s="30">
        <v>2</v>
      </c>
      <c r="E45" s="30">
        <v>2</v>
      </c>
      <c r="F45" s="30">
        <v>2</v>
      </c>
      <c r="G45" s="30">
        <v>2</v>
      </c>
      <c r="H45" s="30">
        <v>2</v>
      </c>
      <c r="I45" s="30">
        <v>2</v>
      </c>
      <c r="J45" s="30">
        <v>2</v>
      </c>
      <c r="K45" s="30">
        <v>2</v>
      </c>
      <c r="L45" s="30">
        <v>2</v>
      </c>
      <c r="M45" s="30">
        <v>2</v>
      </c>
      <c r="N45" s="30">
        <v>2</v>
      </c>
      <c r="O45" s="30">
        <v>2</v>
      </c>
      <c r="P45" s="30">
        <v>2</v>
      </c>
      <c r="Q45" s="30">
        <v>2</v>
      </c>
      <c r="R45" s="30"/>
      <c r="S45" s="30"/>
      <c r="T45" s="30"/>
      <c r="U45" s="30"/>
      <c r="V45" s="30"/>
      <c r="W45" s="30"/>
      <c r="X45" s="30"/>
      <c r="Y45" s="30"/>
      <c r="Z45" s="30"/>
      <c r="AA45" s="30">
        <v>2</v>
      </c>
      <c r="AB45" s="30"/>
      <c r="AC45" s="30"/>
      <c r="AD45" s="30"/>
      <c r="AE45" s="30"/>
      <c r="AF45" s="30"/>
      <c r="AG45" s="30">
        <v>4</v>
      </c>
      <c r="AH45" s="30">
        <v>4</v>
      </c>
      <c r="AJ45" s="30">
        <v>4</v>
      </c>
      <c r="AK45" s="30">
        <v>4</v>
      </c>
      <c r="AL45" s="30">
        <v>4</v>
      </c>
      <c r="AM45" s="30">
        <v>4</v>
      </c>
      <c r="AN45" s="30">
        <v>4</v>
      </c>
      <c r="AO45" s="30">
        <v>4</v>
      </c>
      <c r="AP45" s="30">
        <v>4</v>
      </c>
      <c r="AQ45" s="30">
        <v>4</v>
      </c>
      <c r="AR45" s="30">
        <v>4</v>
      </c>
      <c r="AS45" s="30">
        <v>4</v>
      </c>
      <c r="AT45" s="30">
        <v>4</v>
      </c>
      <c r="AU45" s="30">
        <v>4</v>
      </c>
      <c r="AV45" s="30">
        <v>4</v>
      </c>
      <c r="AW45" s="30">
        <v>4</v>
      </c>
      <c r="AX45" s="30">
        <v>4</v>
      </c>
      <c r="AY45" s="30">
        <v>4</v>
      </c>
    </row>
    <row r="46" spans="1:51">
      <c r="C46" s="78" t="s">
        <v>758</v>
      </c>
      <c r="AJ46" s="78" t="s">
        <v>759</v>
      </c>
    </row>
    <row r="47" spans="1:51">
      <c r="A47" s="31" t="s">
        <v>134</v>
      </c>
    </row>
    <row r="48" spans="1:51">
      <c r="A48" s="229" t="s">
        <v>760</v>
      </c>
      <c r="B48" s="96" t="s">
        <v>761</v>
      </c>
    </row>
    <row r="49" spans="1:2">
      <c r="A49" s="229"/>
      <c r="B49" s="96" t="s">
        <v>222</v>
      </c>
    </row>
    <row r="50" spans="1:2">
      <c r="A50" s="229"/>
      <c r="B50" s="96" t="s">
        <v>762</v>
      </c>
    </row>
    <row r="51" spans="1:2">
      <c r="A51" s="229"/>
      <c r="B51" s="96" t="s">
        <v>763</v>
      </c>
    </row>
    <row r="52" spans="1:2">
      <c r="A52" s="223" t="s">
        <v>764</v>
      </c>
      <c r="B52" s="95" t="s">
        <v>765</v>
      </c>
    </row>
    <row r="53" spans="1:2">
      <c r="A53" s="223"/>
      <c r="B53" s="96" t="s">
        <v>751</v>
      </c>
    </row>
    <row r="54" spans="1:2">
      <c r="A54" s="223"/>
      <c r="B54" s="96" t="s">
        <v>733</v>
      </c>
    </row>
  </sheetData>
  <mergeCells count="7">
    <mergeCell ref="F3:O3"/>
    <mergeCell ref="F4:O5"/>
    <mergeCell ref="A48:A51"/>
    <mergeCell ref="A52:A54"/>
    <mergeCell ref="B3:D3"/>
    <mergeCell ref="B4:D4"/>
    <mergeCell ref="B5:D5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3060-3BC0-4BA8-A692-2CBEA88ACC10}">
  <dimension ref="A1:AY53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52" width="5.7109375" style="26" customWidth="1"/>
    <col min="53" max="16384" width="9.140625" style="26"/>
  </cols>
  <sheetData>
    <row r="1" spans="1:51">
      <c r="A1" s="25" t="s">
        <v>74</v>
      </c>
      <c r="D1" s="25" t="s">
        <v>75</v>
      </c>
      <c r="I1" s="25" t="s">
        <v>495</v>
      </c>
    </row>
    <row r="3" spans="1:51" ht="17.45">
      <c r="A3" s="25" t="s">
        <v>77</v>
      </c>
      <c r="B3" s="203">
        <v>50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51" ht="17.45">
      <c r="A4" s="25" t="s">
        <v>79</v>
      </c>
      <c r="B4" s="203" t="s">
        <v>737</v>
      </c>
      <c r="C4" s="203"/>
      <c r="D4" s="203"/>
      <c r="F4" s="204" t="s">
        <v>766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51" ht="17.45">
      <c r="A5" s="25" t="s">
        <v>82</v>
      </c>
      <c r="B5" s="203" t="s">
        <v>767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51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40" t="s">
        <v>96</v>
      </c>
      <c r="AK7" s="67" t="s">
        <v>98</v>
      </c>
      <c r="AL7" s="42" t="s">
        <v>99</v>
      </c>
      <c r="AM7" s="41" t="s">
        <v>100</v>
      </c>
      <c r="AN7" s="44" t="s">
        <v>101</v>
      </c>
      <c r="AO7" s="46" t="s">
        <v>104</v>
      </c>
      <c r="AP7" s="46" t="s">
        <v>105</v>
      </c>
      <c r="AT7" s="26" t="s">
        <v>768</v>
      </c>
      <c r="AU7" s="26" t="s">
        <v>769</v>
      </c>
      <c r="AV7" s="26" t="s">
        <v>770</v>
      </c>
      <c r="AW7" s="26" t="s">
        <v>771</v>
      </c>
      <c r="AX7" s="26" t="s">
        <v>772</v>
      </c>
    </row>
    <row r="8" spans="1:51">
      <c r="A8" s="26" t="s">
        <v>117</v>
      </c>
      <c r="B8" s="80"/>
      <c r="C8" s="83" t="s">
        <v>690</v>
      </c>
      <c r="D8" s="28" t="s">
        <v>690</v>
      </c>
      <c r="E8" s="28" t="s">
        <v>690</v>
      </c>
      <c r="F8" s="28" t="s">
        <v>690</v>
      </c>
      <c r="G8" s="28" t="s">
        <v>690</v>
      </c>
      <c r="H8" s="86" t="s">
        <v>690</v>
      </c>
      <c r="I8" s="28" t="s">
        <v>690</v>
      </c>
      <c r="J8" s="28" t="s">
        <v>690</v>
      </c>
      <c r="K8" s="28" t="s">
        <v>690</v>
      </c>
      <c r="L8" s="28" t="s">
        <v>690</v>
      </c>
      <c r="M8" s="28" t="s">
        <v>690</v>
      </c>
      <c r="N8" s="28" t="s">
        <v>690</v>
      </c>
      <c r="O8" s="28" t="s">
        <v>690</v>
      </c>
      <c r="P8" s="28" t="s">
        <v>691</v>
      </c>
      <c r="Q8" s="28" t="s">
        <v>691</v>
      </c>
      <c r="R8" s="80"/>
      <c r="S8" s="28" t="s">
        <v>692</v>
      </c>
      <c r="T8" s="80"/>
      <c r="U8" s="84"/>
      <c r="V8" s="84"/>
      <c r="W8" s="84"/>
      <c r="X8" s="28" t="s">
        <v>502</v>
      </c>
      <c r="Y8" s="80"/>
      <c r="Z8" s="80"/>
      <c r="AA8" s="80"/>
      <c r="AB8" s="80"/>
      <c r="AC8" s="80"/>
      <c r="AD8" s="80"/>
      <c r="AE8" s="80"/>
      <c r="AF8" s="80"/>
      <c r="AG8" s="80"/>
      <c r="AH8" s="80"/>
      <c r="AJ8" s="28" t="s">
        <v>690</v>
      </c>
      <c r="AK8" s="28" t="s">
        <v>691</v>
      </c>
      <c r="AL8" s="28" t="s">
        <v>691</v>
      </c>
      <c r="AM8" s="80"/>
      <c r="AN8" s="28" t="s">
        <v>692</v>
      </c>
      <c r="AO8" s="84"/>
      <c r="AP8" s="84"/>
      <c r="AT8" s="26" t="s">
        <v>773</v>
      </c>
      <c r="AU8" s="26" t="s">
        <v>774</v>
      </c>
      <c r="AV8" s="26" t="s">
        <v>775</v>
      </c>
      <c r="AW8" s="26" t="s">
        <v>776</v>
      </c>
    </row>
    <row r="9" spans="1:51">
      <c r="A9" s="26" t="s">
        <v>121</v>
      </c>
      <c r="B9" s="81"/>
      <c r="C9" s="29" t="s">
        <v>502</v>
      </c>
      <c r="D9" s="28" t="s">
        <v>693</v>
      </c>
      <c r="E9" s="28" t="s">
        <v>694</v>
      </c>
      <c r="F9" s="28" t="s">
        <v>694</v>
      </c>
      <c r="G9" s="29" t="s">
        <v>695</v>
      </c>
      <c r="H9" s="91" t="s">
        <v>696</v>
      </c>
      <c r="I9" s="28" t="s">
        <v>695</v>
      </c>
      <c r="J9" s="28" t="s">
        <v>695</v>
      </c>
      <c r="K9" s="28" t="s">
        <v>697</v>
      </c>
      <c r="L9" s="28" t="s">
        <v>695</v>
      </c>
      <c r="M9" s="28" t="s">
        <v>698</v>
      </c>
      <c r="N9" s="28" t="s">
        <v>690</v>
      </c>
      <c r="O9" s="28" t="s">
        <v>690</v>
      </c>
      <c r="P9" s="28" t="s">
        <v>690</v>
      </c>
      <c r="Q9" s="28" t="s">
        <v>690</v>
      </c>
      <c r="R9" s="80"/>
      <c r="S9" s="28" t="s">
        <v>695</v>
      </c>
      <c r="T9" s="80"/>
      <c r="U9" s="172"/>
      <c r="V9" s="172"/>
      <c r="W9" s="172"/>
      <c r="X9" s="29" t="s">
        <v>502</v>
      </c>
      <c r="Y9" s="81"/>
      <c r="Z9" s="81"/>
      <c r="AA9" s="81"/>
      <c r="AB9" s="81"/>
      <c r="AC9" s="81"/>
      <c r="AD9" s="81"/>
      <c r="AE9" s="81"/>
      <c r="AF9" s="81"/>
      <c r="AG9" s="81"/>
      <c r="AH9" s="81"/>
      <c r="AJ9" s="28" t="s">
        <v>690</v>
      </c>
      <c r="AK9" s="28" t="s">
        <v>690</v>
      </c>
      <c r="AL9" s="28" t="s">
        <v>690</v>
      </c>
      <c r="AM9" s="80"/>
      <c r="AN9" s="28" t="s">
        <v>695</v>
      </c>
      <c r="AO9" s="172"/>
      <c r="AP9" s="172"/>
      <c r="AT9" s="26" t="s">
        <v>777</v>
      </c>
      <c r="AU9" s="26" t="s">
        <v>778</v>
      </c>
      <c r="AW9" s="26" t="s">
        <v>779</v>
      </c>
      <c r="AX9" s="26" t="s">
        <v>780</v>
      </c>
    </row>
    <row r="10" spans="1:51">
      <c r="A10" s="140" t="s">
        <v>122</v>
      </c>
      <c r="B10" s="174"/>
      <c r="C10" s="167">
        <v>501</v>
      </c>
      <c r="D10" s="167">
        <v>502</v>
      </c>
      <c r="E10" s="167">
        <v>508</v>
      </c>
      <c r="F10" s="167">
        <v>508</v>
      </c>
      <c r="G10" s="167">
        <v>504</v>
      </c>
      <c r="H10" s="171">
        <v>550</v>
      </c>
      <c r="I10" s="167">
        <v>504</v>
      </c>
      <c r="J10" s="167">
        <v>504</v>
      </c>
      <c r="K10" s="167">
        <v>515</v>
      </c>
      <c r="L10" s="167">
        <v>504</v>
      </c>
      <c r="M10" s="167">
        <v>514</v>
      </c>
      <c r="N10" s="167">
        <v>503</v>
      </c>
      <c r="O10" s="167">
        <v>503</v>
      </c>
      <c r="P10" s="167">
        <v>503</v>
      </c>
      <c r="Q10" s="167">
        <v>503</v>
      </c>
      <c r="R10" s="174"/>
      <c r="S10" s="167">
        <v>504</v>
      </c>
      <c r="T10" s="174"/>
      <c r="U10" s="175"/>
      <c r="V10" s="175"/>
      <c r="W10" s="175"/>
      <c r="X10" s="167">
        <v>501</v>
      </c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J10" s="167">
        <v>503</v>
      </c>
      <c r="AK10" s="167">
        <v>503</v>
      </c>
      <c r="AL10" s="167">
        <v>503</v>
      </c>
      <c r="AM10" s="174"/>
      <c r="AN10" s="167">
        <v>504</v>
      </c>
      <c r="AO10" s="175"/>
      <c r="AP10" s="175"/>
      <c r="AT10" s="26" t="s">
        <v>781</v>
      </c>
    </row>
    <row r="11" spans="1:51">
      <c r="A11" s="26" t="s">
        <v>699</v>
      </c>
      <c r="B11" s="80"/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86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80"/>
      <c r="S11" s="28" t="s">
        <v>127</v>
      </c>
      <c r="T11" s="80"/>
      <c r="U11" s="84"/>
      <c r="V11" s="84"/>
      <c r="W11" s="84"/>
      <c r="X11" s="28" t="s">
        <v>127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J11" s="28" t="s">
        <v>127</v>
      </c>
      <c r="AK11" s="28" t="s">
        <v>127</v>
      </c>
      <c r="AL11" s="28" t="s">
        <v>127</v>
      </c>
      <c r="AM11" s="80"/>
      <c r="AN11" s="28" t="s">
        <v>127</v>
      </c>
      <c r="AO11" s="84"/>
      <c r="AP11" s="84"/>
      <c r="AT11" s="26" t="s">
        <v>782</v>
      </c>
      <c r="AU11" s="26" t="s">
        <v>783</v>
      </c>
      <c r="AV11" s="26" t="s">
        <v>784</v>
      </c>
      <c r="AW11" s="26" t="s">
        <v>785</v>
      </c>
      <c r="AX11" s="26" t="s">
        <v>786</v>
      </c>
    </row>
    <row r="12" spans="1:51">
      <c r="A12" s="26" t="s">
        <v>700</v>
      </c>
      <c r="B12" s="80"/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86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80"/>
      <c r="S12" s="28" t="s">
        <v>127</v>
      </c>
      <c r="T12" s="80"/>
      <c r="U12" s="84"/>
      <c r="V12" s="84"/>
      <c r="W12" s="84"/>
      <c r="X12" s="28" t="s">
        <v>127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J12" s="28" t="s">
        <v>127</v>
      </c>
      <c r="AK12" s="28" t="s">
        <v>127</v>
      </c>
      <c r="AL12" s="28" t="s">
        <v>127</v>
      </c>
      <c r="AM12" s="80"/>
      <c r="AN12" s="28" t="s">
        <v>127</v>
      </c>
      <c r="AO12" s="84"/>
      <c r="AP12" s="84"/>
      <c r="AT12" s="26" t="s">
        <v>787</v>
      </c>
      <c r="AX12" s="26" t="s">
        <v>788</v>
      </c>
      <c r="AY12" s="26" t="s">
        <v>789</v>
      </c>
    </row>
    <row r="13" spans="1:51">
      <c r="A13" s="26" t="s">
        <v>701</v>
      </c>
      <c r="B13" s="80"/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86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80"/>
      <c r="S13" s="28" t="s">
        <v>124</v>
      </c>
      <c r="T13" s="80"/>
      <c r="U13" s="84"/>
      <c r="V13" s="84"/>
      <c r="W13" s="84"/>
      <c r="X13" s="28" t="s">
        <v>124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J13" s="28" t="s">
        <v>124</v>
      </c>
      <c r="AK13" s="28" t="s">
        <v>124</v>
      </c>
      <c r="AL13" s="28" t="s">
        <v>124</v>
      </c>
      <c r="AM13" s="80"/>
      <c r="AN13" s="28" t="s">
        <v>124</v>
      </c>
      <c r="AO13" s="84"/>
      <c r="AP13" s="84"/>
      <c r="AT13" s="26" t="s">
        <v>790</v>
      </c>
      <c r="AU13" s="26" t="s">
        <v>791</v>
      </c>
      <c r="AV13" s="26" t="s">
        <v>792</v>
      </c>
      <c r="AW13" s="26" t="s">
        <v>793</v>
      </c>
    </row>
    <row r="14" spans="1:51">
      <c r="A14" s="26" t="s">
        <v>702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86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80"/>
      <c r="U14" s="84"/>
      <c r="V14" s="84"/>
      <c r="W14" s="84"/>
      <c r="X14" s="28" t="s">
        <v>127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J14" s="28" t="s">
        <v>127</v>
      </c>
      <c r="AK14" s="28" t="s">
        <v>127</v>
      </c>
      <c r="AL14" s="28" t="s">
        <v>127</v>
      </c>
      <c r="AM14" s="80"/>
      <c r="AN14" s="28" t="s">
        <v>127</v>
      </c>
      <c r="AO14" s="84"/>
      <c r="AP14" s="84"/>
      <c r="AT14" s="26" t="s">
        <v>794</v>
      </c>
      <c r="AW14" s="26" t="s">
        <v>795</v>
      </c>
    </row>
    <row r="15" spans="1:51">
      <c r="A15" s="26" t="s">
        <v>703</v>
      </c>
      <c r="B15" s="80"/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86" t="s">
        <v>127</v>
      </c>
      <c r="I15" s="28" t="s">
        <v>127</v>
      </c>
      <c r="J15" s="28" t="s">
        <v>127</v>
      </c>
      <c r="K15" s="28" t="s">
        <v>127</v>
      </c>
      <c r="L15" s="28" t="s">
        <v>127</v>
      </c>
      <c r="M15" s="28" t="s">
        <v>127</v>
      </c>
      <c r="N15" s="28" t="s">
        <v>127</v>
      </c>
      <c r="O15" s="28" t="s">
        <v>127</v>
      </c>
      <c r="P15" s="28" t="s">
        <v>127</v>
      </c>
      <c r="Q15" s="28" t="s">
        <v>127</v>
      </c>
      <c r="R15" s="80"/>
      <c r="S15" s="28" t="s">
        <v>127</v>
      </c>
      <c r="T15" s="80"/>
      <c r="U15" s="84"/>
      <c r="V15" s="84"/>
      <c r="W15" s="84"/>
      <c r="X15" s="28" t="s">
        <v>127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J15" s="28" t="s">
        <v>127</v>
      </c>
      <c r="AK15" s="28" t="s">
        <v>127</v>
      </c>
      <c r="AL15" s="28" t="s">
        <v>127</v>
      </c>
      <c r="AM15" s="80"/>
      <c r="AN15" s="28" t="s">
        <v>127</v>
      </c>
      <c r="AO15" s="84"/>
      <c r="AP15" s="84"/>
      <c r="AT15" s="26" t="s">
        <v>796</v>
      </c>
      <c r="AU15" s="26" t="s">
        <v>797</v>
      </c>
      <c r="AV15" s="26" t="s">
        <v>798</v>
      </c>
    </row>
    <row r="16" spans="1:51">
      <c r="A16" s="26" t="s">
        <v>704</v>
      </c>
      <c r="B16" s="80"/>
      <c r="C16" s="28" t="s">
        <v>127</v>
      </c>
      <c r="D16" s="28" t="s">
        <v>127</v>
      </c>
      <c r="E16" s="28" t="s">
        <v>127</v>
      </c>
      <c r="F16" s="28" t="s">
        <v>127</v>
      </c>
      <c r="G16" s="28" t="s">
        <v>127</v>
      </c>
      <c r="H16" s="28" t="s">
        <v>127</v>
      </c>
      <c r="I16" s="28" t="s">
        <v>127</v>
      </c>
      <c r="J16" s="28" t="s">
        <v>127</v>
      </c>
      <c r="K16" s="28" t="s">
        <v>127</v>
      </c>
      <c r="L16" s="28" t="s">
        <v>127</v>
      </c>
      <c r="M16" s="28" t="s">
        <v>127</v>
      </c>
      <c r="N16" s="28" t="s">
        <v>127</v>
      </c>
      <c r="O16" s="28" t="s">
        <v>127</v>
      </c>
      <c r="P16" s="28" t="s">
        <v>127</v>
      </c>
      <c r="Q16" s="28" t="s">
        <v>127</v>
      </c>
      <c r="R16" s="80"/>
      <c r="S16" s="28" t="s">
        <v>127</v>
      </c>
      <c r="T16" s="80"/>
      <c r="U16" s="84"/>
      <c r="V16" s="84"/>
      <c r="W16" s="84"/>
      <c r="X16" s="28" t="s">
        <v>127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J16" s="28" t="s">
        <v>127</v>
      </c>
      <c r="AK16" s="28" t="s">
        <v>127</v>
      </c>
      <c r="AL16" s="28" t="s">
        <v>127</v>
      </c>
      <c r="AM16" s="80"/>
      <c r="AN16" s="28" t="s">
        <v>127</v>
      </c>
      <c r="AO16" s="84"/>
      <c r="AP16" s="84"/>
      <c r="AT16" s="26" t="s">
        <v>799</v>
      </c>
      <c r="AW16" s="26" t="s">
        <v>800</v>
      </c>
    </row>
    <row r="17" spans="1:51">
      <c r="A17" s="26" t="s">
        <v>705</v>
      </c>
      <c r="B17" s="82"/>
      <c r="C17" s="30" t="s">
        <v>706</v>
      </c>
      <c r="D17" s="30" t="s">
        <v>706</v>
      </c>
      <c r="E17" s="28" t="s">
        <v>706</v>
      </c>
      <c r="F17" s="28" t="s">
        <v>706</v>
      </c>
      <c r="G17" s="30" t="s">
        <v>706</v>
      </c>
      <c r="H17" s="92" t="s">
        <v>706</v>
      </c>
      <c r="I17" s="30" t="s">
        <v>706</v>
      </c>
      <c r="J17" s="30" t="s">
        <v>706</v>
      </c>
      <c r="K17" s="30" t="s">
        <v>706</v>
      </c>
      <c r="L17" s="30" t="s">
        <v>706</v>
      </c>
      <c r="M17" s="30" t="s">
        <v>706</v>
      </c>
      <c r="N17" s="30"/>
      <c r="O17" s="30" t="s">
        <v>706</v>
      </c>
      <c r="P17" s="30" t="s">
        <v>707</v>
      </c>
      <c r="Q17" s="30" t="s">
        <v>707</v>
      </c>
      <c r="R17" s="80"/>
      <c r="S17" s="30" t="s">
        <v>706</v>
      </c>
      <c r="T17" s="80"/>
      <c r="U17" s="84"/>
      <c r="V17" s="84"/>
      <c r="W17" s="84"/>
      <c r="X17" s="28" t="s">
        <v>706</v>
      </c>
      <c r="Y17" s="80"/>
      <c r="Z17" s="80"/>
      <c r="AA17" s="82"/>
      <c r="AB17" s="82"/>
      <c r="AC17" s="82"/>
      <c r="AD17" s="82"/>
      <c r="AE17" s="82"/>
      <c r="AF17" s="82"/>
      <c r="AG17" s="82"/>
      <c r="AH17" s="82"/>
      <c r="AJ17" s="30"/>
      <c r="AK17" s="30" t="s">
        <v>707</v>
      </c>
      <c r="AL17" s="30" t="s">
        <v>707</v>
      </c>
      <c r="AM17" s="80"/>
      <c r="AN17" s="30" t="s">
        <v>706</v>
      </c>
      <c r="AO17" s="84"/>
      <c r="AP17" s="84"/>
      <c r="AT17" s="26" t="s">
        <v>801</v>
      </c>
    </row>
    <row r="18" spans="1:51">
      <c r="A18" s="26" t="s">
        <v>708</v>
      </c>
      <c r="B18" s="82"/>
      <c r="C18" s="28" t="s">
        <v>709</v>
      </c>
      <c r="D18" s="28" t="s">
        <v>709</v>
      </c>
      <c r="E18" s="28" t="s">
        <v>709</v>
      </c>
      <c r="F18" s="28" t="s">
        <v>709</v>
      </c>
      <c r="G18" s="30" t="s">
        <v>710</v>
      </c>
      <c r="H18" s="92" t="s">
        <v>710</v>
      </c>
      <c r="I18" s="30" t="s">
        <v>710</v>
      </c>
      <c r="J18" s="30" t="s">
        <v>710</v>
      </c>
      <c r="K18" s="30" t="s">
        <v>710</v>
      </c>
      <c r="L18" s="30" t="s">
        <v>710</v>
      </c>
      <c r="M18" s="30" t="s">
        <v>710</v>
      </c>
      <c r="N18" s="28" t="s">
        <v>710</v>
      </c>
      <c r="O18" s="28" t="s">
        <v>710</v>
      </c>
      <c r="P18" s="28" t="s">
        <v>710</v>
      </c>
      <c r="Q18" s="28" t="s">
        <v>710</v>
      </c>
      <c r="R18" s="82"/>
      <c r="S18" s="30" t="s">
        <v>710</v>
      </c>
      <c r="T18" s="82"/>
      <c r="U18" s="190"/>
      <c r="V18" s="190"/>
      <c r="W18" s="190"/>
      <c r="X18" s="28" t="s">
        <v>709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J18" s="28" t="s">
        <v>710</v>
      </c>
      <c r="AK18" s="28" t="s">
        <v>710</v>
      </c>
      <c r="AL18" s="28" t="s">
        <v>710</v>
      </c>
      <c r="AM18" s="82"/>
      <c r="AN18" s="30" t="s">
        <v>710</v>
      </c>
      <c r="AO18" s="190"/>
      <c r="AP18" s="190"/>
      <c r="AT18" s="26" t="s">
        <v>802</v>
      </c>
      <c r="AU18" s="26" t="s">
        <v>803</v>
      </c>
      <c r="AV18" s="26" t="s">
        <v>804</v>
      </c>
      <c r="AW18" s="26" t="s">
        <v>805</v>
      </c>
      <c r="AX18" s="26" t="s">
        <v>806</v>
      </c>
    </row>
    <row r="19" spans="1:51">
      <c r="A19" s="26" t="s">
        <v>711</v>
      </c>
      <c r="B19" s="80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8">
        <v>3</v>
      </c>
      <c r="J19" s="128">
        <v>3</v>
      </c>
      <c r="K19" s="128">
        <v>2</v>
      </c>
      <c r="L19" s="128">
        <v>3</v>
      </c>
      <c r="M19" s="128">
        <v>3</v>
      </c>
      <c r="N19" s="128">
        <v>4</v>
      </c>
      <c r="O19" s="128">
        <v>4</v>
      </c>
      <c r="P19" s="128">
        <v>4</v>
      </c>
      <c r="Q19" s="128">
        <v>4</v>
      </c>
      <c r="R19" s="81"/>
      <c r="S19" s="128">
        <v>3</v>
      </c>
      <c r="T19" s="81"/>
      <c r="U19" s="80"/>
      <c r="V19" s="80"/>
      <c r="W19" s="80"/>
      <c r="X19" s="30">
        <v>6</v>
      </c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J19" s="128">
        <v>4</v>
      </c>
      <c r="AK19" s="128">
        <v>4</v>
      </c>
      <c r="AL19" s="128">
        <v>4</v>
      </c>
      <c r="AM19" s="81"/>
      <c r="AN19" s="128">
        <v>3</v>
      </c>
      <c r="AO19" s="80"/>
      <c r="AP19" s="80"/>
      <c r="AT19" s="26" t="s">
        <v>807</v>
      </c>
      <c r="AU19" s="26" t="s">
        <v>808</v>
      </c>
      <c r="AV19" s="26" t="s">
        <v>809</v>
      </c>
      <c r="AW19" s="26" t="s">
        <v>810</v>
      </c>
    </row>
    <row r="20" spans="1:51">
      <c r="A20" s="26" t="s">
        <v>712</v>
      </c>
      <c r="B20" s="80"/>
      <c r="C20" s="28" t="s">
        <v>713</v>
      </c>
      <c r="D20" s="28" t="s">
        <v>713</v>
      </c>
      <c r="E20" s="28" t="s">
        <v>713</v>
      </c>
      <c r="F20" s="28" t="s">
        <v>713</v>
      </c>
      <c r="G20" s="28" t="s">
        <v>713</v>
      </c>
      <c r="H20" s="28" t="s">
        <v>713</v>
      </c>
      <c r="I20" s="28" t="s">
        <v>713</v>
      </c>
      <c r="J20" s="28" t="s">
        <v>713</v>
      </c>
      <c r="K20" s="28" t="s">
        <v>714</v>
      </c>
      <c r="L20" s="28" t="s">
        <v>713</v>
      </c>
      <c r="M20" s="28" t="s">
        <v>714</v>
      </c>
      <c r="N20" s="28" t="s">
        <v>713</v>
      </c>
      <c r="O20" s="28" t="s">
        <v>713</v>
      </c>
      <c r="P20" s="28" t="s">
        <v>713</v>
      </c>
      <c r="Q20" s="28" t="s">
        <v>713</v>
      </c>
      <c r="R20" s="80"/>
      <c r="S20" s="28" t="s">
        <v>713</v>
      </c>
      <c r="T20" s="80"/>
      <c r="U20" s="80"/>
      <c r="V20" s="80"/>
      <c r="W20" s="80"/>
      <c r="X20" s="28" t="s">
        <v>713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J20" s="28" t="s">
        <v>713</v>
      </c>
      <c r="AK20" s="28" t="s">
        <v>713</v>
      </c>
      <c r="AL20" s="28" t="s">
        <v>713</v>
      </c>
      <c r="AM20" s="80"/>
      <c r="AN20" s="28" t="s">
        <v>713</v>
      </c>
      <c r="AO20" s="80"/>
      <c r="AP20" s="80"/>
      <c r="AT20" s="26" t="s">
        <v>811</v>
      </c>
      <c r="AV20" s="26" t="s">
        <v>812</v>
      </c>
      <c r="AX20" s="26" t="s">
        <v>813</v>
      </c>
    </row>
    <row r="21" spans="1:51">
      <c r="A21" s="26" t="s">
        <v>715</v>
      </c>
      <c r="B21" s="82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/>
      <c r="S21" s="30">
        <v>1</v>
      </c>
      <c r="T21" s="82"/>
      <c r="U21" s="82"/>
      <c r="V21" s="82"/>
      <c r="W21" s="82"/>
      <c r="X21" s="30">
        <v>1</v>
      </c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J21" s="30">
        <v>1</v>
      </c>
      <c r="AK21" s="30">
        <v>1</v>
      </c>
      <c r="AL21" s="30">
        <v>1</v>
      </c>
      <c r="AM21" s="82"/>
      <c r="AN21" s="30">
        <v>1</v>
      </c>
      <c r="AO21" s="82"/>
      <c r="AP21" s="82"/>
      <c r="AT21" s="26" t="s">
        <v>814</v>
      </c>
      <c r="AW21" s="26" t="s">
        <v>815</v>
      </c>
      <c r="AY21" s="26" t="s">
        <v>816</v>
      </c>
    </row>
    <row r="22" spans="1:51">
      <c r="A22" s="31"/>
      <c r="AT22" s="26" t="s">
        <v>817</v>
      </c>
      <c r="AX22" s="26" t="s">
        <v>818</v>
      </c>
      <c r="AY22" s="26" t="s">
        <v>819</v>
      </c>
    </row>
    <row r="23" spans="1:51">
      <c r="A23" s="26" t="s">
        <v>117</v>
      </c>
      <c r="B23" s="28" t="s">
        <v>362</v>
      </c>
      <c r="C23" s="28" t="s">
        <v>206</v>
      </c>
      <c r="D23" s="28" t="s">
        <v>206</v>
      </c>
      <c r="E23" s="28" t="s">
        <v>206</v>
      </c>
      <c r="F23" s="28" t="s">
        <v>206</v>
      </c>
      <c r="G23" s="28" t="s">
        <v>206</v>
      </c>
      <c r="H23" s="28" t="s">
        <v>206</v>
      </c>
      <c r="I23" s="28" t="s">
        <v>206</v>
      </c>
      <c r="J23" s="28" t="s">
        <v>206</v>
      </c>
      <c r="K23" s="28" t="s">
        <v>206</v>
      </c>
      <c r="L23" s="28" t="s">
        <v>206</v>
      </c>
      <c r="M23" s="28" t="s">
        <v>206</v>
      </c>
      <c r="N23" s="28" t="s">
        <v>206</v>
      </c>
      <c r="O23" s="28" t="s">
        <v>206</v>
      </c>
      <c r="P23" s="187"/>
      <c r="Q23" s="80"/>
      <c r="R23" s="86" t="s">
        <v>206</v>
      </c>
      <c r="S23" s="80"/>
      <c r="T23" s="28" t="s">
        <v>206</v>
      </c>
      <c r="U23" s="28" t="s">
        <v>206</v>
      </c>
      <c r="V23" s="28" t="s">
        <v>206</v>
      </c>
      <c r="W23" s="28" t="s">
        <v>206</v>
      </c>
      <c r="X23" s="83" t="s">
        <v>206</v>
      </c>
      <c r="Y23" s="28" t="s">
        <v>206</v>
      </c>
      <c r="Z23" s="28" t="s">
        <v>206</v>
      </c>
      <c r="AA23" s="28" t="s">
        <v>206</v>
      </c>
      <c r="AB23" s="28" t="s">
        <v>206</v>
      </c>
      <c r="AC23" s="28" t="s">
        <v>206</v>
      </c>
      <c r="AD23" s="28" t="s">
        <v>206</v>
      </c>
      <c r="AE23" s="28" t="s">
        <v>206</v>
      </c>
      <c r="AF23" s="28" t="s">
        <v>206</v>
      </c>
      <c r="AG23" s="28" t="s">
        <v>206</v>
      </c>
      <c r="AH23" s="83" t="s">
        <v>206</v>
      </c>
      <c r="AJ23" s="28" t="s">
        <v>206</v>
      </c>
      <c r="AK23" s="80"/>
      <c r="AL23" s="80"/>
      <c r="AM23" s="86" t="s">
        <v>206</v>
      </c>
      <c r="AN23" s="80"/>
      <c r="AO23" s="28" t="s">
        <v>206</v>
      </c>
      <c r="AP23" s="28" t="s">
        <v>206</v>
      </c>
    </row>
    <row r="24" spans="1:51" ht="15.75" customHeight="1">
      <c r="A24" s="26" t="s">
        <v>121</v>
      </c>
      <c r="B24" s="29" t="s">
        <v>210</v>
      </c>
      <c r="C24" s="28" t="s">
        <v>231</v>
      </c>
      <c r="D24" s="29" t="s">
        <v>206</v>
      </c>
      <c r="E24" s="28" t="s">
        <v>210</v>
      </c>
      <c r="F24" s="28" t="s">
        <v>210</v>
      </c>
      <c r="G24" s="28" t="s">
        <v>210</v>
      </c>
      <c r="H24" s="28" t="s">
        <v>341</v>
      </c>
      <c r="I24" s="29" t="s">
        <v>206</v>
      </c>
      <c r="J24" s="28" t="s">
        <v>210</v>
      </c>
      <c r="K24" s="28" t="s">
        <v>210</v>
      </c>
      <c r="L24" s="28" t="s">
        <v>210</v>
      </c>
      <c r="M24" s="28" t="s">
        <v>210</v>
      </c>
      <c r="N24" s="28" t="s">
        <v>210</v>
      </c>
      <c r="O24" s="28" t="s">
        <v>210</v>
      </c>
      <c r="P24" s="188"/>
      <c r="Q24" s="80"/>
      <c r="R24" s="86" t="s">
        <v>211</v>
      </c>
      <c r="S24" s="80"/>
      <c r="T24" s="28" t="s">
        <v>716</v>
      </c>
      <c r="U24" s="28" t="s">
        <v>210</v>
      </c>
      <c r="V24" s="28" t="s">
        <v>231</v>
      </c>
      <c r="W24" s="28" t="s">
        <v>717</v>
      </c>
      <c r="X24" s="83" t="s">
        <v>210</v>
      </c>
      <c r="Y24" s="115" t="s">
        <v>364</v>
      </c>
      <c r="Z24" s="28" t="s">
        <v>206</v>
      </c>
      <c r="AA24" s="28" t="s">
        <v>206</v>
      </c>
      <c r="AB24" s="28" t="s">
        <v>206</v>
      </c>
      <c r="AC24" s="28" t="s">
        <v>231</v>
      </c>
      <c r="AD24" s="28" t="s">
        <v>206</v>
      </c>
      <c r="AE24" s="28" t="s">
        <v>718</v>
      </c>
      <c r="AF24" s="28" t="s">
        <v>210</v>
      </c>
      <c r="AG24" s="28" t="s">
        <v>211</v>
      </c>
      <c r="AH24" s="85" t="s">
        <v>211</v>
      </c>
      <c r="AJ24" s="28" t="s">
        <v>210</v>
      </c>
      <c r="AK24" s="80"/>
      <c r="AL24" s="81"/>
      <c r="AM24" s="191" t="s">
        <v>740</v>
      </c>
      <c r="AN24" s="80"/>
      <c r="AO24" s="28" t="s">
        <v>231</v>
      </c>
      <c r="AP24" s="28" t="s">
        <v>717</v>
      </c>
    </row>
    <row r="25" spans="1:51">
      <c r="A25" s="140" t="s">
        <v>122</v>
      </c>
      <c r="B25" s="167">
        <v>52</v>
      </c>
      <c r="C25" s="167">
        <v>56</v>
      </c>
      <c r="D25" s="167">
        <v>50</v>
      </c>
      <c r="E25" s="167">
        <v>122</v>
      </c>
      <c r="F25" s="167">
        <v>52</v>
      </c>
      <c r="G25" s="167">
        <v>52</v>
      </c>
      <c r="H25" s="167">
        <v>68</v>
      </c>
      <c r="I25" s="167">
        <v>50</v>
      </c>
      <c r="J25" s="167">
        <v>52</v>
      </c>
      <c r="K25" s="167">
        <v>52</v>
      </c>
      <c r="L25" s="167">
        <v>52</v>
      </c>
      <c r="M25" s="167">
        <v>52</v>
      </c>
      <c r="N25" s="167">
        <v>52</v>
      </c>
      <c r="O25" s="167">
        <v>52</v>
      </c>
      <c r="P25" s="189"/>
      <c r="Q25" s="174"/>
      <c r="R25" s="171">
        <v>48</v>
      </c>
      <c r="S25" s="174"/>
      <c r="T25" s="167">
        <v>159</v>
      </c>
      <c r="U25" s="167">
        <v>52</v>
      </c>
      <c r="V25" s="167">
        <v>56</v>
      </c>
      <c r="W25" s="167">
        <v>103</v>
      </c>
      <c r="X25" s="168">
        <v>52</v>
      </c>
      <c r="Y25" s="167">
        <v>118</v>
      </c>
      <c r="Z25" s="167">
        <v>50</v>
      </c>
      <c r="AA25" s="167">
        <v>50</v>
      </c>
      <c r="AB25" s="167">
        <v>50</v>
      </c>
      <c r="AC25" s="167">
        <v>56</v>
      </c>
      <c r="AD25" s="167">
        <v>50</v>
      </c>
      <c r="AE25" s="167">
        <v>160</v>
      </c>
      <c r="AF25" s="167">
        <v>52</v>
      </c>
      <c r="AG25" s="167">
        <v>48</v>
      </c>
      <c r="AH25" s="168">
        <v>48</v>
      </c>
      <c r="AJ25" s="167">
        <v>52</v>
      </c>
      <c r="AK25" s="174"/>
      <c r="AL25" s="81"/>
      <c r="AM25" s="171">
        <v>162</v>
      </c>
      <c r="AN25" s="174"/>
      <c r="AO25" s="167">
        <v>56</v>
      </c>
      <c r="AP25" s="167">
        <v>103</v>
      </c>
    </row>
    <row r="26" spans="1:51">
      <c r="A26" s="26" t="s">
        <v>123</v>
      </c>
      <c r="B26" s="29" t="s">
        <v>124</v>
      </c>
      <c r="C26" s="28" t="s">
        <v>124</v>
      </c>
      <c r="D26" s="28" t="s">
        <v>124</v>
      </c>
      <c r="E26" s="28" t="s">
        <v>124</v>
      </c>
      <c r="F26" s="28" t="s">
        <v>124</v>
      </c>
      <c r="G26" s="29" t="s">
        <v>124</v>
      </c>
      <c r="H26" s="29" t="s">
        <v>124</v>
      </c>
      <c r="I26" s="29" t="s">
        <v>124</v>
      </c>
      <c r="J26" s="28" t="s">
        <v>124</v>
      </c>
      <c r="K26" s="29" t="s">
        <v>124</v>
      </c>
      <c r="L26" s="29" t="s">
        <v>124</v>
      </c>
      <c r="M26" s="29" t="s">
        <v>124</v>
      </c>
      <c r="N26" s="28" t="s">
        <v>124</v>
      </c>
      <c r="O26" s="28" t="s">
        <v>124</v>
      </c>
      <c r="P26" s="80"/>
      <c r="Q26" s="81"/>
      <c r="R26" s="29" t="s">
        <v>124</v>
      </c>
      <c r="S26" s="81"/>
      <c r="T26" s="29" t="s">
        <v>124</v>
      </c>
      <c r="U26" s="29" t="s">
        <v>124</v>
      </c>
      <c r="V26" s="28" t="s">
        <v>124</v>
      </c>
      <c r="W26" s="28" t="s">
        <v>124</v>
      </c>
      <c r="X26" s="28" t="s">
        <v>124</v>
      </c>
      <c r="Y26" s="28" t="s">
        <v>124</v>
      </c>
      <c r="Z26" s="28" t="s">
        <v>124</v>
      </c>
      <c r="AA26" s="28" t="s">
        <v>124</v>
      </c>
      <c r="AB26" s="28" t="s">
        <v>124</v>
      </c>
      <c r="AC26" s="28" t="s">
        <v>124</v>
      </c>
      <c r="AD26" s="28" t="s">
        <v>124</v>
      </c>
      <c r="AE26" s="28" t="s">
        <v>124</v>
      </c>
      <c r="AF26" s="28" t="s">
        <v>124</v>
      </c>
      <c r="AG26" s="28" t="s">
        <v>124</v>
      </c>
      <c r="AH26" s="85" t="s">
        <v>124</v>
      </c>
      <c r="AJ26" s="28" t="s">
        <v>124</v>
      </c>
      <c r="AK26" s="81"/>
      <c r="AL26" s="80"/>
      <c r="AM26" s="29" t="s">
        <v>124</v>
      </c>
      <c r="AN26" s="81"/>
      <c r="AO26" s="28" t="s">
        <v>124</v>
      </c>
      <c r="AP26" s="28" t="s">
        <v>124</v>
      </c>
    </row>
    <row r="27" spans="1:51">
      <c r="A27" s="26" t="s">
        <v>125</v>
      </c>
      <c r="B27" s="28" t="s">
        <v>127</v>
      </c>
      <c r="C27" s="28" t="s">
        <v>127</v>
      </c>
      <c r="D27" s="28" t="s">
        <v>127</v>
      </c>
      <c r="E27" s="28" t="s">
        <v>127</v>
      </c>
      <c r="F27" s="28" t="s">
        <v>127</v>
      </c>
      <c r="G27" s="28" t="s">
        <v>127</v>
      </c>
      <c r="H27" s="29" t="s">
        <v>124</v>
      </c>
      <c r="I27" s="28" t="s">
        <v>127</v>
      </c>
      <c r="J27" s="28" t="s">
        <v>127</v>
      </c>
      <c r="K27" s="28" t="s">
        <v>127</v>
      </c>
      <c r="L27" s="28" t="s">
        <v>127</v>
      </c>
      <c r="M27" s="28" t="s">
        <v>127</v>
      </c>
      <c r="N27" s="28" t="s">
        <v>127</v>
      </c>
      <c r="O27" s="28" t="s">
        <v>127</v>
      </c>
      <c r="P27" s="80"/>
      <c r="Q27" s="80"/>
      <c r="R27" s="28" t="s">
        <v>127</v>
      </c>
      <c r="S27" s="80"/>
      <c r="T27" s="28" t="s">
        <v>127</v>
      </c>
      <c r="U27" s="28" t="s">
        <v>127</v>
      </c>
      <c r="V27" s="28" t="s">
        <v>127</v>
      </c>
      <c r="W27" s="28" t="s">
        <v>127</v>
      </c>
      <c r="X27" s="29" t="s">
        <v>127</v>
      </c>
      <c r="Y27" s="29" t="s">
        <v>127</v>
      </c>
      <c r="Z27" s="28" t="s">
        <v>127</v>
      </c>
      <c r="AA27" s="28" t="s">
        <v>127</v>
      </c>
      <c r="AB27" s="28" t="s">
        <v>127</v>
      </c>
      <c r="AC27" s="28" t="s">
        <v>127</v>
      </c>
      <c r="AD27" s="28" t="s">
        <v>127</v>
      </c>
      <c r="AE27" s="28" t="s">
        <v>127</v>
      </c>
      <c r="AF27" s="28" t="s">
        <v>127</v>
      </c>
      <c r="AG27" s="28" t="s">
        <v>127</v>
      </c>
      <c r="AH27" s="83" t="s">
        <v>127</v>
      </c>
      <c r="AJ27" s="28" t="s">
        <v>127</v>
      </c>
      <c r="AK27" s="80"/>
      <c r="AL27" s="80"/>
      <c r="AM27" s="87" t="s">
        <v>127</v>
      </c>
      <c r="AN27" s="80"/>
      <c r="AO27" s="28" t="s">
        <v>127</v>
      </c>
      <c r="AP27" s="28" t="s">
        <v>127</v>
      </c>
    </row>
    <row r="28" spans="1:51">
      <c r="A28" s="26" t="s">
        <v>126</v>
      </c>
      <c r="B28" s="28" t="s">
        <v>124</v>
      </c>
      <c r="C28" s="28" t="s">
        <v>124</v>
      </c>
      <c r="D28" s="28" t="s">
        <v>124</v>
      </c>
      <c r="E28" s="28" t="s">
        <v>124</v>
      </c>
      <c r="F28" s="28" t="s">
        <v>124</v>
      </c>
      <c r="G28" s="28" t="s">
        <v>124</v>
      </c>
      <c r="H28" s="28" t="s">
        <v>127</v>
      </c>
      <c r="I28" s="28" t="s">
        <v>124</v>
      </c>
      <c r="J28" s="28" t="s">
        <v>124</v>
      </c>
      <c r="K28" s="28" t="s">
        <v>124</v>
      </c>
      <c r="L28" s="28" t="s">
        <v>124</v>
      </c>
      <c r="M28" s="28" t="s">
        <v>124</v>
      </c>
      <c r="N28" s="28" t="s">
        <v>124</v>
      </c>
      <c r="O28" s="28" t="s">
        <v>124</v>
      </c>
      <c r="P28" s="80"/>
      <c r="Q28" s="80"/>
      <c r="R28" s="28" t="s">
        <v>124</v>
      </c>
      <c r="S28" s="80"/>
      <c r="T28" s="28" t="s">
        <v>124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 t="s">
        <v>124</v>
      </c>
      <c r="Z28" s="28" t="s">
        <v>124</v>
      </c>
      <c r="AA28" s="28" t="s">
        <v>124</v>
      </c>
      <c r="AB28" s="28" t="s">
        <v>124</v>
      </c>
      <c r="AC28" s="28" t="s">
        <v>124</v>
      </c>
      <c r="AD28" s="28" t="s">
        <v>124</v>
      </c>
      <c r="AE28" s="28" t="s">
        <v>124</v>
      </c>
      <c r="AF28" s="28" t="s">
        <v>124</v>
      </c>
      <c r="AG28" s="28" t="s">
        <v>124</v>
      </c>
      <c r="AH28" s="83" t="s">
        <v>124</v>
      </c>
      <c r="AJ28" s="28" t="s">
        <v>124</v>
      </c>
      <c r="AK28" s="80"/>
      <c r="AL28" s="80"/>
      <c r="AM28" s="192" t="s">
        <v>301</v>
      </c>
      <c r="AN28" s="80"/>
      <c r="AO28" s="28" t="s">
        <v>124</v>
      </c>
      <c r="AP28" s="28" t="s">
        <v>124</v>
      </c>
    </row>
    <row r="29" spans="1:51">
      <c r="A29" s="26" t="s">
        <v>128</v>
      </c>
      <c r="B29" s="28" t="s">
        <v>127</v>
      </c>
      <c r="C29" s="28" t="s">
        <v>127</v>
      </c>
      <c r="D29" s="28" t="s">
        <v>127</v>
      </c>
      <c r="E29" s="28" t="s">
        <v>127</v>
      </c>
      <c r="F29" s="28" t="s">
        <v>127</v>
      </c>
      <c r="G29" s="28" t="s">
        <v>127</v>
      </c>
      <c r="H29" s="28" t="s">
        <v>127</v>
      </c>
      <c r="I29" s="28" t="s">
        <v>127</v>
      </c>
      <c r="J29" s="28" t="s">
        <v>127</v>
      </c>
      <c r="K29" s="28" t="s">
        <v>127</v>
      </c>
      <c r="L29" s="28" t="s">
        <v>127</v>
      </c>
      <c r="M29" s="28" t="s">
        <v>127</v>
      </c>
      <c r="N29" s="28" t="s">
        <v>127</v>
      </c>
      <c r="O29" s="28" t="s">
        <v>127</v>
      </c>
      <c r="P29" s="80"/>
      <c r="Q29" s="80"/>
      <c r="R29" s="28" t="s">
        <v>127</v>
      </c>
      <c r="S29" s="80"/>
      <c r="T29" s="28" t="s">
        <v>127</v>
      </c>
      <c r="U29" s="28" t="s">
        <v>127</v>
      </c>
      <c r="V29" s="28" t="s">
        <v>127</v>
      </c>
      <c r="W29" s="28" t="s">
        <v>127</v>
      </c>
      <c r="X29" s="28" t="s">
        <v>127</v>
      </c>
      <c r="Y29" s="28" t="s">
        <v>127</v>
      </c>
      <c r="Z29" s="28" t="s">
        <v>127</v>
      </c>
      <c r="AA29" s="28" t="s">
        <v>127</v>
      </c>
      <c r="AB29" s="28" t="s">
        <v>127</v>
      </c>
      <c r="AC29" s="28" t="s">
        <v>127</v>
      </c>
      <c r="AD29" s="28" t="s">
        <v>127</v>
      </c>
      <c r="AE29" s="28" t="s">
        <v>127</v>
      </c>
      <c r="AF29" s="28" t="s">
        <v>127</v>
      </c>
      <c r="AG29" s="28" t="s">
        <v>127</v>
      </c>
      <c r="AH29" s="83" t="s">
        <v>127</v>
      </c>
      <c r="AJ29" s="28" t="s">
        <v>127</v>
      </c>
      <c r="AK29" s="80"/>
      <c r="AL29" s="80"/>
      <c r="AM29" s="28" t="s">
        <v>127</v>
      </c>
      <c r="AN29" s="80"/>
      <c r="AO29" s="28" t="s">
        <v>127</v>
      </c>
      <c r="AP29" s="28" t="s">
        <v>127</v>
      </c>
    </row>
    <row r="30" spans="1:51">
      <c r="A30" s="26" t="s">
        <v>129</v>
      </c>
      <c r="B30" s="28" t="s">
        <v>149</v>
      </c>
      <c r="C30" s="28" t="s">
        <v>150</v>
      </c>
      <c r="D30" s="28" t="s">
        <v>149</v>
      </c>
      <c r="E30" s="28" t="s">
        <v>149</v>
      </c>
      <c r="F30" s="28" t="s">
        <v>149</v>
      </c>
      <c r="G30" s="28" t="s">
        <v>149</v>
      </c>
      <c r="H30" s="28" t="s">
        <v>343</v>
      </c>
      <c r="I30" s="28" t="s">
        <v>149</v>
      </c>
      <c r="J30" s="28" t="s">
        <v>149</v>
      </c>
      <c r="K30" s="28" t="s">
        <v>149</v>
      </c>
      <c r="L30" s="28" t="s">
        <v>149</v>
      </c>
      <c r="M30" s="28" t="s">
        <v>149</v>
      </c>
      <c r="N30" s="28" t="s">
        <v>149</v>
      </c>
      <c r="O30" s="28" t="s">
        <v>149</v>
      </c>
      <c r="P30" s="80"/>
      <c r="Q30" s="80"/>
      <c r="R30" s="28" t="s">
        <v>149</v>
      </c>
      <c r="S30" s="80"/>
      <c r="T30" s="28" t="s">
        <v>149</v>
      </c>
      <c r="U30" s="28" t="s">
        <v>149</v>
      </c>
      <c r="V30" s="28" t="s">
        <v>150</v>
      </c>
      <c r="W30" s="28" t="s">
        <v>316</v>
      </c>
      <c r="X30" s="28" t="s">
        <v>149</v>
      </c>
      <c r="Y30" s="28" t="s">
        <v>149</v>
      </c>
      <c r="Z30" s="28" t="s">
        <v>149</v>
      </c>
      <c r="AA30" s="28" t="s">
        <v>149</v>
      </c>
      <c r="AB30" s="28" t="s">
        <v>149</v>
      </c>
      <c r="AC30" s="28" t="s">
        <v>150</v>
      </c>
      <c r="AD30" s="28" t="s">
        <v>149</v>
      </c>
      <c r="AE30" s="28" t="s">
        <v>316</v>
      </c>
      <c r="AF30" s="28" t="s">
        <v>149</v>
      </c>
      <c r="AG30" s="28" t="s">
        <v>149</v>
      </c>
      <c r="AH30" s="83" t="s">
        <v>149</v>
      </c>
      <c r="AJ30" s="28" t="s">
        <v>149</v>
      </c>
      <c r="AK30" s="80"/>
      <c r="AL30" s="80"/>
      <c r="AM30" s="116" t="s">
        <v>741</v>
      </c>
      <c r="AN30" s="80"/>
      <c r="AO30" s="28" t="s">
        <v>150</v>
      </c>
      <c r="AP30" s="28" t="s">
        <v>316</v>
      </c>
    </row>
    <row r="31" spans="1:51">
      <c r="A31" s="26" t="s">
        <v>130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/>
      <c r="Q31" s="82"/>
      <c r="R31" s="30">
        <f>4/3</f>
        <v>1.3333333333333333</v>
      </c>
      <c r="S31" s="82"/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  <c r="AJ31" s="30">
        <v>0.5</v>
      </c>
      <c r="AK31" s="82"/>
      <c r="AL31" s="82"/>
      <c r="AM31" s="30">
        <f>AVERAGE(4/3,-0.5,-6)</f>
        <v>-1.7222222222222223</v>
      </c>
      <c r="AN31" s="82"/>
      <c r="AO31" s="30">
        <v>-0.5</v>
      </c>
      <c r="AP31" s="30">
        <f>AVERAGE(0.5,-0.5)</f>
        <v>0</v>
      </c>
    </row>
    <row r="32" spans="1:51">
      <c r="A32" s="26" t="s">
        <v>131</v>
      </c>
      <c r="B32" s="28" t="s">
        <v>180</v>
      </c>
      <c r="C32" s="28" t="s">
        <v>180</v>
      </c>
      <c r="D32" s="28" t="s">
        <v>180</v>
      </c>
      <c r="E32" s="28" t="s">
        <v>180</v>
      </c>
      <c r="F32" s="28" t="s">
        <v>180</v>
      </c>
      <c r="G32" s="28" t="s">
        <v>180</v>
      </c>
      <c r="H32" s="28" t="s">
        <v>180</v>
      </c>
      <c r="I32" s="28" t="s">
        <v>180</v>
      </c>
      <c r="J32" s="28" t="s">
        <v>180</v>
      </c>
      <c r="K32" s="28" t="s">
        <v>180</v>
      </c>
      <c r="L32" s="28" t="s">
        <v>180</v>
      </c>
      <c r="M32" s="28" t="s">
        <v>180</v>
      </c>
      <c r="N32" s="28" t="s">
        <v>180</v>
      </c>
      <c r="O32" s="28" t="s">
        <v>180</v>
      </c>
      <c r="P32" s="80"/>
      <c r="Q32" s="80"/>
      <c r="R32" s="28" t="s">
        <v>180</v>
      </c>
      <c r="S32" s="80"/>
      <c r="T32" s="28" t="s">
        <v>180</v>
      </c>
      <c r="U32" s="28" t="s">
        <v>180</v>
      </c>
      <c r="V32" s="28" t="s">
        <v>180</v>
      </c>
      <c r="W32" s="28" t="s">
        <v>180</v>
      </c>
      <c r="X32" s="28" t="s">
        <v>180</v>
      </c>
      <c r="Y32" s="28" t="s">
        <v>180</v>
      </c>
      <c r="Z32" s="28" t="s">
        <v>180</v>
      </c>
      <c r="AA32" s="28" t="s">
        <v>180</v>
      </c>
      <c r="AB32" s="28" t="s">
        <v>180</v>
      </c>
      <c r="AC32" s="28" t="s">
        <v>180</v>
      </c>
      <c r="AD32" s="28" t="s">
        <v>180</v>
      </c>
      <c r="AE32" s="28" t="s">
        <v>180</v>
      </c>
      <c r="AF32" s="28" t="s">
        <v>180</v>
      </c>
      <c r="AG32" s="28" t="s">
        <v>180</v>
      </c>
      <c r="AH32" s="83" t="s">
        <v>180</v>
      </c>
      <c r="AJ32" s="28" t="s">
        <v>180</v>
      </c>
      <c r="AK32" s="80"/>
      <c r="AL32" s="80"/>
      <c r="AM32" s="28" t="s">
        <v>180</v>
      </c>
      <c r="AN32" s="80"/>
      <c r="AO32" s="28" t="s">
        <v>180</v>
      </c>
      <c r="AP32" s="28" t="s">
        <v>180</v>
      </c>
    </row>
    <row r="33" spans="1:42">
      <c r="A33" s="26" t="s">
        <v>133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/>
      <c r="Q33" s="82"/>
      <c r="R33" s="30">
        <v>2</v>
      </c>
      <c r="S33" s="82"/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  <c r="AJ33" s="30">
        <v>2</v>
      </c>
      <c r="AK33" s="82"/>
      <c r="AL33" s="82"/>
      <c r="AM33" s="30">
        <v>2</v>
      </c>
      <c r="AN33" s="82"/>
      <c r="AO33" s="30">
        <v>2</v>
      </c>
      <c r="AP33" s="30">
        <v>2</v>
      </c>
    </row>
    <row r="35" spans="1:42">
      <c r="A35" s="26" t="s">
        <v>117</v>
      </c>
      <c r="B35" s="28" t="s">
        <v>199</v>
      </c>
      <c r="C35" s="28" t="s">
        <v>200</v>
      </c>
      <c r="D35" s="28" t="s">
        <v>200</v>
      </c>
      <c r="E35" s="28" t="s">
        <v>200</v>
      </c>
      <c r="F35" s="28" t="s">
        <v>200</v>
      </c>
      <c r="G35" s="28" t="s">
        <v>200</v>
      </c>
      <c r="H35" s="28" t="s">
        <v>200</v>
      </c>
      <c r="I35" s="28" t="s">
        <v>200</v>
      </c>
      <c r="J35" s="28" t="s">
        <v>200</v>
      </c>
      <c r="K35" s="28" t="s">
        <v>200</v>
      </c>
      <c r="L35" s="28" t="s">
        <v>200</v>
      </c>
      <c r="M35" s="28" t="s">
        <v>200</v>
      </c>
      <c r="N35" s="28" t="s">
        <v>200</v>
      </c>
      <c r="O35" s="28" t="s">
        <v>200</v>
      </c>
      <c r="P35" s="28" t="s">
        <v>200</v>
      </c>
      <c r="Q35" s="28" t="s">
        <v>200</v>
      </c>
      <c r="R35" s="28" t="s">
        <v>200</v>
      </c>
      <c r="S35" s="28" t="s">
        <v>200</v>
      </c>
      <c r="T35" s="28" t="s">
        <v>200</v>
      </c>
      <c r="U35" s="28" t="s">
        <v>200</v>
      </c>
      <c r="V35" s="28" t="s">
        <v>200</v>
      </c>
      <c r="W35" s="28" t="s">
        <v>200</v>
      </c>
      <c r="X35" s="28" t="s">
        <v>200</v>
      </c>
      <c r="Y35" s="28" t="s">
        <v>200</v>
      </c>
      <c r="Z35" s="28" t="s">
        <v>200</v>
      </c>
      <c r="AA35" s="28" t="s">
        <v>200</v>
      </c>
      <c r="AB35" s="28" t="s">
        <v>200</v>
      </c>
      <c r="AC35" s="28" t="s">
        <v>200</v>
      </c>
      <c r="AD35" s="28" t="s">
        <v>200</v>
      </c>
      <c r="AE35" s="28" t="s">
        <v>200</v>
      </c>
      <c r="AF35" s="28" t="s">
        <v>200</v>
      </c>
      <c r="AG35" s="28" t="s">
        <v>200</v>
      </c>
      <c r="AH35" s="28" t="s">
        <v>200</v>
      </c>
      <c r="AJ35" s="115" t="s">
        <v>227</v>
      </c>
      <c r="AK35" s="28" t="s">
        <v>203</v>
      </c>
      <c r="AL35" s="28" t="s">
        <v>203</v>
      </c>
      <c r="AM35" s="28" t="s">
        <v>203</v>
      </c>
      <c r="AN35" s="28" t="s">
        <v>203</v>
      </c>
      <c r="AO35" s="28" t="s">
        <v>203</v>
      </c>
      <c r="AP35" s="28" t="s">
        <v>229</v>
      </c>
    </row>
    <row r="36" spans="1:42">
      <c r="A36" s="26" t="s">
        <v>121</v>
      </c>
      <c r="B36" s="28" t="s">
        <v>205</v>
      </c>
      <c r="C36" s="28" t="s">
        <v>205</v>
      </c>
      <c r="D36" s="28" t="s">
        <v>205</v>
      </c>
      <c r="E36" s="28" t="s">
        <v>205</v>
      </c>
      <c r="F36" s="28" t="s">
        <v>205</v>
      </c>
      <c r="G36" s="28" t="s">
        <v>205</v>
      </c>
      <c r="H36" s="28" t="s">
        <v>205</v>
      </c>
      <c r="I36" s="28" t="s">
        <v>205</v>
      </c>
      <c r="J36" s="28" t="s">
        <v>205</v>
      </c>
      <c r="K36" s="28" t="s">
        <v>205</v>
      </c>
      <c r="L36" s="28" t="s">
        <v>205</v>
      </c>
      <c r="M36" s="28" t="s">
        <v>205</v>
      </c>
      <c r="N36" s="28" t="s">
        <v>205</v>
      </c>
      <c r="O36" s="28" t="s">
        <v>205</v>
      </c>
      <c r="P36" s="28" t="s">
        <v>205</v>
      </c>
      <c r="Q36" s="28" t="s">
        <v>205</v>
      </c>
      <c r="R36" s="28" t="s">
        <v>205</v>
      </c>
      <c r="S36" s="28" t="s">
        <v>205</v>
      </c>
      <c r="T36" s="28" t="s">
        <v>205</v>
      </c>
      <c r="U36" s="28" t="s">
        <v>205</v>
      </c>
      <c r="V36" s="28" t="s">
        <v>205</v>
      </c>
      <c r="W36" s="28" t="s">
        <v>205</v>
      </c>
      <c r="X36" s="28" t="s">
        <v>205</v>
      </c>
      <c r="Y36" s="28" t="s">
        <v>205</v>
      </c>
      <c r="Z36" s="28" t="s">
        <v>205</v>
      </c>
      <c r="AA36" s="28" t="s">
        <v>205</v>
      </c>
      <c r="AB36" s="28" t="s">
        <v>205</v>
      </c>
      <c r="AC36" s="28" t="s">
        <v>205</v>
      </c>
      <c r="AD36" s="28" t="s">
        <v>205</v>
      </c>
      <c r="AE36" s="28" t="s">
        <v>205</v>
      </c>
      <c r="AF36" s="28" t="s">
        <v>205</v>
      </c>
      <c r="AG36" s="28" t="s">
        <v>205</v>
      </c>
      <c r="AH36" s="28" t="s">
        <v>205</v>
      </c>
      <c r="AJ36" s="113" t="s">
        <v>230</v>
      </c>
      <c r="AK36" s="29" t="s">
        <v>231</v>
      </c>
      <c r="AL36" s="29" t="s">
        <v>231</v>
      </c>
      <c r="AM36" s="114" t="s">
        <v>742</v>
      </c>
      <c r="AN36" s="29" t="s">
        <v>232</v>
      </c>
      <c r="AO36" s="29" t="s">
        <v>233</v>
      </c>
      <c r="AP36" s="29" t="s">
        <v>234</v>
      </c>
    </row>
    <row r="37" spans="1:42">
      <c r="A37" s="140" t="s">
        <v>122</v>
      </c>
      <c r="B37" s="167">
        <v>19</v>
      </c>
      <c r="C37" s="167">
        <v>19</v>
      </c>
      <c r="D37" s="167">
        <v>19</v>
      </c>
      <c r="E37" s="167">
        <v>19</v>
      </c>
      <c r="F37" s="167">
        <v>19</v>
      </c>
      <c r="G37" s="167">
        <v>19</v>
      </c>
      <c r="H37" s="167">
        <v>19</v>
      </c>
      <c r="I37" s="167">
        <v>19</v>
      </c>
      <c r="J37" s="167">
        <v>19</v>
      </c>
      <c r="K37" s="167">
        <v>19</v>
      </c>
      <c r="L37" s="167">
        <v>19</v>
      </c>
      <c r="M37" s="167">
        <v>19</v>
      </c>
      <c r="N37" s="167">
        <v>19</v>
      </c>
      <c r="O37" s="167">
        <v>19</v>
      </c>
      <c r="P37" s="167">
        <v>19</v>
      </c>
      <c r="Q37" s="167">
        <v>19</v>
      </c>
      <c r="R37" s="167">
        <v>19</v>
      </c>
      <c r="S37" s="167">
        <v>19</v>
      </c>
      <c r="T37" s="167">
        <v>19</v>
      </c>
      <c r="U37" s="167">
        <v>19</v>
      </c>
      <c r="V37" s="167">
        <v>19</v>
      </c>
      <c r="W37" s="167">
        <v>19</v>
      </c>
      <c r="X37" s="167">
        <v>19</v>
      </c>
      <c r="Y37" s="167">
        <v>19</v>
      </c>
      <c r="Z37" s="167">
        <v>19</v>
      </c>
      <c r="AA37" s="167">
        <v>19</v>
      </c>
      <c r="AB37" s="167">
        <v>19</v>
      </c>
      <c r="AC37" s="167">
        <v>19</v>
      </c>
      <c r="AD37" s="167">
        <v>19</v>
      </c>
      <c r="AE37" s="167">
        <v>19</v>
      </c>
      <c r="AF37" s="167">
        <v>19</v>
      </c>
      <c r="AG37" s="167">
        <v>19</v>
      </c>
      <c r="AH37" s="167">
        <v>19</v>
      </c>
      <c r="AJ37" s="167">
        <v>105</v>
      </c>
      <c r="AK37" s="167">
        <v>56</v>
      </c>
      <c r="AL37" s="167">
        <v>56</v>
      </c>
      <c r="AM37" s="167">
        <v>163</v>
      </c>
      <c r="AN37" s="141">
        <v>106</v>
      </c>
      <c r="AO37" s="141">
        <v>150</v>
      </c>
      <c r="AP37" s="141">
        <v>152</v>
      </c>
    </row>
    <row r="38" spans="1:42">
      <c r="A38" s="26" t="s">
        <v>123</v>
      </c>
      <c r="B38" s="29" t="s">
        <v>124</v>
      </c>
      <c r="C38" s="29" t="s">
        <v>124</v>
      </c>
      <c r="D38" s="29" t="s">
        <v>124</v>
      </c>
      <c r="E38" s="29" t="s">
        <v>124</v>
      </c>
      <c r="F38" s="29" t="s">
        <v>124</v>
      </c>
      <c r="G38" s="29" t="s">
        <v>124</v>
      </c>
      <c r="H38" s="29" t="s">
        <v>124</v>
      </c>
      <c r="I38" s="29" t="s">
        <v>124</v>
      </c>
      <c r="J38" s="29" t="s">
        <v>124</v>
      </c>
      <c r="K38" s="29" t="s">
        <v>124</v>
      </c>
      <c r="L38" s="29" t="s">
        <v>124</v>
      </c>
      <c r="M38" s="29" t="s">
        <v>124</v>
      </c>
      <c r="N38" s="29" t="s">
        <v>124</v>
      </c>
      <c r="O38" s="29" t="s">
        <v>124</v>
      </c>
      <c r="P38" s="29" t="s">
        <v>124</v>
      </c>
      <c r="Q38" s="29" t="s">
        <v>124</v>
      </c>
      <c r="R38" s="29" t="s">
        <v>124</v>
      </c>
      <c r="S38" s="29" t="s">
        <v>124</v>
      </c>
      <c r="T38" s="29" t="s">
        <v>124</v>
      </c>
      <c r="U38" s="29" t="s">
        <v>124</v>
      </c>
      <c r="V38" s="29" t="s">
        <v>124</v>
      </c>
      <c r="W38" s="29" t="s">
        <v>124</v>
      </c>
      <c r="X38" s="29" t="s">
        <v>124</v>
      </c>
      <c r="Y38" s="29" t="s">
        <v>124</v>
      </c>
      <c r="Z38" s="29" t="s">
        <v>124</v>
      </c>
      <c r="AA38" s="29" t="s">
        <v>124</v>
      </c>
      <c r="AB38" s="29" t="s">
        <v>124</v>
      </c>
      <c r="AC38" s="29" t="s">
        <v>124</v>
      </c>
      <c r="AD38" s="29" t="s">
        <v>124</v>
      </c>
      <c r="AE38" s="29" t="s">
        <v>124</v>
      </c>
      <c r="AF38" s="29" t="s">
        <v>124</v>
      </c>
      <c r="AG38" s="29" t="s">
        <v>124</v>
      </c>
      <c r="AH38" s="29" t="s">
        <v>124</v>
      </c>
      <c r="AJ38" s="28" t="s">
        <v>124</v>
      </c>
      <c r="AK38" s="28" t="s">
        <v>124</v>
      </c>
      <c r="AL38" s="28" t="s">
        <v>124</v>
      </c>
      <c r="AM38" s="29" t="s">
        <v>124</v>
      </c>
      <c r="AN38" s="28" t="s">
        <v>124</v>
      </c>
      <c r="AO38" s="28" t="s">
        <v>124</v>
      </c>
      <c r="AP38" s="28" t="s">
        <v>124</v>
      </c>
    </row>
    <row r="39" spans="1:42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 t="s">
        <v>127</v>
      </c>
      <c r="S39" s="28" t="s">
        <v>127</v>
      </c>
      <c r="T39" s="28" t="s">
        <v>127</v>
      </c>
      <c r="U39" s="28" t="s">
        <v>127</v>
      </c>
      <c r="V39" s="28" t="s">
        <v>127</v>
      </c>
      <c r="W39" s="28" t="s">
        <v>127</v>
      </c>
      <c r="X39" s="28" t="s">
        <v>127</v>
      </c>
      <c r="Y39" s="28" t="s">
        <v>127</v>
      </c>
      <c r="Z39" s="28" t="s">
        <v>127</v>
      </c>
      <c r="AA39" s="28" t="s">
        <v>127</v>
      </c>
      <c r="AB39" s="28" t="s">
        <v>127</v>
      </c>
      <c r="AC39" s="28" t="s">
        <v>127</v>
      </c>
      <c r="AD39" s="28" t="s">
        <v>127</v>
      </c>
      <c r="AE39" s="28" t="s">
        <v>127</v>
      </c>
      <c r="AF39" s="28" t="s">
        <v>127</v>
      </c>
      <c r="AG39" s="28" t="s">
        <v>127</v>
      </c>
      <c r="AH39" s="28" t="s">
        <v>127</v>
      </c>
      <c r="AJ39" s="28" t="s">
        <v>127</v>
      </c>
      <c r="AK39" s="28" t="s">
        <v>127</v>
      </c>
      <c r="AL39" s="28" t="s">
        <v>127</v>
      </c>
      <c r="AM39" s="28" t="s">
        <v>127</v>
      </c>
      <c r="AN39" s="87" t="s">
        <v>127</v>
      </c>
      <c r="AO39" s="28" t="s">
        <v>127</v>
      </c>
      <c r="AP39" s="28" t="s">
        <v>127</v>
      </c>
    </row>
    <row r="40" spans="1:42">
      <c r="A40" s="26" t="s">
        <v>126</v>
      </c>
      <c r="B40" s="28" t="s">
        <v>127</v>
      </c>
      <c r="C40" s="28" t="s">
        <v>127</v>
      </c>
      <c r="D40" s="28" t="s">
        <v>127</v>
      </c>
      <c r="E40" s="28" t="s">
        <v>127</v>
      </c>
      <c r="F40" s="28" t="s">
        <v>127</v>
      </c>
      <c r="G40" s="28" t="s">
        <v>127</v>
      </c>
      <c r="H40" s="28" t="s">
        <v>127</v>
      </c>
      <c r="I40" s="28" t="s">
        <v>127</v>
      </c>
      <c r="J40" s="28" t="s">
        <v>127</v>
      </c>
      <c r="K40" s="28" t="s">
        <v>127</v>
      </c>
      <c r="L40" s="28" t="s">
        <v>127</v>
      </c>
      <c r="M40" s="28" t="s">
        <v>127</v>
      </c>
      <c r="N40" s="28" t="s">
        <v>127</v>
      </c>
      <c r="O40" s="28" t="s">
        <v>127</v>
      </c>
      <c r="P40" s="28" t="s">
        <v>127</v>
      </c>
      <c r="Q40" s="28" t="s">
        <v>127</v>
      </c>
      <c r="R40" s="28" t="s">
        <v>127</v>
      </c>
      <c r="S40" s="28" t="s">
        <v>127</v>
      </c>
      <c r="T40" s="28" t="s">
        <v>127</v>
      </c>
      <c r="U40" s="28" t="s">
        <v>127</v>
      </c>
      <c r="V40" s="28" t="s">
        <v>127</v>
      </c>
      <c r="W40" s="28" t="s">
        <v>127</v>
      </c>
      <c r="X40" s="28" t="s">
        <v>127</v>
      </c>
      <c r="Y40" s="28" t="s">
        <v>127</v>
      </c>
      <c r="Z40" s="28" t="s">
        <v>127</v>
      </c>
      <c r="AA40" s="28" t="s">
        <v>127</v>
      </c>
      <c r="AB40" s="28" t="s">
        <v>127</v>
      </c>
      <c r="AC40" s="28" t="s">
        <v>127</v>
      </c>
      <c r="AD40" s="28" t="s">
        <v>127</v>
      </c>
      <c r="AE40" s="28" t="s">
        <v>127</v>
      </c>
      <c r="AF40" s="28" t="s">
        <v>127</v>
      </c>
      <c r="AG40" s="28" t="s">
        <v>127</v>
      </c>
      <c r="AH40" s="28" t="s">
        <v>127</v>
      </c>
      <c r="AJ40" s="28" t="s">
        <v>235</v>
      </c>
      <c r="AK40" s="28" t="s">
        <v>124</v>
      </c>
      <c r="AL40" s="28" t="s">
        <v>124</v>
      </c>
      <c r="AM40" s="182" t="s">
        <v>743</v>
      </c>
      <c r="AN40" s="118" t="s">
        <v>236</v>
      </c>
      <c r="AO40" s="28" t="s">
        <v>127</v>
      </c>
      <c r="AP40" s="28" t="s">
        <v>235</v>
      </c>
    </row>
    <row r="41" spans="1:42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 t="s">
        <v>127</v>
      </c>
      <c r="S41" s="28" t="s">
        <v>127</v>
      </c>
      <c r="T41" s="28" t="s">
        <v>127</v>
      </c>
      <c r="U41" s="28" t="s">
        <v>127</v>
      </c>
      <c r="V41" s="28" t="s">
        <v>127</v>
      </c>
      <c r="W41" s="28" t="s">
        <v>127</v>
      </c>
      <c r="X41" s="28" t="s">
        <v>127</v>
      </c>
      <c r="Y41" s="28" t="s">
        <v>127</v>
      </c>
      <c r="Z41" s="28" t="s">
        <v>127</v>
      </c>
      <c r="AA41" s="28" t="s">
        <v>127</v>
      </c>
      <c r="AB41" s="28" t="s">
        <v>127</v>
      </c>
      <c r="AC41" s="28" t="s">
        <v>127</v>
      </c>
      <c r="AD41" s="28" t="s">
        <v>127</v>
      </c>
      <c r="AE41" s="28" t="s">
        <v>127</v>
      </c>
      <c r="AF41" s="28" t="s">
        <v>127</v>
      </c>
      <c r="AG41" s="28" t="s">
        <v>127</v>
      </c>
      <c r="AH41" s="28" t="s">
        <v>127</v>
      </c>
      <c r="AJ41" s="28" t="s">
        <v>127</v>
      </c>
      <c r="AK41" s="28" t="s">
        <v>127</v>
      </c>
      <c r="AL41" s="28" t="s">
        <v>127</v>
      </c>
      <c r="AM41" s="28" t="s">
        <v>127</v>
      </c>
      <c r="AN41" s="29" t="s">
        <v>127</v>
      </c>
      <c r="AO41" s="28" t="s">
        <v>127</v>
      </c>
      <c r="AP41" s="28" t="s">
        <v>127</v>
      </c>
    </row>
    <row r="42" spans="1:42">
      <c r="A42" s="26" t="s">
        <v>129</v>
      </c>
      <c r="B42" s="28" t="s">
        <v>216</v>
      </c>
      <c r="C42" s="28" t="s">
        <v>216</v>
      </c>
      <c r="D42" s="28" t="s">
        <v>216</v>
      </c>
      <c r="E42" s="28" t="s">
        <v>216</v>
      </c>
      <c r="F42" s="28" t="s">
        <v>216</v>
      </c>
      <c r="G42" s="28" t="s">
        <v>216</v>
      </c>
      <c r="H42" s="28" t="s">
        <v>216</v>
      </c>
      <c r="I42" s="28" t="s">
        <v>216</v>
      </c>
      <c r="J42" s="28" t="s">
        <v>216</v>
      </c>
      <c r="K42" s="28" t="s">
        <v>216</v>
      </c>
      <c r="L42" s="28" t="s">
        <v>216</v>
      </c>
      <c r="M42" s="28" t="s">
        <v>216</v>
      </c>
      <c r="N42" s="28" t="s">
        <v>216</v>
      </c>
      <c r="O42" s="28" t="s">
        <v>216</v>
      </c>
      <c r="P42" s="28" t="s">
        <v>216</v>
      </c>
      <c r="Q42" s="28" t="s">
        <v>216</v>
      </c>
      <c r="R42" s="28" t="s">
        <v>216</v>
      </c>
      <c r="S42" s="28" t="s">
        <v>216</v>
      </c>
      <c r="T42" s="28" t="s">
        <v>216</v>
      </c>
      <c r="U42" s="28" t="s">
        <v>216</v>
      </c>
      <c r="V42" s="28" t="s">
        <v>216</v>
      </c>
      <c r="W42" s="28" t="s">
        <v>216</v>
      </c>
      <c r="X42" s="28" t="s">
        <v>216</v>
      </c>
      <c r="Y42" s="28" t="s">
        <v>216</v>
      </c>
      <c r="Z42" s="28" t="s">
        <v>216</v>
      </c>
      <c r="AA42" s="28" t="s">
        <v>216</v>
      </c>
      <c r="AB42" s="28" t="s">
        <v>216</v>
      </c>
      <c r="AC42" s="28" t="s">
        <v>216</v>
      </c>
      <c r="AD42" s="28" t="s">
        <v>216</v>
      </c>
      <c r="AE42" s="28" t="s">
        <v>216</v>
      </c>
      <c r="AF42" s="28" t="s">
        <v>216</v>
      </c>
      <c r="AG42" s="28" t="s">
        <v>216</v>
      </c>
      <c r="AH42" s="28" t="s">
        <v>216</v>
      </c>
      <c r="AJ42" s="115" t="s">
        <v>237</v>
      </c>
      <c r="AK42" s="28" t="s">
        <v>150</v>
      </c>
      <c r="AL42" s="28" t="s">
        <v>150</v>
      </c>
      <c r="AM42" s="116" t="s">
        <v>744</v>
      </c>
      <c r="AN42" s="28" t="s">
        <v>217</v>
      </c>
      <c r="AO42" s="28" t="s">
        <v>238</v>
      </c>
      <c r="AP42" s="28" t="s">
        <v>150</v>
      </c>
    </row>
    <row r="43" spans="1:42">
      <c r="A43" s="26" t="s">
        <v>130</v>
      </c>
      <c r="B43" s="30">
        <v>-3</v>
      </c>
      <c r="C43" s="30">
        <v>-3</v>
      </c>
      <c r="D43" s="30">
        <v>-3</v>
      </c>
      <c r="E43" s="30">
        <v>-3</v>
      </c>
      <c r="F43" s="30">
        <v>-3</v>
      </c>
      <c r="G43" s="30">
        <v>-3</v>
      </c>
      <c r="H43" s="30">
        <v>-3</v>
      </c>
      <c r="I43" s="30">
        <v>-3</v>
      </c>
      <c r="J43" s="30">
        <v>-3</v>
      </c>
      <c r="K43" s="30">
        <v>-3</v>
      </c>
      <c r="L43" s="30">
        <v>-3</v>
      </c>
      <c r="M43" s="30">
        <v>-3</v>
      </c>
      <c r="N43" s="30">
        <v>-3</v>
      </c>
      <c r="O43" s="30">
        <v>-3</v>
      </c>
      <c r="P43" s="30">
        <v>-3</v>
      </c>
      <c r="Q43" s="30">
        <v>-3</v>
      </c>
      <c r="R43" s="30">
        <v>-3</v>
      </c>
      <c r="S43" s="30">
        <v>-3</v>
      </c>
      <c r="T43" s="30">
        <v>-3</v>
      </c>
      <c r="U43" s="30">
        <v>-3</v>
      </c>
      <c r="V43" s="30">
        <v>-3</v>
      </c>
      <c r="W43" s="30">
        <v>-3</v>
      </c>
      <c r="X43" s="30">
        <v>-3</v>
      </c>
      <c r="Y43" s="30">
        <v>-3</v>
      </c>
      <c r="Z43" s="30">
        <v>-3</v>
      </c>
      <c r="AA43" s="30">
        <v>-3</v>
      </c>
      <c r="AB43" s="30">
        <v>-3</v>
      </c>
      <c r="AC43" s="30">
        <v>-3</v>
      </c>
      <c r="AD43" s="30">
        <v>-3</v>
      </c>
      <c r="AE43" s="30">
        <v>-3</v>
      </c>
      <c r="AF43" s="30">
        <v>-3</v>
      </c>
      <c r="AG43" s="30">
        <v>-3</v>
      </c>
      <c r="AH43" s="30">
        <v>-3</v>
      </c>
      <c r="AJ43" s="30">
        <f>AVERAGE(3,3,1)</f>
        <v>2.3333333333333335</v>
      </c>
      <c r="AK43" s="30">
        <v>-0.5</v>
      </c>
      <c r="AL43" s="30">
        <v>-0.5</v>
      </c>
      <c r="AM43" s="30">
        <f>AVERAGE(-0.5,-3,-6)</f>
        <v>-3.1666666666666665</v>
      </c>
      <c r="AN43" s="30">
        <f>AVERAGE(-0.5,2)</f>
        <v>0.75</v>
      </c>
      <c r="AO43" s="30">
        <v>-2.5</v>
      </c>
      <c r="AP43" s="30">
        <f>AVERAGE(-2,-0.5)</f>
        <v>-1.25</v>
      </c>
    </row>
    <row r="44" spans="1:42">
      <c r="A44" s="26" t="s">
        <v>131</v>
      </c>
      <c r="B44" s="28" t="s">
        <v>132</v>
      </c>
      <c r="C44" s="28" t="s">
        <v>132</v>
      </c>
      <c r="D44" s="28" t="s">
        <v>132</v>
      </c>
      <c r="E44" s="28" t="s">
        <v>132</v>
      </c>
      <c r="F44" s="28" t="s">
        <v>132</v>
      </c>
      <c r="G44" s="28" t="s">
        <v>132</v>
      </c>
      <c r="H44" s="28" t="s">
        <v>132</v>
      </c>
      <c r="I44" s="28" t="s">
        <v>132</v>
      </c>
      <c r="J44" s="28" t="s">
        <v>132</v>
      </c>
      <c r="K44" s="28" t="s">
        <v>132</v>
      </c>
      <c r="L44" s="28" t="s">
        <v>132</v>
      </c>
      <c r="M44" s="28" t="s">
        <v>132</v>
      </c>
      <c r="N44" s="28" t="s">
        <v>132</v>
      </c>
      <c r="O44" s="28" t="s">
        <v>132</v>
      </c>
      <c r="P44" s="28" t="s">
        <v>132</v>
      </c>
      <c r="Q44" s="28" t="s">
        <v>132</v>
      </c>
      <c r="R44" s="28" t="s">
        <v>132</v>
      </c>
      <c r="S44" s="28" t="s">
        <v>132</v>
      </c>
      <c r="T44" s="28" t="s">
        <v>132</v>
      </c>
      <c r="U44" s="28" t="s">
        <v>132</v>
      </c>
      <c r="V44" s="28" t="s">
        <v>132</v>
      </c>
      <c r="W44" s="28" t="s">
        <v>132</v>
      </c>
      <c r="X44" s="28" t="s">
        <v>132</v>
      </c>
      <c r="Y44" s="28" t="s">
        <v>132</v>
      </c>
      <c r="Z44" s="28" t="s">
        <v>132</v>
      </c>
      <c r="AA44" s="28" t="s">
        <v>132</v>
      </c>
      <c r="AB44" s="28" t="s">
        <v>132</v>
      </c>
      <c r="AC44" s="28" t="s">
        <v>132</v>
      </c>
      <c r="AD44" s="28" t="s">
        <v>132</v>
      </c>
      <c r="AE44" s="28" t="s">
        <v>132</v>
      </c>
      <c r="AF44" s="28" t="s">
        <v>132</v>
      </c>
      <c r="AG44" s="28" t="s">
        <v>132</v>
      </c>
      <c r="AH44" s="28" t="s">
        <v>132</v>
      </c>
      <c r="AJ44" s="115" t="s">
        <v>239</v>
      </c>
      <c r="AK44" s="28" t="s">
        <v>180</v>
      </c>
      <c r="AL44" s="28" t="s">
        <v>180</v>
      </c>
      <c r="AM44" s="28" t="s">
        <v>745</v>
      </c>
      <c r="AN44" s="28" t="s">
        <v>240</v>
      </c>
      <c r="AO44" s="28" t="s">
        <v>132</v>
      </c>
      <c r="AP44" s="28" t="s">
        <v>241</v>
      </c>
    </row>
    <row r="45" spans="1:42">
      <c r="A45" s="26" t="s">
        <v>133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  <c r="AJ45" s="30">
        <f>AVERAGE(4,4,3)</f>
        <v>3.6666666666666665</v>
      </c>
      <c r="AK45" s="30">
        <v>2</v>
      </c>
      <c r="AL45" s="30">
        <v>2</v>
      </c>
      <c r="AM45" s="30">
        <f>AVERAGE(2,4,2)</f>
        <v>2.6666666666666665</v>
      </c>
      <c r="AN45" s="30">
        <f>AVERAGE(3,2)</f>
        <v>2.5</v>
      </c>
      <c r="AO45" s="30">
        <v>4</v>
      </c>
      <c r="AP45" s="30">
        <f>AVERAGE(4,3)</f>
        <v>3.5</v>
      </c>
    </row>
    <row r="46" spans="1:42" ht="15.75" customHeight="1">
      <c r="N46" s="78" t="s">
        <v>820</v>
      </c>
      <c r="P46" s="230" t="s">
        <v>820</v>
      </c>
      <c r="Q46" s="230"/>
      <c r="R46" s="230"/>
      <c r="S46" s="230"/>
      <c r="V46" s="230" t="s">
        <v>820</v>
      </c>
      <c r="W46" s="230"/>
      <c r="AJ46" s="217" t="s">
        <v>821</v>
      </c>
      <c r="AK46" s="217"/>
      <c r="AL46" s="217"/>
      <c r="AM46" s="217"/>
      <c r="AN46" s="217"/>
      <c r="AO46" s="217"/>
      <c r="AP46" s="217"/>
    </row>
    <row r="47" spans="1:42">
      <c r="A47" s="31" t="s">
        <v>134</v>
      </c>
    </row>
    <row r="48" spans="1:42">
      <c r="A48" s="223" t="s">
        <v>822</v>
      </c>
      <c r="B48" s="93" t="s">
        <v>749</v>
      </c>
    </row>
    <row r="49" spans="1:2">
      <c r="A49" s="223"/>
      <c r="B49" s="93" t="s">
        <v>753</v>
      </c>
    </row>
    <row r="50" spans="1:2">
      <c r="A50" s="223"/>
      <c r="B50" s="93" t="s">
        <v>823</v>
      </c>
    </row>
    <row r="51" spans="1:2">
      <c r="A51" s="223" t="s">
        <v>824</v>
      </c>
      <c r="B51" s="93" t="s">
        <v>749</v>
      </c>
    </row>
    <row r="52" spans="1:2">
      <c r="A52" s="223"/>
      <c r="B52" s="93" t="s">
        <v>750</v>
      </c>
    </row>
    <row r="53" spans="1:2">
      <c r="A53" s="223"/>
      <c r="B53" s="93" t="s">
        <v>823</v>
      </c>
    </row>
  </sheetData>
  <mergeCells count="10">
    <mergeCell ref="A48:A50"/>
    <mergeCell ref="A51:A53"/>
    <mergeCell ref="B3:D3"/>
    <mergeCell ref="B4:D4"/>
    <mergeCell ref="B5:D5"/>
    <mergeCell ref="AJ46:AP46"/>
    <mergeCell ref="V46:W46"/>
    <mergeCell ref="P46:S46"/>
    <mergeCell ref="F3:O3"/>
    <mergeCell ref="F4:O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A4AF-3A32-4C8E-89AB-7FA17ADF2AB9}">
  <dimension ref="A1:AH62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825</v>
      </c>
    </row>
    <row r="3" spans="1:34" ht="17.45">
      <c r="A3" s="25" t="s">
        <v>77</v>
      </c>
      <c r="B3" s="203">
        <v>51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826</v>
      </c>
      <c r="C4" s="203"/>
      <c r="D4" s="203"/>
      <c r="F4" s="204" t="s">
        <v>827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0"/>
      <c r="C8" s="83" t="s">
        <v>690</v>
      </c>
      <c r="D8" s="28" t="s">
        <v>690</v>
      </c>
      <c r="E8" s="28" t="s">
        <v>690</v>
      </c>
      <c r="F8" s="28" t="s">
        <v>690</v>
      </c>
      <c r="G8" s="28" t="s">
        <v>690</v>
      </c>
      <c r="H8" s="86" t="s">
        <v>690</v>
      </c>
      <c r="I8" s="28" t="s">
        <v>690</v>
      </c>
      <c r="J8" s="28" t="s">
        <v>690</v>
      </c>
      <c r="K8" s="28" t="s">
        <v>690</v>
      </c>
      <c r="L8" s="28" t="s">
        <v>690</v>
      </c>
      <c r="M8" s="28" t="s">
        <v>690</v>
      </c>
      <c r="N8" s="28" t="s">
        <v>690</v>
      </c>
      <c r="O8" s="28" t="s">
        <v>690</v>
      </c>
      <c r="P8" s="28" t="s">
        <v>691</v>
      </c>
      <c r="Q8" s="28" t="s">
        <v>691</v>
      </c>
      <c r="R8" s="80"/>
      <c r="S8" s="28" t="s">
        <v>692</v>
      </c>
      <c r="T8" s="80"/>
      <c r="U8" s="84"/>
      <c r="V8" s="84"/>
      <c r="W8" s="84"/>
      <c r="X8" s="28" t="s">
        <v>502</v>
      </c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>
      <c r="A9" s="26" t="s">
        <v>121</v>
      </c>
      <c r="B9" s="81"/>
      <c r="C9" s="29" t="s">
        <v>502</v>
      </c>
      <c r="D9" s="28" t="s">
        <v>693</v>
      </c>
      <c r="E9" s="28" t="s">
        <v>694</v>
      </c>
      <c r="F9" s="28" t="s">
        <v>694</v>
      </c>
      <c r="G9" s="29" t="s">
        <v>695</v>
      </c>
      <c r="H9" s="91" t="s">
        <v>696</v>
      </c>
      <c r="I9" s="28" t="s">
        <v>695</v>
      </c>
      <c r="J9" s="28" t="s">
        <v>695</v>
      </c>
      <c r="K9" s="28" t="s">
        <v>697</v>
      </c>
      <c r="L9" s="28" t="s">
        <v>695</v>
      </c>
      <c r="M9" s="28" t="s">
        <v>698</v>
      </c>
      <c r="N9" s="28" t="s">
        <v>690</v>
      </c>
      <c r="O9" s="28" t="s">
        <v>690</v>
      </c>
      <c r="P9" s="28" t="s">
        <v>690</v>
      </c>
      <c r="Q9" s="28" t="s">
        <v>690</v>
      </c>
      <c r="R9" s="80"/>
      <c r="S9" s="28" t="s">
        <v>695</v>
      </c>
      <c r="T9" s="80"/>
      <c r="U9" s="172"/>
      <c r="V9" s="172"/>
      <c r="W9" s="172"/>
      <c r="X9" s="29" t="s">
        <v>502</v>
      </c>
      <c r="Y9" s="81"/>
      <c r="Z9" s="81"/>
      <c r="AA9" s="81"/>
      <c r="AB9" s="81"/>
      <c r="AC9" s="81"/>
      <c r="AD9" s="81"/>
      <c r="AE9" s="81"/>
      <c r="AF9" s="81"/>
      <c r="AG9" s="81"/>
      <c r="AH9" s="81"/>
    </row>
    <row r="10" spans="1:34">
      <c r="A10" s="140" t="s">
        <v>122</v>
      </c>
      <c r="B10" s="174"/>
      <c r="C10" s="167">
        <v>501</v>
      </c>
      <c r="D10" s="167">
        <v>502</v>
      </c>
      <c r="E10" s="167">
        <v>508</v>
      </c>
      <c r="F10" s="167">
        <v>508</v>
      </c>
      <c r="G10" s="167">
        <v>504</v>
      </c>
      <c r="H10" s="171">
        <v>550</v>
      </c>
      <c r="I10" s="167">
        <v>504</v>
      </c>
      <c r="J10" s="167">
        <v>504</v>
      </c>
      <c r="K10" s="167">
        <v>515</v>
      </c>
      <c r="L10" s="167">
        <v>504</v>
      </c>
      <c r="M10" s="167">
        <v>514</v>
      </c>
      <c r="N10" s="167">
        <v>503</v>
      </c>
      <c r="O10" s="167">
        <v>503</v>
      </c>
      <c r="P10" s="167">
        <v>503</v>
      </c>
      <c r="Q10" s="167">
        <v>503</v>
      </c>
      <c r="R10" s="174"/>
      <c r="S10" s="167">
        <v>504</v>
      </c>
      <c r="T10" s="174"/>
      <c r="U10" s="175"/>
      <c r="V10" s="175"/>
      <c r="W10" s="175"/>
      <c r="X10" s="167">
        <v>501</v>
      </c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</row>
    <row r="11" spans="1:34">
      <c r="A11" s="26" t="s">
        <v>699</v>
      </c>
      <c r="B11" s="80"/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86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80"/>
      <c r="S11" s="28" t="s">
        <v>127</v>
      </c>
      <c r="T11" s="80"/>
      <c r="U11" s="84"/>
      <c r="V11" s="84"/>
      <c r="W11" s="84"/>
      <c r="X11" s="28" t="s">
        <v>127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>
      <c r="A12" s="26" t="s">
        <v>700</v>
      </c>
      <c r="B12" s="80"/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86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80"/>
      <c r="S12" s="28" t="s">
        <v>127</v>
      </c>
      <c r="T12" s="80"/>
      <c r="U12" s="84"/>
      <c r="V12" s="84"/>
      <c r="W12" s="84"/>
      <c r="X12" s="28" t="s">
        <v>127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>
      <c r="A13" s="26" t="s">
        <v>701</v>
      </c>
      <c r="B13" s="80"/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86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80"/>
      <c r="S13" s="28" t="s">
        <v>124</v>
      </c>
      <c r="T13" s="80"/>
      <c r="U13" s="84"/>
      <c r="V13" s="84"/>
      <c r="W13" s="84"/>
      <c r="X13" s="28" t="s">
        <v>124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>
      <c r="A14" s="26" t="s">
        <v>702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86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80"/>
      <c r="U14" s="84"/>
      <c r="V14" s="84"/>
      <c r="W14" s="84"/>
      <c r="X14" s="28" t="s">
        <v>127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>
      <c r="A15" s="26" t="s">
        <v>703</v>
      </c>
      <c r="B15" s="80"/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86" t="s">
        <v>127</v>
      </c>
      <c r="I15" s="28" t="s">
        <v>127</v>
      </c>
      <c r="J15" s="28" t="s">
        <v>127</v>
      </c>
      <c r="K15" s="28" t="s">
        <v>127</v>
      </c>
      <c r="L15" s="28" t="s">
        <v>127</v>
      </c>
      <c r="M15" s="28" t="s">
        <v>127</v>
      </c>
      <c r="N15" s="28" t="s">
        <v>127</v>
      </c>
      <c r="O15" s="28" t="s">
        <v>127</v>
      </c>
      <c r="P15" s="28" t="s">
        <v>127</v>
      </c>
      <c r="Q15" s="28" t="s">
        <v>127</v>
      </c>
      <c r="R15" s="80"/>
      <c r="S15" s="28" t="s">
        <v>127</v>
      </c>
      <c r="T15" s="80"/>
      <c r="U15" s="84"/>
      <c r="V15" s="84"/>
      <c r="W15" s="84"/>
      <c r="X15" s="28" t="s">
        <v>127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>
      <c r="A16" s="26" t="s">
        <v>704</v>
      </c>
      <c r="B16" s="80"/>
      <c r="C16" s="28" t="s">
        <v>127</v>
      </c>
      <c r="D16" s="28" t="s">
        <v>127</v>
      </c>
      <c r="E16" s="28" t="s">
        <v>127</v>
      </c>
      <c r="F16" s="28" t="s">
        <v>127</v>
      </c>
      <c r="G16" s="28" t="s">
        <v>127</v>
      </c>
      <c r="H16" s="28" t="s">
        <v>127</v>
      </c>
      <c r="I16" s="28" t="s">
        <v>127</v>
      </c>
      <c r="J16" s="28" t="s">
        <v>127</v>
      </c>
      <c r="K16" s="28" t="s">
        <v>127</v>
      </c>
      <c r="L16" s="28" t="s">
        <v>127</v>
      </c>
      <c r="M16" s="28" t="s">
        <v>127</v>
      </c>
      <c r="N16" s="28" t="s">
        <v>127</v>
      </c>
      <c r="O16" s="28" t="s">
        <v>127</v>
      </c>
      <c r="P16" s="28" t="s">
        <v>127</v>
      </c>
      <c r="Q16" s="28" t="s">
        <v>127</v>
      </c>
      <c r="R16" s="80"/>
      <c r="S16" s="28" t="s">
        <v>127</v>
      </c>
      <c r="T16" s="80"/>
      <c r="U16" s="84"/>
      <c r="V16" s="84"/>
      <c r="W16" s="84"/>
      <c r="X16" s="28" t="s">
        <v>127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>
      <c r="A17" s="26" t="s">
        <v>705</v>
      </c>
      <c r="B17" s="82"/>
      <c r="C17" s="30" t="s">
        <v>706</v>
      </c>
      <c r="D17" s="30" t="s">
        <v>706</v>
      </c>
      <c r="E17" s="28" t="s">
        <v>706</v>
      </c>
      <c r="F17" s="28" t="s">
        <v>706</v>
      </c>
      <c r="G17" s="30" t="s">
        <v>706</v>
      </c>
      <c r="H17" s="92" t="s">
        <v>706</v>
      </c>
      <c r="I17" s="30" t="s">
        <v>706</v>
      </c>
      <c r="J17" s="30" t="s">
        <v>706</v>
      </c>
      <c r="K17" s="30" t="s">
        <v>706</v>
      </c>
      <c r="L17" s="30" t="s">
        <v>706</v>
      </c>
      <c r="M17" s="30" t="s">
        <v>706</v>
      </c>
      <c r="N17" s="30"/>
      <c r="O17" s="30" t="s">
        <v>706</v>
      </c>
      <c r="P17" s="30" t="s">
        <v>707</v>
      </c>
      <c r="Q17" s="30" t="s">
        <v>707</v>
      </c>
      <c r="R17" s="80"/>
      <c r="S17" s="30" t="s">
        <v>706</v>
      </c>
      <c r="T17" s="80"/>
      <c r="U17" s="84"/>
      <c r="V17" s="84"/>
      <c r="W17" s="84"/>
      <c r="X17" s="28" t="s">
        <v>706</v>
      </c>
      <c r="Y17" s="80"/>
      <c r="Z17" s="80"/>
      <c r="AA17" s="82"/>
      <c r="AB17" s="82"/>
      <c r="AC17" s="82"/>
      <c r="AD17" s="82"/>
      <c r="AE17" s="82"/>
      <c r="AF17" s="82"/>
      <c r="AG17" s="82"/>
      <c r="AH17" s="82"/>
    </row>
    <row r="18" spans="1:34">
      <c r="A18" s="26" t="s">
        <v>708</v>
      </c>
      <c r="B18" s="82"/>
      <c r="C18" s="28" t="s">
        <v>709</v>
      </c>
      <c r="D18" s="28" t="s">
        <v>709</v>
      </c>
      <c r="E18" s="28" t="s">
        <v>709</v>
      </c>
      <c r="F18" s="28" t="s">
        <v>709</v>
      </c>
      <c r="G18" s="30" t="s">
        <v>710</v>
      </c>
      <c r="H18" s="92" t="s">
        <v>710</v>
      </c>
      <c r="I18" s="30" t="s">
        <v>710</v>
      </c>
      <c r="J18" s="30" t="s">
        <v>710</v>
      </c>
      <c r="K18" s="30" t="s">
        <v>710</v>
      </c>
      <c r="L18" s="30" t="s">
        <v>710</v>
      </c>
      <c r="M18" s="30" t="s">
        <v>710</v>
      </c>
      <c r="N18" s="28" t="s">
        <v>710</v>
      </c>
      <c r="O18" s="28" t="s">
        <v>710</v>
      </c>
      <c r="P18" s="28" t="s">
        <v>710</v>
      </c>
      <c r="Q18" s="28" t="s">
        <v>710</v>
      </c>
      <c r="R18" s="82"/>
      <c r="S18" s="30" t="s">
        <v>710</v>
      </c>
      <c r="T18" s="82"/>
      <c r="U18" s="190"/>
      <c r="V18" s="190"/>
      <c r="W18" s="190"/>
      <c r="X18" s="28" t="s">
        <v>709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1:34">
      <c r="A19" s="26" t="s">
        <v>711</v>
      </c>
      <c r="B19" s="80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8">
        <v>3</v>
      </c>
      <c r="J19" s="128">
        <v>3</v>
      </c>
      <c r="K19" s="128">
        <v>2</v>
      </c>
      <c r="L19" s="128">
        <v>3</v>
      </c>
      <c r="M19" s="128">
        <v>3</v>
      </c>
      <c r="N19" s="128">
        <v>4</v>
      </c>
      <c r="O19" s="128">
        <v>4</v>
      </c>
      <c r="P19" s="128">
        <v>4</v>
      </c>
      <c r="Q19" s="128">
        <v>4</v>
      </c>
      <c r="R19" s="81"/>
      <c r="S19" s="128">
        <v>3</v>
      </c>
      <c r="T19" s="81"/>
      <c r="U19" s="80"/>
      <c r="V19" s="80"/>
      <c r="W19" s="80"/>
      <c r="X19" s="30">
        <v>6</v>
      </c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>
      <c r="A20" s="26" t="s">
        <v>712</v>
      </c>
      <c r="B20" s="80"/>
      <c r="C20" s="28" t="s">
        <v>713</v>
      </c>
      <c r="D20" s="28" t="s">
        <v>713</v>
      </c>
      <c r="E20" s="28" t="s">
        <v>713</v>
      </c>
      <c r="F20" s="28" t="s">
        <v>713</v>
      </c>
      <c r="G20" s="28" t="s">
        <v>713</v>
      </c>
      <c r="H20" s="28" t="s">
        <v>713</v>
      </c>
      <c r="I20" s="28" t="s">
        <v>713</v>
      </c>
      <c r="J20" s="28" t="s">
        <v>713</v>
      </c>
      <c r="K20" s="28" t="s">
        <v>714</v>
      </c>
      <c r="L20" s="28" t="s">
        <v>713</v>
      </c>
      <c r="M20" s="28" t="s">
        <v>714</v>
      </c>
      <c r="N20" s="28" t="s">
        <v>713</v>
      </c>
      <c r="O20" s="28" t="s">
        <v>713</v>
      </c>
      <c r="P20" s="28" t="s">
        <v>713</v>
      </c>
      <c r="Q20" s="28" t="s">
        <v>713</v>
      </c>
      <c r="R20" s="80"/>
      <c r="S20" s="28" t="s">
        <v>713</v>
      </c>
      <c r="T20" s="80"/>
      <c r="U20" s="80"/>
      <c r="V20" s="80"/>
      <c r="W20" s="80"/>
      <c r="X20" s="28" t="s">
        <v>713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>
      <c r="A21" s="26" t="s">
        <v>715</v>
      </c>
      <c r="B21" s="82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/>
      <c r="S21" s="30">
        <v>1</v>
      </c>
      <c r="T21" s="82"/>
      <c r="U21" s="82"/>
      <c r="V21" s="82"/>
      <c r="W21" s="82"/>
      <c r="X21" s="30">
        <v>1</v>
      </c>
      <c r="Y21" s="82"/>
      <c r="Z21" s="82"/>
      <c r="AA21" s="82"/>
      <c r="AB21" s="82"/>
      <c r="AC21" s="82"/>
      <c r="AD21" s="82"/>
      <c r="AE21" s="82"/>
      <c r="AF21" s="82"/>
      <c r="AG21" s="82"/>
      <c r="AH21" s="82"/>
    </row>
    <row r="23" spans="1:34">
      <c r="A23" s="26" t="s">
        <v>117</v>
      </c>
      <c r="B23" s="28" t="s">
        <v>362</v>
      </c>
      <c r="C23" s="28" t="s">
        <v>206</v>
      </c>
      <c r="D23" s="28" t="s">
        <v>206</v>
      </c>
      <c r="E23" s="28" t="s">
        <v>206</v>
      </c>
      <c r="F23" s="28" t="s">
        <v>206</v>
      </c>
      <c r="G23" s="28" t="s">
        <v>206</v>
      </c>
      <c r="H23" s="28" t="s">
        <v>206</v>
      </c>
      <c r="I23" s="28" t="s">
        <v>206</v>
      </c>
      <c r="J23" s="28" t="s">
        <v>206</v>
      </c>
      <c r="K23" s="28" t="s">
        <v>206</v>
      </c>
      <c r="L23" s="28" t="s">
        <v>206</v>
      </c>
      <c r="M23" s="28" t="s">
        <v>206</v>
      </c>
      <c r="N23" s="28" t="s">
        <v>206</v>
      </c>
      <c r="O23" s="28" t="s">
        <v>206</v>
      </c>
      <c r="P23" s="187"/>
      <c r="Q23" s="80"/>
      <c r="R23" s="86" t="s">
        <v>206</v>
      </c>
      <c r="S23" s="80"/>
      <c r="T23" s="28" t="s">
        <v>206</v>
      </c>
      <c r="U23" s="28" t="s">
        <v>206</v>
      </c>
      <c r="V23" s="28" t="s">
        <v>206</v>
      </c>
      <c r="W23" s="28" t="s">
        <v>206</v>
      </c>
      <c r="X23" s="83" t="s">
        <v>206</v>
      </c>
      <c r="Y23" s="28" t="s">
        <v>206</v>
      </c>
      <c r="Z23" s="28" t="s">
        <v>206</v>
      </c>
      <c r="AA23" s="28" t="s">
        <v>206</v>
      </c>
      <c r="AB23" s="28" t="s">
        <v>206</v>
      </c>
      <c r="AC23" s="28" t="s">
        <v>206</v>
      </c>
      <c r="AD23" s="28" t="s">
        <v>206</v>
      </c>
      <c r="AE23" s="28" t="s">
        <v>206</v>
      </c>
      <c r="AF23" s="28" t="s">
        <v>206</v>
      </c>
      <c r="AG23" s="28" t="s">
        <v>206</v>
      </c>
      <c r="AH23" s="83" t="s">
        <v>206</v>
      </c>
    </row>
    <row r="24" spans="1:34">
      <c r="A24" s="26" t="s">
        <v>121</v>
      </c>
      <c r="B24" s="29" t="s">
        <v>210</v>
      </c>
      <c r="C24" s="28" t="s">
        <v>231</v>
      </c>
      <c r="D24" s="29" t="s">
        <v>206</v>
      </c>
      <c r="E24" s="28" t="s">
        <v>210</v>
      </c>
      <c r="F24" s="28" t="s">
        <v>210</v>
      </c>
      <c r="G24" s="28" t="s">
        <v>210</v>
      </c>
      <c r="H24" s="28" t="s">
        <v>341</v>
      </c>
      <c r="I24" s="29" t="s">
        <v>206</v>
      </c>
      <c r="J24" s="28" t="s">
        <v>210</v>
      </c>
      <c r="K24" s="28" t="s">
        <v>210</v>
      </c>
      <c r="L24" s="28" t="s">
        <v>210</v>
      </c>
      <c r="M24" s="28" t="s">
        <v>210</v>
      </c>
      <c r="N24" s="28" t="s">
        <v>210</v>
      </c>
      <c r="O24" s="28" t="s">
        <v>210</v>
      </c>
      <c r="P24" s="188"/>
      <c r="Q24" s="80"/>
      <c r="R24" s="86" t="s">
        <v>211</v>
      </c>
      <c r="S24" s="80"/>
      <c r="T24" s="28" t="s">
        <v>716</v>
      </c>
      <c r="U24" s="28" t="s">
        <v>210</v>
      </c>
      <c r="V24" s="28" t="s">
        <v>231</v>
      </c>
      <c r="W24" s="28" t="s">
        <v>717</v>
      </c>
      <c r="X24" s="83" t="s">
        <v>210</v>
      </c>
      <c r="Y24" s="115" t="s">
        <v>364</v>
      </c>
      <c r="Z24" s="28" t="s">
        <v>206</v>
      </c>
      <c r="AA24" s="28" t="s">
        <v>206</v>
      </c>
      <c r="AB24" s="28" t="s">
        <v>206</v>
      </c>
      <c r="AC24" s="28" t="s">
        <v>231</v>
      </c>
      <c r="AD24" s="28" t="s">
        <v>206</v>
      </c>
      <c r="AE24" s="28" t="s">
        <v>718</v>
      </c>
      <c r="AF24" s="28" t="s">
        <v>210</v>
      </c>
      <c r="AG24" s="28" t="s">
        <v>211</v>
      </c>
      <c r="AH24" s="85" t="s">
        <v>211</v>
      </c>
    </row>
    <row r="25" spans="1:34">
      <c r="A25" s="140" t="s">
        <v>122</v>
      </c>
      <c r="B25" s="167">
        <v>52</v>
      </c>
      <c r="C25" s="167">
        <v>56</v>
      </c>
      <c r="D25" s="167">
        <v>50</v>
      </c>
      <c r="E25" s="167">
        <v>122</v>
      </c>
      <c r="F25" s="167">
        <v>52</v>
      </c>
      <c r="G25" s="167">
        <v>52</v>
      </c>
      <c r="H25" s="167">
        <v>68</v>
      </c>
      <c r="I25" s="167">
        <v>50</v>
      </c>
      <c r="J25" s="167">
        <v>52</v>
      </c>
      <c r="K25" s="167">
        <v>52</v>
      </c>
      <c r="L25" s="167">
        <v>52</v>
      </c>
      <c r="M25" s="167">
        <v>52</v>
      </c>
      <c r="N25" s="167">
        <v>52</v>
      </c>
      <c r="O25" s="167">
        <v>52</v>
      </c>
      <c r="P25" s="189"/>
      <c r="Q25" s="174"/>
      <c r="R25" s="171">
        <v>48</v>
      </c>
      <c r="S25" s="174"/>
      <c r="T25" s="167">
        <v>159</v>
      </c>
      <c r="U25" s="167">
        <v>52</v>
      </c>
      <c r="V25" s="167">
        <v>56</v>
      </c>
      <c r="W25" s="167">
        <v>103</v>
      </c>
      <c r="X25" s="168">
        <v>52</v>
      </c>
      <c r="Y25" s="167">
        <v>118</v>
      </c>
      <c r="Z25" s="167">
        <v>50</v>
      </c>
      <c r="AA25" s="167">
        <v>50</v>
      </c>
      <c r="AB25" s="167">
        <v>50</v>
      </c>
      <c r="AC25" s="167">
        <v>56</v>
      </c>
      <c r="AD25" s="167">
        <v>50</v>
      </c>
      <c r="AE25" s="167">
        <v>160</v>
      </c>
      <c r="AF25" s="167">
        <v>52</v>
      </c>
      <c r="AG25" s="167">
        <v>48</v>
      </c>
      <c r="AH25" s="168">
        <v>48</v>
      </c>
    </row>
    <row r="26" spans="1:34">
      <c r="A26" s="26" t="s">
        <v>123</v>
      </c>
      <c r="B26" s="29" t="s">
        <v>124</v>
      </c>
      <c r="C26" s="28" t="s">
        <v>124</v>
      </c>
      <c r="D26" s="28" t="s">
        <v>124</v>
      </c>
      <c r="E26" s="28" t="s">
        <v>124</v>
      </c>
      <c r="F26" s="28" t="s">
        <v>124</v>
      </c>
      <c r="G26" s="29" t="s">
        <v>124</v>
      </c>
      <c r="H26" s="29" t="s">
        <v>124</v>
      </c>
      <c r="I26" s="29" t="s">
        <v>124</v>
      </c>
      <c r="J26" s="28" t="s">
        <v>124</v>
      </c>
      <c r="K26" s="29" t="s">
        <v>124</v>
      </c>
      <c r="L26" s="29" t="s">
        <v>124</v>
      </c>
      <c r="M26" s="29" t="s">
        <v>124</v>
      </c>
      <c r="N26" s="28" t="s">
        <v>124</v>
      </c>
      <c r="O26" s="28" t="s">
        <v>124</v>
      </c>
      <c r="P26" s="80"/>
      <c r="Q26" s="81"/>
      <c r="R26" s="29" t="s">
        <v>124</v>
      </c>
      <c r="S26" s="81"/>
      <c r="T26" s="29" t="s">
        <v>124</v>
      </c>
      <c r="U26" s="29" t="s">
        <v>124</v>
      </c>
      <c r="V26" s="28" t="s">
        <v>124</v>
      </c>
      <c r="W26" s="28" t="s">
        <v>124</v>
      </c>
      <c r="X26" s="28" t="s">
        <v>124</v>
      </c>
      <c r="Y26" s="28" t="s">
        <v>124</v>
      </c>
      <c r="Z26" s="28" t="s">
        <v>124</v>
      </c>
      <c r="AA26" s="28" t="s">
        <v>124</v>
      </c>
      <c r="AB26" s="28" t="s">
        <v>124</v>
      </c>
      <c r="AC26" s="28" t="s">
        <v>124</v>
      </c>
      <c r="AD26" s="28" t="s">
        <v>124</v>
      </c>
      <c r="AE26" s="28" t="s">
        <v>124</v>
      </c>
      <c r="AF26" s="28" t="s">
        <v>124</v>
      </c>
      <c r="AG26" s="28" t="s">
        <v>124</v>
      </c>
      <c r="AH26" s="85" t="s">
        <v>124</v>
      </c>
    </row>
    <row r="27" spans="1:34">
      <c r="A27" s="26" t="s">
        <v>125</v>
      </c>
      <c r="B27" s="28" t="s">
        <v>127</v>
      </c>
      <c r="C27" s="28" t="s">
        <v>127</v>
      </c>
      <c r="D27" s="28" t="s">
        <v>127</v>
      </c>
      <c r="E27" s="28" t="s">
        <v>127</v>
      </c>
      <c r="F27" s="28" t="s">
        <v>127</v>
      </c>
      <c r="G27" s="28" t="s">
        <v>127</v>
      </c>
      <c r="H27" s="29" t="s">
        <v>124</v>
      </c>
      <c r="I27" s="28" t="s">
        <v>127</v>
      </c>
      <c r="J27" s="28" t="s">
        <v>127</v>
      </c>
      <c r="K27" s="28" t="s">
        <v>127</v>
      </c>
      <c r="L27" s="28" t="s">
        <v>127</v>
      </c>
      <c r="M27" s="28" t="s">
        <v>127</v>
      </c>
      <c r="N27" s="28" t="s">
        <v>127</v>
      </c>
      <c r="O27" s="28" t="s">
        <v>127</v>
      </c>
      <c r="P27" s="80"/>
      <c r="Q27" s="80"/>
      <c r="R27" s="28" t="s">
        <v>127</v>
      </c>
      <c r="S27" s="80"/>
      <c r="T27" s="28" t="s">
        <v>127</v>
      </c>
      <c r="U27" s="28" t="s">
        <v>127</v>
      </c>
      <c r="V27" s="28" t="s">
        <v>127</v>
      </c>
      <c r="W27" s="28" t="s">
        <v>127</v>
      </c>
      <c r="X27" s="29" t="s">
        <v>127</v>
      </c>
      <c r="Y27" s="29" t="s">
        <v>127</v>
      </c>
      <c r="Z27" s="28" t="s">
        <v>127</v>
      </c>
      <c r="AA27" s="28" t="s">
        <v>127</v>
      </c>
      <c r="AB27" s="28" t="s">
        <v>127</v>
      </c>
      <c r="AC27" s="28" t="s">
        <v>127</v>
      </c>
      <c r="AD27" s="28" t="s">
        <v>127</v>
      </c>
      <c r="AE27" s="28" t="s">
        <v>127</v>
      </c>
      <c r="AF27" s="28" t="s">
        <v>127</v>
      </c>
      <c r="AG27" s="28" t="s">
        <v>127</v>
      </c>
      <c r="AH27" s="83" t="s">
        <v>127</v>
      </c>
    </row>
    <row r="28" spans="1:34">
      <c r="A28" s="26" t="s">
        <v>126</v>
      </c>
      <c r="B28" s="28" t="s">
        <v>124</v>
      </c>
      <c r="C28" s="28" t="s">
        <v>124</v>
      </c>
      <c r="D28" s="28" t="s">
        <v>124</v>
      </c>
      <c r="E28" s="28" t="s">
        <v>124</v>
      </c>
      <c r="F28" s="28" t="s">
        <v>124</v>
      </c>
      <c r="G28" s="28" t="s">
        <v>124</v>
      </c>
      <c r="H28" s="28" t="s">
        <v>127</v>
      </c>
      <c r="I28" s="28" t="s">
        <v>124</v>
      </c>
      <c r="J28" s="28" t="s">
        <v>124</v>
      </c>
      <c r="K28" s="28" t="s">
        <v>124</v>
      </c>
      <c r="L28" s="28" t="s">
        <v>124</v>
      </c>
      <c r="M28" s="28" t="s">
        <v>124</v>
      </c>
      <c r="N28" s="28" t="s">
        <v>124</v>
      </c>
      <c r="O28" s="28" t="s">
        <v>124</v>
      </c>
      <c r="P28" s="80"/>
      <c r="Q28" s="80"/>
      <c r="R28" s="28" t="s">
        <v>124</v>
      </c>
      <c r="S28" s="80"/>
      <c r="T28" s="28" t="s">
        <v>124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 t="s">
        <v>124</v>
      </c>
      <c r="Z28" s="28" t="s">
        <v>124</v>
      </c>
      <c r="AA28" s="28" t="s">
        <v>124</v>
      </c>
      <c r="AB28" s="28" t="s">
        <v>124</v>
      </c>
      <c r="AC28" s="28" t="s">
        <v>124</v>
      </c>
      <c r="AD28" s="28" t="s">
        <v>124</v>
      </c>
      <c r="AE28" s="28" t="s">
        <v>124</v>
      </c>
      <c r="AF28" s="28" t="s">
        <v>124</v>
      </c>
      <c r="AG28" s="28" t="s">
        <v>124</v>
      </c>
      <c r="AH28" s="83" t="s">
        <v>124</v>
      </c>
    </row>
    <row r="29" spans="1:34">
      <c r="A29" s="26" t="s">
        <v>128</v>
      </c>
      <c r="B29" s="28" t="s">
        <v>127</v>
      </c>
      <c r="C29" s="28" t="s">
        <v>127</v>
      </c>
      <c r="D29" s="28" t="s">
        <v>127</v>
      </c>
      <c r="E29" s="28" t="s">
        <v>127</v>
      </c>
      <c r="F29" s="28" t="s">
        <v>127</v>
      </c>
      <c r="G29" s="28" t="s">
        <v>127</v>
      </c>
      <c r="H29" s="28" t="s">
        <v>127</v>
      </c>
      <c r="I29" s="28" t="s">
        <v>127</v>
      </c>
      <c r="J29" s="28" t="s">
        <v>127</v>
      </c>
      <c r="K29" s="28" t="s">
        <v>127</v>
      </c>
      <c r="L29" s="28" t="s">
        <v>127</v>
      </c>
      <c r="M29" s="28" t="s">
        <v>127</v>
      </c>
      <c r="N29" s="28" t="s">
        <v>127</v>
      </c>
      <c r="O29" s="28" t="s">
        <v>127</v>
      </c>
      <c r="P29" s="80"/>
      <c r="Q29" s="80"/>
      <c r="R29" s="28" t="s">
        <v>127</v>
      </c>
      <c r="S29" s="80"/>
      <c r="T29" s="28" t="s">
        <v>127</v>
      </c>
      <c r="U29" s="28" t="s">
        <v>127</v>
      </c>
      <c r="V29" s="28" t="s">
        <v>127</v>
      </c>
      <c r="W29" s="28" t="s">
        <v>127</v>
      </c>
      <c r="X29" s="28" t="s">
        <v>127</v>
      </c>
      <c r="Y29" s="28" t="s">
        <v>127</v>
      </c>
      <c r="Z29" s="28" t="s">
        <v>127</v>
      </c>
      <c r="AA29" s="28" t="s">
        <v>127</v>
      </c>
      <c r="AB29" s="28" t="s">
        <v>127</v>
      </c>
      <c r="AC29" s="28" t="s">
        <v>127</v>
      </c>
      <c r="AD29" s="28" t="s">
        <v>127</v>
      </c>
      <c r="AE29" s="28" t="s">
        <v>127</v>
      </c>
      <c r="AF29" s="28" t="s">
        <v>127</v>
      </c>
      <c r="AG29" s="28" t="s">
        <v>127</v>
      </c>
      <c r="AH29" s="83" t="s">
        <v>127</v>
      </c>
    </row>
    <row r="30" spans="1:34">
      <c r="A30" s="26" t="s">
        <v>129</v>
      </c>
      <c r="B30" s="28" t="s">
        <v>149</v>
      </c>
      <c r="C30" s="28" t="s">
        <v>150</v>
      </c>
      <c r="D30" s="28" t="s">
        <v>149</v>
      </c>
      <c r="E30" s="28" t="s">
        <v>149</v>
      </c>
      <c r="F30" s="28" t="s">
        <v>149</v>
      </c>
      <c r="G30" s="28" t="s">
        <v>149</v>
      </c>
      <c r="H30" s="28" t="s">
        <v>343</v>
      </c>
      <c r="I30" s="28" t="s">
        <v>149</v>
      </c>
      <c r="J30" s="28" t="s">
        <v>149</v>
      </c>
      <c r="K30" s="28" t="s">
        <v>149</v>
      </c>
      <c r="L30" s="28" t="s">
        <v>149</v>
      </c>
      <c r="M30" s="28" t="s">
        <v>149</v>
      </c>
      <c r="N30" s="28" t="s">
        <v>149</v>
      </c>
      <c r="O30" s="28" t="s">
        <v>149</v>
      </c>
      <c r="P30" s="80"/>
      <c r="Q30" s="80"/>
      <c r="R30" s="28" t="s">
        <v>149</v>
      </c>
      <c r="S30" s="80"/>
      <c r="T30" s="28" t="s">
        <v>149</v>
      </c>
      <c r="U30" s="28" t="s">
        <v>149</v>
      </c>
      <c r="V30" s="28" t="s">
        <v>150</v>
      </c>
      <c r="W30" s="28" t="s">
        <v>316</v>
      </c>
      <c r="X30" s="28" t="s">
        <v>149</v>
      </c>
      <c r="Y30" s="28" t="s">
        <v>149</v>
      </c>
      <c r="Z30" s="28" t="s">
        <v>149</v>
      </c>
      <c r="AA30" s="28" t="s">
        <v>149</v>
      </c>
      <c r="AB30" s="28" t="s">
        <v>149</v>
      </c>
      <c r="AC30" s="28" t="s">
        <v>150</v>
      </c>
      <c r="AD30" s="28" t="s">
        <v>149</v>
      </c>
      <c r="AE30" s="28" t="s">
        <v>316</v>
      </c>
      <c r="AF30" s="28" t="s">
        <v>149</v>
      </c>
      <c r="AG30" s="28" t="s">
        <v>149</v>
      </c>
      <c r="AH30" s="83" t="s">
        <v>149</v>
      </c>
    </row>
    <row r="31" spans="1:34">
      <c r="A31" s="26" t="s">
        <v>130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/>
      <c r="Q31" s="82"/>
      <c r="R31" s="30">
        <f>4/3</f>
        <v>1.3333333333333333</v>
      </c>
      <c r="S31" s="82"/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>
      <c r="A32" s="26" t="s">
        <v>131</v>
      </c>
      <c r="B32" s="28" t="s">
        <v>180</v>
      </c>
      <c r="C32" s="28" t="s">
        <v>180</v>
      </c>
      <c r="D32" s="28" t="s">
        <v>180</v>
      </c>
      <c r="E32" s="28" t="s">
        <v>180</v>
      </c>
      <c r="F32" s="28" t="s">
        <v>180</v>
      </c>
      <c r="G32" s="28" t="s">
        <v>180</v>
      </c>
      <c r="H32" s="28" t="s">
        <v>180</v>
      </c>
      <c r="I32" s="28" t="s">
        <v>180</v>
      </c>
      <c r="J32" s="28" t="s">
        <v>180</v>
      </c>
      <c r="K32" s="28" t="s">
        <v>180</v>
      </c>
      <c r="L32" s="28" t="s">
        <v>180</v>
      </c>
      <c r="M32" s="28" t="s">
        <v>180</v>
      </c>
      <c r="N32" s="28" t="s">
        <v>180</v>
      </c>
      <c r="O32" s="28" t="s">
        <v>180</v>
      </c>
      <c r="P32" s="80"/>
      <c r="Q32" s="80"/>
      <c r="R32" s="28" t="s">
        <v>180</v>
      </c>
      <c r="S32" s="80"/>
      <c r="T32" s="28" t="s">
        <v>180</v>
      </c>
      <c r="U32" s="28" t="s">
        <v>180</v>
      </c>
      <c r="V32" s="28" t="s">
        <v>180</v>
      </c>
      <c r="W32" s="28" t="s">
        <v>180</v>
      </c>
      <c r="X32" s="28" t="s">
        <v>180</v>
      </c>
      <c r="Y32" s="28" t="s">
        <v>180</v>
      </c>
      <c r="Z32" s="28" t="s">
        <v>180</v>
      </c>
      <c r="AA32" s="28" t="s">
        <v>180</v>
      </c>
      <c r="AB32" s="28" t="s">
        <v>180</v>
      </c>
      <c r="AC32" s="28" t="s">
        <v>180</v>
      </c>
      <c r="AD32" s="28" t="s">
        <v>180</v>
      </c>
      <c r="AE32" s="28" t="s">
        <v>180</v>
      </c>
      <c r="AF32" s="28" t="s">
        <v>180</v>
      </c>
      <c r="AG32" s="28" t="s">
        <v>180</v>
      </c>
      <c r="AH32" s="83" t="s">
        <v>180</v>
      </c>
    </row>
    <row r="33" spans="1:34">
      <c r="A33" s="26" t="s">
        <v>133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/>
      <c r="Q33" s="82"/>
      <c r="R33" s="30">
        <v>2</v>
      </c>
      <c r="S33" s="82"/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4" spans="1:34">
      <c r="A34" s="31"/>
    </row>
    <row r="35" spans="1:34">
      <c r="A35" s="26" t="s">
        <v>117</v>
      </c>
      <c r="B35" s="28" t="s">
        <v>142</v>
      </c>
      <c r="C35" s="28" t="s">
        <v>143</v>
      </c>
      <c r="D35" s="28" t="s">
        <v>143</v>
      </c>
      <c r="E35" s="28" t="s">
        <v>143</v>
      </c>
      <c r="F35" s="28" t="s">
        <v>143</v>
      </c>
      <c r="G35" s="28" t="s">
        <v>143</v>
      </c>
      <c r="H35" s="28" t="s">
        <v>143</v>
      </c>
      <c r="I35" s="28" t="s">
        <v>143</v>
      </c>
      <c r="J35" s="28" t="s">
        <v>143</v>
      </c>
      <c r="K35" s="28" t="s">
        <v>143</v>
      </c>
      <c r="L35" s="28" t="s">
        <v>143</v>
      </c>
      <c r="M35" s="28" t="s">
        <v>143</v>
      </c>
      <c r="N35" s="28" t="s">
        <v>143</v>
      </c>
      <c r="O35" s="28" t="s">
        <v>143</v>
      </c>
      <c r="P35" s="28" t="s">
        <v>143</v>
      </c>
      <c r="Q35" s="28" t="s">
        <v>143</v>
      </c>
      <c r="R35" s="28" t="s">
        <v>143</v>
      </c>
      <c r="S35" s="28" t="s">
        <v>143</v>
      </c>
      <c r="T35" s="28" t="s">
        <v>143</v>
      </c>
      <c r="U35" s="28" t="s">
        <v>143</v>
      </c>
      <c r="V35" s="28" t="s">
        <v>143</v>
      </c>
      <c r="W35" s="28" t="s">
        <v>143</v>
      </c>
      <c r="X35" s="28" t="s">
        <v>143</v>
      </c>
      <c r="Y35" s="28" t="s">
        <v>143</v>
      </c>
      <c r="Z35" s="28" t="s">
        <v>143</v>
      </c>
      <c r="AA35" s="28" t="s">
        <v>143</v>
      </c>
      <c r="AB35" s="28" t="s">
        <v>143</v>
      </c>
      <c r="AC35" s="28" t="s">
        <v>143</v>
      </c>
      <c r="AD35" s="28" t="s">
        <v>143</v>
      </c>
      <c r="AE35" s="28" t="s">
        <v>143</v>
      </c>
      <c r="AF35" s="28" t="s">
        <v>143</v>
      </c>
      <c r="AG35" s="28" t="s">
        <v>143</v>
      </c>
      <c r="AH35" s="28" t="s">
        <v>143</v>
      </c>
    </row>
    <row r="36" spans="1:34">
      <c r="A36" s="26" t="s">
        <v>121</v>
      </c>
      <c r="B36" s="28" t="s">
        <v>146</v>
      </c>
      <c r="C36" s="28" t="s">
        <v>146</v>
      </c>
      <c r="D36" s="28" t="s">
        <v>146</v>
      </c>
      <c r="E36" s="28" t="s">
        <v>146</v>
      </c>
      <c r="F36" s="28" t="s">
        <v>146</v>
      </c>
      <c r="G36" s="28" t="s">
        <v>146</v>
      </c>
      <c r="H36" s="28" t="s">
        <v>146</v>
      </c>
      <c r="I36" s="28" t="s">
        <v>146</v>
      </c>
      <c r="J36" s="28" t="s">
        <v>146</v>
      </c>
      <c r="K36" s="28" t="s">
        <v>146</v>
      </c>
      <c r="L36" s="28" t="s">
        <v>146</v>
      </c>
      <c r="M36" s="28" t="s">
        <v>146</v>
      </c>
      <c r="N36" s="28" t="s">
        <v>146</v>
      </c>
      <c r="O36" s="28" t="s">
        <v>146</v>
      </c>
      <c r="P36" s="28" t="s">
        <v>146</v>
      </c>
      <c r="Q36" s="28" t="s">
        <v>146</v>
      </c>
      <c r="R36" s="28" t="s">
        <v>146</v>
      </c>
      <c r="S36" s="28" t="s">
        <v>146</v>
      </c>
      <c r="T36" s="28" t="s">
        <v>146</v>
      </c>
      <c r="U36" s="28" t="s">
        <v>146</v>
      </c>
      <c r="V36" s="28" t="s">
        <v>146</v>
      </c>
      <c r="W36" s="28" t="s">
        <v>146</v>
      </c>
      <c r="X36" s="28" t="s">
        <v>146</v>
      </c>
      <c r="Y36" s="28" t="s">
        <v>146</v>
      </c>
      <c r="Z36" s="28" t="s">
        <v>146</v>
      </c>
      <c r="AA36" s="28" t="s">
        <v>146</v>
      </c>
      <c r="AB36" s="28" t="s">
        <v>146</v>
      </c>
      <c r="AC36" s="28" t="s">
        <v>146</v>
      </c>
      <c r="AD36" s="28" t="s">
        <v>146</v>
      </c>
      <c r="AE36" s="28" t="s">
        <v>536</v>
      </c>
      <c r="AF36" s="28" t="s">
        <v>146</v>
      </c>
      <c r="AG36" s="28" t="s">
        <v>146</v>
      </c>
      <c r="AH36" s="28" t="s">
        <v>146</v>
      </c>
    </row>
    <row r="37" spans="1:34">
      <c r="A37" s="140" t="s">
        <v>122</v>
      </c>
      <c r="B37" s="167">
        <v>5</v>
      </c>
      <c r="C37" s="167">
        <v>5</v>
      </c>
      <c r="D37" s="167">
        <v>5</v>
      </c>
      <c r="E37" s="167">
        <v>5</v>
      </c>
      <c r="F37" s="167">
        <v>5</v>
      </c>
      <c r="G37" s="167">
        <v>5</v>
      </c>
      <c r="H37" s="167">
        <v>5</v>
      </c>
      <c r="I37" s="167">
        <v>5</v>
      </c>
      <c r="J37" s="167">
        <v>5</v>
      </c>
      <c r="K37" s="167">
        <v>5</v>
      </c>
      <c r="L37" s="167">
        <v>5</v>
      </c>
      <c r="M37" s="167">
        <v>5</v>
      </c>
      <c r="N37" s="167">
        <v>5</v>
      </c>
      <c r="O37" s="167">
        <v>5</v>
      </c>
      <c r="P37" s="167">
        <v>5</v>
      </c>
      <c r="Q37" s="167">
        <v>5</v>
      </c>
      <c r="R37" s="167">
        <v>5</v>
      </c>
      <c r="S37" s="167">
        <v>5</v>
      </c>
      <c r="T37" s="167">
        <v>5</v>
      </c>
      <c r="U37" s="167">
        <v>5</v>
      </c>
      <c r="V37" s="167">
        <v>5</v>
      </c>
      <c r="W37" s="167">
        <v>5</v>
      </c>
      <c r="X37" s="167">
        <v>5</v>
      </c>
      <c r="Y37" s="167">
        <v>5</v>
      </c>
      <c r="Z37" s="167">
        <v>5</v>
      </c>
      <c r="AA37" s="167">
        <v>5</v>
      </c>
      <c r="AB37" s="167">
        <v>5</v>
      </c>
      <c r="AC37" s="167">
        <v>5</v>
      </c>
      <c r="AD37" s="167">
        <v>5</v>
      </c>
      <c r="AE37" s="178">
        <v>13</v>
      </c>
      <c r="AF37" s="167">
        <v>5</v>
      </c>
      <c r="AG37" s="167">
        <v>5</v>
      </c>
      <c r="AH37" s="167">
        <v>5</v>
      </c>
    </row>
    <row r="38" spans="1:34">
      <c r="A38" s="26" t="s">
        <v>123</v>
      </c>
      <c r="B38" s="29" t="s">
        <v>124</v>
      </c>
      <c r="C38" s="29" t="s">
        <v>124</v>
      </c>
      <c r="D38" s="29" t="s">
        <v>124</v>
      </c>
      <c r="E38" s="29" t="s">
        <v>124</v>
      </c>
      <c r="F38" s="29" t="s">
        <v>124</v>
      </c>
      <c r="G38" s="29" t="s">
        <v>124</v>
      </c>
      <c r="H38" s="29" t="s">
        <v>124</v>
      </c>
      <c r="I38" s="29" t="s">
        <v>124</v>
      </c>
      <c r="J38" s="29" t="s">
        <v>124</v>
      </c>
      <c r="K38" s="29" t="s">
        <v>124</v>
      </c>
      <c r="L38" s="29" t="s">
        <v>124</v>
      </c>
      <c r="M38" s="29" t="s">
        <v>124</v>
      </c>
      <c r="N38" s="29" t="s">
        <v>124</v>
      </c>
      <c r="O38" s="29" t="s">
        <v>124</v>
      </c>
      <c r="P38" s="29" t="s">
        <v>124</v>
      </c>
      <c r="Q38" s="29" t="s">
        <v>124</v>
      </c>
      <c r="R38" s="29" t="s">
        <v>124</v>
      </c>
      <c r="S38" s="29" t="s">
        <v>124</v>
      </c>
      <c r="T38" s="29" t="s">
        <v>124</v>
      </c>
      <c r="U38" s="29" t="s">
        <v>124</v>
      </c>
      <c r="V38" s="29" t="s">
        <v>124</v>
      </c>
      <c r="W38" s="29" t="s">
        <v>124</v>
      </c>
      <c r="X38" s="29" t="s">
        <v>124</v>
      </c>
      <c r="Y38" s="29" t="s">
        <v>124</v>
      </c>
      <c r="Z38" s="29" t="s">
        <v>124</v>
      </c>
      <c r="AA38" s="29" t="s">
        <v>124</v>
      </c>
      <c r="AB38" s="29" t="s">
        <v>124</v>
      </c>
      <c r="AC38" s="29" t="s">
        <v>124</v>
      </c>
      <c r="AD38" s="29" t="s">
        <v>124</v>
      </c>
      <c r="AE38" s="91" t="s">
        <v>124</v>
      </c>
      <c r="AF38" s="29" t="s">
        <v>124</v>
      </c>
      <c r="AG38" s="29" t="s">
        <v>124</v>
      </c>
      <c r="AH38" s="29" t="s">
        <v>124</v>
      </c>
    </row>
    <row r="39" spans="1:34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 t="s">
        <v>127</v>
      </c>
      <c r="S39" s="28" t="s">
        <v>127</v>
      </c>
      <c r="T39" s="28" t="s">
        <v>127</v>
      </c>
      <c r="U39" s="28" t="s">
        <v>127</v>
      </c>
      <c r="V39" s="28" t="s">
        <v>127</v>
      </c>
      <c r="W39" s="28" t="s">
        <v>127</v>
      </c>
      <c r="X39" s="28" t="s">
        <v>127</v>
      </c>
      <c r="Y39" s="28" t="s">
        <v>127</v>
      </c>
      <c r="Z39" s="28" t="s">
        <v>127</v>
      </c>
      <c r="AA39" s="28" t="s">
        <v>127</v>
      </c>
      <c r="AB39" s="28" t="s">
        <v>127</v>
      </c>
      <c r="AC39" s="28" t="s">
        <v>127</v>
      </c>
      <c r="AD39" s="28" t="s">
        <v>127</v>
      </c>
      <c r="AE39" s="86" t="s">
        <v>127</v>
      </c>
      <c r="AF39" s="28" t="s">
        <v>127</v>
      </c>
      <c r="AG39" s="28" t="s">
        <v>127</v>
      </c>
      <c r="AH39" s="28" t="s">
        <v>127</v>
      </c>
    </row>
    <row r="40" spans="1:34">
      <c r="A40" s="26" t="s">
        <v>126</v>
      </c>
      <c r="B40" s="28" t="s">
        <v>127</v>
      </c>
      <c r="C40" s="28" t="s">
        <v>127</v>
      </c>
      <c r="D40" s="28" t="s">
        <v>127</v>
      </c>
      <c r="E40" s="28" t="s">
        <v>127</v>
      </c>
      <c r="F40" s="28" t="s">
        <v>127</v>
      </c>
      <c r="G40" s="28" t="s">
        <v>127</v>
      </c>
      <c r="H40" s="28" t="s">
        <v>127</v>
      </c>
      <c r="I40" s="28" t="s">
        <v>127</v>
      </c>
      <c r="J40" s="28" t="s">
        <v>127</v>
      </c>
      <c r="K40" s="28" t="s">
        <v>127</v>
      </c>
      <c r="L40" s="28" t="s">
        <v>127</v>
      </c>
      <c r="M40" s="28" t="s">
        <v>127</v>
      </c>
      <c r="N40" s="28" t="s">
        <v>127</v>
      </c>
      <c r="O40" s="28" t="s">
        <v>127</v>
      </c>
      <c r="P40" s="28" t="s">
        <v>127</v>
      </c>
      <c r="Q40" s="28" t="s">
        <v>127</v>
      </c>
      <c r="R40" s="28" t="s">
        <v>127</v>
      </c>
      <c r="S40" s="28" t="s">
        <v>127</v>
      </c>
      <c r="T40" s="28" t="s">
        <v>127</v>
      </c>
      <c r="U40" s="28" t="s">
        <v>127</v>
      </c>
      <c r="V40" s="28" t="s">
        <v>127</v>
      </c>
      <c r="W40" s="28" t="s">
        <v>127</v>
      </c>
      <c r="X40" s="28" t="s">
        <v>127</v>
      </c>
      <c r="Y40" s="28" t="s">
        <v>127</v>
      </c>
      <c r="Z40" s="28" t="s">
        <v>127</v>
      </c>
      <c r="AA40" s="28" t="s">
        <v>127</v>
      </c>
      <c r="AB40" s="28" t="s">
        <v>127</v>
      </c>
      <c r="AC40" s="28" t="s">
        <v>127</v>
      </c>
      <c r="AD40" s="28" t="s">
        <v>127</v>
      </c>
      <c r="AE40" s="86" t="s">
        <v>127</v>
      </c>
      <c r="AF40" s="28" t="s">
        <v>127</v>
      </c>
      <c r="AG40" s="28" t="s">
        <v>127</v>
      </c>
      <c r="AH40" s="28" t="s">
        <v>127</v>
      </c>
    </row>
    <row r="41" spans="1:34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 t="s">
        <v>127</v>
      </c>
      <c r="S41" s="28" t="s">
        <v>127</v>
      </c>
      <c r="T41" s="28" t="s">
        <v>127</v>
      </c>
      <c r="U41" s="28" t="s">
        <v>127</v>
      </c>
      <c r="V41" s="28" t="s">
        <v>127</v>
      </c>
      <c r="W41" s="28" t="s">
        <v>127</v>
      </c>
      <c r="X41" s="28" t="s">
        <v>127</v>
      </c>
      <c r="Y41" s="28" t="s">
        <v>127</v>
      </c>
      <c r="Z41" s="28" t="s">
        <v>127</v>
      </c>
      <c r="AA41" s="28" t="s">
        <v>127</v>
      </c>
      <c r="AB41" s="28" t="s">
        <v>127</v>
      </c>
      <c r="AC41" s="28" t="s">
        <v>127</v>
      </c>
      <c r="AD41" s="28" t="s">
        <v>127</v>
      </c>
      <c r="AE41" s="86" t="s">
        <v>127</v>
      </c>
      <c r="AF41" s="28" t="s">
        <v>127</v>
      </c>
      <c r="AG41" s="28" t="s">
        <v>127</v>
      </c>
      <c r="AH41" s="28" t="s">
        <v>127</v>
      </c>
    </row>
    <row r="42" spans="1:34">
      <c r="A42" s="26" t="s">
        <v>129</v>
      </c>
      <c r="B42" s="28" t="s">
        <v>149</v>
      </c>
      <c r="C42" s="28" t="s">
        <v>149</v>
      </c>
      <c r="D42" s="28" t="s">
        <v>149</v>
      </c>
      <c r="E42" s="28" t="s">
        <v>149</v>
      </c>
      <c r="F42" s="28" t="s">
        <v>149</v>
      </c>
      <c r="G42" s="28" t="s">
        <v>149</v>
      </c>
      <c r="H42" s="28" t="s">
        <v>149</v>
      </c>
      <c r="I42" s="28" t="s">
        <v>149</v>
      </c>
      <c r="J42" s="28" t="s">
        <v>149</v>
      </c>
      <c r="K42" s="28" t="s">
        <v>149</v>
      </c>
      <c r="L42" s="28" t="s">
        <v>149</v>
      </c>
      <c r="M42" s="28" t="s">
        <v>149</v>
      </c>
      <c r="N42" s="28" t="s">
        <v>149</v>
      </c>
      <c r="O42" s="28" t="s">
        <v>149</v>
      </c>
      <c r="P42" s="28" t="s">
        <v>149</v>
      </c>
      <c r="Q42" s="28" t="s">
        <v>149</v>
      </c>
      <c r="R42" s="28" t="s">
        <v>149</v>
      </c>
      <c r="S42" s="28" t="s">
        <v>149</v>
      </c>
      <c r="T42" s="28" t="s">
        <v>149</v>
      </c>
      <c r="U42" s="28" t="s">
        <v>149</v>
      </c>
      <c r="V42" s="28" t="s">
        <v>149</v>
      </c>
      <c r="W42" s="28" t="s">
        <v>149</v>
      </c>
      <c r="X42" s="28" t="s">
        <v>149</v>
      </c>
      <c r="Y42" s="28" t="s">
        <v>149</v>
      </c>
      <c r="Z42" s="28" t="s">
        <v>149</v>
      </c>
      <c r="AA42" s="28" t="s">
        <v>149</v>
      </c>
      <c r="AB42" s="28" t="s">
        <v>149</v>
      </c>
      <c r="AC42" s="28" t="s">
        <v>149</v>
      </c>
      <c r="AD42" s="28" t="s">
        <v>149</v>
      </c>
      <c r="AE42" s="86" t="s">
        <v>150</v>
      </c>
      <c r="AF42" s="28" t="s">
        <v>149</v>
      </c>
      <c r="AG42" s="28" t="s">
        <v>149</v>
      </c>
      <c r="AH42" s="28" t="s">
        <v>149</v>
      </c>
    </row>
    <row r="43" spans="1:34">
      <c r="A43" s="26" t="s">
        <v>130</v>
      </c>
      <c r="B43" s="30">
        <f>5/3</f>
        <v>1.6666666666666667</v>
      </c>
      <c r="C43" s="30">
        <f t="shared" ref="C43:O43" si="0">5/3</f>
        <v>1.6666666666666667</v>
      </c>
      <c r="D43" s="30">
        <f t="shared" si="0"/>
        <v>1.6666666666666667</v>
      </c>
      <c r="E43" s="30">
        <f t="shared" si="0"/>
        <v>1.6666666666666667</v>
      </c>
      <c r="F43" s="30">
        <f t="shared" si="0"/>
        <v>1.6666666666666667</v>
      </c>
      <c r="G43" s="30">
        <f t="shared" si="0"/>
        <v>1.6666666666666667</v>
      </c>
      <c r="H43" s="30">
        <f t="shared" si="0"/>
        <v>1.6666666666666667</v>
      </c>
      <c r="I43" s="30">
        <f t="shared" si="0"/>
        <v>1.6666666666666667</v>
      </c>
      <c r="J43" s="30">
        <f t="shared" si="0"/>
        <v>1.6666666666666667</v>
      </c>
      <c r="K43" s="30">
        <f t="shared" si="0"/>
        <v>1.6666666666666667</v>
      </c>
      <c r="L43" s="30">
        <f t="shared" si="0"/>
        <v>1.6666666666666667</v>
      </c>
      <c r="M43" s="30">
        <f t="shared" si="0"/>
        <v>1.6666666666666667</v>
      </c>
      <c r="N43" s="30">
        <f t="shared" si="0"/>
        <v>1.6666666666666667</v>
      </c>
      <c r="O43" s="30">
        <f t="shared" si="0"/>
        <v>1.6666666666666667</v>
      </c>
      <c r="P43" s="30">
        <f t="shared" ref="P43:U43" si="1">5/3</f>
        <v>1.6666666666666667</v>
      </c>
      <c r="Q43" s="30">
        <f t="shared" si="1"/>
        <v>1.6666666666666667</v>
      </c>
      <c r="R43" s="30">
        <f t="shared" si="1"/>
        <v>1.6666666666666667</v>
      </c>
      <c r="S43" s="30">
        <f t="shared" si="1"/>
        <v>1.6666666666666667</v>
      </c>
      <c r="T43" s="30">
        <f t="shared" si="1"/>
        <v>1.6666666666666667</v>
      </c>
      <c r="U43" s="30">
        <f t="shared" si="1"/>
        <v>1.6666666666666667</v>
      </c>
      <c r="V43" s="30">
        <f t="shared" ref="V43:Y43" si="2">5/3</f>
        <v>1.6666666666666667</v>
      </c>
      <c r="W43" s="30">
        <f t="shared" si="2"/>
        <v>1.6666666666666667</v>
      </c>
      <c r="X43" s="30">
        <f t="shared" si="2"/>
        <v>1.6666666666666667</v>
      </c>
      <c r="Y43" s="30">
        <f t="shared" si="2"/>
        <v>1.6666666666666667</v>
      </c>
      <c r="Z43" s="30">
        <f>5/3</f>
        <v>1.6666666666666667</v>
      </c>
      <c r="AA43" s="30">
        <f t="shared" ref="AA43:AD43" si="3">5/3</f>
        <v>1.6666666666666667</v>
      </c>
      <c r="AB43" s="30">
        <f t="shared" si="3"/>
        <v>1.6666666666666667</v>
      </c>
      <c r="AC43" s="30">
        <f t="shared" si="3"/>
        <v>1.6666666666666667</v>
      </c>
      <c r="AD43" s="30">
        <f t="shared" si="3"/>
        <v>1.6666666666666667</v>
      </c>
      <c r="AE43" s="92">
        <v>-1.25</v>
      </c>
      <c r="AF43" s="30">
        <f>5/3</f>
        <v>1.6666666666666667</v>
      </c>
      <c r="AG43" s="30">
        <f>5/3</f>
        <v>1.6666666666666667</v>
      </c>
      <c r="AH43" s="30">
        <f>5/3</f>
        <v>1.6666666666666667</v>
      </c>
    </row>
    <row r="44" spans="1:34">
      <c r="A44" s="26" t="s">
        <v>131</v>
      </c>
      <c r="B44" s="28" t="s">
        <v>132</v>
      </c>
      <c r="C44" s="28" t="s">
        <v>132</v>
      </c>
      <c r="D44" s="28" t="s">
        <v>132</v>
      </c>
      <c r="E44" s="28" t="s">
        <v>132</v>
      </c>
      <c r="F44" s="28" t="s">
        <v>132</v>
      </c>
      <c r="G44" s="28" t="s">
        <v>132</v>
      </c>
      <c r="H44" s="28" t="s">
        <v>132</v>
      </c>
      <c r="I44" s="28" t="s">
        <v>132</v>
      </c>
      <c r="J44" s="28" t="s">
        <v>132</v>
      </c>
      <c r="K44" s="28" t="s">
        <v>132</v>
      </c>
      <c r="L44" s="28" t="s">
        <v>132</v>
      </c>
      <c r="M44" s="28" t="s">
        <v>132</v>
      </c>
      <c r="N44" s="28" t="s">
        <v>132</v>
      </c>
      <c r="O44" s="28" t="s">
        <v>132</v>
      </c>
      <c r="P44" s="28" t="s">
        <v>132</v>
      </c>
      <c r="Q44" s="28" t="s">
        <v>132</v>
      </c>
      <c r="R44" s="28" t="s">
        <v>132</v>
      </c>
      <c r="S44" s="28" t="s">
        <v>132</v>
      </c>
      <c r="T44" s="28" t="s">
        <v>132</v>
      </c>
      <c r="U44" s="28" t="s">
        <v>132</v>
      </c>
      <c r="V44" s="28" t="s">
        <v>132</v>
      </c>
      <c r="W44" s="28" t="s">
        <v>132</v>
      </c>
      <c r="X44" s="28" t="s">
        <v>132</v>
      </c>
      <c r="Y44" s="28" t="s">
        <v>132</v>
      </c>
      <c r="Z44" s="28" t="s">
        <v>132</v>
      </c>
      <c r="AA44" s="28" t="s">
        <v>132</v>
      </c>
      <c r="AB44" s="28" t="s">
        <v>132</v>
      </c>
      <c r="AC44" s="28" t="s">
        <v>132</v>
      </c>
      <c r="AD44" s="28" t="s">
        <v>132</v>
      </c>
      <c r="AE44" s="86" t="s">
        <v>132</v>
      </c>
      <c r="AF44" s="28" t="s">
        <v>132</v>
      </c>
      <c r="AG44" s="28" t="s">
        <v>132</v>
      </c>
      <c r="AH44" s="28" t="s">
        <v>132</v>
      </c>
    </row>
    <row r="45" spans="1:34">
      <c r="A45" s="26" t="s">
        <v>133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92">
        <v>4</v>
      </c>
      <c r="AF45" s="30">
        <v>4</v>
      </c>
      <c r="AG45" s="30">
        <v>4</v>
      </c>
      <c r="AH45" s="30">
        <v>4</v>
      </c>
    </row>
    <row r="46" spans="1:34">
      <c r="B46" s="56"/>
    </row>
    <row r="47" spans="1:34" ht="15.75" customHeight="1">
      <c r="A47" s="26" t="s">
        <v>117</v>
      </c>
      <c r="B47" s="28" t="s">
        <v>394</v>
      </c>
      <c r="C47" s="28" t="s">
        <v>395</v>
      </c>
      <c r="D47" s="28" t="s">
        <v>395</v>
      </c>
      <c r="E47" s="28" t="s">
        <v>395</v>
      </c>
      <c r="F47" s="28" t="s">
        <v>395</v>
      </c>
      <c r="G47" s="28" t="s">
        <v>395</v>
      </c>
      <c r="H47" s="28" t="s">
        <v>395</v>
      </c>
      <c r="I47" s="28" t="s">
        <v>395</v>
      </c>
      <c r="J47" s="28" t="s">
        <v>395</v>
      </c>
      <c r="K47" s="28" t="s">
        <v>395</v>
      </c>
      <c r="L47" s="28" t="s">
        <v>395</v>
      </c>
      <c r="M47" s="28" t="s">
        <v>395</v>
      </c>
      <c r="N47" s="28" t="s">
        <v>395</v>
      </c>
      <c r="O47" s="28" t="s">
        <v>395</v>
      </c>
      <c r="P47" s="28" t="s">
        <v>395</v>
      </c>
      <c r="Q47" s="28" t="s">
        <v>395</v>
      </c>
      <c r="R47" s="28" t="s">
        <v>395</v>
      </c>
      <c r="S47" s="28" t="s">
        <v>395</v>
      </c>
      <c r="T47" s="28" t="s">
        <v>395</v>
      </c>
      <c r="U47" s="28" t="s">
        <v>395</v>
      </c>
      <c r="V47" s="28" t="s">
        <v>395</v>
      </c>
      <c r="W47" s="28" t="s">
        <v>395</v>
      </c>
      <c r="X47" s="28" t="s">
        <v>395</v>
      </c>
      <c r="Y47" s="28" t="s">
        <v>395</v>
      </c>
      <c r="Z47" s="28" t="s">
        <v>395</v>
      </c>
      <c r="AA47" s="28" t="s">
        <v>395</v>
      </c>
      <c r="AB47" s="28" t="s">
        <v>395</v>
      </c>
      <c r="AC47" s="28" t="s">
        <v>395</v>
      </c>
      <c r="AD47" s="28" t="s">
        <v>395</v>
      </c>
      <c r="AE47" s="28" t="s">
        <v>395</v>
      </c>
      <c r="AF47" s="28" t="s">
        <v>395</v>
      </c>
      <c r="AG47" s="28" t="s">
        <v>395</v>
      </c>
      <c r="AH47" s="28" t="s">
        <v>395</v>
      </c>
    </row>
    <row r="48" spans="1:34" ht="15.75" customHeight="1">
      <c r="A48" s="26" t="s">
        <v>121</v>
      </c>
      <c r="B48" s="29" t="s">
        <v>507</v>
      </c>
      <c r="C48" s="29" t="s">
        <v>507</v>
      </c>
      <c r="D48" s="29" t="s">
        <v>507</v>
      </c>
      <c r="E48" s="29" t="s">
        <v>507</v>
      </c>
      <c r="F48" s="29" t="s">
        <v>507</v>
      </c>
      <c r="G48" s="29" t="s">
        <v>507</v>
      </c>
      <c r="H48" s="29" t="s">
        <v>507</v>
      </c>
      <c r="I48" s="29" t="s">
        <v>507</v>
      </c>
      <c r="J48" s="29" t="s">
        <v>507</v>
      </c>
      <c r="K48" s="29" t="s">
        <v>507</v>
      </c>
      <c r="L48" s="29" t="s">
        <v>507</v>
      </c>
      <c r="M48" s="29" t="s">
        <v>507</v>
      </c>
      <c r="N48" s="115" t="s">
        <v>518</v>
      </c>
      <c r="O48" s="29" t="s">
        <v>507</v>
      </c>
      <c r="P48" s="115" t="s">
        <v>400</v>
      </c>
      <c r="Q48" s="115" t="s">
        <v>400</v>
      </c>
      <c r="R48" s="29" t="s">
        <v>401</v>
      </c>
      <c r="S48" s="115" t="s">
        <v>518</v>
      </c>
      <c r="T48" s="29" t="s">
        <v>507</v>
      </c>
      <c r="U48" s="29" t="s">
        <v>507</v>
      </c>
      <c r="V48" s="29" t="s">
        <v>507</v>
      </c>
      <c r="W48" s="29" t="s">
        <v>507</v>
      </c>
      <c r="X48" s="29" t="s">
        <v>507</v>
      </c>
      <c r="Y48" s="29" t="s">
        <v>507</v>
      </c>
      <c r="Z48" s="29" t="s">
        <v>507</v>
      </c>
      <c r="AA48" s="29" t="s">
        <v>507</v>
      </c>
      <c r="AB48" s="29" t="s">
        <v>507</v>
      </c>
      <c r="AC48" s="29" t="s">
        <v>507</v>
      </c>
      <c r="AD48" s="29" t="s">
        <v>507</v>
      </c>
      <c r="AE48" s="29" t="s">
        <v>828</v>
      </c>
      <c r="AF48" s="29" t="s">
        <v>507</v>
      </c>
      <c r="AG48" s="29" t="s">
        <v>507</v>
      </c>
      <c r="AH48" s="29" t="s">
        <v>507</v>
      </c>
    </row>
    <row r="49" spans="1:34" ht="15.75" customHeight="1">
      <c r="A49" s="140" t="s">
        <v>122</v>
      </c>
      <c r="B49" s="167">
        <v>83</v>
      </c>
      <c r="C49" s="167">
        <v>83</v>
      </c>
      <c r="D49" s="167">
        <v>83</v>
      </c>
      <c r="E49" s="167">
        <v>83</v>
      </c>
      <c r="F49" s="167">
        <v>83</v>
      </c>
      <c r="G49" s="167">
        <v>83</v>
      </c>
      <c r="H49" s="167">
        <v>83</v>
      </c>
      <c r="I49" s="167">
        <v>83</v>
      </c>
      <c r="J49" s="167">
        <v>83</v>
      </c>
      <c r="K49" s="167">
        <v>83</v>
      </c>
      <c r="L49" s="167">
        <v>83</v>
      </c>
      <c r="M49" s="167">
        <v>83</v>
      </c>
      <c r="N49" s="167">
        <v>143</v>
      </c>
      <c r="O49" s="167">
        <v>83</v>
      </c>
      <c r="P49" s="167">
        <v>142</v>
      </c>
      <c r="Q49" s="167">
        <v>142</v>
      </c>
      <c r="R49" s="167">
        <v>81</v>
      </c>
      <c r="S49" s="167">
        <v>143</v>
      </c>
      <c r="T49" s="167">
        <v>83</v>
      </c>
      <c r="U49" s="167">
        <v>83</v>
      </c>
      <c r="V49" s="167">
        <v>83</v>
      </c>
      <c r="W49" s="167">
        <v>83</v>
      </c>
      <c r="X49" s="167">
        <v>83</v>
      </c>
      <c r="Y49" s="167">
        <v>83</v>
      </c>
      <c r="Z49" s="167">
        <v>83</v>
      </c>
      <c r="AA49" s="167">
        <v>83</v>
      </c>
      <c r="AB49" s="167">
        <v>83</v>
      </c>
      <c r="AC49" s="167">
        <v>83</v>
      </c>
      <c r="AD49" s="167">
        <v>83</v>
      </c>
      <c r="AE49" s="167">
        <v>144</v>
      </c>
      <c r="AF49" s="167">
        <v>83</v>
      </c>
      <c r="AG49" s="167">
        <v>83</v>
      </c>
      <c r="AH49" s="167">
        <v>83</v>
      </c>
    </row>
    <row r="50" spans="1:34" ht="15.75" customHeight="1">
      <c r="A50" s="26" t="s">
        <v>123</v>
      </c>
      <c r="B50" s="28" t="s">
        <v>124</v>
      </c>
      <c r="C50" s="28" t="s">
        <v>124</v>
      </c>
      <c r="D50" s="28" t="s">
        <v>124</v>
      </c>
      <c r="E50" s="28" t="s">
        <v>124</v>
      </c>
      <c r="F50" s="28" t="s">
        <v>124</v>
      </c>
      <c r="G50" s="28" t="s">
        <v>124</v>
      </c>
      <c r="H50" s="28" t="s">
        <v>124</v>
      </c>
      <c r="I50" s="28" t="s">
        <v>124</v>
      </c>
      <c r="J50" s="28" t="s">
        <v>124</v>
      </c>
      <c r="K50" s="28" t="s">
        <v>124</v>
      </c>
      <c r="L50" s="28" t="s">
        <v>124</v>
      </c>
      <c r="M50" s="28" t="s">
        <v>124</v>
      </c>
      <c r="N50" s="28" t="s">
        <v>124</v>
      </c>
      <c r="O50" s="28" t="s">
        <v>124</v>
      </c>
      <c r="P50" s="28" t="s">
        <v>124</v>
      </c>
      <c r="Q50" s="28" t="s">
        <v>124</v>
      </c>
      <c r="R50" s="28" t="s">
        <v>124</v>
      </c>
      <c r="S50" s="28" t="s">
        <v>124</v>
      </c>
      <c r="T50" s="28" t="s">
        <v>124</v>
      </c>
      <c r="U50" s="28" t="s">
        <v>124</v>
      </c>
      <c r="V50" s="28" t="s">
        <v>124</v>
      </c>
      <c r="W50" s="28" t="s">
        <v>124</v>
      </c>
      <c r="X50" s="28" t="s">
        <v>124</v>
      </c>
      <c r="Y50" s="28" t="s">
        <v>124</v>
      </c>
      <c r="Z50" s="28" t="s">
        <v>124</v>
      </c>
      <c r="AA50" s="28" t="s">
        <v>124</v>
      </c>
      <c r="AB50" s="28" t="s">
        <v>124</v>
      </c>
      <c r="AC50" s="28" t="s">
        <v>124</v>
      </c>
      <c r="AD50" s="28" t="s">
        <v>124</v>
      </c>
      <c r="AE50" s="28" t="s">
        <v>215</v>
      </c>
      <c r="AF50" s="28" t="s">
        <v>124</v>
      </c>
      <c r="AG50" s="28" t="s">
        <v>124</v>
      </c>
      <c r="AH50" s="28" t="s">
        <v>124</v>
      </c>
    </row>
    <row r="51" spans="1:34" ht="15.75" customHeight="1">
      <c r="A51" s="26" t="s">
        <v>125</v>
      </c>
      <c r="B51" s="28" t="s">
        <v>124</v>
      </c>
      <c r="C51" s="28" t="s">
        <v>124</v>
      </c>
      <c r="D51" s="28" t="s">
        <v>124</v>
      </c>
      <c r="E51" s="28" t="s">
        <v>124</v>
      </c>
      <c r="F51" s="28" t="s">
        <v>124</v>
      </c>
      <c r="G51" s="28" t="s">
        <v>124</v>
      </c>
      <c r="H51" s="28" t="s">
        <v>124</v>
      </c>
      <c r="I51" s="28" t="s">
        <v>124</v>
      </c>
      <c r="J51" s="28" t="s">
        <v>124</v>
      </c>
      <c r="K51" s="28" t="s">
        <v>124</v>
      </c>
      <c r="L51" s="28" t="s">
        <v>124</v>
      </c>
      <c r="M51" s="28" t="s">
        <v>124</v>
      </c>
      <c r="N51" s="28" t="s">
        <v>124</v>
      </c>
      <c r="O51" s="28" t="s">
        <v>124</v>
      </c>
      <c r="P51" s="28" t="s">
        <v>124</v>
      </c>
      <c r="Q51" s="28" t="s">
        <v>124</v>
      </c>
      <c r="R51" s="28" t="s">
        <v>124</v>
      </c>
      <c r="S51" s="28" t="s">
        <v>124</v>
      </c>
      <c r="T51" s="28" t="s">
        <v>124</v>
      </c>
      <c r="U51" s="28" t="s">
        <v>124</v>
      </c>
      <c r="V51" s="28" t="s">
        <v>124</v>
      </c>
      <c r="W51" s="28" t="s">
        <v>124</v>
      </c>
      <c r="X51" s="28" t="s">
        <v>124</v>
      </c>
      <c r="Y51" s="28" t="s">
        <v>124</v>
      </c>
      <c r="Z51" s="28" t="s">
        <v>124</v>
      </c>
      <c r="AA51" s="28" t="s">
        <v>124</v>
      </c>
      <c r="AB51" s="28" t="s">
        <v>124</v>
      </c>
      <c r="AC51" s="28" t="s">
        <v>124</v>
      </c>
      <c r="AD51" s="28" t="s">
        <v>124</v>
      </c>
      <c r="AE51" s="28" t="s">
        <v>215</v>
      </c>
      <c r="AF51" s="28" t="s">
        <v>124</v>
      </c>
      <c r="AG51" s="28" t="s">
        <v>124</v>
      </c>
      <c r="AH51" s="28" t="s">
        <v>124</v>
      </c>
    </row>
    <row r="52" spans="1:34" ht="15.75" customHeight="1">
      <c r="A52" s="26" t="s">
        <v>126</v>
      </c>
      <c r="B52" s="28" t="s">
        <v>127</v>
      </c>
      <c r="C52" s="28" t="s">
        <v>127</v>
      </c>
      <c r="D52" s="28" t="s">
        <v>127</v>
      </c>
      <c r="E52" s="28" t="s">
        <v>127</v>
      </c>
      <c r="F52" s="28" t="s">
        <v>127</v>
      </c>
      <c r="G52" s="28" t="s">
        <v>127</v>
      </c>
      <c r="H52" s="28" t="s">
        <v>127</v>
      </c>
      <c r="I52" s="28" t="s">
        <v>127</v>
      </c>
      <c r="J52" s="28" t="s">
        <v>127</v>
      </c>
      <c r="K52" s="28" t="s">
        <v>127</v>
      </c>
      <c r="L52" s="28" t="s">
        <v>127</v>
      </c>
      <c r="M52" s="28" t="s">
        <v>127</v>
      </c>
      <c r="N52" s="28" t="s">
        <v>127</v>
      </c>
      <c r="O52" s="28" t="s">
        <v>127</v>
      </c>
      <c r="P52" s="28" t="s">
        <v>127</v>
      </c>
      <c r="Q52" s="28" t="s">
        <v>127</v>
      </c>
      <c r="R52" s="28" t="s">
        <v>127</v>
      </c>
      <c r="S52" s="28" t="s">
        <v>127</v>
      </c>
      <c r="T52" s="28" t="s">
        <v>127</v>
      </c>
      <c r="U52" s="28" t="s">
        <v>127</v>
      </c>
      <c r="V52" s="28" t="s">
        <v>127</v>
      </c>
      <c r="W52" s="28" t="s">
        <v>127</v>
      </c>
      <c r="X52" s="28" t="s">
        <v>127</v>
      </c>
      <c r="Y52" s="28" t="s">
        <v>127</v>
      </c>
      <c r="Z52" s="28" t="s">
        <v>127</v>
      </c>
      <c r="AA52" s="28" t="s">
        <v>127</v>
      </c>
      <c r="AB52" s="28" t="s">
        <v>127</v>
      </c>
      <c r="AC52" s="28" t="s">
        <v>127</v>
      </c>
      <c r="AD52" s="28" t="s">
        <v>127</v>
      </c>
      <c r="AE52" s="28" t="s">
        <v>127</v>
      </c>
      <c r="AF52" s="28" t="s">
        <v>127</v>
      </c>
      <c r="AG52" s="28" t="s">
        <v>127</v>
      </c>
      <c r="AH52" s="28" t="s">
        <v>127</v>
      </c>
    </row>
    <row r="53" spans="1:34" ht="15.75" customHeight="1">
      <c r="A53" s="26" t="s">
        <v>128</v>
      </c>
      <c r="B53" s="28" t="s">
        <v>127</v>
      </c>
      <c r="C53" s="28" t="s">
        <v>127</v>
      </c>
      <c r="D53" s="28" t="s">
        <v>127</v>
      </c>
      <c r="E53" s="28" t="s">
        <v>127</v>
      </c>
      <c r="F53" s="28" t="s">
        <v>127</v>
      </c>
      <c r="G53" s="28" t="s">
        <v>127</v>
      </c>
      <c r="H53" s="28" t="s">
        <v>127</v>
      </c>
      <c r="I53" s="28" t="s">
        <v>127</v>
      </c>
      <c r="J53" s="28" t="s">
        <v>127</v>
      </c>
      <c r="K53" s="28" t="s">
        <v>127</v>
      </c>
      <c r="L53" s="28" t="s">
        <v>127</v>
      </c>
      <c r="M53" s="28" t="s">
        <v>127</v>
      </c>
      <c r="N53" s="28" t="s">
        <v>127</v>
      </c>
      <c r="O53" s="28" t="s">
        <v>127</v>
      </c>
      <c r="P53" s="28" t="s">
        <v>127</v>
      </c>
      <c r="Q53" s="28" t="s">
        <v>127</v>
      </c>
      <c r="R53" s="28" t="s">
        <v>127</v>
      </c>
      <c r="S53" s="28" t="s">
        <v>127</v>
      </c>
      <c r="T53" s="28" t="s">
        <v>127</v>
      </c>
      <c r="U53" s="28" t="s">
        <v>127</v>
      </c>
      <c r="V53" s="28" t="s">
        <v>127</v>
      </c>
      <c r="W53" s="28" t="s">
        <v>127</v>
      </c>
      <c r="X53" s="28" t="s">
        <v>127</v>
      </c>
      <c r="Y53" s="28" t="s">
        <v>127</v>
      </c>
      <c r="Z53" s="28" t="s">
        <v>127</v>
      </c>
      <c r="AA53" s="28" t="s">
        <v>127</v>
      </c>
      <c r="AB53" s="28" t="s">
        <v>127</v>
      </c>
      <c r="AC53" s="28" t="s">
        <v>127</v>
      </c>
      <c r="AD53" s="28" t="s">
        <v>127</v>
      </c>
      <c r="AE53" s="28" t="s">
        <v>127</v>
      </c>
      <c r="AF53" s="28" t="s">
        <v>127</v>
      </c>
      <c r="AG53" s="28" t="s">
        <v>127</v>
      </c>
      <c r="AH53" s="28" t="s">
        <v>127</v>
      </c>
    </row>
    <row r="54" spans="1:34" ht="15.75" customHeight="1">
      <c r="A54" s="26" t="s">
        <v>129</v>
      </c>
      <c r="B54" s="28" t="s">
        <v>149</v>
      </c>
      <c r="C54" s="28" t="s">
        <v>149</v>
      </c>
      <c r="D54" s="28" t="s">
        <v>149</v>
      </c>
      <c r="E54" s="28" t="s">
        <v>149</v>
      </c>
      <c r="F54" s="28" t="s">
        <v>149</v>
      </c>
      <c r="G54" s="28" t="s">
        <v>149</v>
      </c>
      <c r="H54" s="28" t="s">
        <v>149</v>
      </c>
      <c r="I54" s="28" t="s">
        <v>149</v>
      </c>
      <c r="J54" s="28" t="s">
        <v>149</v>
      </c>
      <c r="K54" s="28" t="s">
        <v>149</v>
      </c>
      <c r="L54" s="28" t="s">
        <v>149</v>
      </c>
      <c r="M54" s="28" t="s">
        <v>149</v>
      </c>
      <c r="N54" s="115" t="s">
        <v>407</v>
      </c>
      <c r="O54" s="28" t="s">
        <v>149</v>
      </c>
      <c r="P54" s="28" t="s">
        <v>408</v>
      </c>
      <c r="Q54" s="28" t="s">
        <v>408</v>
      </c>
      <c r="R54" s="28" t="s">
        <v>408</v>
      </c>
      <c r="S54" s="115" t="s">
        <v>407</v>
      </c>
      <c r="T54" s="28" t="s">
        <v>149</v>
      </c>
      <c r="U54" s="28" t="s">
        <v>149</v>
      </c>
      <c r="V54" s="28" t="s">
        <v>149</v>
      </c>
      <c r="W54" s="28" t="s">
        <v>149</v>
      </c>
      <c r="X54" s="28" t="s">
        <v>149</v>
      </c>
      <c r="Y54" s="28" t="s">
        <v>149</v>
      </c>
      <c r="Z54" s="28" t="s">
        <v>149</v>
      </c>
      <c r="AA54" s="28" t="s">
        <v>149</v>
      </c>
      <c r="AB54" s="28" t="s">
        <v>149</v>
      </c>
      <c r="AC54" s="28" t="s">
        <v>149</v>
      </c>
      <c r="AD54" s="28" t="s">
        <v>149</v>
      </c>
      <c r="AE54" s="28" t="s">
        <v>150</v>
      </c>
      <c r="AF54" s="28" t="s">
        <v>149</v>
      </c>
      <c r="AG54" s="28" t="s">
        <v>149</v>
      </c>
      <c r="AH54" s="28" t="s">
        <v>149</v>
      </c>
    </row>
    <row r="55" spans="1:34" ht="15.75" customHeight="1">
      <c r="A55" s="26" t="s">
        <v>130</v>
      </c>
      <c r="B55" s="30">
        <v>0.75</v>
      </c>
      <c r="C55" s="30">
        <v>0.75</v>
      </c>
      <c r="D55" s="30">
        <v>0.75</v>
      </c>
      <c r="E55" s="30">
        <v>0.75</v>
      </c>
      <c r="F55" s="30">
        <v>0.75</v>
      </c>
      <c r="G55" s="30">
        <v>0.75</v>
      </c>
      <c r="H55" s="30">
        <v>0.75</v>
      </c>
      <c r="I55" s="30">
        <v>0.75</v>
      </c>
      <c r="J55" s="30">
        <v>0.75</v>
      </c>
      <c r="K55" s="30">
        <v>0.75</v>
      </c>
      <c r="L55" s="30">
        <v>0.75</v>
      </c>
      <c r="M55" s="30">
        <v>0.75</v>
      </c>
      <c r="N55" s="30">
        <f>AVERAGE(0.75,0.75,-4)</f>
        <v>-0.83333333333333337</v>
      </c>
      <c r="O55" s="30">
        <v>0.75</v>
      </c>
      <c r="P55" s="30">
        <v>-4</v>
      </c>
      <c r="Q55" s="30">
        <v>-4</v>
      </c>
      <c r="R55" s="30">
        <v>-4</v>
      </c>
      <c r="S55" s="30">
        <f>AVERAGE(0.75,0.75,-4)</f>
        <v>-0.83333333333333337</v>
      </c>
      <c r="T55" s="30">
        <v>0.75</v>
      </c>
      <c r="U55" s="30">
        <v>0.75</v>
      </c>
      <c r="V55" s="30">
        <v>0.75</v>
      </c>
      <c r="W55" s="30">
        <v>0.75</v>
      </c>
      <c r="X55" s="30">
        <v>0.75</v>
      </c>
      <c r="Y55" s="30">
        <v>0.75</v>
      </c>
      <c r="Z55" s="30">
        <v>0.75</v>
      </c>
      <c r="AA55" s="30">
        <v>0.75</v>
      </c>
      <c r="AB55" s="30">
        <v>0.75</v>
      </c>
      <c r="AC55" s="30">
        <v>0.75</v>
      </c>
      <c r="AD55" s="30">
        <v>0.75</v>
      </c>
      <c r="AE55" s="30">
        <v>-1.25</v>
      </c>
      <c r="AF55" s="30">
        <v>0.75</v>
      </c>
      <c r="AG55" s="30">
        <v>0.75</v>
      </c>
      <c r="AH55" s="30">
        <v>0.75</v>
      </c>
    </row>
    <row r="56" spans="1:34" ht="15.75" customHeight="1">
      <c r="A56" s="26" t="s">
        <v>131</v>
      </c>
      <c r="B56" s="28" t="s">
        <v>409</v>
      </c>
      <c r="C56" s="28" t="s">
        <v>409</v>
      </c>
      <c r="D56" s="28" t="s">
        <v>409</v>
      </c>
      <c r="E56" s="28" t="s">
        <v>409</v>
      </c>
      <c r="F56" s="28" t="s">
        <v>409</v>
      </c>
      <c r="G56" s="28" t="s">
        <v>409</v>
      </c>
      <c r="H56" s="28" t="s">
        <v>409</v>
      </c>
      <c r="I56" s="28" t="s">
        <v>409</v>
      </c>
      <c r="J56" s="28" t="s">
        <v>409</v>
      </c>
      <c r="K56" s="28" t="s">
        <v>409</v>
      </c>
      <c r="L56" s="28" t="s">
        <v>409</v>
      </c>
      <c r="M56" s="28" t="s">
        <v>409</v>
      </c>
      <c r="N56" s="28" t="s">
        <v>409</v>
      </c>
      <c r="O56" s="28" t="s">
        <v>409</v>
      </c>
      <c r="P56" s="115" t="s">
        <v>411</v>
      </c>
      <c r="Q56" s="115" t="s">
        <v>411</v>
      </c>
      <c r="R56" s="28" t="s">
        <v>409</v>
      </c>
      <c r="S56" s="28" t="s">
        <v>409</v>
      </c>
      <c r="T56" s="28" t="s">
        <v>409</v>
      </c>
      <c r="U56" s="28" t="s">
        <v>409</v>
      </c>
      <c r="V56" s="28" t="s">
        <v>409</v>
      </c>
      <c r="W56" s="28" t="s">
        <v>409</v>
      </c>
      <c r="X56" s="28" t="s">
        <v>409</v>
      </c>
      <c r="Y56" s="28" t="s">
        <v>409</v>
      </c>
      <c r="Z56" s="28" t="s">
        <v>409</v>
      </c>
      <c r="AA56" s="28" t="s">
        <v>409</v>
      </c>
      <c r="AB56" s="28" t="s">
        <v>409</v>
      </c>
      <c r="AC56" s="28" t="s">
        <v>409</v>
      </c>
      <c r="AD56" s="28" t="s">
        <v>409</v>
      </c>
      <c r="AE56" s="28" t="s">
        <v>829</v>
      </c>
      <c r="AF56" s="28" t="s">
        <v>409</v>
      </c>
      <c r="AG56" s="28" t="s">
        <v>409</v>
      </c>
      <c r="AH56" s="28" t="s">
        <v>409</v>
      </c>
    </row>
    <row r="57" spans="1:34" ht="15.75" customHeight="1">
      <c r="A57" s="26" t="s">
        <v>133</v>
      </c>
      <c r="B57" s="30">
        <v>0.875</v>
      </c>
      <c r="C57" s="30">
        <v>0.875</v>
      </c>
      <c r="D57" s="30">
        <v>0.875</v>
      </c>
      <c r="E57" s="30">
        <v>0.875</v>
      </c>
      <c r="F57" s="30">
        <v>0.875</v>
      </c>
      <c r="G57" s="30">
        <v>0.875</v>
      </c>
      <c r="H57" s="30">
        <v>0.875</v>
      </c>
      <c r="I57" s="30">
        <v>0.875</v>
      </c>
      <c r="J57" s="30">
        <v>0.875</v>
      </c>
      <c r="K57" s="30">
        <v>0.875</v>
      </c>
      <c r="L57" s="30">
        <v>0.875</v>
      </c>
      <c r="M57" s="30">
        <v>0.875</v>
      </c>
      <c r="N57" s="30">
        <f>AVERAGE(0.875,0.875,1.25)</f>
        <v>1</v>
      </c>
      <c r="O57" s="30">
        <v>0.875</v>
      </c>
      <c r="P57" s="30">
        <f>AVERAGE(2,2,1.25)</f>
        <v>1.75</v>
      </c>
      <c r="Q57" s="30">
        <f>AVERAGE(2,2,1.25)</f>
        <v>1.75</v>
      </c>
      <c r="R57" s="30">
        <v>1.25</v>
      </c>
      <c r="S57" s="30">
        <f>AVERAGE(0.875,0.875,1.25)</f>
        <v>1</v>
      </c>
      <c r="T57" s="30">
        <v>0.875</v>
      </c>
      <c r="U57" s="30">
        <v>0.875</v>
      </c>
      <c r="V57" s="30">
        <v>0.875</v>
      </c>
      <c r="W57" s="30">
        <v>0.875</v>
      </c>
      <c r="X57" s="30">
        <v>0.875</v>
      </c>
      <c r="Y57" s="30">
        <v>0.875</v>
      </c>
      <c r="Z57" s="30">
        <v>0.875</v>
      </c>
      <c r="AA57" s="30">
        <v>0.875</v>
      </c>
      <c r="AB57" s="30">
        <v>0.875</v>
      </c>
      <c r="AC57" s="30">
        <v>0.875</v>
      </c>
      <c r="AD57" s="30">
        <v>0.875</v>
      </c>
      <c r="AE57" s="30">
        <f>AVERAGE(1.25,0)</f>
        <v>0.625</v>
      </c>
      <c r="AF57" s="30">
        <v>0.875</v>
      </c>
      <c r="AG57" s="30">
        <v>0.875</v>
      </c>
      <c r="AH57" s="30">
        <v>0.875</v>
      </c>
    </row>
    <row r="59" spans="1:34">
      <c r="A59" s="31" t="s">
        <v>134</v>
      </c>
    </row>
    <row r="60" spans="1:34">
      <c r="A60" s="223" t="s">
        <v>830</v>
      </c>
      <c r="B60" s="56" t="s">
        <v>831</v>
      </c>
    </row>
    <row r="61" spans="1:34">
      <c r="A61" s="223"/>
      <c r="B61" s="93" t="s">
        <v>832</v>
      </c>
    </row>
    <row r="62" spans="1:34">
      <c r="A62" s="223"/>
      <c r="B62" s="93" t="s">
        <v>833</v>
      </c>
    </row>
  </sheetData>
  <mergeCells count="6">
    <mergeCell ref="F3:O3"/>
    <mergeCell ref="F4:O5"/>
    <mergeCell ref="A60:A62"/>
    <mergeCell ref="B3:D3"/>
    <mergeCell ref="B4:D4"/>
    <mergeCell ref="B5:D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F558-0BBC-449C-8F9D-CB4FD1A5B11F}">
  <dimension ref="A1:AH62"/>
  <sheetViews>
    <sheetView topLeftCell="A9" workbookViewId="0">
      <selection activeCell="A25" sqref="A25:C25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75</v>
      </c>
      <c r="I1" s="25" t="s">
        <v>825</v>
      </c>
    </row>
    <row r="3" spans="1:34" ht="17.45">
      <c r="A3" s="25" t="s">
        <v>77</v>
      </c>
      <c r="B3" s="203">
        <v>52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834</v>
      </c>
      <c r="C4" s="203"/>
      <c r="D4" s="203"/>
      <c r="F4" s="204" t="s">
        <v>835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323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0"/>
      <c r="C8" s="83" t="s">
        <v>690</v>
      </c>
      <c r="D8" s="28" t="s">
        <v>690</v>
      </c>
      <c r="E8" s="28" t="s">
        <v>690</v>
      </c>
      <c r="F8" s="28" t="s">
        <v>690</v>
      </c>
      <c r="G8" s="28" t="s">
        <v>690</v>
      </c>
      <c r="H8" s="86" t="s">
        <v>690</v>
      </c>
      <c r="I8" s="28" t="s">
        <v>690</v>
      </c>
      <c r="J8" s="28" t="s">
        <v>690</v>
      </c>
      <c r="K8" s="28" t="s">
        <v>690</v>
      </c>
      <c r="L8" s="28" t="s">
        <v>690</v>
      </c>
      <c r="M8" s="28" t="s">
        <v>690</v>
      </c>
      <c r="N8" s="28" t="s">
        <v>690</v>
      </c>
      <c r="O8" s="28" t="s">
        <v>690</v>
      </c>
      <c r="P8" s="28" t="s">
        <v>691</v>
      </c>
      <c r="Q8" s="28" t="s">
        <v>691</v>
      </c>
      <c r="R8" s="80"/>
      <c r="S8" s="28" t="s">
        <v>692</v>
      </c>
      <c r="T8" s="80"/>
      <c r="U8" s="84"/>
      <c r="V8" s="84"/>
      <c r="W8" s="84"/>
      <c r="X8" s="28" t="s">
        <v>502</v>
      </c>
      <c r="Y8" s="80"/>
      <c r="Z8" s="80"/>
      <c r="AA8" s="80"/>
      <c r="AB8" s="80"/>
      <c r="AC8" s="80"/>
      <c r="AD8" s="80"/>
      <c r="AE8" s="80"/>
      <c r="AF8" s="80"/>
      <c r="AG8" s="80"/>
      <c r="AH8" s="80"/>
    </row>
    <row r="9" spans="1:34">
      <c r="A9" s="26" t="s">
        <v>121</v>
      </c>
      <c r="B9" s="81"/>
      <c r="C9" s="29" t="s">
        <v>502</v>
      </c>
      <c r="D9" s="28" t="s">
        <v>693</v>
      </c>
      <c r="E9" s="28" t="s">
        <v>694</v>
      </c>
      <c r="F9" s="28" t="s">
        <v>694</v>
      </c>
      <c r="G9" s="29" t="s">
        <v>695</v>
      </c>
      <c r="H9" s="91" t="s">
        <v>696</v>
      </c>
      <c r="I9" s="28" t="s">
        <v>695</v>
      </c>
      <c r="J9" s="28" t="s">
        <v>695</v>
      </c>
      <c r="K9" s="28" t="s">
        <v>697</v>
      </c>
      <c r="L9" s="28" t="s">
        <v>695</v>
      </c>
      <c r="M9" s="28" t="s">
        <v>698</v>
      </c>
      <c r="N9" s="28" t="s">
        <v>690</v>
      </c>
      <c r="O9" s="28" t="s">
        <v>690</v>
      </c>
      <c r="P9" s="28" t="s">
        <v>690</v>
      </c>
      <c r="Q9" s="28" t="s">
        <v>690</v>
      </c>
      <c r="R9" s="80"/>
      <c r="S9" s="28" t="s">
        <v>695</v>
      </c>
      <c r="T9" s="80"/>
      <c r="U9" s="172"/>
      <c r="V9" s="172"/>
      <c r="W9" s="172"/>
      <c r="X9" s="29" t="s">
        <v>502</v>
      </c>
      <c r="Y9" s="81"/>
      <c r="Z9" s="81"/>
      <c r="AA9" s="81"/>
      <c r="AB9" s="81"/>
      <c r="AC9" s="81"/>
      <c r="AD9" s="81"/>
      <c r="AE9" s="81"/>
      <c r="AF9" s="81"/>
      <c r="AG9" s="81"/>
      <c r="AH9" s="81"/>
    </row>
    <row r="10" spans="1:34">
      <c r="A10" s="140" t="s">
        <v>122</v>
      </c>
      <c r="B10" s="174"/>
      <c r="C10" s="167">
        <v>501</v>
      </c>
      <c r="D10" s="167">
        <v>502</v>
      </c>
      <c r="E10" s="167">
        <v>508</v>
      </c>
      <c r="F10" s="167">
        <v>508</v>
      </c>
      <c r="G10" s="167">
        <v>504</v>
      </c>
      <c r="H10" s="171">
        <v>550</v>
      </c>
      <c r="I10" s="167">
        <v>504</v>
      </c>
      <c r="J10" s="167">
        <v>504</v>
      </c>
      <c r="K10" s="167">
        <v>515</v>
      </c>
      <c r="L10" s="167">
        <v>504</v>
      </c>
      <c r="M10" s="167">
        <v>514</v>
      </c>
      <c r="N10" s="167">
        <v>503</v>
      </c>
      <c r="O10" s="167">
        <v>503</v>
      </c>
      <c r="P10" s="167">
        <v>503</v>
      </c>
      <c r="Q10" s="167">
        <v>503</v>
      </c>
      <c r="R10" s="174"/>
      <c r="S10" s="167">
        <v>504</v>
      </c>
      <c r="T10" s="174"/>
      <c r="U10" s="175"/>
      <c r="V10" s="175"/>
      <c r="W10" s="175"/>
      <c r="X10" s="167">
        <v>501</v>
      </c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</row>
    <row r="11" spans="1:34">
      <c r="A11" s="26" t="s">
        <v>699</v>
      </c>
      <c r="B11" s="80"/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86" t="s">
        <v>127</v>
      </c>
      <c r="I11" s="28" t="s">
        <v>127</v>
      </c>
      <c r="J11" s="28" t="s">
        <v>127</v>
      </c>
      <c r="K11" s="28" t="s">
        <v>127</v>
      </c>
      <c r="L11" s="28" t="s">
        <v>127</v>
      </c>
      <c r="M11" s="28" t="s">
        <v>127</v>
      </c>
      <c r="N11" s="28" t="s">
        <v>127</v>
      </c>
      <c r="O11" s="28" t="s">
        <v>127</v>
      </c>
      <c r="P11" s="28" t="s">
        <v>127</v>
      </c>
      <c r="Q11" s="28" t="s">
        <v>127</v>
      </c>
      <c r="R11" s="80"/>
      <c r="S11" s="28" t="s">
        <v>127</v>
      </c>
      <c r="T11" s="80"/>
      <c r="U11" s="84"/>
      <c r="V11" s="84"/>
      <c r="W11" s="84"/>
      <c r="X11" s="28" t="s">
        <v>127</v>
      </c>
      <c r="Y11" s="80"/>
      <c r="Z11" s="80"/>
      <c r="AA11" s="80"/>
      <c r="AB11" s="80"/>
      <c r="AC11" s="80"/>
      <c r="AD11" s="80"/>
      <c r="AE11" s="80"/>
      <c r="AF11" s="80"/>
      <c r="AG11" s="80"/>
      <c r="AH11" s="80"/>
    </row>
    <row r="12" spans="1:34">
      <c r="A12" s="26" t="s">
        <v>700</v>
      </c>
      <c r="B12" s="80"/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86" t="s">
        <v>127</v>
      </c>
      <c r="I12" s="28" t="s">
        <v>127</v>
      </c>
      <c r="J12" s="28" t="s">
        <v>127</v>
      </c>
      <c r="K12" s="28" t="s">
        <v>127</v>
      </c>
      <c r="L12" s="28" t="s">
        <v>127</v>
      </c>
      <c r="M12" s="28" t="s">
        <v>127</v>
      </c>
      <c r="N12" s="28" t="s">
        <v>127</v>
      </c>
      <c r="O12" s="28" t="s">
        <v>127</v>
      </c>
      <c r="P12" s="28" t="s">
        <v>127</v>
      </c>
      <c r="Q12" s="28" t="s">
        <v>127</v>
      </c>
      <c r="R12" s="80"/>
      <c r="S12" s="28" t="s">
        <v>127</v>
      </c>
      <c r="T12" s="80"/>
      <c r="U12" s="84"/>
      <c r="V12" s="84"/>
      <c r="W12" s="84"/>
      <c r="X12" s="28" t="s">
        <v>127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</row>
    <row r="13" spans="1:34">
      <c r="A13" s="26" t="s">
        <v>701</v>
      </c>
      <c r="B13" s="80"/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86" t="s">
        <v>124</v>
      </c>
      <c r="I13" s="28" t="s">
        <v>124</v>
      </c>
      <c r="J13" s="28" t="s">
        <v>124</v>
      </c>
      <c r="K13" s="28" t="s">
        <v>124</v>
      </c>
      <c r="L13" s="28" t="s">
        <v>124</v>
      </c>
      <c r="M13" s="28" t="s">
        <v>124</v>
      </c>
      <c r="N13" s="28" t="s">
        <v>124</v>
      </c>
      <c r="O13" s="28" t="s">
        <v>124</v>
      </c>
      <c r="P13" s="28" t="s">
        <v>124</v>
      </c>
      <c r="Q13" s="28" t="s">
        <v>124</v>
      </c>
      <c r="R13" s="80"/>
      <c r="S13" s="28" t="s">
        <v>124</v>
      </c>
      <c r="T13" s="80"/>
      <c r="U13" s="84"/>
      <c r="V13" s="84"/>
      <c r="W13" s="84"/>
      <c r="X13" s="28" t="s">
        <v>124</v>
      </c>
      <c r="Y13" s="80"/>
      <c r="Z13" s="80"/>
      <c r="AA13" s="80"/>
      <c r="AB13" s="80"/>
      <c r="AC13" s="80"/>
      <c r="AD13" s="80"/>
      <c r="AE13" s="80"/>
      <c r="AF13" s="80"/>
      <c r="AG13" s="80"/>
      <c r="AH13" s="80"/>
    </row>
    <row r="14" spans="1:34">
      <c r="A14" s="26" t="s">
        <v>702</v>
      </c>
      <c r="B14" s="80"/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86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80"/>
      <c r="S14" s="28" t="s">
        <v>127</v>
      </c>
      <c r="T14" s="80"/>
      <c r="U14" s="84"/>
      <c r="V14" s="84"/>
      <c r="W14" s="84"/>
      <c r="X14" s="28" t="s">
        <v>127</v>
      </c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>
      <c r="A15" s="26" t="s">
        <v>703</v>
      </c>
      <c r="B15" s="80"/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86" t="s">
        <v>127</v>
      </c>
      <c r="I15" s="28" t="s">
        <v>127</v>
      </c>
      <c r="J15" s="28" t="s">
        <v>127</v>
      </c>
      <c r="K15" s="28" t="s">
        <v>127</v>
      </c>
      <c r="L15" s="28" t="s">
        <v>127</v>
      </c>
      <c r="M15" s="28" t="s">
        <v>127</v>
      </c>
      <c r="N15" s="28" t="s">
        <v>127</v>
      </c>
      <c r="O15" s="28" t="s">
        <v>127</v>
      </c>
      <c r="P15" s="28" t="s">
        <v>127</v>
      </c>
      <c r="Q15" s="28" t="s">
        <v>127</v>
      </c>
      <c r="R15" s="80"/>
      <c r="S15" s="28" t="s">
        <v>127</v>
      </c>
      <c r="T15" s="80"/>
      <c r="U15" s="84"/>
      <c r="V15" s="84"/>
      <c r="W15" s="84"/>
      <c r="X15" s="28" t="s">
        <v>127</v>
      </c>
      <c r="Y15" s="80"/>
      <c r="Z15" s="80"/>
      <c r="AA15" s="80"/>
      <c r="AB15" s="80"/>
      <c r="AC15" s="80"/>
      <c r="AD15" s="80"/>
      <c r="AE15" s="80"/>
      <c r="AF15" s="80"/>
      <c r="AG15" s="80"/>
      <c r="AH15" s="80"/>
    </row>
    <row r="16" spans="1:34">
      <c r="A16" s="26" t="s">
        <v>704</v>
      </c>
      <c r="B16" s="80"/>
      <c r="C16" s="28" t="s">
        <v>127</v>
      </c>
      <c r="D16" s="28" t="s">
        <v>127</v>
      </c>
      <c r="E16" s="28" t="s">
        <v>127</v>
      </c>
      <c r="F16" s="28" t="s">
        <v>127</v>
      </c>
      <c r="G16" s="28" t="s">
        <v>127</v>
      </c>
      <c r="H16" s="28" t="s">
        <v>127</v>
      </c>
      <c r="I16" s="28" t="s">
        <v>127</v>
      </c>
      <c r="J16" s="28" t="s">
        <v>127</v>
      </c>
      <c r="K16" s="28" t="s">
        <v>127</v>
      </c>
      <c r="L16" s="28" t="s">
        <v>127</v>
      </c>
      <c r="M16" s="28" t="s">
        <v>127</v>
      </c>
      <c r="N16" s="28" t="s">
        <v>127</v>
      </c>
      <c r="O16" s="28" t="s">
        <v>127</v>
      </c>
      <c r="P16" s="28" t="s">
        <v>127</v>
      </c>
      <c r="Q16" s="28" t="s">
        <v>127</v>
      </c>
      <c r="R16" s="80"/>
      <c r="S16" s="28" t="s">
        <v>127</v>
      </c>
      <c r="T16" s="80"/>
      <c r="U16" s="84"/>
      <c r="V16" s="84"/>
      <c r="W16" s="84"/>
      <c r="X16" s="28" t="s">
        <v>127</v>
      </c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>
      <c r="A17" s="26" t="s">
        <v>705</v>
      </c>
      <c r="B17" s="82"/>
      <c r="C17" s="30" t="s">
        <v>706</v>
      </c>
      <c r="D17" s="30" t="s">
        <v>706</v>
      </c>
      <c r="E17" s="28" t="s">
        <v>706</v>
      </c>
      <c r="F17" s="28" t="s">
        <v>706</v>
      </c>
      <c r="G17" s="30" t="s">
        <v>706</v>
      </c>
      <c r="H17" s="92" t="s">
        <v>706</v>
      </c>
      <c r="I17" s="30" t="s">
        <v>706</v>
      </c>
      <c r="J17" s="30" t="s">
        <v>706</v>
      </c>
      <c r="K17" s="30" t="s">
        <v>706</v>
      </c>
      <c r="L17" s="30" t="s">
        <v>706</v>
      </c>
      <c r="M17" s="30" t="s">
        <v>706</v>
      </c>
      <c r="N17" s="30"/>
      <c r="O17" s="30" t="s">
        <v>706</v>
      </c>
      <c r="P17" s="30" t="s">
        <v>707</v>
      </c>
      <c r="Q17" s="30" t="s">
        <v>707</v>
      </c>
      <c r="R17" s="80"/>
      <c r="S17" s="30" t="s">
        <v>706</v>
      </c>
      <c r="T17" s="80"/>
      <c r="U17" s="84"/>
      <c r="V17" s="84"/>
      <c r="W17" s="84"/>
      <c r="X17" s="28" t="s">
        <v>706</v>
      </c>
      <c r="Y17" s="80"/>
      <c r="Z17" s="80"/>
      <c r="AA17" s="82"/>
      <c r="AB17" s="82"/>
      <c r="AC17" s="82"/>
      <c r="AD17" s="82"/>
      <c r="AE17" s="82"/>
      <c r="AF17" s="82"/>
      <c r="AG17" s="82"/>
      <c r="AH17" s="82"/>
    </row>
    <row r="18" spans="1:34">
      <c r="A18" s="26" t="s">
        <v>708</v>
      </c>
      <c r="B18" s="82"/>
      <c r="C18" s="28" t="s">
        <v>709</v>
      </c>
      <c r="D18" s="28" t="s">
        <v>709</v>
      </c>
      <c r="E18" s="28" t="s">
        <v>709</v>
      </c>
      <c r="F18" s="28" t="s">
        <v>709</v>
      </c>
      <c r="G18" s="30" t="s">
        <v>710</v>
      </c>
      <c r="H18" s="92" t="s">
        <v>710</v>
      </c>
      <c r="I18" s="30" t="s">
        <v>710</v>
      </c>
      <c r="J18" s="30" t="s">
        <v>710</v>
      </c>
      <c r="K18" s="30" t="s">
        <v>710</v>
      </c>
      <c r="L18" s="30" t="s">
        <v>710</v>
      </c>
      <c r="M18" s="30" t="s">
        <v>710</v>
      </c>
      <c r="N18" s="28" t="s">
        <v>710</v>
      </c>
      <c r="O18" s="28" t="s">
        <v>710</v>
      </c>
      <c r="P18" s="28" t="s">
        <v>710</v>
      </c>
      <c r="Q18" s="28" t="s">
        <v>710</v>
      </c>
      <c r="R18" s="82"/>
      <c r="S18" s="30" t="s">
        <v>710</v>
      </c>
      <c r="T18" s="82"/>
      <c r="U18" s="190"/>
      <c r="V18" s="190"/>
      <c r="W18" s="190"/>
      <c r="X18" s="28" t="s">
        <v>709</v>
      </c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1:34">
      <c r="A19" s="26" t="s">
        <v>711</v>
      </c>
      <c r="B19" s="80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8">
        <v>3</v>
      </c>
      <c r="J19" s="128">
        <v>3</v>
      </c>
      <c r="K19" s="128">
        <v>2</v>
      </c>
      <c r="L19" s="128">
        <v>3</v>
      </c>
      <c r="M19" s="128">
        <v>3</v>
      </c>
      <c r="N19" s="128">
        <v>4</v>
      </c>
      <c r="O19" s="128">
        <v>4</v>
      </c>
      <c r="P19" s="128">
        <v>4</v>
      </c>
      <c r="Q19" s="128">
        <v>4</v>
      </c>
      <c r="R19" s="81"/>
      <c r="S19" s="128">
        <v>3</v>
      </c>
      <c r="T19" s="81"/>
      <c r="U19" s="80"/>
      <c r="V19" s="80"/>
      <c r="W19" s="80"/>
      <c r="X19" s="30">
        <v>6</v>
      </c>
      <c r="Y19" s="80"/>
      <c r="Z19" s="80"/>
      <c r="AA19" s="80"/>
      <c r="AB19" s="80"/>
      <c r="AC19" s="80"/>
      <c r="AD19" s="80"/>
      <c r="AE19" s="80"/>
      <c r="AF19" s="80"/>
      <c r="AG19" s="80"/>
      <c r="AH19" s="80"/>
    </row>
    <row r="20" spans="1:34">
      <c r="A20" s="26" t="s">
        <v>712</v>
      </c>
      <c r="B20" s="80"/>
      <c r="C20" s="28" t="s">
        <v>713</v>
      </c>
      <c r="D20" s="28" t="s">
        <v>713</v>
      </c>
      <c r="E20" s="28" t="s">
        <v>713</v>
      </c>
      <c r="F20" s="28" t="s">
        <v>713</v>
      </c>
      <c r="G20" s="28" t="s">
        <v>713</v>
      </c>
      <c r="H20" s="28" t="s">
        <v>713</v>
      </c>
      <c r="I20" s="28" t="s">
        <v>713</v>
      </c>
      <c r="J20" s="28" t="s">
        <v>713</v>
      </c>
      <c r="K20" s="28" t="s">
        <v>714</v>
      </c>
      <c r="L20" s="28" t="s">
        <v>713</v>
      </c>
      <c r="M20" s="28" t="s">
        <v>714</v>
      </c>
      <c r="N20" s="28" t="s">
        <v>713</v>
      </c>
      <c r="O20" s="28" t="s">
        <v>713</v>
      </c>
      <c r="P20" s="28" t="s">
        <v>713</v>
      </c>
      <c r="Q20" s="28" t="s">
        <v>713</v>
      </c>
      <c r="R20" s="80"/>
      <c r="S20" s="28" t="s">
        <v>713</v>
      </c>
      <c r="T20" s="80"/>
      <c r="U20" s="80"/>
      <c r="V20" s="80"/>
      <c r="W20" s="80"/>
      <c r="X20" s="28" t="s">
        <v>713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</row>
    <row r="21" spans="1:34">
      <c r="A21" s="26" t="s">
        <v>715</v>
      </c>
      <c r="B21" s="82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/>
      <c r="S21" s="30">
        <v>1</v>
      </c>
      <c r="T21" s="82"/>
      <c r="U21" s="82"/>
      <c r="V21" s="82"/>
      <c r="W21" s="82"/>
      <c r="X21" s="30">
        <v>1</v>
      </c>
      <c r="Y21" s="82"/>
      <c r="Z21" s="82"/>
      <c r="AA21" s="82"/>
      <c r="AB21" s="82"/>
      <c r="AC21" s="82"/>
      <c r="AD21" s="82"/>
      <c r="AE21" s="82"/>
      <c r="AF21" s="82"/>
      <c r="AG21" s="82"/>
      <c r="AH21" s="82"/>
    </row>
    <row r="23" spans="1:34">
      <c r="A23" s="26" t="s">
        <v>117</v>
      </c>
      <c r="B23" s="28" t="s">
        <v>362</v>
      </c>
      <c r="C23" s="28" t="s">
        <v>206</v>
      </c>
      <c r="D23" s="28" t="s">
        <v>206</v>
      </c>
      <c r="E23" s="28" t="s">
        <v>206</v>
      </c>
      <c r="F23" s="28" t="s">
        <v>206</v>
      </c>
      <c r="G23" s="28" t="s">
        <v>206</v>
      </c>
      <c r="H23" s="28" t="s">
        <v>206</v>
      </c>
      <c r="I23" s="28" t="s">
        <v>206</v>
      </c>
      <c r="J23" s="28" t="s">
        <v>206</v>
      </c>
      <c r="K23" s="28" t="s">
        <v>206</v>
      </c>
      <c r="L23" s="28" t="s">
        <v>206</v>
      </c>
      <c r="M23" s="28" t="s">
        <v>206</v>
      </c>
      <c r="N23" s="28" t="s">
        <v>206</v>
      </c>
      <c r="O23" s="28" t="s">
        <v>206</v>
      </c>
      <c r="P23" s="187"/>
      <c r="Q23" s="80"/>
      <c r="R23" s="86" t="s">
        <v>206</v>
      </c>
      <c r="S23" s="80"/>
      <c r="T23" s="28" t="s">
        <v>206</v>
      </c>
      <c r="U23" s="28" t="s">
        <v>206</v>
      </c>
      <c r="V23" s="28" t="s">
        <v>206</v>
      </c>
      <c r="W23" s="28" t="s">
        <v>206</v>
      </c>
      <c r="X23" s="83" t="s">
        <v>206</v>
      </c>
      <c r="Y23" s="28" t="s">
        <v>206</v>
      </c>
      <c r="Z23" s="28" t="s">
        <v>206</v>
      </c>
      <c r="AA23" s="28" t="s">
        <v>206</v>
      </c>
      <c r="AB23" s="28" t="s">
        <v>206</v>
      </c>
      <c r="AC23" s="28" t="s">
        <v>206</v>
      </c>
      <c r="AD23" s="28" t="s">
        <v>206</v>
      </c>
      <c r="AE23" s="28" t="s">
        <v>206</v>
      </c>
      <c r="AF23" s="28" t="s">
        <v>206</v>
      </c>
      <c r="AG23" s="28" t="s">
        <v>206</v>
      </c>
      <c r="AH23" s="83" t="s">
        <v>206</v>
      </c>
    </row>
    <row r="24" spans="1:34">
      <c r="A24" s="26" t="s">
        <v>121</v>
      </c>
      <c r="B24" s="29" t="s">
        <v>210</v>
      </c>
      <c r="C24" s="28" t="s">
        <v>231</v>
      </c>
      <c r="D24" s="29" t="s">
        <v>206</v>
      </c>
      <c r="E24" s="28" t="s">
        <v>210</v>
      </c>
      <c r="F24" s="28" t="s">
        <v>210</v>
      </c>
      <c r="G24" s="28" t="s">
        <v>210</v>
      </c>
      <c r="H24" s="28" t="s">
        <v>341</v>
      </c>
      <c r="I24" s="29" t="s">
        <v>206</v>
      </c>
      <c r="J24" s="28" t="s">
        <v>210</v>
      </c>
      <c r="K24" s="28" t="s">
        <v>210</v>
      </c>
      <c r="L24" s="28" t="s">
        <v>210</v>
      </c>
      <c r="M24" s="28" t="s">
        <v>210</v>
      </c>
      <c r="N24" s="28" t="s">
        <v>210</v>
      </c>
      <c r="O24" s="28" t="s">
        <v>210</v>
      </c>
      <c r="P24" s="188"/>
      <c r="Q24" s="80"/>
      <c r="R24" s="86" t="s">
        <v>211</v>
      </c>
      <c r="S24" s="80"/>
      <c r="T24" s="28" t="s">
        <v>716</v>
      </c>
      <c r="U24" s="28" t="s">
        <v>210</v>
      </c>
      <c r="V24" s="28" t="s">
        <v>231</v>
      </c>
      <c r="W24" s="28" t="s">
        <v>717</v>
      </c>
      <c r="X24" s="83" t="s">
        <v>210</v>
      </c>
      <c r="Y24" s="115" t="s">
        <v>364</v>
      </c>
      <c r="Z24" s="28" t="s">
        <v>206</v>
      </c>
      <c r="AA24" s="28" t="s">
        <v>206</v>
      </c>
      <c r="AB24" s="28" t="s">
        <v>206</v>
      </c>
      <c r="AC24" s="28" t="s">
        <v>231</v>
      </c>
      <c r="AD24" s="28" t="s">
        <v>206</v>
      </c>
      <c r="AE24" s="28" t="s">
        <v>718</v>
      </c>
      <c r="AF24" s="28" t="s">
        <v>210</v>
      </c>
      <c r="AG24" s="28" t="s">
        <v>211</v>
      </c>
      <c r="AH24" s="85" t="s">
        <v>211</v>
      </c>
    </row>
    <row r="25" spans="1:34">
      <c r="A25" s="140" t="s">
        <v>122</v>
      </c>
      <c r="B25" s="167">
        <v>52</v>
      </c>
      <c r="C25" s="167">
        <v>56</v>
      </c>
      <c r="D25" s="167">
        <v>50</v>
      </c>
      <c r="E25" s="167">
        <v>122</v>
      </c>
      <c r="F25" s="167">
        <v>52</v>
      </c>
      <c r="G25" s="167">
        <v>52</v>
      </c>
      <c r="H25" s="167">
        <v>68</v>
      </c>
      <c r="I25" s="167">
        <v>50</v>
      </c>
      <c r="J25" s="167">
        <v>52</v>
      </c>
      <c r="K25" s="167">
        <v>52</v>
      </c>
      <c r="L25" s="167">
        <v>52</v>
      </c>
      <c r="M25" s="167">
        <v>52</v>
      </c>
      <c r="N25" s="167">
        <v>52</v>
      </c>
      <c r="O25" s="167">
        <v>52</v>
      </c>
      <c r="P25" s="189"/>
      <c r="Q25" s="174"/>
      <c r="R25" s="171">
        <v>48</v>
      </c>
      <c r="S25" s="174"/>
      <c r="T25" s="167">
        <v>159</v>
      </c>
      <c r="U25" s="167">
        <v>52</v>
      </c>
      <c r="V25" s="167">
        <v>56</v>
      </c>
      <c r="W25" s="167">
        <v>103</v>
      </c>
      <c r="X25" s="168">
        <v>52</v>
      </c>
      <c r="Y25" s="167">
        <v>118</v>
      </c>
      <c r="Z25" s="167">
        <v>50</v>
      </c>
      <c r="AA25" s="167">
        <v>50</v>
      </c>
      <c r="AB25" s="167">
        <v>50</v>
      </c>
      <c r="AC25" s="167">
        <v>56</v>
      </c>
      <c r="AD25" s="167">
        <v>50</v>
      </c>
      <c r="AE25" s="167">
        <v>160</v>
      </c>
      <c r="AF25" s="167">
        <v>52</v>
      </c>
      <c r="AG25" s="167">
        <v>48</v>
      </c>
      <c r="AH25" s="168">
        <v>48</v>
      </c>
    </row>
    <row r="26" spans="1:34">
      <c r="A26" s="26" t="s">
        <v>123</v>
      </c>
      <c r="B26" s="29" t="s">
        <v>124</v>
      </c>
      <c r="C26" s="28" t="s">
        <v>124</v>
      </c>
      <c r="D26" s="28" t="s">
        <v>124</v>
      </c>
      <c r="E26" s="28" t="s">
        <v>124</v>
      </c>
      <c r="F26" s="28" t="s">
        <v>124</v>
      </c>
      <c r="G26" s="29" t="s">
        <v>124</v>
      </c>
      <c r="H26" s="29" t="s">
        <v>124</v>
      </c>
      <c r="I26" s="29" t="s">
        <v>124</v>
      </c>
      <c r="J26" s="28" t="s">
        <v>124</v>
      </c>
      <c r="K26" s="29" t="s">
        <v>124</v>
      </c>
      <c r="L26" s="29" t="s">
        <v>124</v>
      </c>
      <c r="M26" s="29" t="s">
        <v>124</v>
      </c>
      <c r="N26" s="28" t="s">
        <v>124</v>
      </c>
      <c r="O26" s="28" t="s">
        <v>124</v>
      </c>
      <c r="P26" s="80"/>
      <c r="Q26" s="81"/>
      <c r="R26" s="29" t="s">
        <v>124</v>
      </c>
      <c r="S26" s="81"/>
      <c r="T26" s="29" t="s">
        <v>124</v>
      </c>
      <c r="U26" s="29" t="s">
        <v>124</v>
      </c>
      <c r="V26" s="28" t="s">
        <v>124</v>
      </c>
      <c r="W26" s="28" t="s">
        <v>124</v>
      </c>
      <c r="X26" s="28" t="s">
        <v>124</v>
      </c>
      <c r="Y26" s="28" t="s">
        <v>124</v>
      </c>
      <c r="Z26" s="28" t="s">
        <v>124</v>
      </c>
      <c r="AA26" s="28" t="s">
        <v>124</v>
      </c>
      <c r="AB26" s="28" t="s">
        <v>124</v>
      </c>
      <c r="AC26" s="28" t="s">
        <v>124</v>
      </c>
      <c r="AD26" s="28" t="s">
        <v>124</v>
      </c>
      <c r="AE26" s="28" t="s">
        <v>124</v>
      </c>
      <c r="AF26" s="28" t="s">
        <v>124</v>
      </c>
      <c r="AG26" s="28" t="s">
        <v>124</v>
      </c>
      <c r="AH26" s="85" t="s">
        <v>124</v>
      </c>
    </row>
    <row r="27" spans="1:34">
      <c r="A27" s="26" t="s">
        <v>125</v>
      </c>
      <c r="B27" s="28" t="s">
        <v>127</v>
      </c>
      <c r="C27" s="28" t="s">
        <v>127</v>
      </c>
      <c r="D27" s="28" t="s">
        <v>127</v>
      </c>
      <c r="E27" s="28" t="s">
        <v>127</v>
      </c>
      <c r="F27" s="28" t="s">
        <v>127</v>
      </c>
      <c r="G27" s="28" t="s">
        <v>127</v>
      </c>
      <c r="H27" s="29" t="s">
        <v>124</v>
      </c>
      <c r="I27" s="28" t="s">
        <v>127</v>
      </c>
      <c r="J27" s="28" t="s">
        <v>127</v>
      </c>
      <c r="K27" s="28" t="s">
        <v>127</v>
      </c>
      <c r="L27" s="28" t="s">
        <v>127</v>
      </c>
      <c r="M27" s="28" t="s">
        <v>127</v>
      </c>
      <c r="N27" s="28" t="s">
        <v>127</v>
      </c>
      <c r="O27" s="28" t="s">
        <v>127</v>
      </c>
      <c r="P27" s="80"/>
      <c r="Q27" s="80"/>
      <c r="R27" s="28" t="s">
        <v>127</v>
      </c>
      <c r="S27" s="80"/>
      <c r="T27" s="28" t="s">
        <v>127</v>
      </c>
      <c r="U27" s="28" t="s">
        <v>127</v>
      </c>
      <c r="V27" s="28" t="s">
        <v>127</v>
      </c>
      <c r="W27" s="28" t="s">
        <v>127</v>
      </c>
      <c r="X27" s="29" t="s">
        <v>127</v>
      </c>
      <c r="Y27" s="29" t="s">
        <v>127</v>
      </c>
      <c r="Z27" s="28" t="s">
        <v>127</v>
      </c>
      <c r="AA27" s="28" t="s">
        <v>127</v>
      </c>
      <c r="AB27" s="28" t="s">
        <v>127</v>
      </c>
      <c r="AC27" s="28" t="s">
        <v>127</v>
      </c>
      <c r="AD27" s="28" t="s">
        <v>127</v>
      </c>
      <c r="AE27" s="28" t="s">
        <v>127</v>
      </c>
      <c r="AF27" s="28" t="s">
        <v>127</v>
      </c>
      <c r="AG27" s="28" t="s">
        <v>127</v>
      </c>
      <c r="AH27" s="83" t="s">
        <v>127</v>
      </c>
    </row>
    <row r="28" spans="1:34">
      <c r="A28" s="26" t="s">
        <v>126</v>
      </c>
      <c r="B28" s="28" t="s">
        <v>124</v>
      </c>
      <c r="C28" s="28" t="s">
        <v>124</v>
      </c>
      <c r="D28" s="28" t="s">
        <v>124</v>
      </c>
      <c r="E28" s="28" t="s">
        <v>124</v>
      </c>
      <c r="F28" s="28" t="s">
        <v>124</v>
      </c>
      <c r="G28" s="28" t="s">
        <v>124</v>
      </c>
      <c r="H28" s="28" t="s">
        <v>127</v>
      </c>
      <c r="I28" s="28" t="s">
        <v>124</v>
      </c>
      <c r="J28" s="28" t="s">
        <v>124</v>
      </c>
      <c r="K28" s="28" t="s">
        <v>124</v>
      </c>
      <c r="L28" s="28" t="s">
        <v>124</v>
      </c>
      <c r="M28" s="28" t="s">
        <v>124</v>
      </c>
      <c r="N28" s="28" t="s">
        <v>124</v>
      </c>
      <c r="O28" s="28" t="s">
        <v>124</v>
      </c>
      <c r="P28" s="80"/>
      <c r="Q28" s="80"/>
      <c r="R28" s="28" t="s">
        <v>124</v>
      </c>
      <c r="S28" s="80"/>
      <c r="T28" s="28" t="s">
        <v>124</v>
      </c>
      <c r="U28" s="28" t="s">
        <v>124</v>
      </c>
      <c r="V28" s="28" t="s">
        <v>124</v>
      </c>
      <c r="W28" s="28" t="s">
        <v>124</v>
      </c>
      <c r="X28" s="28" t="s">
        <v>124</v>
      </c>
      <c r="Y28" s="28" t="s">
        <v>124</v>
      </c>
      <c r="Z28" s="28" t="s">
        <v>124</v>
      </c>
      <c r="AA28" s="28" t="s">
        <v>124</v>
      </c>
      <c r="AB28" s="28" t="s">
        <v>124</v>
      </c>
      <c r="AC28" s="28" t="s">
        <v>124</v>
      </c>
      <c r="AD28" s="28" t="s">
        <v>124</v>
      </c>
      <c r="AE28" s="28" t="s">
        <v>124</v>
      </c>
      <c r="AF28" s="28" t="s">
        <v>124</v>
      </c>
      <c r="AG28" s="28" t="s">
        <v>124</v>
      </c>
      <c r="AH28" s="83" t="s">
        <v>124</v>
      </c>
    </row>
    <row r="29" spans="1:34">
      <c r="A29" s="26" t="s">
        <v>128</v>
      </c>
      <c r="B29" s="28" t="s">
        <v>127</v>
      </c>
      <c r="C29" s="28" t="s">
        <v>127</v>
      </c>
      <c r="D29" s="28" t="s">
        <v>127</v>
      </c>
      <c r="E29" s="28" t="s">
        <v>127</v>
      </c>
      <c r="F29" s="28" t="s">
        <v>127</v>
      </c>
      <c r="G29" s="28" t="s">
        <v>127</v>
      </c>
      <c r="H29" s="28" t="s">
        <v>127</v>
      </c>
      <c r="I29" s="28" t="s">
        <v>127</v>
      </c>
      <c r="J29" s="28" t="s">
        <v>127</v>
      </c>
      <c r="K29" s="28" t="s">
        <v>127</v>
      </c>
      <c r="L29" s="28" t="s">
        <v>127</v>
      </c>
      <c r="M29" s="28" t="s">
        <v>127</v>
      </c>
      <c r="N29" s="28" t="s">
        <v>127</v>
      </c>
      <c r="O29" s="28" t="s">
        <v>127</v>
      </c>
      <c r="P29" s="80"/>
      <c r="Q29" s="80"/>
      <c r="R29" s="28" t="s">
        <v>127</v>
      </c>
      <c r="S29" s="80"/>
      <c r="T29" s="28" t="s">
        <v>127</v>
      </c>
      <c r="U29" s="28" t="s">
        <v>127</v>
      </c>
      <c r="V29" s="28" t="s">
        <v>127</v>
      </c>
      <c r="W29" s="28" t="s">
        <v>127</v>
      </c>
      <c r="X29" s="28" t="s">
        <v>127</v>
      </c>
      <c r="Y29" s="28" t="s">
        <v>127</v>
      </c>
      <c r="Z29" s="28" t="s">
        <v>127</v>
      </c>
      <c r="AA29" s="28" t="s">
        <v>127</v>
      </c>
      <c r="AB29" s="28" t="s">
        <v>127</v>
      </c>
      <c r="AC29" s="28" t="s">
        <v>127</v>
      </c>
      <c r="AD29" s="28" t="s">
        <v>127</v>
      </c>
      <c r="AE29" s="28" t="s">
        <v>127</v>
      </c>
      <c r="AF29" s="28" t="s">
        <v>127</v>
      </c>
      <c r="AG29" s="28" t="s">
        <v>127</v>
      </c>
      <c r="AH29" s="83" t="s">
        <v>127</v>
      </c>
    </row>
    <row r="30" spans="1:34">
      <c r="A30" s="26" t="s">
        <v>129</v>
      </c>
      <c r="B30" s="28" t="s">
        <v>149</v>
      </c>
      <c r="C30" s="28" t="s">
        <v>150</v>
      </c>
      <c r="D30" s="28" t="s">
        <v>149</v>
      </c>
      <c r="E30" s="28" t="s">
        <v>149</v>
      </c>
      <c r="F30" s="28" t="s">
        <v>149</v>
      </c>
      <c r="G30" s="28" t="s">
        <v>149</v>
      </c>
      <c r="H30" s="28" t="s">
        <v>343</v>
      </c>
      <c r="I30" s="28" t="s">
        <v>149</v>
      </c>
      <c r="J30" s="28" t="s">
        <v>149</v>
      </c>
      <c r="K30" s="28" t="s">
        <v>149</v>
      </c>
      <c r="L30" s="28" t="s">
        <v>149</v>
      </c>
      <c r="M30" s="28" t="s">
        <v>149</v>
      </c>
      <c r="N30" s="28" t="s">
        <v>149</v>
      </c>
      <c r="O30" s="28" t="s">
        <v>149</v>
      </c>
      <c r="P30" s="80"/>
      <c r="Q30" s="80"/>
      <c r="R30" s="28" t="s">
        <v>149</v>
      </c>
      <c r="S30" s="80"/>
      <c r="T30" s="28" t="s">
        <v>149</v>
      </c>
      <c r="U30" s="28" t="s">
        <v>149</v>
      </c>
      <c r="V30" s="28" t="s">
        <v>150</v>
      </c>
      <c r="W30" s="28" t="s">
        <v>316</v>
      </c>
      <c r="X30" s="28" t="s">
        <v>149</v>
      </c>
      <c r="Y30" s="28" t="s">
        <v>149</v>
      </c>
      <c r="Z30" s="28" t="s">
        <v>149</v>
      </c>
      <c r="AA30" s="28" t="s">
        <v>149</v>
      </c>
      <c r="AB30" s="28" t="s">
        <v>149</v>
      </c>
      <c r="AC30" s="28" t="s">
        <v>150</v>
      </c>
      <c r="AD30" s="28" t="s">
        <v>149</v>
      </c>
      <c r="AE30" s="28" t="s">
        <v>316</v>
      </c>
      <c r="AF30" s="28" t="s">
        <v>149</v>
      </c>
      <c r="AG30" s="28" t="s">
        <v>149</v>
      </c>
      <c r="AH30" s="83" t="s">
        <v>149</v>
      </c>
    </row>
    <row r="31" spans="1:34">
      <c r="A31" s="26" t="s">
        <v>130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/>
      <c r="Q31" s="82"/>
      <c r="R31" s="30">
        <f>4/3</f>
        <v>1.3333333333333333</v>
      </c>
      <c r="S31" s="82"/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>
      <c r="A32" s="26" t="s">
        <v>131</v>
      </c>
      <c r="B32" s="28" t="s">
        <v>180</v>
      </c>
      <c r="C32" s="28" t="s">
        <v>180</v>
      </c>
      <c r="D32" s="28" t="s">
        <v>180</v>
      </c>
      <c r="E32" s="28" t="s">
        <v>180</v>
      </c>
      <c r="F32" s="28" t="s">
        <v>180</v>
      </c>
      <c r="G32" s="28" t="s">
        <v>180</v>
      </c>
      <c r="H32" s="28" t="s">
        <v>180</v>
      </c>
      <c r="I32" s="28" t="s">
        <v>180</v>
      </c>
      <c r="J32" s="28" t="s">
        <v>180</v>
      </c>
      <c r="K32" s="28" t="s">
        <v>180</v>
      </c>
      <c r="L32" s="28" t="s">
        <v>180</v>
      </c>
      <c r="M32" s="28" t="s">
        <v>180</v>
      </c>
      <c r="N32" s="28" t="s">
        <v>180</v>
      </c>
      <c r="O32" s="28" t="s">
        <v>180</v>
      </c>
      <c r="P32" s="80"/>
      <c r="Q32" s="80"/>
      <c r="R32" s="28" t="s">
        <v>180</v>
      </c>
      <c r="S32" s="80"/>
      <c r="T32" s="28" t="s">
        <v>180</v>
      </c>
      <c r="U32" s="28" t="s">
        <v>180</v>
      </c>
      <c r="V32" s="28" t="s">
        <v>180</v>
      </c>
      <c r="W32" s="28" t="s">
        <v>180</v>
      </c>
      <c r="X32" s="28" t="s">
        <v>180</v>
      </c>
      <c r="Y32" s="28" t="s">
        <v>180</v>
      </c>
      <c r="Z32" s="28" t="s">
        <v>180</v>
      </c>
      <c r="AA32" s="28" t="s">
        <v>180</v>
      </c>
      <c r="AB32" s="28" t="s">
        <v>180</v>
      </c>
      <c r="AC32" s="28" t="s">
        <v>180</v>
      </c>
      <c r="AD32" s="28" t="s">
        <v>180</v>
      </c>
      <c r="AE32" s="28" t="s">
        <v>180</v>
      </c>
      <c r="AF32" s="28" t="s">
        <v>180</v>
      </c>
      <c r="AG32" s="28" t="s">
        <v>180</v>
      </c>
      <c r="AH32" s="83" t="s">
        <v>180</v>
      </c>
    </row>
    <row r="33" spans="1:34">
      <c r="A33" s="26" t="s">
        <v>133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/>
      <c r="Q33" s="82"/>
      <c r="R33" s="30">
        <v>2</v>
      </c>
      <c r="S33" s="82"/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4" spans="1:34">
      <c r="A34" s="31"/>
    </row>
    <row r="35" spans="1:34">
      <c r="A35" s="26" t="s">
        <v>117</v>
      </c>
      <c r="B35" s="28" t="s">
        <v>199</v>
      </c>
      <c r="C35" s="28" t="s">
        <v>200</v>
      </c>
      <c r="D35" s="28" t="s">
        <v>200</v>
      </c>
      <c r="E35" s="28" t="s">
        <v>200</v>
      </c>
      <c r="F35" s="28" t="s">
        <v>200</v>
      </c>
      <c r="G35" s="28" t="s">
        <v>200</v>
      </c>
      <c r="H35" s="28" t="s">
        <v>200</v>
      </c>
      <c r="I35" s="28" t="s">
        <v>200</v>
      </c>
      <c r="J35" s="28" t="s">
        <v>200</v>
      </c>
      <c r="K35" s="28" t="s">
        <v>200</v>
      </c>
      <c r="L35" s="28" t="s">
        <v>200</v>
      </c>
      <c r="M35" s="28" t="s">
        <v>200</v>
      </c>
      <c r="N35" s="28" t="s">
        <v>200</v>
      </c>
      <c r="O35" s="28" t="s">
        <v>200</v>
      </c>
      <c r="P35" s="28" t="s">
        <v>200</v>
      </c>
      <c r="Q35" s="28" t="s">
        <v>200</v>
      </c>
      <c r="R35" s="28" t="s">
        <v>200</v>
      </c>
      <c r="S35" s="28" t="s">
        <v>200</v>
      </c>
      <c r="T35" s="28" t="s">
        <v>200</v>
      </c>
      <c r="U35" s="28" t="s">
        <v>200</v>
      </c>
      <c r="V35" s="28" t="s">
        <v>200</v>
      </c>
      <c r="W35" s="28" t="s">
        <v>200</v>
      </c>
      <c r="X35" s="28" t="s">
        <v>200</v>
      </c>
      <c r="Y35" s="28" t="s">
        <v>200</v>
      </c>
      <c r="Z35" s="28" t="s">
        <v>200</v>
      </c>
      <c r="AA35" s="28" t="s">
        <v>200</v>
      </c>
      <c r="AB35" s="28" t="s">
        <v>200</v>
      </c>
      <c r="AC35" s="28" t="s">
        <v>200</v>
      </c>
      <c r="AD35" s="28" t="s">
        <v>200</v>
      </c>
      <c r="AE35" s="28" t="s">
        <v>200</v>
      </c>
      <c r="AF35" s="28" t="s">
        <v>200</v>
      </c>
      <c r="AG35" s="28" t="s">
        <v>200</v>
      </c>
      <c r="AH35" s="28" t="s">
        <v>200</v>
      </c>
    </row>
    <row r="36" spans="1:34">
      <c r="A36" s="26" t="s">
        <v>121</v>
      </c>
      <c r="B36" s="28" t="s">
        <v>205</v>
      </c>
      <c r="C36" s="28" t="s">
        <v>205</v>
      </c>
      <c r="D36" s="28" t="s">
        <v>205</v>
      </c>
      <c r="E36" s="28" t="s">
        <v>205</v>
      </c>
      <c r="F36" s="28" t="s">
        <v>205</v>
      </c>
      <c r="G36" s="28" t="s">
        <v>205</v>
      </c>
      <c r="H36" s="28" t="s">
        <v>205</v>
      </c>
      <c r="I36" s="28" t="s">
        <v>205</v>
      </c>
      <c r="J36" s="28" t="s">
        <v>205</v>
      </c>
      <c r="K36" s="28" t="s">
        <v>205</v>
      </c>
      <c r="L36" s="28" t="s">
        <v>205</v>
      </c>
      <c r="M36" s="28" t="s">
        <v>205</v>
      </c>
      <c r="N36" s="28" t="s">
        <v>205</v>
      </c>
      <c r="O36" s="28" t="s">
        <v>205</v>
      </c>
      <c r="P36" s="28" t="s">
        <v>205</v>
      </c>
      <c r="Q36" s="28" t="s">
        <v>205</v>
      </c>
      <c r="R36" s="28" t="s">
        <v>205</v>
      </c>
      <c r="S36" s="28" t="s">
        <v>205</v>
      </c>
      <c r="T36" s="28" t="s">
        <v>205</v>
      </c>
      <c r="U36" s="28" t="s">
        <v>205</v>
      </c>
      <c r="V36" s="28" t="s">
        <v>205</v>
      </c>
      <c r="W36" s="28" t="s">
        <v>205</v>
      </c>
      <c r="X36" s="28" t="s">
        <v>205</v>
      </c>
      <c r="Y36" s="28" t="s">
        <v>205</v>
      </c>
      <c r="Z36" s="28" t="s">
        <v>205</v>
      </c>
      <c r="AA36" s="28" t="s">
        <v>205</v>
      </c>
      <c r="AB36" s="28" t="s">
        <v>205</v>
      </c>
      <c r="AC36" s="28" t="s">
        <v>205</v>
      </c>
      <c r="AD36" s="28" t="s">
        <v>205</v>
      </c>
      <c r="AE36" s="28" t="s">
        <v>205</v>
      </c>
      <c r="AF36" s="28" t="s">
        <v>205</v>
      </c>
      <c r="AG36" s="28" t="s">
        <v>205</v>
      </c>
      <c r="AH36" s="28" t="s">
        <v>205</v>
      </c>
    </row>
    <row r="37" spans="1:34">
      <c r="A37" s="140" t="s">
        <v>122</v>
      </c>
      <c r="B37" s="167">
        <v>19</v>
      </c>
      <c r="C37" s="167">
        <v>19</v>
      </c>
      <c r="D37" s="167">
        <v>19</v>
      </c>
      <c r="E37" s="167">
        <v>19</v>
      </c>
      <c r="F37" s="167">
        <v>19</v>
      </c>
      <c r="G37" s="167">
        <v>19</v>
      </c>
      <c r="H37" s="167">
        <v>19</v>
      </c>
      <c r="I37" s="167">
        <v>19</v>
      </c>
      <c r="J37" s="167">
        <v>19</v>
      </c>
      <c r="K37" s="167">
        <v>19</v>
      </c>
      <c r="L37" s="167">
        <v>19</v>
      </c>
      <c r="M37" s="167">
        <v>19</v>
      </c>
      <c r="N37" s="167">
        <v>19</v>
      </c>
      <c r="O37" s="167">
        <v>19</v>
      </c>
      <c r="P37" s="167">
        <v>19</v>
      </c>
      <c r="Q37" s="167">
        <v>19</v>
      </c>
      <c r="R37" s="167">
        <v>19</v>
      </c>
      <c r="S37" s="167">
        <v>19</v>
      </c>
      <c r="T37" s="167">
        <v>19</v>
      </c>
      <c r="U37" s="167">
        <v>19</v>
      </c>
      <c r="V37" s="167">
        <v>19</v>
      </c>
      <c r="W37" s="167">
        <v>19</v>
      </c>
      <c r="X37" s="167">
        <v>19</v>
      </c>
      <c r="Y37" s="167">
        <v>19</v>
      </c>
      <c r="Z37" s="167">
        <v>19</v>
      </c>
      <c r="AA37" s="167">
        <v>19</v>
      </c>
      <c r="AB37" s="167">
        <v>19</v>
      </c>
      <c r="AC37" s="167">
        <v>19</v>
      </c>
      <c r="AD37" s="167">
        <v>19</v>
      </c>
      <c r="AE37" s="167">
        <v>19</v>
      </c>
      <c r="AF37" s="167">
        <v>19</v>
      </c>
      <c r="AG37" s="167">
        <v>19</v>
      </c>
      <c r="AH37" s="167">
        <v>19</v>
      </c>
    </row>
    <row r="38" spans="1:34">
      <c r="A38" s="26" t="s">
        <v>123</v>
      </c>
      <c r="B38" s="29" t="s">
        <v>124</v>
      </c>
      <c r="C38" s="29" t="s">
        <v>124</v>
      </c>
      <c r="D38" s="29" t="s">
        <v>124</v>
      </c>
      <c r="E38" s="29" t="s">
        <v>124</v>
      </c>
      <c r="F38" s="29" t="s">
        <v>124</v>
      </c>
      <c r="G38" s="29" t="s">
        <v>124</v>
      </c>
      <c r="H38" s="29" t="s">
        <v>124</v>
      </c>
      <c r="I38" s="29" t="s">
        <v>124</v>
      </c>
      <c r="J38" s="29" t="s">
        <v>124</v>
      </c>
      <c r="K38" s="29" t="s">
        <v>124</v>
      </c>
      <c r="L38" s="29" t="s">
        <v>124</v>
      </c>
      <c r="M38" s="29" t="s">
        <v>124</v>
      </c>
      <c r="N38" s="29" t="s">
        <v>124</v>
      </c>
      <c r="O38" s="29" t="s">
        <v>124</v>
      </c>
      <c r="P38" s="29" t="s">
        <v>124</v>
      </c>
      <c r="Q38" s="29" t="s">
        <v>124</v>
      </c>
      <c r="R38" s="29" t="s">
        <v>124</v>
      </c>
      <c r="S38" s="29" t="s">
        <v>124</v>
      </c>
      <c r="T38" s="29" t="s">
        <v>124</v>
      </c>
      <c r="U38" s="29" t="s">
        <v>124</v>
      </c>
      <c r="V38" s="29" t="s">
        <v>124</v>
      </c>
      <c r="W38" s="29" t="s">
        <v>124</v>
      </c>
      <c r="X38" s="29" t="s">
        <v>124</v>
      </c>
      <c r="Y38" s="29" t="s">
        <v>124</v>
      </c>
      <c r="Z38" s="29" t="s">
        <v>124</v>
      </c>
      <c r="AA38" s="29" t="s">
        <v>124</v>
      </c>
      <c r="AB38" s="29" t="s">
        <v>124</v>
      </c>
      <c r="AC38" s="29" t="s">
        <v>124</v>
      </c>
      <c r="AD38" s="29" t="s">
        <v>124</v>
      </c>
      <c r="AE38" s="29" t="s">
        <v>124</v>
      </c>
      <c r="AF38" s="29" t="s">
        <v>124</v>
      </c>
      <c r="AG38" s="29" t="s">
        <v>124</v>
      </c>
      <c r="AH38" s="29" t="s">
        <v>124</v>
      </c>
    </row>
    <row r="39" spans="1:34">
      <c r="A39" s="26" t="s">
        <v>125</v>
      </c>
      <c r="B39" s="28" t="s">
        <v>127</v>
      </c>
      <c r="C39" s="28" t="s">
        <v>127</v>
      </c>
      <c r="D39" s="28" t="s">
        <v>127</v>
      </c>
      <c r="E39" s="28" t="s">
        <v>127</v>
      </c>
      <c r="F39" s="28" t="s">
        <v>127</v>
      </c>
      <c r="G39" s="28" t="s">
        <v>127</v>
      </c>
      <c r="H39" s="28" t="s">
        <v>127</v>
      </c>
      <c r="I39" s="28" t="s">
        <v>127</v>
      </c>
      <c r="J39" s="28" t="s">
        <v>127</v>
      </c>
      <c r="K39" s="28" t="s">
        <v>127</v>
      </c>
      <c r="L39" s="28" t="s">
        <v>127</v>
      </c>
      <c r="M39" s="28" t="s">
        <v>127</v>
      </c>
      <c r="N39" s="28" t="s">
        <v>127</v>
      </c>
      <c r="O39" s="28" t="s">
        <v>127</v>
      </c>
      <c r="P39" s="28" t="s">
        <v>127</v>
      </c>
      <c r="Q39" s="28" t="s">
        <v>127</v>
      </c>
      <c r="R39" s="28" t="s">
        <v>127</v>
      </c>
      <c r="S39" s="28" t="s">
        <v>127</v>
      </c>
      <c r="T39" s="28" t="s">
        <v>127</v>
      </c>
      <c r="U39" s="28" t="s">
        <v>127</v>
      </c>
      <c r="V39" s="28" t="s">
        <v>127</v>
      </c>
      <c r="W39" s="28" t="s">
        <v>127</v>
      </c>
      <c r="X39" s="28" t="s">
        <v>127</v>
      </c>
      <c r="Y39" s="28" t="s">
        <v>127</v>
      </c>
      <c r="Z39" s="28" t="s">
        <v>127</v>
      </c>
      <c r="AA39" s="28" t="s">
        <v>127</v>
      </c>
      <c r="AB39" s="28" t="s">
        <v>127</v>
      </c>
      <c r="AC39" s="28" t="s">
        <v>127</v>
      </c>
      <c r="AD39" s="28" t="s">
        <v>127</v>
      </c>
      <c r="AE39" s="28" t="s">
        <v>127</v>
      </c>
      <c r="AF39" s="28" t="s">
        <v>127</v>
      </c>
      <c r="AG39" s="28" t="s">
        <v>127</v>
      </c>
      <c r="AH39" s="28" t="s">
        <v>127</v>
      </c>
    </row>
    <row r="40" spans="1:34">
      <c r="A40" s="26" t="s">
        <v>126</v>
      </c>
      <c r="B40" s="28" t="s">
        <v>127</v>
      </c>
      <c r="C40" s="28" t="s">
        <v>127</v>
      </c>
      <c r="D40" s="28" t="s">
        <v>127</v>
      </c>
      <c r="E40" s="28" t="s">
        <v>127</v>
      </c>
      <c r="F40" s="28" t="s">
        <v>127</v>
      </c>
      <c r="G40" s="28" t="s">
        <v>127</v>
      </c>
      <c r="H40" s="28" t="s">
        <v>127</v>
      </c>
      <c r="I40" s="28" t="s">
        <v>127</v>
      </c>
      <c r="J40" s="28" t="s">
        <v>127</v>
      </c>
      <c r="K40" s="28" t="s">
        <v>127</v>
      </c>
      <c r="L40" s="28" t="s">
        <v>127</v>
      </c>
      <c r="M40" s="28" t="s">
        <v>127</v>
      </c>
      <c r="N40" s="28" t="s">
        <v>127</v>
      </c>
      <c r="O40" s="28" t="s">
        <v>127</v>
      </c>
      <c r="P40" s="28" t="s">
        <v>127</v>
      </c>
      <c r="Q40" s="28" t="s">
        <v>127</v>
      </c>
      <c r="R40" s="28" t="s">
        <v>127</v>
      </c>
      <c r="S40" s="28" t="s">
        <v>127</v>
      </c>
      <c r="T40" s="28" t="s">
        <v>127</v>
      </c>
      <c r="U40" s="28" t="s">
        <v>127</v>
      </c>
      <c r="V40" s="28" t="s">
        <v>127</v>
      </c>
      <c r="W40" s="28" t="s">
        <v>127</v>
      </c>
      <c r="X40" s="28" t="s">
        <v>127</v>
      </c>
      <c r="Y40" s="28" t="s">
        <v>127</v>
      </c>
      <c r="Z40" s="28" t="s">
        <v>127</v>
      </c>
      <c r="AA40" s="28" t="s">
        <v>127</v>
      </c>
      <c r="AB40" s="28" t="s">
        <v>127</v>
      </c>
      <c r="AC40" s="28" t="s">
        <v>127</v>
      </c>
      <c r="AD40" s="28" t="s">
        <v>127</v>
      </c>
      <c r="AE40" s="28" t="s">
        <v>127</v>
      </c>
      <c r="AF40" s="28" t="s">
        <v>127</v>
      </c>
      <c r="AG40" s="28" t="s">
        <v>127</v>
      </c>
      <c r="AH40" s="28" t="s">
        <v>127</v>
      </c>
    </row>
    <row r="41" spans="1:34">
      <c r="A41" s="26" t="s">
        <v>128</v>
      </c>
      <c r="B41" s="28" t="s">
        <v>127</v>
      </c>
      <c r="C41" s="28" t="s">
        <v>127</v>
      </c>
      <c r="D41" s="28" t="s">
        <v>127</v>
      </c>
      <c r="E41" s="28" t="s">
        <v>127</v>
      </c>
      <c r="F41" s="28" t="s">
        <v>127</v>
      </c>
      <c r="G41" s="28" t="s">
        <v>127</v>
      </c>
      <c r="H41" s="28" t="s">
        <v>127</v>
      </c>
      <c r="I41" s="28" t="s">
        <v>127</v>
      </c>
      <c r="J41" s="28" t="s">
        <v>127</v>
      </c>
      <c r="K41" s="28" t="s">
        <v>127</v>
      </c>
      <c r="L41" s="28" t="s">
        <v>127</v>
      </c>
      <c r="M41" s="28" t="s">
        <v>127</v>
      </c>
      <c r="N41" s="28" t="s">
        <v>127</v>
      </c>
      <c r="O41" s="28" t="s">
        <v>127</v>
      </c>
      <c r="P41" s="28" t="s">
        <v>127</v>
      </c>
      <c r="Q41" s="28" t="s">
        <v>127</v>
      </c>
      <c r="R41" s="28" t="s">
        <v>127</v>
      </c>
      <c r="S41" s="28" t="s">
        <v>127</v>
      </c>
      <c r="T41" s="28" t="s">
        <v>127</v>
      </c>
      <c r="U41" s="28" t="s">
        <v>127</v>
      </c>
      <c r="V41" s="28" t="s">
        <v>127</v>
      </c>
      <c r="W41" s="28" t="s">
        <v>127</v>
      </c>
      <c r="X41" s="28" t="s">
        <v>127</v>
      </c>
      <c r="Y41" s="28" t="s">
        <v>127</v>
      </c>
      <c r="Z41" s="28" t="s">
        <v>127</v>
      </c>
      <c r="AA41" s="28" t="s">
        <v>127</v>
      </c>
      <c r="AB41" s="28" t="s">
        <v>127</v>
      </c>
      <c r="AC41" s="28" t="s">
        <v>127</v>
      </c>
      <c r="AD41" s="28" t="s">
        <v>127</v>
      </c>
      <c r="AE41" s="28" t="s">
        <v>127</v>
      </c>
      <c r="AF41" s="28" t="s">
        <v>127</v>
      </c>
      <c r="AG41" s="28" t="s">
        <v>127</v>
      </c>
      <c r="AH41" s="28" t="s">
        <v>127</v>
      </c>
    </row>
    <row r="42" spans="1:34">
      <c r="A42" s="26" t="s">
        <v>129</v>
      </c>
      <c r="B42" s="28" t="s">
        <v>216</v>
      </c>
      <c r="C42" s="28" t="s">
        <v>216</v>
      </c>
      <c r="D42" s="28" t="s">
        <v>216</v>
      </c>
      <c r="E42" s="28" t="s">
        <v>216</v>
      </c>
      <c r="F42" s="28" t="s">
        <v>216</v>
      </c>
      <c r="G42" s="28" t="s">
        <v>216</v>
      </c>
      <c r="H42" s="28" t="s">
        <v>216</v>
      </c>
      <c r="I42" s="28" t="s">
        <v>216</v>
      </c>
      <c r="J42" s="28" t="s">
        <v>216</v>
      </c>
      <c r="K42" s="28" t="s">
        <v>216</v>
      </c>
      <c r="L42" s="28" t="s">
        <v>216</v>
      </c>
      <c r="M42" s="28" t="s">
        <v>216</v>
      </c>
      <c r="N42" s="28" t="s">
        <v>216</v>
      </c>
      <c r="O42" s="28" t="s">
        <v>216</v>
      </c>
      <c r="P42" s="28" t="s">
        <v>216</v>
      </c>
      <c r="Q42" s="28" t="s">
        <v>216</v>
      </c>
      <c r="R42" s="28" t="s">
        <v>216</v>
      </c>
      <c r="S42" s="28" t="s">
        <v>216</v>
      </c>
      <c r="T42" s="28" t="s">
        <v>216</v>
      </c>
      <c r="U42" s="28" t="s">
        <v>216</v>
      </c>
      <c r="V42" s="28" t="s">
        <v>216</v>
      </c>
      <c r="W42" s="28" t="s">
        <v>216</v>
      </c>
      <c r="X42" s="28" t="s">
        <v>216</v>
      </c>
      <c r="Y42" s="28" t="s">
        <v>216</v>
      </c>
      <c r="Z42" s="28" t="s">
        <v>216</v>
      </c>
      <c r="AA42" s="28" t="s">
        <v>216</v>
      </c>
      <c r="AB42" s="28" t="s">
        <v>216</v>
      </c>
      <c r="AC42" s="28" t="s">
        <v>216</v>
      </c>
      <c r="AD42" s="28" t="s">
        <v>216</v>
      </c>
      <c r="AE42" s="28" t="s">
        <v>216</v>
      </c>
      <c r="AF42" s="28" t="s">
        <v>216</v>
      </c>
      <c r="AG42" s="28" t="s">
        <v>216</v>
      </c>
      <c r="AH42" s="28" t="s">
        <v>216</v>
      </c>
    </row>
    <row r="43" spans="1:34">
      <c r="A43" s="26" t="s">
        <v>130</v>
      </c>
      <c r="B43" s="30">
        <v>-3</v>
      </c>
      <c r="C43" s="30">
        <v>-3</v>
      </c>
      <c r="D43" s="30">
        <v>-3</v>
      </c>
      <c r="E43" s="30">
        <v>-3</v>
      </c>
      <c r="F43" s="30">
        <v>-3</v>
      </c>
      <c r="G43" s="30">
        <v>-3</v>
      </c>
      <c r="H43" s="30">
        <v>-3</v>
      </c>
      <c r="I43" s="30">
        <v>-3</v>
      </c>
      <c r="J43" s="30">
        <v>-3</v>
      </c>
      <c r="K43" s="30">
        <v>-3</v>
      </c>
      <c r="L43" s="30">
        <v>-3</v>
      </c>
      <c r="M43" s="30">
        <v>-3</v>
      </c>
      <c r="N43" s="30">
        <v>-3</v>
      </c>
      <c r="O43" s="30">
        <v>-3</v>
      </c>
      <c r="P43" s="30">
        <v>-3</v>
      </c>
      <c r="Q43" s="30">
        <v>-3</v>
      </c>
      <c r="R43" s="30">
        <v>-3</v>
      </c>
      <c r="S43" s="30">
        <v>-3</v>
      </c>
      <c r="T43" s="30">
        <v>-3</v>
      </c>
      <c r="U43" s="30">
        <v>-3</v>
      </c>
      <c r="V43" s="30">
        <v>-3</v>
      </c>
      <c r="W43" s="30">
        <v>-3</v>
      </c>
      <c r="X43" s="30">
        <v>-3</v>
      </c>
      <c r="Y43" s="30">
        <v>-3</v>
      </c>
      <c r="Z43" s="30">
        <v>-3</v>
      </c>
      <c r="AA43" s="30">
        <v>-3</v>
      </c>
      <c r="AB43" s="30">
        <v>-3</v>
      </c>
      <c r="AC43" s="30">
        <v>-3</v>
      </c>
      <c r="AD43" s="30">
        <v>-3</v>
      </c>
      <c r="AE43" s="30">
        <v>-3</v>
      </c>
      <c r="AF43" s="30">
        <v>-3</v>
      </c>
      <c r="AG43" s="30">
        <v>-3</v>
      </c>
      <c r="AH43" s="30">
        <v>-3</v>
      </c>
    </row>
    <row r="44" spans="1:34">
      <c r="A44" s="26" t="s">
        <v>131</v>
      </c>
      <c r="B44" s="28" t="s">
        <v>132</v>
      </c>
      <c r="C44" s="28" t="s">
        <v>132</v>
      </c>
      <c r="D44" s="28" t="s">
        <v>132</v>
      </c>
      <c r="E44" s="28" t="s">
        <v>132</v>
      </c>
      <c r="F44" s="28" t="s">
        <v>132</v>
      </c>
      <c r="G44" s="28" t="s">
        <v>132</v>
      </c>
      <c r="H44" s="28" t="s">
        <v>132</v>
      </c>
      <c r="I44" s="28" t="s">
        <v>132</v>
      </c>
      <c r="J44" s="28" t="s">
        <v>132</v>
      </c>
      <c r="K44" s="28" t="s">
        <v>132</v>
      </c>
      <c r="L44" s="28" t="s">
        <v>132</v>
      </c>
      <c r="M44" s="28" t="s">
        <v>132</v>
      </c>
      <c r="N44" s="28" t="s">
        <v>132</v>
      </c>
      <c r="O44" s="28" t="s">
        <v>132</v>
      </c>
      <c r="P44" s="28" t="s">
        <v>132</v>
      </c>
      <c r="Q44" s="28" t="s">
        <v>132</v>
      </c>
      <c r="R44" s="28" t="s">
        <v>132</v>
      </c>
      <c r="S44" s="28" t="s">
        <v>132</v>
      </c>
      <c r="T44" s="28" t="s">
        <v>132</v>
      </c>
      <c r="U44" s="28" t="s">
        <v>132</v>
      </c>
      <c r="V44" s="28" t="s">
        <v>132</v>
      </c>
      <c r="W44" s="28" t="s">
        <v>132</v>
      </c>
      <c r="X44" s="28" t="s">
        <v>132</v>
      </c>
      <c r="Y44" s="28" t="s">
        <v>132</v>
      </c>
      <c r="Z44" s="28" t="s">
        <v>132</v>
      </c>
      <c r="AA44" s="28" t="s">
        <v>132</v>
      </c>
      <c r="AB44" s="28" t="s">
        <v>132</v>
      </c>
      <c r="AC44" s="28" t="s">
        <v>132</v>
      </c>
      <c r="AD44" s="28" t="s">
        <v>132</v>
      </c>
      <c r="AE44" s="28" t="s">
        <v>132</v>
      </c>
      <c r="AF44" s="28" t="s">
        <v>132</v>
      </c>
      <c r="AG44" s="28" t="s">
        <v>132</v>
      </c>
      <c r="AH44" s="28" t="s">
        <v>132</v>
      </c>
    </row>
    <row r="45" spans="1:34">
      <c r="A45" s="26" t="s">
        <v>133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</row>
    <row r="46" spans="1:34">
      <c r="B46" s="56"/>
    </row>
    <row r="47" spans="1:34">
      <c r="A47" s="26" t="s">
        <v>117</v>
      </c>
      <c r="B47" s="28" t="s">
        <v>394</v>
      </c>
      <c r="C47" s="28" t="s">
        <v>395</v>
      </c>
      <c r="D47" s="28" t="s">
        <v>395</v>
      </c>
      <c r="E47" s="28" t="s">
        <v>395</v>
      </c>
      <c r="F47" s="28" t="s">
        <v>395</v>
      </c>
      <c r="G47" s="28" t="s">
        <v>395</v>
      </c>
      <c r="H47" s="28" t="s">
        <v>395</v>
      </c>
      <c r="I47" s="28" t="s">
        <v>395</v>
      </c>
      <c r="J47" s="28" t="s">
        <v>395</v>
      </c>
      <c r="K47" s="28" t="s">
        <v>395</v>
      </c>
      <c r="L47" s="28" t="s">
        <v>395</v>
      </c>
      <c r="M47" s="28" t="s">
        <v>395</v>
      </c>
      <c r="N47" s="28" t="s">
        <v>395</v>
      </c>
      <c r="O47" s="28" t="s">
        <v>395</v>
      </c>
      <c r="P47" s="28" t="s">
        <v>395</v>
      </c>
      <c r="Q47" s="28" t="s">
        <v>395</v>
      </c>
      <c r="R47" s="28" t="s">
        <v>395</v>
      </c>
      <c r="S47" s="28" t="s">
        <v>395</v>
      </c>
      <c r="T47" s="28" t="s">
        <v>395</v>
      </c>
      <c r="U47" s="28" t="s">
        <v>395</v>
      </c>
      <c r="V47" s="28" t="s">
        <v>395</v>
      </c>
      <c r="W47" s="28" t="s">
        <v>395</v>
      </c>
      <c r="X47" s="28" t="s">
        <v>395</v>
      </c>
      <c r="Y47" s="28" t="s">
        <v>395</v>
      </c>
      <c r="Z47" s="28" t="s">
        <v>395</v>
      </c>
      <c r="AA47" s="28" t="s">
        <v>395</v>
      </c>
      <c r="AB47" s="28" t="s">
        <v>395</v>
      </c>
      <c r="AC47" s="28" t="s">
        <v>395</v>
      </c>
      <c r="AD47" s="28" t="s">
        <v>395</v>
      </c>
      <c r="AE47" s="28" t="s">
        <v>395</v>
      </c>
      <c r="AF47" s="28" t="s">
        <v>395</v>
      </c>
      <c r="AG47" s="28" t="s">
        <v>395</v>
      </c>
      <c r="AH47" s="28" t="s">
        <v>395</v>
      </c>
    </row>
    <row r="48" spans="1:34">
      <c r="A48" s="26" t="s">
        <v>121</v>
      </c>
      <c r="B48" s="29" t="s">
        <v>507</v>
      </c>
      <c r="C48" s="29" t="s">
        <v>507</v>
      </c>
      <c r="D48" s="29" t="s">
        <v>507</v>
      </c>
      <c r="E48" s="29" t="s">
        <v>507</v>
      </c>
      <c r="F48" s="29" t="s">
        <v>507</v>
      </c>
      <c r="G48" s="29" t="s">
        <v>507</v>
      </c>
      <c r="H48" s="29" t="s">
        <v>507</v>
      </c>
      <c r="I48" s="29" t="s">
        <v>507</v>
      </c>
      <c r="J48" s="29" t="s">
        <v>507</v>
      </c>
      <c r="K48" s="29" t="s">
        <v>507</v>
      </c>
      <c r="L48" s="29" t="s">
        <v>507</v>
      </c>
      <c r="M48" s="29" t="s">
        <v>507</v>
      </c>
      <c r="N48" s="115" t="s">
        <v>518</v>
      </c>
      <c r="O48" s="29" t="s">
        <v>507</v>
      </c>
      <c r="P48" s="115" t="s">
        <v>400</v>
      </c>
      <c r="Q48" s="115" t="s">
        <v>400</v>
      </c>
      <c r="R48" s="29" t="s">
        <v>401</v>
      </c>
      <c r="S48" s="115" t="s">
        <v>518</v>
      </c>
      <c r="T48" s="29" t="s">
        <v>507</v>
      </c>
      <c r="U48" s="29" t="s">
        <v>507</v>
      </c>
      <c r="V48" s="29" t="s">
        <v>507</v>
      </c>
      <c r="W48" s="29" t="s">
        <v>507</v>
      </c>
      <c r="X48" s="29" t="s">
        <v>507</v>
      </c>
      <c r="Y48" s="29" t="s">
        <v>507</v>
      </c>
      <c r="Z48" s="29" t="s">
        <v>507</v>
      </c>
      <c r="AA48" s="29" t="s">
        <v>507</v>
      </c>
      <c r="AB48" s="29" t="s">
        <v>507</v>
      </c>
      <c r="AC48" s="29" t="s">
        <v>507</v>
      </c>
      <c r="AD48" s="29" t="s">
        <v>507</v>
      </c>
      <c r="AE48" s="29" t="s">
        <v>507</v>
      </c>
      <c r="AF48" s="29" t="s">
        <v>507</v>
      </c>
      <c r="AG48" s="29" t="s">
        <v>507</v>
      </c>
      <c r="AH48" s="29" t="s">
        <v>507</v>
      </c>
    </row>
    <row r="49" spans="1:34">
      <c r="A49" s="140" t="s">
        <v>122</v>
      </c>
      <c r="B49" s="167">
        <v>83</v>
      </c>
      <c r="C49" s="167">
        <v>83</v>
      </c>
      <c r="D49" s="167">
        <v>83</v>
      </c>
      <c r="E49" s="167">
        <v>83</v>
      </c>
      <c r="F49" s="167">
        <v>83</v>
      </c>
      <c r="G49" s="167">
        <v>83</v>
      </c>
      <c r="H49" s="167">
        <v>83</v>
      </c>
      <c r="I49" s="167">
        <v>83</v>
      </c>
      <c r="J49" s="167">
        <v>83</v>
      </c>
      <c r="K49" s="167">
        <v>83</v>
      </c>
      <c r="L49" s="167">
        <v>83</v>
      </c>
      <c r="M49" s="167">
        <v>83</v>
      </c>
      <c r="N49" s="167">
        <v>143</v>
      </c>
      <c r="O49" s="167">
        <v>83</v>
      </c>
      <c r="P49" s="167">
        <v>142</v>
      </c>
      <c r="Q49" s="167">
        <v>142</v>
      </c>
      <c r="R49" s="167">
        <v>81</v>
      </c>
      <c r="S49" s="167">
        <v>143</v>
      </c>
      <c r="T49" s="167">
        <v>83</v>
      </c>
      <c r="U49" s="167">
        <v>83</v>
      </c>
      <c r="V49" s="167">
        <v>83</v>
      </c>
      <c r="W49" s="167">
        <v>83</v>
      </c>
      <c r="X49" s="167">
        <v>83</v>
      </c>
      <c r="Y49" s="167">
        <v>83</v>
      </c>
      <c r="Z49" s="167">
        <v>83</v>
      </c>
      <c r="AA49" s="167">
        <v>83</v>
      </c>
      <c r="AB49" s="167">
        <v>83</v>
      </c>
      <c r="AC49" s="167">
        <v>83</v>
      </c>
      <c r="AD49" s="167">
        <v>83</v>
      </c>
      <c r="AE49" s="167">
        <v>83</v>
      </c>
      <c r="AF49" s="167">
        <v>83</v>
      </c>
      <c r="AG49" s="167">
        <v>83</v>
      </c>
      <c r="AH49" s="167">
        <v>83</v>
      </c>
    </row>
    <row r="50" spans="1:34">
      <c r="A50" s="26" t="s">
        <v>123</v>
      </c>
      <c r="B50" s="28" t="s">
        <v>124</v>
      </c>
      <c r="C50" s="28" t="s">
        <v>124</v>
      </c>
      <c r="D50" s="28" t="s">
        <v>124</v>
      </c>
      <c r="E50" s="28" t="s">
        <v>124</v>
      </c>
      <c r="F50" s="28" t="s">
        <v>124</v>
      </c>
      <c r="G50" s="28" t="s">
        <v>124</v>
      </c>
      <c r="H50" s="28" t="s">
        <v>124</v>
      </c>
      <c r="I50" s="28" t="s">
        <v>124</v>
      </c>
      <c r="J50" s="28" t="s">
        <v>124</v>
      </c>
      <c r="K50" s="28" t="s">
        <v>124</v>
      </c>
      <c r="L50" s="28" t="s">
        <v>124</v>
      </c>
      <c r="M50" s="28" t="s">
        <v>124</v>
      </c>
      <c r="N50" s="28" t="s">
        <v>124</v>
      </c>
      <c r="O50" s="28" t="s">
        <v>124</v>
      </c>
      <c r="P50" s="28" t="s">
        <v>124</v>
      </c>
      <c r="Q50" s="28" t="s">
        <v>124</v>
      </c>
      <c r="R50" s="28" t="s">
        <v>124</v>
      </c>
      <c r="S50" s="28" t="s">
        <v>124</v>
      </c>
      <c r="T50" s="28" t="s">
        <v>124</v>
      </c>
      <c r="U50" s="28" t="s">
        <v>124</v>
      </c>
      <c r="V50" s="28" t="s">
        <v>124</v>
      </c>
      <c r="W50" s="28" t="s">
        <v>124</v>
      </c>
      <c r="X50" s="28" t="s">
        <v>124</v>
      </c>
      <c r="Y50" s="28" t="s">
        <v>124</v>
      </c>
      <c r="Z50" s="28" t="s">
        <v>124</v>
      </c>
      <c r="AA50" s="28" t="s">
        <v>124</v>
      </c>
      <c r="AB50" s="28" t="s">
        <v>124</v>
      </c>
      <c r="AC50" s="28" t="s">
        <v>124</v>
      </c>
      <c r="AD50" s="28" t="s">
        <v>124</v>
      </c>
      <c r="AE50" s="28" t="s">
        <v>124</v>
      </c>
      <c r="AF50" s="28" t="s">
        <v>124</v>
      </c>
      <c r="AG50" s="28" t="s">
        <v>124</v>
      </c>
      <c r="AH50" s="28" t="s">
        <v>124</v>
      </c>
    </row>
    <row r="51" spans="1:34">
      <c r="A51" s="26" t="s">
        <v>125</v>
      </c>
      <c r="B51" s="28" t="s">
        <v>124</v>
      </c>
      <c r="C51" s="28" t="s">
        <v>124</v>
      </c>
      <c r="D51" s="28" t="s">
        <v>124</v>
      </c>
      <c r="E51" s="28" t="s">
        <v>124</v>
      </c>
      <c r="F51" s="28" t="s">
        <v>124</v>
      </c>
      <c r="G51" s="28" t="s">
        <v>124</v>
      </c>
      <c r="H51" s="28" t="s">
        <v>124</v>
      </c>
      <c r="I51" s="28" t="s">
        <v>124</v>
      </c>
      <c r="J51" s="28" t="s">
        <v>124</v>
      </c>
      <c r="K51" s="28" t="s">
        <v>124</v>
      </c>
      <c r="L51" s="28" t="s">
        <v>124</v>
      </c>
      <c r="M51" s="28" t="s">
        <v>124</v>
      </c>
      <c r="N51" s="28" t="s">
        <v>124</v>
      </c>
      <c r="O51" s="28" t="s">
        <v>124</v>
      </c>
      <c r="P51" s="28" t="s">
        <v>124</v>
      </c>
      <c r="Q51" s="28" t="s">
        <v>124</v>
      </c>
      <c r="R51" s="28" t="s">
        <v>124</v>
      </c>
      <c r="S51" s="28" t="s">
        <v>124</v>
      </c>
      <c r="T51" s="28" t="s">
        <v>124</v>
      </c>
      <c r="U51" s="28" t="s">
        <v>124</v>
      </c>
      <c r="V51" s="28" t="s">
        <v>124</v>
      </c>
      <c r="W51" s="28" t="s">
        <v>124</v>
      </c>
      <c r="X51" s="28" t="s">
        <v>124</v>
      </c>
      <c r="Y51" s="28" t="s">
        <v>124</v>
      </c>
      <c r="Z51" s="28" t="s">
        <v>124</v>
      </c>
      <c r="AA51" s="28" t="s">
        <v>124</v>
      </c>
      <c r="AB51" s="28" t="s">
        <v>124</v>
      </c>
      <c r="AC51" s="28" t="s">
        <v>124</v>
      </c>
      <c r="AD51" s="28" t="s">
        <v>124</v>
      </c>
      <c r="AE51" s="28" t="s">
        <v>124</v>
      </c>
      <c r="AF51" s="28" t="s">
        <v>124</v>
      </c>
      <c r="AG51" s="28" t="s">
        <v>124</v>
      </c>
      <c r="AH51" s="28" t="s">
        <v>124</v>
      </c>
    </row>
    <row r="52" spans="1:34">
      <c r="A52" s="26" t="s">
        <v>126</v>
      </c>
      <c r="B52" s="28" t="s">
        <v>127</v>
      </c>
      <c r="C52" s="28" t="s">
        <v>127</v>
      </c>
      <c r="D52" s="28" t="s">
        <v>127</v>
      </c>
      <c r="E52" s="28" t="s">
        <v>127</v>
      </c>
      <c r="F52" s="28" t="s">
        <v>127</v>
      </c>
      <c r="G52" s="28" t="s">
        <v>127</v>
      </c>
      <c r="H52" s="28" t="s">
        <v>127</v>
      </c>
      <c r="I52" s="28" t="s">
        <v>127</v>
      </c>
      <c r="J52" s="28" t="s">
        <v>127</v>
      </c>
      <c r="K52" s="28" t="s">
        <v>127</v>
      </c>
      <c r="L52" s="28" t="s">
        <v>127</v>
      </c>
      <c r="M52" s="28" t="s">
        <v>127</v>
      </c>
      <c r="N52" s="28" t="s">
        <v>127</v>
      </c>
      <c r="O52" s="28" t="s">
        <v>127</v>
      </c>
      <c r="P52" s="28" t="s">
        <v>127</v>
      </c>
      <c r="Q52" s="28" t="s">
        <v>127</v>
      </c>
      <c r="R52" s="28" t="s">
        <v>127</v>
      </c>
      <c r="S52" s="28" t="s">
        <v>127</v>
      </c>
      <c r="T52" s="28" t="s">
        <v>127</v>
      </c>
      <c r="U52" s="28" t="s">
        <v>127</v>
      </c>
      <c r="V52" s="28" t="s">
        <v>127</v>
      </c>
      <c r="W52" s="28" t="s">
        <v>127</v>
      </c>
      <c r="X52" s="28" t="s">
        <v>127</v>
      </c>
      <c r="Y52" s="28" t="s">
        <v>127</v>
      </c>
      <c r="Z52" s="28" t="s">
        <v>127</v>
      </c>
      <c r="AA52" s="28" t="s">
        <v>127</v>
      </c>
      <c r="AB52" s="28" t="s">
        <v>127</v>
      </c>
      <c r="AC52" s="28" t="s">
        <v>127</v>
      </c>
      <c r="AD52" s="28" t="s">
        <v>127</v>
      </c>
      <c r="AE52" s="28" t="s">
        <v>127</v>
      </c>
      <c r="AF52" s="28" t="s">
        <v>127</v>
      </c>
      <c r="AG52" s="28" t="s">
        <v>127</v>
      </c>
      <c r="AH52" s="28" t="s">
        <v>127</v>
      </c>
    </row>
    <row r="53" spans="1:34">
      <c r="A53" s="26" t="s">
        <v>128</v>
      </c>
      <c r="B53" s="28" t="s">
        <v>127</v>
      </c>
      <c r="C53" s="28" t="s">
        <v>127</v>
      </c>
      <c r="D53" s="28" t="s">
        <v>127</v>
      </c>
      <c r="E53" s="28" t="s">
        <v>127</v>
      </c>
      <c r="F53" s="28" t="s">
        <v>127</v>
      </c>
      <c r="G53" s="28" t="s">
        <v>127</v>
      </c>
      <c r="H53" s="28" t="s">
        <v>127</v>
      </c>
      <c r="I53" s="28" t="s">
        <v>127</v>
      </c>
      <c r="J53" s="28" t="s">
        <v>127</v>
      </c>
      <c r="K53" s="28" t="s">
        <v>127</v>
      </c>
      <c r="L53" s="28" t="s">
        <v>127</v>
      </c>
      <c r="M53" s="28" t="s">
        <v>127</v>
      </c>
      <c r="N53" s="28" t="s">
        <v>127</v>
      </c>
      <c r="O53" s="28" t="s">
        <v>127</v>
      </c>
      <c r="P53" s="28" t="s">
        <v>127</v>
      </c>
      <c r="Q53" s="28" t="s">
        <v>127</v>
      </c>
      <c r="R53" s="28" t="s">
        <v>127</v>
      </c>
      <c r="S53" s="28" t="s">
        <v>127</v>
      </c>
      <c r="T53" s="28" t="s">
        <v>127</v>
      </c>
      <c r="U53" s="28" t="s">
        <v>127</v>
      </c>
      <c r="V53" s="28" t="s">
        <v>127</v>
      </c>
      <c r="W53" s="28" t="s">
        <v>127</v>
      </c>
      <c r="X53" s="28" t="s">
        <v>127</v>
      </c>
      <c r="Y53" s="28" t="s">
        <v>127</v>
      </c>
      <c r="Z53" s="28" t="s">
        <v>127</v>
      </c>
      <c r="AA53" s="28" t="s">
        <v>127</v>
      </c>
      <c r="AB53" s="28" t="s">
        <v>127</v>
      </c>
      <c r="AC53" s="28" t="s">
        <v>127</v>
      </c>
      <c r="AD53" s="28" t="s">
        <v>127</v>
      </c>
      <c r="AE53" s="28" t="s">
        <v>127</v>
      </c>
      <c r="AF53" s="28" t="s">
        <v>127</v>
      </c>
      <c r="AG53" s="28" t="s">
        <v>127</v>
      </c>
      <c r="AH53" s="28" t="s">
        <v>127</v>
      </c>
    </row>
    <row r="54" spans="1:34">
      <c r="A54" s="26" t="s">
        <v>129</v>
      </c>
      <c r="B54" s="28" t="s">
        <v>149</v>
      </c>
      <c r="C54" s="28" t="s">
        <v>149</v>
      </c>
      <c r="D54" s="28" t="s">
        <v>149</v>
      </c>
      <c r="E54" s="28" t="s">
        <v>149</v>
      </c>
      <c r="F54" s="28" t="s">
        <v>149</v>
      </c>
      <c r="G54" s="28" t="s">
        <v>149</v>
      </c>
      <c r="H54" s="28" t="s">
        <v>149</v>
      </c>
      <c r="I54" s="28" t="s">
        <v>149</v>
      </c>
      <c r="J54" s="28" t="s">
        <v>149</v>
      </c>
      <c r="K54" s="28" t="s">
        <v>149</v>
      </c>
      <c r="L54" s="28" t="s">
        <v>149</v>
      </c>
      <c r="M54" s="28" t="s">
        <v>149</v>
      </c>
      <c r="N54" s="115" t="s">
        <v>407</v>
      </c>
      <c r="O54" s="28" t="s">
        <v>149</v>
      </c>
      <c r="P54" s="28" t="s">
        <v>408</v>
      </c>
      <c r="Q54" s="28" t="s">
        <v>408</v>
      </c>
      <c r="R54" s="28" t="s">
        <v>408</v>
      </c>
      <c r="S54" s="115" t="s">
        <v>407</v>
      </c>
      <c r="T54" s="28" t="s">
        <v>149</v>
      </c>
      <c r="U54" s="28" t="s">
        <v>149</v>
      </c>
      <c r="V54" s="28" t="s">
        <v>149</v>
      </c>
      <c r="W54" s="28" t="s">
        <v>149</v>
      </c>
      <c r="X54" s="28" t="s">
        <v>149</v>
      </c>
      <c r="Y54" s="28" t="s">
        <v>149</v>
      </c>
      <c r="Z54" s="28" t="s">
        <v>149</v>
      </c>
      <c r="AA54" s="28" t="s">
        <v>149</v>
      </c>
      <c r="AB54" s="28" t="s">
        <v>149</v>
      </c>
      <c r="AC54" s="28" t="s">
        <v>149</v>
      </c>
      <c r="AD54" s="28" t="s">
        <v>149</v>
      </c>
      <c r="AE54" s="28" t="s">
        <v>149</v>
      </c>
      <c r="AF54" s="28" t="s">
        <v>149</v>
      </c>
      <c r="AG54" s="28" t="s">
        <v>149</v>
      </c>
      <c r="AH54" s="28" t="s">
        <v>149</v>
      </c>
    </row>
    <row r="55" spans="1:34">
      <c r="A55" s="26" t="s">
        <v>130</v>
      </c>
      <c r="B55" s="30">
        <v>0.75</v>
      </c>
      <c r="C55" s="30">
        <v>0.75</v>
      </c>
      <c r="D55" s="30">
        <v>0.75</v>
      </c>
      <c r="E55" s="30">
        <v>0.75</v>
      </c>
      <c r="F55" s="30">
        <v>0.75</v>
      </c>
      <c r="G55" s="30">
        <v>0.75</v>
      </c>
      <c r="H55" s="30">
        <v>0.75</v>
      </c>
      <c r="I55" s="30">
        <v>0.75</v>
      </c>
      <c r="J55" s="30">
        <v>0.75</v>
      </c>
      <c r="K55" s="30">
        <v>0.75</v>
      </c>
      <c r="L55" s="30">
        <v>0.75</v>
      </c>
      <c r="M55" s="30">
        <v>0.75</v>
      </c>
      <c r="N55" s="30">
        <f>AVERAGE(0.75,0.75,-4)</f>
        <v>-0.83333333333333337</v>
      </c>
      <c r="O55" s="30">
        <v>0.75</v>
      </c>
      <c r="P55" s="30">
        <v>-4</v>
      </c>
      <c r="Q55" s="30">
        <v>-4</v>
      </c>
      <c r="R55" s="30">
        <v>-4</v>
      </c>
      <c r="S55" s="30">
        <f>AVERAGE(0.75,0.75,-4)</f>
        <v>-0.83333333333333337</v>
      </c>
      <c r="T55" s="30">
        <v>0.75</v>
      </c>
      <c r="U55" s="30">
        <v>0.75</v>
      </c>
      <c r="V55" s="30">
        <v>0.75</v>
      </c>
      <c r="W55" s="30">
        <v>0.75</v>
      </c>
      <c r="X55" s="30">
        <v>0.75</v>
      </c>
      <c r="Y55" s="30">
        <v>0.75</v>
      </c>
      <c r="Z55" s="30">
        <v>0.75</v>
      </c>
      <c r="AA55" s="30">
        <v>0.75</v>
      </c>
      <c r="AB55" s="30">
        <v>0.75</v>
      </c>
      <c r="AC55" s="30">
        <v>0.75</v>
      </c>
      <c r="AD55" s="30">
        <v>0.75</v>
      </c>
      <c r="AE55" s="30">
        <v>0.75</v>
      </c>
      <c r="AF55" s="30">
        <v>0.75</v>
      </c>
      <c r="AG55" s="30">
        <v>0.75</v>
      </c>
      <c r="AH55" s="30">
        <v>0.75</v>
      </c>
    </row>
    <row r="56" spans="1:34">
      <c r="A56" s="26" t="s">
        <v>131</v>
      </c>
      <c r="B56" s="28" t="s">
        <v>409</v>
      </c>
      <c r="C56" s="28" t="s">
        <v>409</v>
      </c>
      <c r="D56" s="28" t="s">
        <v>409</v>
      </c>
      <c r="E56" s="28" t="s">
        <v>409</v>
      </c>
      <c r="F56" s="28" t="s">
        <v>409</v>
      </c>
      <c r="G56" s="28" t="s">
        <v>409</v>
      </c>
      <c r="H56" s="28" t="s">
        <v>409</v>
      </c>
      <c r="I56" s="28" t="s">
        <v>409</v>
      </c>
      <c r="J56" s="28" t="s">
        <v>409</v>
      </c>
      <c r="K56" s="28" t="s">
        <v>409</v>
      </c>
      <c r="L56" s="28" t="s">
        <v>409</v>
      </c>
      <c r="M56" s="28" t="s">
        <v>409</v>
      </c>
      <c r="N56" s="28" t="s">
        <v>409</v>
      </c>
      <c r="O56" s="28" t="s">
        <v>409</v>
      </c>
      <c r="P56" s="115" t="s">
        <v>411</v>
      </c>
      <c r="Q56" s="115" t="s">
        <v>411</v>
      </c>
      <c r="R56" s="28" t="s">
        <v>409</v>
      </c>
      <c r="S56" s="28" t="s">
        <v>409</v>
      </c>
      <c r="T56" s="28" t="s">
        <v>409</v>
      </c>
      <c r="U56" s="28" t="s">
        <v>409</v>
      </c>
      <c r="V56" s="28" t="s">
        <v>409</v>
      </c>
      <c r="W56" s="28" t="s">
        <v>409</v>
      </c>
      <c r="X56" s="28" t="s">
        <v>409</v>
      </c>
      <c r="Y56" s="28" t="s">
        <v>409</v>
      </c>
      <c r="Z56" s="28" t="s">
        <v>409</v>
      </c>
      <c r="AA56" s="28" t="s">
        <v>409</v>
      </c>
      <c r="AB56" s="28" t="s">
        <v>409</v>
      </c>
      <c r="AC56" s="28" t="s">
        <v>409</v>
      </c>
      <c r="AD56" s="28" t="s">
        <v>409</v>
      </c>
      <c r="AE56" s="28" t="s">
        <v>409</v>
      </c>
      <c r="AF56" s="28" t="s">
        <v>409</v>
      </c>
      <c r="AG56" s="28" t="s">
        <v>409</v>
      </c>
      <c r="AH56" s="28" t="s">
        <v>409</v>
      </c>
    </row>
    <row r="57" spans="1:34">
      <c r="A57" s="26" t="s">
        <v>133</v>
      </c>
      <c r="B57" s="30">
        <v>0.875</v>
      </c>
      <c r="C57" s="30">
        <v>0.875</v>
      </c>
      <c r="D57" s="30">
        <v>0.875</v>
      </c>
      <c r="E57" s="30">
        <v>0.875</v>
      </c>
      <c r="F57" s="30">
        <v>0.875</v>
      </c>
      <c r="G57" s="30">
        <v>0.875</v>
      </c>
      <c r="H57" s="30">
        <v>0.875</v>
      </c>
      <c r="I57" s="30">
        <v>0.875</v>
      </c>
      <c r="J57" s="30">
        <v>0.875</v>
      </c>
      <c r="K57" s="30">
        <v>0.875</v>
      </c>
      <c r="L57" s="30">
        <v>0.875</v>
      </c>
      <c r="M57" s="30">
        <v>0.875</v>
      </c>
      <c r="N57" s="30">
        <f>AVERAGE(0.875,0.875,1.25)</f>
        <v>1</v>
      </c>
      <c r="O57" s="30">
        <v>0.875</v>
      </c>
      <c r="P57" s="30">
        <f>AVERAGE(2,2,1.25)</f>
        <v>1.75</v>
      </c>
      <c r="Q57" s="30">
        <f>AVERAGE(2,2,1.25)</f>
        <v>1.75</v>
      </c>
      <c r="R57" s="30">
        <v>1.25</v>
      </c>
      <c r="S57" s="30">
        <f>AVERAGE(0.875,0.875,1.25)</f>
        <v>1</v>
      </c>
      <c r="T57" s="30">
        <v>0.875</v>
      </c>
      <c r="U57" s="30">
        <v>0.875</v>
      </c>
      <c r="V57" s="30">
        <v>0.875</v>
      </c>
      <c r="W57" s="30">
        <v>0.875</v>
      </c>
      <c r="X57" s="30">
        <v>0.875</v>
      </c>
      <c r="Y57" s="30">
        <v>0.875</v>
      </c>
      <c r="Z57" s="30">
        <v>0.875</v>
      </c>
      <c r="AA57" s="30">
        <v>0.875</v>
      </c>
      <c r="AB57" s="30">
        <v>0.875</v>
      </c>
      <c r="AC57" s="30">
        <v>0.875</v>
      </c>
      <c r="AD57" s="30">
        <v>0.875</v>
      </c>
      <c r="AE57" s="30">
        <v>0.875</v>
      </c>
      <c r="AF57" s="30">
        <v>0.875</v>
      </c>
      <c r="AG57" s="30">
        <v>0.875</v>
      </c>
      <c r="AH57" s="30">
        <v>0.875</v>
      </c>
    </row>
    <row r="59" spans="1:34">
      <c r="A59" s="31" t="s">
        <v>134</v>
      </c>
    </row>
    <row r="60" spans="1:34">
      <c r="A60" s="223" t="s">
        <v>836</v>
      </c>
      <c r="B60" s="93" t="s">
        <v>837</v>
      </c>
    </row>
    <row r="61" spans="1:34">
      <c r="A61" s="223"/>
      <c r="B61" s="93" t="s">
        <v>838</v>
      </c>
    </row>
    <row r="62" spans="1:34">
      <c r="A62" s="223"/>
      <c r="B62" s="93" t="s">
        <v>839</v>
      </c>
    </row>
  </sheetData>
  <mergeCells count="6">
    <mergeCell ref="F3:O3"/>
    <mergeCell ref="F4:O5"/>
    <mergeCell ref="A60:A62"/>
    <mergeCell ref="B3:D3"/>
    <mergeCell ref="B4:D4"/>
    <mergeCell ref="B5:D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9A0B-C01B-4873-BF82-7A7D022C1AFF}">
  <dimension ref="A1:AH23"/>
  <sheetViews>
    <sheetView zoomScale="90" zoomScaleNormal="90" workbookViewId="0">
      <selection activeCell="N8" sqref="N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53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842</v>
      </c>
      <c r="C4" s="203"/>
      <c r="D4" s="203"/>
      <c r="F4" s="204" t="s">
        <v>843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132</v>
      </c>
      <c r="C8" s="29" t="s">
        <v>119</v>
      </c>
      <c r="D8" s="29" t="s">
        <v>119</v>
      </c>
      <c r="E8" s="29" t="s">
        <v>119</v>
      </c>
      <c r="F8" s="29" t="s">
        <v>119</v>
      </c>
      <c r="G8" s="29" t="s">
        <v>119</v>
      </c>
      <c r="H8" s="29" t="s">
        <v>119</v>
      </c>
      <c r="I8" s="29" t="s">
        <v>119</v>
      </c>
      <c r="J8" s="28" t="s">
        <v>119</v>
      </c>
      <c r="K8" s="29" t="s">
        <v>119</v>
      </c>
      <c r="L8" s="29" t="s">
        <v>119</v>
      </c>
      <c r="M8" s="29" t="s">
        <v>119</v>
      </c>
      <c r="N8" s="28"/>
      <c r="O8" s="28"/>
      <c r="P8" s="29" t="s">
        <v>349</v>
      </c>
      <c r="Q8" s="29" t="s">
        <v>349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498</v>
      </c>
      <c r="AB8" s="28"/>
      <c r="AC8" s="28"/>
      <c r="AD8" s="28"/>
      <c r="AE8" s="28"/>
      <c r="AF8" s="28"/>
      <c r="AG8" s="28"/>
      <c r="AH8" s="29" t="s">
        <v>498</v>
      </c>
    </row>
    <row r="9" spans="1:34" ht="15.75" customHeight="1">
      <c r="A9" s="26" t="s">
        <v>121</v>
      </c>
      <c r="B9" s="28" t="s">
        <v>498</v>
      </c>
      <c r="C9" s="28" t="s">
        <v>845</v>
      </c>
      <c r="D9" s="28" t="s">
        <v>119</v>
      </c>
      <c r="E9" s="28" t="s">
        <v>846</v>
      </c>
      <c r="F9" s="28" t="s">
        <v>846</v>
      </c>
      <c r="G9" s="28" t="s">
        <v>846</v>
      </c>
      <c r="H9" s="28" t="s">
        <v>846</v>
      </c>
      <c r="I9" s="28" t="s">
        <v>846</v>
      </c>
      <c r="J9" s="28" t="s">
        <v>846</v>
      </c>
      <c r="K9" s="28" t="s">
        <v>847</v>
      </c>
      <c r="L9" s="29" t="s">
        <v>848</v>
      </c>
      <c r="M9" s="28" t="s">
        <v>849</v>
      </c>
      <c r="N9" s="29"/>
      <c r="O9" s="29"/>
      <c r="P9" s="28" t="s">
        <v>349</v>
      </c>
      <c r="Q9" s="28" t="s">
        <v>349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498</v>
      </c>
      <c r="AB9" s="29"/>
      <c r="AC9" s="29"/>
      <c r="AD9" s="29"/>
      <c r="AE9" s="29"/>
      <c r="AF9" s="29"/>
      <c r="AG9" s="29"/>
      <c r="AH9" s="28" t="s">
        <v>498</v>
      </c>
    </row>
    <row r="10" spans="1:34">
      <c r="A10" s="140" t="s">
        <v>122</v>
      </c>
      <c r="B10" s="167">
        <v>1</v>
      </c>
      <c r="C10" s="167">
        <v>41</v>
      </c>
      <c r="D10" s="167">
        <v>2</v>
      </c>
      <c r="E10" s="167">
        <v>91</v>
      </c>
      <c r="F10" s="167">
        <v>91</v>
      </c>
      <c r="G10" s="167">
        <v>91</v>
      </c>
      <c r="H10" s="167">
        <v>91</v>
      </c>
      <c r="I10" s="167">
        <v>91</v>
      </c>
      <c r="J10" s="167">
        <v>91</v>
      </c>
      <c r="K10" s="167">
        <v>166</v>
      </c>
      <c r="L10" s="167">
        <v>164</v>
      </c>
      <c r="M10" s="167">
        <v>165</v>
      </c>
      <c r="N10" s="167"/>
      <c r="O10" s="167"/>
      <c r="P10" s="167">
        <v>43</v>
      </c>
      <c r="Q10" s="167">
        <v>43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1</v>
      </c>
      <c r="AB10" s="167"/>
      <c r="AC10" s="167"/>
      <c r="AD10" s="167"/>
      <c r="AE10" s="167"/>
      <c r="AF10" s="167"/>
      <c r="AG10" s="167"/>
      <c r="AH10" s="167">
        <v>1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9" t="s">
        <v>124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8" t="s">
        <v>127</v>
      </c>
      <c r="C12" s="29" t="s">
        <v>124</v>
      </c>
      <c r="D12" s="29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9" t="s">
        <v>124</v>
      </c>
      <c r="L12" s="29" t="s">
        <v>124</v>
      </c>
      <c r="M12" s="29" t="s">
        <v>124</v>
      </c>
      <c r="N12" s="28"/>
      <c r="O12" s="28"/>
      <c r="P12" s="28" t="s">
        <v>124</v>
      </c>
      <c r="Q12" s="28" t="s">
        <v>124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 t="s">
        <v>118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/>
      <c r="O16" s="30"/>
      <c r="P16" s="30">
        <v>2.5</v>
      </c>
      <c r="Q16" s="30">
        <v>2.5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3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132</v>
      </c>
      <c r="E17" s="28" t="s">
        <v>280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280</v>
      </c>
      <c r="K17" s="28" t="s">
        <v>850</v>
      </c>
      <c r="L17" s="28" t="s">
        <v>304</v>
      </c>
      <c r="M17" s="28" t="s">
        <v>353</v>
      </c>
      <c r="N17" s="28"/>
      <c r="O17" s="28"/>
      <c r="P17" s="28" t="s">
        <v>180</v>
      </c>
      <c r="Q17" s="28" t="s">
        <v>180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4</v>
      </c>
      <c r="C18" s="30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v>0.5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23" t="s">
        <v>851</v>
      </c>
      <c r="B21" s="56" t="s">
        <v>852</v>
      </c>
    </row>
    <row r="22" spans="1:34">
      <c r="A22" s="223"/>
      <c r="B22" s="93" t="s">
        <v>853</v>
      </c>
    </row>
    <row r="23" spans="1:34">
      <c r="A23" s="223"/>
      <c r="B23" s="93" t="s">
        <v>854</v>
      </c>
    </row>
  </sheetData>
  <mergeCells count="6">
    <mergeCell ref="A21:A23"/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6B8-ABA2-4FE1-9D11-9039B72A8F55}">
  <dimension ref="A1:AH21"/>
  <sheetViews>
    <sheetView zoomScale="90" zoomScaleNormal="90" workbookViewId="0">
      <selection activeCell="N8" sqref="N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54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855</v>
      </c>
      <c r="C4" s="203"/>
      <c r="D4" s="203"/>
      <c r="F4" s="204" t="s">
        <v>856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118</v>
      </c>
      <c r="C8" s="28" t="s">
        <v>349</v>
      </c>
      <c r="D8" s="28" t="s">
        <v>349</v>
      </c>
      <c r="E8" s="29" t="s">
        <v>119</v>
      </c>
      <c r="F8" s="28" t="s">
        <v>119</v>
      </c>
      <c r="G8" s="28" t="s">
        <v>119</v>
      </c>
      <c r="H8" s="28" t="s">
        <v>119</v>
      </c>
      <c r="I8" s="28" t="s">
        <v>119</v>
      </c>
      <c r="J8" s="28" t="s">
        <v>119</v>
      </c>
      <c r="K8" s="28" t="s">
        <v>349</v>
      </c>
      <c r="L8" s="28" t="s">
        <v>349</v>
      </c>
      <c r="M8" s="28" t="s">
        <v>349</v>
      </c>
      <c r="N8" s="28"/>
      <c r="O8" s="28"/>
      <c r="P8" s="28" t="s">
        <v>349</v>
      </c>
      <c r="Q8" s="28" t="s">
        <v>349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349</v>
      </c>
      <c r="AB8" s="28"/>
      <c r="AC8" s="28"/>
      <c r="AD8" s="28"/>
      <c r="AE8" s="28"/>
      <c r="AF8" s="28"/>
      <c r="AG8" s="28"/>
      <c r="AH8" s="28" t="s">
        <v>857</v>
      </c>
    </row>
    <row r="9" spans="1:34">
      <c r="A9" s="26" t="s">
        <v>121</v>
      </c>
      <c r="B9" s="28" t="s">
        <v>119</v>
      </c>
      <c r="C9" s="28" t="s">
        <v>349</v>
      </c>
      <c r="D9" s="28" t="s">
        <v>349</v>
      </c>
      <c r="E9" s="28" t="s">
        <v>846</v>
      </c>
      <c r="F9" s="28" t="s">
        <v>846</v>
      </c>
      <c r="G9" s="28" t="s">
        <v>846</v>
      </c>
      <c r="H9" s="28" t="s">
        <v>846</v>
      </c>
      <c r="I9" s="28" t="s">
        <v>846</v>
      </c>
      <c r="J9" s="28" t="s">
        <v>846</v>
      </c>
      <c r="K9" s="28" t="s">
        <v>847</v>
      </c>
      <c r="L9" s="28" t="s">
        <v>858</v>
      </c>
      <c r="M9" s="28" t="s">
        <v>349</v>
      </c>
      <c r="N9" s="29"/>
      <c r="O9" s="29"/>
      <c r="P9" s="28" t="s">
        <v>349</v>
      </c>
      <c r="Q9" s="28" t="s">
        <v>349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349</v>
      </c>
      <c r="AB9" s="29"/>
      <c r="AC9" s="29"/>
      <c r="AD9" s="29"/>
      <c r="AE9" s="29"/>
      <c r="AF9" s="29"/>
      <c r="AG9" s="29"/>
      <c r="AH9" s="28" t="s">
        <v>859</v>
      </c>
    </row>
    <row r="10" spans="1:34">
      <c r="A10" s="140" t="s">
        <v>122</v>
      </c>
      <c r="B10" s="167">
        <v>2</v>
      </c>
      <c r="C10" s="167">
        <v>43</v>
      </c>
      <c r="D10" s="167">
        <v>43</v>
      </c>
      <c r="E10" s="167">
        <v>91</v>
      </c>
      <c r="F10" s="167">
        <v>91</v>
      </c>
      <c r="G10" s="167">
        <v>91</v>
      </c>
      <c r="H10" s="167">
        <v>91</v>
      </c>
      <c r="I10" s="167">
        <v>91</v>
      </c>
      <c r="J10" s="167">
        <v>91</v>
      </c>
      <c r="K10" s="167">
        <v>166</v>
      </c>
      <c r="L10" s="167">
        <v>167</v>
      </c>
      <c r="M10" s="167">
        <v>43</v>
      </c>
      <c r="N10" s="167"/>
      <c r="O10" s="167"/>
      <c r="P10" s="167">
        <v>43</v>
      </c>
      <c r="Q10" s="167">
        <v>43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43</v>
      </c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 t="s">
        <v>124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9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 t="s">
        <v>124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 t="s">
        <v>118</v>
      </c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 t="s">
        <v>118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94" t="s">
        <v>860</v>
      </c>
    </row>
    <row r="16" spans="1:34">
      <c r="A16" s="26" t="s">
        <v>130</v>
      </c>
      <c r="B16" s="30">
        <v>3</v>
      </c>
      <c r="C16" s="30">
        <v>2.5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f>AVERAGE(2.5,3)</f>
        <v>2.75</v>
      </c>
      <c r="M16" s="30">
        <v>2.5</v>
      </c>
      <c r="N16" s="30"/>
      <c r="O16" s="30"/>
      <c r="P16" s="30">
        <v>2.5</v>
      </c>
      <c r="Q16" s="30">
        <v>2.5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f>AVERAGE(2.5,0)</f>
        <v>1.25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180</v>
      </c>
      <c r="E17" s="28" t="s">
        <v>280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280</v>
      </c>
      <c r="K17" s="28" t="s">
        <v>850</v>
      </c>
      <c r="L17" s="28" t="s">
        <v>850</v>
      </c>
      <c r="M17" s="28" t="s">
        <v>180</v>
      </c>
      <c r="N17" s="28"/>
      <c r="O17" s="28"/>
      <c r="P17" s="28" t="s">
        <v>180</v>
      </c>
      <c r="Q17" s="28" t="s">
        <v>180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180</v>
      </c>
      <c r="AB17" s="28"/>
      <c r="AC17" s="28"/>
      <c r="AD17" s="28"/>
      <c r="AE17" s="28"/>
      <c r="AF17" s="28"/>
      <c r="AG17" s="28"/>
      <c r="AH17" s="28" t="s">
        <v>850</v>
      </c>
    </row>
    <row r="18" spans="1:34">
      <c r="A18" s="26" t="s">
        <v>133</v>
      </c>
      <c r="B18" s="30">
        <v>4</v>
      </c>
      <c r="C18" s="30">
        <v>2</v>
      </c>
      <c r="D18" s="30">
        <v>2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v>0.5</v>
      </c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f>AVERAGE(2,0.5)</f>
        <v>1.25</v>
      </c>
    </row>
    <row r="20" spans="1:34">
      <c r="A20" s="31" t="s">
        <v>134</v>
      </c>
    </row>
    <row r="21" spans="1:34">
      <c r="A21" s="26" t="s">
        <v>861</v>
      </c>
      <c r="B21" s="56" t="s">
        <v>355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057E-81E1-42C8-A6AF-94AF09670C0C}">
  <dimension ref="A1:AM34"/>
  <sheetViews>
    <sheetView zoomScale="90" zoomScaleNormal="90" workbookViewId="0">
      <selection activeCell="N8" sqref="N8"/>
    </sheetView>
  </sheetViews>
  <sheetFormatPr defaultColWidth="9.140625" defaultRowHeight="15"/>
  <cols>
    <col min="1" max="1" width="23.28515625" style="26" bestFit="1" customWidth="1"/>
    <col min="2" max="53" width="5.7109375" style="26" customWidth="1"/>
    <col min="54" max="16384" width="9.140625" style="26"/>
  </cols>
  <sheetData>
    <row r="1" spans="1:39">
      <c r="A1" s="25" t="s">
        <v>74</v>
      </c>
      <c r="D1" s="25" t="s">
        <v>840</v>
      </c>
      <c r="I1" s="25" t="s">
        <v>841</v>
      </c>
    </row>
    <row r="2" spans="1:39">
      <c r="A2" s="56"/>
      <c r="B2" s="96"/>
    </row>
    <row r="3" spans="1:39" ht="17.45">
      <c r="A3" s="25" t="s">
        <v>77</v>
      </c>
      <c r="B3" s="203">
        <v>55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9" ht="17.45">
      <c r="A4" s="25" t="s">
        <v>79</v>
      </c>
      <c r="B4" s="203" t="s">
        <v>862</v>
      </c>
      <c r="C4" s="203"/>
      <c r="D4" s="203"/>
      <c r="F4" s="204" t="s">
        <v>863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9" ht="17.45">
      <c r="A5" s="25" t="s">
        <v>82</v>
      </c>
      <c r="B5" s="203" t="s">
        <v>864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9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76" t="s">
        <v>115</v>
      </c>
      <c r="AH7" s="76" t="s">
        <v>116</v>
      </c>
      <c r="AJ7" s="76" t="s">
        <v>115</v>
      </c>
      <c r="AK7" s="76" t="s">
        <v>116</v>
      </c>
      <c r="AM7" s="32" t="s">
        <v>86</v>
      </c>
    </row>
    <row r="8" spans="1:39">
      <c r="A8" s="26" t="s">
        <v>117</v>
      </c>
      <c r="B8" s="28" t="s">
        <v>142</v>
      </c>
      <c r="C8" s="28" t="s">
        <v>171</v>
      </c>
      <c r="D8" s="28" t="s">
        <v>171</v>
      </c>
      <c r="E8" s="28" t="s">
        <v>171</v>
      </c>
      <c r="F8" s="28" t="s">
        <v>171</v>
      </c>
      <c r="G8" s="28" t="s">
        <v>171</v>
      </c>
      <c r="H8" s="28" t="s">
        <v>171</v>
      </c>
      <c r="I8" s="28" t="s">
        <v>171</v>
      </c>
      <c r="J8" s="28" t="s">
        <v>171</v>
      </c>
      <c r="K8" s="28" t="s">
        <v>171</v>
      </c>
      <c r="L8" s="28" t="s">
        <v>171</v>
      </c>
      <c r="M8" s="28" t="s">
        <v>171</v>
      </c>
      <c r="N8" s="28"/>
      <c r="O8" s="28"/>
      <c r="P8" s="29" t="s">
        <v>287</v>
      </c>
      <c r="Q8" s="29" t="s">
        <v>287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143</v>
      </c>
      <c r="AB8" s="28"/>
      <c r="AC8" s="28"/>
      <c r="AD8" s="28"/>
      <c r="AE8" s="28"/>
      <c r="AF8" s="28"/>
      <c r="AG8" s="28"/>
      <c r="AH8" s="28" t="s">
        <v>143</v>
      </c>
      <c r="AJ8" s="28"/>
      <c r="AK8" s="28" t="s">
        <v>145</v>
      </c>
      <c r="AM8" s="29" t="s">
        <v>171</v>
      </c>
    </row>
    <row r="9" spans="1:39">
      <c r="A9" s="26" t="s">
        <v>121</v>
      </c>
      <c r="B9" s="28" t="s">
        <v>146</v>
      </c>
      <c r="C9" s="28" t="s">
        <v>865</v>
      </c>
      <c r="D9" s="28" t="s">
        <v>174</v>
      </c>
      <c r="E9" s="28" t="s">
        <v>866</v>
      </c>
      <c r="F9" s="28" t="s">
        <v>866</v>
      </c>
      <c r="G9" s="28" t="s">
        <v>866</v>
      </c>
      <c r="H9" s="28" t="s">
        <v>866</v>
      </c>
      <c r="I9" s="28" t="s">
        <v>866</v>
      </c>
      <c r="J9" s="28" t="s">
        <v>867</v>
      </c>
      <c r="K9" s="28" t="s">
        <v>867</v>
      </c>
      <c r="L9" s="28" t="s">
        <v>868</v>
      </c>
      <c r="M9" s="28" t="s">
        <v>869</v>
      </c>
      <c r="N9" s="29"/>
      <c r="O9" s="29"/>
      <c r="P9" s="29" t="s">
        <v>287</v>
      </c>
      <c r="Q9" s="29" t="s">
        <v>287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146</v>
      </c>
      <c r="AB9" s="29"/>
      <c r="AC9" s="29"/>
      <c r="AD9" s="29"/>
      <c r="AE9" s="29"/>
      <c r="AF9" s="29"/>
      <c r="AG9" s="28"/>
      <c r="AH9" s="28" t="s">
        <v>146</v>
      </c>
      <c r="AJ9" s="28"/>
      <c r="AK9" s="28" t="s">
        <v>147</v>
      </c>
      <c r="AM9" s="28" t="s">
        <v>178</v>
      </c>
    </row>
    <row r="10" spans="1:39">
      <c r="A10" s="140" t="s">
        <v>122</v>
      </c>
      <c r="B10" s="167">
        <v>5</v>
      </c>
      <c r="C10" s="167">
        <v>45</v>
      </c>
      <c r="D10" s="167">
        <v>6</v>
      </c>
      <c r="E10" s="167">
        <v>92</v>
      </c>
      <c r="F10" s="167">
        <v>92</v>
      </c>
      <c r="G10" s="167">
        <v>92</v>
      </c>
      <c r="H10" s="167">
        <v>92</v>
      </c>
      <c r="I10" s="167">
        <v>92</v>
      </c>
      <c r="J10" s="167">
        <v>170</v>
      </c>
      <c r="K10" s="167">
        <v>170</v>
      </c>
      <c r="L10" s="167">
        <v>168</v>
      </c>
      <c r="M10" s="167">
        <v>169</v>
      </c>
      <c r="N10" s="167"/>
      <c r="O10" s="167"/>
      <c r="P10" s="167" t="s">
        <v>287</v>
      </c>
      <c r="Q10" s="167" t="s">
        <v>287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5</v>
      </c>
      <c r="AB10" s="167"/>
      <c r="AC10" s="167"/>
      <c r="AD10" s="167"/>
      <c r="AE10" s="167"/>
      <c r="AF10" s="167"/>
      <c r="AG10" s="167"/>
      <c r="AH10" s="167">
        <v>5</v>
      </c>
      <c r="AJ10" s="167"/>
      <c r="AK10" s="167"/>
      <c r="AM10" s="167"/>
    </row>
    <row r="11" spans="1:39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127</v>
      </c>
      <c r="Q11" s="28" t="s">
        <v>127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8"/>
      <c r="AK11" s="28" t="s">
        <v>124</v>
      </c>
      <c r="AM11" s="28" t="s">
        <v>124</v>
      </c>
    </row>
    <row r="12" spans="1:39">
      <c r="A12" s="26" t="s">
        <v>125</v>
      </c>
      <c r="B12" s="28" t="s">
        <v>127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 t="s">
        <v>124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  <c r="AJ12" s="28"/>
      <c r="AK12" s="28" t="s">
        <v>127</v>
      </c>
      <c r="AM12" s="28" t="s">
        <v>124</v>
      </c>
    </row>
    <row r="13" spans="1:39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28"/>
      <c r="AK13" s="28" t="s">
        <v>124</v>
      </c>
      <c r="AM13" s="28" t="s">
        <v>124</v>
      </c>
    </row>
    <row r="14" spans="1:39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/>
      <c r="AK14" s="28" t="s">
        <v>127</v>
      </c>
      <c r="AM14" s="28" t="s">
        <v>127</v>
      </c>
    </row>
    <row r="15" spans="1:39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 t="s">
        <v>149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  <c r="AJ15" s="28"/>
      <c r="AK15" s="28" t="s">
        <v>149</v>
      </c>
      <c r="AM15" s="28" t="s">
        <v>150</v>
      </c>
    </row>
    <row r="16" spans="1:39">
      <c r="A16" s="26" t="s">
        <v>130</v>
      </c>
      <c r="B16" s="30">
        <f>5/3</f>
        <v>1.6666666666666667</v>
      </c>
      <c r="C16" s="30">
        <v>2</v>
      </c>
      <c r="D16" s="30">
        <f>5/3</f>
        <v>1.6666666666666667</v>
      </c>
      <c r="E16" s="30">
        <f t="shared" ref="E16:F16" si="0">11/6</f>
        <v>1.8333333333333333</v>
      </c>
      <c r="F16" s="30">
        <f t="shared" si="0"/>
        <v>1.8333333333333333</v>
      </c>
      <c r="G16" s="30">
        <f>11/6</f>
        <v>1.8333333333333333</v>
      </c>
      <c r="H16" s="30">
        <f t="shared" ref="H16:J16" si="1">11/6</f>
        <v>1.8333333333333333</v>
      </c>
      <c r="I16" s="30">
        <f t="shared" si="1"/>
        <v>1.8333333333333333</v>
      </c>
      <c r="J16" s="30">
        <f>AVERAGE(2,11/6)</f>
        <v>1.9166666666666665</v>
      </c>
      <c r="K16" s="30">
        <f>AVERAGE(2,11/6)</f>
        <v>1.9166666666666665</v>
      </c>
      <c r="L16" s="30">
        <f>AVERAGE(5/3,11/6)</f>
        <v>1.75</v>
      </c>
      <c r="M16" s="30">
        <f>AVERAGE(5/3,2)</f>
        <v>1.8333333333333335</v>
      </c>
      <c r="N16" s="30"/>
      <c r="O16" s="30"/>
      <c r="P16" s="30">
        <f>11/6</f>
        <v>1.8333333333333333</v>
      </c>
      <c r="Q16" s="30">
        <f>11/6</f>
        <v>1.8333333333333333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  <c r="AJ16" s="30"/>
      <c r="AK16" s="30">
        <f>4/3</f>
        <v>1.3333333333333333</v>
      </c>
      <c r="AM16" s="30">
        <v>-0.5</v>
      </c>
    </row>
    <row r="17" spans="1:39">
      <c r="A17" s="26" t="s">
        <v>131</v>
      </c>
      <c r="B17" s="28" t="s">
        <v>132</v>
      </c>
      <c r="C17" s="28" t="s">
        <v>180</v>
      </c>
      <c r="D17" s="28" t="s">
        <v>132</v>
      </c>
      <c r="E17" s="28" t="s">
        <v>280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850</v>
      </c>
      <c r="K17" s="28" t="s">
        <v>850</v>
      </c>
      <c r="L17" s="28" t="s">
        <v>304</v>
      </c>
      <c r="M17" s="28" t="s">
        <v>353</v>
      </c>
      <c r="N17" s="28"/>
      <c r="O17" s="28"/>
      <c r="P17" s="29" t="s">
        <v>287</v>
      </c>
      <c r="Q17" s="29" t="s">
        <v>287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  <c r="AJ17" s="28"/>
      <c r="AK17" s="28" t="s">
        <v>151</v>
      </c>
      <c r="AM17" s="28" t="s">
        <v>151</v>
      </c>
    </row>
    <row r="18" spans="1:39">
      <c r="A18" s="26" t="s">
        <v>133</v>
      </c>
      <c r="B18" s="30">
        <v>4</v>
      </c>
      <c r="C18" s="30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0</v>
      </c>
      <c r="Q18" s="30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  <c r="AJ18" s="30"/>
      <c r="AK18" s="30">
        <v>3</v>
      </c>
      <c r="AM18" s="30">
        <v>3</v>
      </c>
    </row>
    <row r="19" spans="1:39">
      <c r="D19" s="78" t="s">
        <v>870</v>
      </c>
      <c r="AG19" s="221" t="s">
        <v>871</v>
      </c>
      <c r="AH19" s="221"/>
      <c r="AJ19" s="221" t="s">
        <v>872</v>
      </c>
      <c r="AK19" s="221"/>
      <c r="AM19" s="78" t="s">
        <v>873</v>
      </c>
    </row>
    <row r="20" spans="1:39">
      <c r="A20" s="31" t="s">
        <v>134</v>
      </c>
    </row>
    <row r="21" spans="1:39">
      <c r="A21" s="231" t="s">
        <v>874</v>
      </c>
      <c r="B21" s="95" t="s">
        <v>875</v>
      </c>
    </row>
    <row r="22" spans="1:39">
      <c r="A22" s="231"/>
      <c r="B22" s="96" t="s">
        <v>876</v>
      </c>
    </row>
    <row r="23" spans="1:39">
      <c r="A23" s="231"/>
      <c r="B23" s="96" t="s">
        <v>877</v>
      </c>
    </row>
    <row r="24" spans="1:39">
      <c r="A24" s="218" t="s">
        <v>878</v>
      </c>
      <c r="B24" s="95" t="s">
        <v>875</v>
      </c>
    </row>
    <row r="25" spans="1:39">
      <c r="A25" s="218"/>
      <c r="B25" s="95" t="s">
        <v>879</v>
      </c>
    </row>
    <row r="26" spans="1:39">
      <c r="A26" s="218"/>
      <c r="B26" s="96" t="s">
        <v>877</v>
      </c>
    </row>
    <row r="27" spans="1:39">
      <c r="A27" s="218"/>
      <c r="B27" s="96" t="s">
        <v>880</v>
      </c>
    </row>
    <row r="28" spans="1:39">
      <c r="A28" s="218" t="s">
        <v>881</v>
      </c>
      <c r="B28" s="95" t="s">
        <v>882</v>
      </c>
    </row>
    <row r="29" spans="1:39">
      <c r="A29" s="218"/>
      <c r="B29" s="95" t="s">
        <v>879</v>
      </c>
    </row>
    <row r="30" spans="1:39">
      <c r="A30" s="218"/>
      <c r="B30" s="96" t="s">
        <v>877</v>
      </c>
    </row>
    <row r="31" spans="1:39">
      <c r="A31" s="218"/>
      <c r="B31" s="96" t="s">
        <v>190</v>
      </c>
    </row>
    <row r="32" spans="1:39">
      <c r="A32" s="218"/>
      <c r="B32" s="96" t="s">
        <v>880</v>
      </c>
    </row>
    <row r="33" spans="1:15">
      <c r="A33" s="56"/>
      <c r="B33" s="96"/>
    </row>
    <row r="34" spans="1:15" ht="55.5" customHeight="1">
      <c r="A34" s="101" t="s">
        <v>162</v>
      </c>
      <c r="B34" s="219" t="s">
        <v>883</v>
      </c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</row>
  </sheetData>
  <mergeCells count="11">
    <mergeCell ref="AG19:AH19"/>
    <mergeCell ref="AJ19:AK19"/>
    <mergeCell ref="A24:A27"/>
    <mergeCell ref="A28:A32"/>
    <mergeCell ref="A21:A23"/>
    <mergeCell ref="B34:O34"/>
    <mergeCell ref="B3:D3"/>
    <mergeCell ref="B4:D4"/>
    <mergeCell ref="B5:D5"/>
    <mergeCell ref="F3:O3"/>
    <mergeCell ref="F4:O5"/>
  </mergeCells>
  <hyperlinks>
    <hyperlink ref="A34" r:id="rId1" xr:uid="{CE0B06DD-F8D6-46F9-B496-72FACCBA63B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F50F-206B-4ED0-ADF2-73E007001C2B}">
  <dimension ref="A1:AH23"/>
  <sheetViews>
    <sheetView zoomScale="90" zoomScaleNormal="90" workbookViewId="0">
      <selection activeCell="N8" sqref="N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56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862</v>
      </c>
      <c r="C4" s="203"/>
      <c r="D4" s="203"/>
      <c r="F4" s="204" t="s">
        <v>884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885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6" t="s">
        <v>142</v>
      </c>
      <c r="C8" s="29" t="s">
        <v>171</v>
      </c>
      <c r="D8" s="29" t="s">
        <v>171</v>
      </c>
      <c r="E8" s="28" t="s">
        <v>171</v>
      </c>
      <c r="F8" s="28" t="s">
        <v>171</v>
      </c>
      <c r="G8" s="28" t="s">
        <v>171</v>
      </c>
      <c r="H8" s="28" t="s">
        <v>171</v>
      </c>
      <c r="I8" s="28" t="s">
        <v>171</v>
      </c>
      <c r="J8" s="28" t="s">
        <v>171</v>
      </c>
      <c r="K8" s="29" t="s">
        <v>171</v>
      </c>
      <c r="L8" s="29" t="s">
        <v>171</v>
      </c>
      <c r="M8" s="29" t="s">
        <v>171</v>
      </c>
      <c r="N8" s="28"/>
      <c r="O8" s="28"/>
      <c r="P8" s="29" t="s">
        <v>287</v>
      </c>
      <c r="Q8" s="29" t="s">
        <v>287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145</v>
      </c>
      <c r="AB8" s="28"/>
      <c r="AC8" s="28"/>
      <c r="AD8" s="28"/>
      <c r="AE8" s="28"/>
      <c r="AF8" s="28"/>
      <c r="AG8" s="28"/>
      <c r="AH8" s="29" t="s">
        <v>145</v>
      </c>
    </row>
    <row r="9" spans="1:34">
      <c r="A9" s="26" t="s">
        <v>121</v>
      </c>
      <c r="B9" s="29" t="s">
        <v>146</v>
      </c>
      <c r="C9" s="86" t="s">
        <v>865</v>
      </c>
      <c r="D9" s="28" t="s">
        <v>174</v>
      </c>
      <c r="E9" s="28" t="s">
        <v>866</v>
      </c>
      <c r="F9" s="28" t="s">
        <v>866</v>
      </c>
      <c r="G9" s="28" t="s">
        <v>866</v>
      </c>
      <c r="H9" s="28" t="s">
        <v>866</v>
      </c>
      <c r="I9" s="28" t="s">
        <v>866</v>
      </c>
      <c r="J9" s="28" t="s">
        <v>867</v>
      </c>
      <c r="K9" s="29" t="s">
        <v>867</v>
      </c>
      <c r="L9" s="29" t="s">
        <v>868</v>
      </c>
      <c r="M9" s="29" t="s">
        <v>869</v>
      </c>
      <c r="N9" s="29"/>
      <c r="O9" s="29"/>
      <c r="P9" s="29" t="s">
        <v>287</v>
      </c>
      <c r="Q9" s="29" t="s">
        <v>287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146</v>
      </c>
      <c r="AB9" s="29"/>
      <c r="AC9" s="29"/>
      <c r="AD9" s="29"/>
      <c r="AE9" s="29"/>
      <c r="AF9" s="29"/>
      <c r="AG9" s="29"/>
      <c r="AH9" s="29" t="s">
        <v>146</v>
      </c>
    </row>
    <row r="10" spans="1:34">
      <c r="A10" s="140" t="s">
        <v>122</v>
      </c>
      <c r="B10" s="167">
        <v>5</v>
      </c>
      <c r="C10" s="167">
        <v>45</v>
      </c>
      <c r="D10" s="167">
        <v>6</v>
      </c>
      <c r="E10" s="167">
        <v>92</v>
      </c>
      <c r="F10" s="167">
        <v>92</v>
      </c>
      <c r="G10" s="167">
        <v>92</v>
      </c>
      <c r="H10" s="167">
        <v>92</v>
      </c>
      <c r="I10" s="167">
        <v>92</v>
      </c>
      <c r="J10" s="167">
        <v>170</v>
      </c>
      <c r="K10" s="167">
        <v>170</v>
      </c>
      <c r="L10" s="167">
        <v>168</v>
      </c>
      <c r="M10" s="167">
        <v>169</v>
      </c>
      <c r="N10" s="167"/>
      <c r="O10" s="167"/>
      <c r="P10" s="167" t="s">
        <v>287</v>
      </c>
      <c r="Q10" s="167" t="s">
        <v>287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5</v>
      </c>
      <c r="AB10" s="167"/>
      <c r="AC10" s="167"/>
      <c r="AD10" s="167"/>
      <c r="AE10" s="167"/>
      <c r="AF10" s="167"/>
      <c r="AG10" s="167"/>
      <c r="AH10" s="167">
        <v>5</v>
      </c>
    </row>
    <row r="11" spans="1:34">
      <c r="A11" s="26" t="s">
        <v>123</v>
      </c>
      <c r="B11" s="28" t="s">
        <v>124</v>
      </c>
      <c r="C11" s="91" t="s">
        <v>124</v>
      </c>
      <c r="D11" s="29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91" t="s">
        <v>124</v>
      </c>
      <c r="L11" s="91" t="s">
        <v>124</v>
      </c>
      <c r="M11" s="91" t="s">
        <v>124</v>
      </c>
      <c r="N11" s="28"/>
      <c r="O11" s="28"/>
      <c r="P11" s="28" t="s">
        <v>127</v>
      </c>
      <c r="Q11" s="28" t="s">
        <v>127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86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86" t="s">
        <v>124</v>
      </c>
      <c r="L12" s="86" t="s">
        <v>124</v>
      </c>
      <c r="M12" s="86" t="s">
        <v>124</v>
      </c>
      <c r="N12" s="28"/>
      <c r="O12" s="28"/>
      <c r="P12" s="28" t="s">
        <v>124</v>
      </c>
      <c r="Q12" s="28" t="s">
        <v>124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86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86" t="s">
        <v>127</v>
      </c>
      <c r="L13" s="86" t="s">
        <v>127</v>
      </c>
      <c r="M13" s="86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86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86" t="s">
        <v>127</v>
      </c>
      <c r="L14" s="86" t="s">
        <v>127</v>
      </c>
      <c r="M14" s="86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149</v>
      </c>
      <c r="C15" s="86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86" t="s">
        <v>149</v>
      </c>
      <c r="L15" s="86" t="s">
        <v>149</v>
      </c>
      <c r="M15" s="86" t="s">
        <v>149</v>
      </c>
      <c r="N15" s="28"/>
      <c r="O15" s="28"/>
      <c r="P15" s="28" t="s">
        <v>149</v>
      </c>
      <c r="Q15" s="28" t="s">
        <v>149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</row>
    <row r="16" spans="1:34">
      <c r="A16" s="26" t="s">
        <v>130</v>
      </c>
      <c r="B16" s="30">
        <f>5/3</f>
        <v>1.6666666666666667</v>
      </c>
      <c r="C16" s="92">
        <v>2</v>
      </c>
      <c r="D16" s="30">
        <f>5/3</f>
        <v>1.6666666666666667</v>
      </c>
      <c r="E16" s="30">
        <f t="shared" ref="E16:J16" si="0">11/6</f>
        <v>1.8333333333333333</v>
      </c>
      <c r="F16" s="30">
        <f t="shared" si="0"/>
        <v>1.8333333333333333</v>
      </c>
      <c r="G16" s="30">
        <f t="shared" si="0"/>
        <v>1.8333333333333333</v>
      </c>
      <c r="H16" s="30">
        <f t="shared" si="0"/>
        <v>1.8333333333333333</v>
      </c>
      <c r="I16" s="30">
        <f t="shared" si="0"/>
        <v>1.8333333333333333</v>
      </c>
      <c r="J16" s="30">
        <f>AVERAGE(2,11/6)</f>
        <v>1.9166666666666665</v>
      </c>
      <c r="K16" s="30">
        <f>AVERAGE(2,11/6)</f>
        <v>1.9166666666666665</v>
      </c>
      <c r="L16" s="30">
        <f>AVERAGE(5/3,11/6)</f>
        <v>1.75</v>
      </c>
      <c r="M16" s="30">
        <f>AVERAGE(5/3,2)</f>
        <v>1.8333333333333335</v>
      </c>
      <c r="N16" s="30"/>
      <c r="O16" s="30"/>
      <c r="P16" s="30">
        <f>11/6</f>
        <v>1.8333333333333333</v>
      </c>
      <c r="Q16" s="30">
        <f>11/6</f>
        <v>1.8333333333333333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</row>
    <row r="17" spans="1:34">
      <c r="A17" s="26" t="s">
        <v>131</v>
      </c>
      <c r="B17" s="28" t="s">
        <v>132</v>
      </c>
      <c r="C17" s="86" t="s">
        <v>180</v>
      </c>
      <c r="D17" s="28" t="s">
        <v>132</v>
      </c>
      <c r="E17" s="28" t="s">
        <v>280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850</v>
      </c>
      <c r="K17" s="28" t="s">
        <v>850</v>
      </c>
      <c r="L17" s="28" t="s">
        <v>304</v>
      </c>
      <c r="M17" s="28" t="s">
        <v>353</v>
      </c>
      <c r="N17" s="28"/>
      <c r="O17" s="28"/>
      <c r="P17" s="29" t="s">
        <v>287</v>
      </c>
      <c r="Q17" s="29" t="s">
        <v>287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4</v>
      </c>
      <c r="C18" s="92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0</v>
      </c>
      <c r="Q18" s="30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23" t="s">
        <v>886</v>
      </c>
      <c r="B21" s="56" t="s">
        <v>875</v>
      </c>
    </row>
    <row r="22" spans="1:34">
      <c r="A22" s="223"/>
      <c r="B22" s="93" t="s">
        <v>876</v>
      </c>
    </row>
    <row r="23" spans="1:34">
      <c r="A23" s="223"/>
      <c r="B23" s="93" t="s">
        <v>877</v>
      </c>
    </row>
  </sheetData>
  <mergeCells count="6"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5A4E-E4B3-468C-89DA-82425984A4DF}">
  <dimension ref="A1:AK29"/>
  <sheetViews>
    <sheetView zoomScale="90" zoomScaleNormal="90" workbookViewId="0">
      <selection activeCell="AJ8" sqref="AJ8:AJ18"/>
    </sheetView>
  </sheetViews>
  <sheetFormatPr defaultColWidth="9.140625" defaultRowHeight="1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>
      <c r="A1" s="25" t="s">
        <v>74</v>
      </c>
      <c r="D1" s="25" t="s">
        <v>840</v>
      </c>
      <c r="I1" s="25" t="s">
        <v>841</v>
      </c>
    </row>
    <row r="3" spans="1:37" ht="18">
      <c r="A3" s="25" t="s">
        <v>77</v>
      </c>
      <c r="B3" s="203">
        <v>57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>
      <c r="A4" s="25" t="s">
        <v>79</v>
      </c>
      <c r="B4" s="203" t="s">
        <v>887</v>
      </c>
      <c r="C4" s="203"/>
      <c r="D4" s="203"/>
      <c r="F4" s="232" t="s">
        <v>888</v>
      </c>
      <c r="G4" s="232"/>
      <c r="H4" s="232"/>
      <c r="I4" s="232"/>
      <c r="J4" s="232"/>
      <c r="K4" s="232"/>
      <c r="L4" s="232"/>
      <c r="M4" s="232"/>
      <c r="N4" s="232"/>
      <c r="O4" s="232"/>
      <c r="P4" s="232"/>
    </row>
    <row r="5" spans="1:37" ht="17.45" customHeight="1">
      <c r="A5" s="25" t="s">
        <v>82</v>
      </c>
      <c r="B5" s="203" t="s">
        <v>864</v>
      </c>
      <c r="C5" s="203"/>
      <c r="D5" s="203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53" t="s">
        <v>115</v>
      </c>
      <c r="AK7" s="53" t="s">
        <v>116</v>
      </c>
    </row>
    <row r="8" spans="1:37">
      <c r="A8" s="26" t="s">
        <v>117</v>
      </c>
      <c r="B8" s="86" t="s">
        <v>149</v>
      </c>
      <c r="C8" s="29" t="s">
        <v>287</v>
      </c>
      <c r="D8" s="29" t="s">
        <v>287</v>
      </c>
      <c r="E8" s="29" t="s">
        <v>287</v>
      </c>
      <c r="F8" s="29" t="s">
        <v>287</v>
      </c>
      <c r="G8" s="29" t="s">
        <v>287</v>
      </c>
      <c r="H8" s="29" t="s">
        <v>287</v>
      </c>
      <c r="I8" s="29" t="s">
        <v>287</v>
      </c>
      <c r="J8" s="29" t="s">
        <v>287</v>
      </c>
      <c r="K8" s="29" t="s">
        <v>889</v>
      </c>
      <c r="L8" s="29" t="s">
        <v>889</v>
      </c>
      <c r="M8" s="29" t="s">
        <v>889</v>
      </c>
      <c r="N8" s="28"/>
      <c r="O8" s="28"/>
      <c r="P8" s="29" t="s">
        <v>287</v>
      </c>
      <c r="Q8" s="29" t="s">
        <v>287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171</v>
      </c>
      <c r="AB8" s="28"/>
      <c r="AC8" s="28"/>
      <c r="AD8" s="28"/>
      <c r="AE8" s="28"/>
      <c r="AF8" s="28"/>
      <c r="AG8" s="29"/>
      <c r="AH8" s="29" t="s">
        <v>171</v>
      </c>
      <c r="AJ8" s="29" t="s">
        <v>172</v>
      </c>
      <c r="AK8" s="29" t="s">
        <v>173</v>
      </c>
    </row>
    <row r="9" spans="1:37">
      <c r="A9" s="26" t="s">
        <v>121</v>
      </c>
      <c r="B9" s="29" t="s">
        <v>174</v>
      </c>
      <c r="C9" s="29" t="s">
        <v>287</v>
      </c>
      <c r="D9" s="29" t="s">
        <v>287</v>
      </c>
      <c r="E9" s="29" t="s">
        <v>287</v>
      </c>
      <c r="F9" s="29" t="s">
        <v>890</v>
      </c>
      <c r="G9" s="29" t="s">
        <v>287</v>
      </c>
      <c r="H9" s="29" t="s">
        <v>287</v>
      </c>
      <c r="I9" s="29" t="s">
        <v>287</v>
      </c>
      <c r="J9" s="29" t="s">
        <v>890</v>
      </c>
      <c r="K9" s="29" t="s">
        <v>560</v>
      </c>
      <c r="L9" s="29" t="s">
        <v>560</v>
      </c>
      <c r="M9" s="29" t="s">
        <v>560</v>
      </c>
      <c r="N9" s="29"/>
      <c r="O9" s="29"/>
      <c r="P9" s="29" t="s">
        <v>287</v>
      </c>
      <c r="Q9" s="29" t="s">
        <v>287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174</v>
      </c>
      <c r="AB9" s="29"/>
      <c r="AC9" s="29"/>
      <c r="AD9" s="29"/>
      <c r="AE9" s="29"/>
      <c r="AF9" s="29"/>
      <c r="AG9" s="29"/>
      <c r="AH9" s="29" t="s">
        <v>174</v>
      </c>
      <c r="AJ9" s="29" t="s">
        <v>176</v>
      </c>
      <c r="AK9" s="29" t="s">
        <v>177</v>
      </c>
    </row>
    <row r="10" spans="1:37">
      <c r="A10" s="140" t="s">
        <v>122</v>
      </c>
      <c r="B10" s="167">
        <v>6</v>
      </c>
      <c r="C10" s="167" t="s">
        <v>287</v>
      </c>
      <c r="D10" s="167" t="s">
        <v>287</v>
      </c>
      <c r="E10" s="167" t="s">
        <v>287</v>
      </c>
      <c r="F10" s="167">
        <v>174</v>
      </c>
      <c r="G10" s="167" t="s">
        <v>287</v>
      </c>
      <c r="H10" s="167" t="s">
        <v>287</v>
      </c>
      <c r="I10" s="167" t="s">
        <v>287</v>
      </c>
      <c r="J10" s="167">
        <v>174</v>
      </c>
      <c r="K10" s="167">
        <v>151</v>
      </c>
      <c r="L10" s="167">
        <v>151</v>
      </c>
      <c r="M10" s="167">
        <v>151</v>
      </c>
      <c r="N10" s="167"/>
      <c r="O10" s="167"/>
      <c r="P10" s="167" t="s">
        <v>287</v>
      </c>
      <c r="Q10" s="167" t="s">
        <v>287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6</v>
      </c>
      <c r="AB10" s="167"/>
      <c r="AC10" s="167"/>
      <c r="AD10" s="167"/>
      <c r="AE10" s="167"/>
      <c r="AF10" s="167"/>
      <c r="AG10" s="167"/>
      <c r="AH10" s="167">
        <v>6</v>
      </c>
      <c r="AJ10" s="167">
        <v>27</v>
      </c>
      <c r="AK10" s="167">
        <v>49</v>
      </c>
    </row>
    <row r="11" spans="1:37">
      <c r="A11" s="26" t="s">
        <v>123</v>
      </c>
      <c r="B11" s="28" t="s">
        <v>124</v>
      </c>
      <c r="C11" s="28" t="s">
        <v>127</v>
      </c>
      <c r="D11" s="28" t="s">
        <v>127</v>
      </c>
      <c r="E11" s="28" t="s">
        <v>127</v>
      </c>
      <c r="F11" s="28" t="s">
        <v>215</v>
      </c>
      <c r="G11" s="28" t="s">
        <v>127</v>
      </c>
      <c r="H11" s="28" t="s">
        <v>127</v>
      </c>
      <c r="I11" s="28" t="s">
        <v>127</v>
      </c>
      <c r="J11" s="28" t="s">
        <v>215</v>
      </c>
      <c r="K11" s="28" t="s">
        <v>215</v>
      </c>
      <c r="L11" s="28" t="s">
        <v>215</v>
      </c>
      <c r="M11" s="28" t="s">
        <v>215</v>
      </c>
      <c r="N11" s="28"/>
      <c r="O11" s="28"/>
      <c r="P11" s="28" t="s">
        <v>127</v>
      </c>
      <c r="Q11" s="28" t="s">
        <v>127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8" t="s">
        <v>124</v>
      </c>
      <c r="AK11" s="28" t="s">
        <v>124</v>
      </c>
    </row>
    <row r="12" spans="1:37">
      <c r="A12" s="26" t="s">
        <v>125</v>
      </c>
      <c r="B12" s="28" t="s">
        <v>124</v>
      </c>
      <c r="C12" s="28" t="s">
        <v>127</v>
      </c>
      <c r="D12" s="28" t="s">
        <v>127</v>
      </c>
      <c r="E12" s="28" t="s">
        <v>127</v>
      </c>
      <c r="F12" s="28" t="s">
        <v>215</v>
      </c>
      <c r="G12" s="28" t="s">
        <v>127</v>
      </c>
      <c r="H12" s="28" t="s">
        <v>127</v>
      </c>
      <c r="I12" s="28" t="s">
        <v>127</v>
      </c>
      <c r="J12" s="28" t="s">
        <v>215</v>
      </c>
      <c r="K12" s="28" t="s">
        <v>215</v>
      </c>
      <c r="L12" s="28" t="s">
        <v>215</v>
      </c>
      <c r="M12" s="28" t="s">
        <v>215</v>
      </c>
      <c r="N12" s="28"/>
      <c r="O12" s="28"/>
      <c r="P12" s="28" t="s">
        <v>127</v>
      </c>
      <c r="Q12" s="28" t="s">
        <v>127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  <c r="AJ12" s="28" t="s">
        <v>124</v>
      </c>
      <c r="AK12" s="28" t="s">
        <v>124</v>
      </c>
    </row>
    <row r="13" spans="1:37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28" t="s">
        <v>124</v>
      </c>
      <c r="AK13" s="28" t="s">
        <v>124</v>
      </c>
    </row>
    <row r="14" spans="1:37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</row>
    <row r="15" spans="1:37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150</v>
      </c>
      <c r="G15" s="28" t="s">
        <v>149</v>
      </c>
      <c r="H15" s="28" t="s">
        <v>149</v>
      </c>
      <c r="I15" s="28" t="s">
        <v>149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/>
      <c r="O15" s="28"/>
      <c r="P15" s="28" t="s">
        <v>149</v>
      </c>
      <c r="Q15" s="28" t="s">
        <v>149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  <c r="AJ15" s="28" t="s">
        <v>149</v>
      </c>
      <c r="AK15" s="28" t="s">
        <v>149</v>
      </c>
    </row>
    <row r="16" spans="1:37">
      <c r="A16" s="26" t="s">
        <v>130</v>
      </c>
      <c r="B16" s="30">
        <f>5/3</f>
        <v>1.6666666666666667</v>
      </c>
      <c r="C16" s="30">
        <f t="shared" ref="C16:J16" si="0">AVERAGE(2,5/3)</f>
        <v>1.8333333333333335</v>
      </c>
      <c r="D16" s="30">
        <f t="shared" si="0"/>
        <v>1.8333333333333335</v>
      </c>
      <c r="E16" s="30">
        <f t="shared" si="0"/>
        <v>1.8333333333333335</v>
      </c>
      <c r="F16" s="30">
        <v>-2</v>
      </c>
      <c r="G16" s="30">
        <f t="shared" si="0"/>
        <v>1.8333333333333335</v>
      </c>
      <c r="H16" s="30">
        <f t="shared" si="0"/>
        <v>1.8333333333333335</v>
      </c>
      <c r="I16" s="30">
        <f t="shared" si="0"/>
        <v>1.8333333333333335</v>
      </c>
      <c r="J16" s="30">
        <v>-2</v>
      </c>
      <c r="K16" s="30">
        <v>-2</v>
      </c>
      <c r="L16" s="30">
        <v>-2</v>
      </c>
      <c r="M16" s="30">
        <v>-2</v>
      </c>
      <c r="N16" s="30"/>
      <c r="O16" s="30"/>
      <c r="P16" s="30">
        <f t="shared" ref="P16:Q16" si="1">AVERAGE(2,5/3)</f>
        <v>1.8333333333333335</v>
      </c>
      <c r="Q16" s="30">
        <f t="shared" si="1"/>
        <v>1.8333333333333335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  <c r="AJ16" s="30">
        <f>4/3</f>
        <v>1.3333333333333333</v>
      </c>
      <c r="AK16" s="30">
        <f>4/3</f>
        <v>1.3333333333333333</v>
      </c>
    </row>
    <row r="17" spans="1:37">
      <c r="A17" s="26" t="s">
        <v>131</v>
      </c>
      <c r="B17" s="28" t="s">
        <v>132</v>
      </c>
      <c r="C17" s="29" t="s">
        <v>287</v>
      </c>
      <c r="D17" s="29" t="s">
        <v>287</v>
      </c>
      <c r="E17" s="29" t="s">
        <v>287</v>
      </c>
      <c r="F17" s="29" t="s">
        <v>483</v>
      </c>
      <c r="G17" s="29" t="s">
        <v>287</v>
      </c>
      <c r="H17" s="29" t="s">
        <v>287</v>
      </c>
      <c r="I17" s="29" t="s">
        <v>287</v>
      </c>
      <c r="J17" s="29" t="s">
        <v>483</v>
      </c>
      <c r="K17" s="28" t="s">
        <v>483</v>
      </c>
      <c r="L17" s="28" t="s">
        <v>483</v>
      </c>
      <c r="M17" s="28" t="s">
        <v>483</v>
      </c>
      <c r="N17" s="28"/>
      <c r="O17" s="28"/>
      <c r="P17" s="29" t="s">
        <v>287</v>
      </c>
      <c r="Q17" s="29" t="s">
        <v>287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  <c r="AJ17" s="28" t="s">
        <v>151</v>
      </c>
      <c r="AK17" s="28" t="s">
        <v>180</v>
      </c>
    </row>
    <row r="18" spans="1:37">
      <c r="A18" s="26" t="s">
        <v>133</v>
      </c>
      <c r="B18" s="30">
        <v>4</v>
      </c>
      <c r="C18" s="30">
        <v>0</v>
      </c>
      <c r="D18" s="30">
        <v>0</v>
      </c>
      <c r="E18" s="30">
        <v>0</v>
      </c>
      <c r="F18" s="30">
        <f>AVERAGE(-2,0)</f>
        <v>-1</v>
      </c>
      <c r="G18" s="30">
        <v>0</v>
      </c>
      <c r="H18" s="30">
        <v>0</v>
      </c>
      <c r="I18" s="30">
        <v>0</v>
      </c>
      <c r="J18" s="30">
        <f>AVERAGE(-2,0)</f>
        <v>-1</v>
      </c>
      <c r="K18" s="30">
        <f>AVERAGE(1/3,0)</f>
        <v>0.16666666666666666</v>
      </c>
      <c r="L18" s="30">
        <f>AVERAGE(1/3,0)</f>
        <v>0.16666666666666666</v>
      </c>
      <c r="M18" s="30">
        <f>AVERAGE(1/3,0)</f>
        <v>0.16666666666666666</v>
      </c>
      <c r="N18" s="30"/>
      <c r="O18" s="30"/>
      <c r="P18" s="30">
        <v>0</v>
      </c>
      <c r="Q18" s="30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  <c r="AJ18" s="30">
        <v>3</v>
      </c>
      <c r="AK18" s="30">
        <v>2</v>
      </c>
    </row>
    <row r="19" spans="1:37">
      <c r="AG19" s="217" t="s">
        <v>891</v>
      </c>
      <c r="AH19" s="217"/>
      <c r="AJ19" s="217" t="s">
        <v>892</v>
      </c>
      <c r="AK19" s="217"/>
    </row>
    <row r="20" spans="1:37">
      <c r="A20" s="31" t="s">
        <v>134</v>
      </c>
    </row>
    <row r="21" spans="1:37">
      <c r="A21" s="231" t="s">
        <v>893</v>
      </c>
      <c r="B21" s="95" t="s">
        <v>894</v>
      </c>
    </row>
    <row r="22" spans="1:37">
      <c r="A22" s="231"/>
      <c r="B22" s="96" t="s">
        <v>895</v>
      </c>
    </row>
    <row r="23" spans="1:37">
      <c r="A23" s="231"/>
      <c r="B23" s="96" t="s">
        <v>896</v>
      </c>
    </row>
    <row r="24" spans="1:37">
      <c r="A24" s="218" t="s">
        <v>897</v>
      </c>
      <c r="B24" s="95" t="s">
        <v>898</v>
      </c>
    </row>
    <row r="25" spans="1:37">
      <c r="A25" s="218"/>
      <c r="B25" s="96" t="s">
        <v>899</v>
      </c>
    </row>
    <row r="26" spans="1:37">
      <c r="A26" s="218"/>
      <c r="B26" s="96" t="s">
        <v>895</v>
      </c>
    </row>
    <row r="27" spans="1:37">
      <c r="A27" s="218"/>
      <c r="B27" s="96" t="s">
        <v>896</v>
      </c>
    </row>
    <row r="28" spans="1:37">
      <c r="A28" s="56"/>
      <c r="B28" s="96"/>
    </row>
    <row r="29" spans="1:37" ht="54" customHeight="1">
      <c r="A29" s="101" t="s">
        <v>162</v>
      </c>
      <c r="B29" s="219" t="s">
        <v>883</v>
      </c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</row>
  </sheetData>
  <mergeCells count="10">
    <mergeCell ref="AJ19:AK19"/>
    <mergeCell ref="AG19:AH19"/>
    <mergeCell ref="A21:A23"/>
    <mergeCell ref="A24:A27"/>
    <mergeCell ref="B29:O29"/>
    <mergeCell ref="F3:O3"/>
    <mergeCell ref="B3:D3"/>
    <mergeCell ref="B4:D4"/>
    <mergeCell ref="B5:D5"/>
    <mergeCell ref="F4:P5"/>
  </mergeCells>
  <hyperlinks>
    <hyperlink ref="A29" r:id="rId1" xr:uid="{6907942F-6710-4FFC-B7A4-205C264B1EDF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51D7-406C-43DC-96F4-4E8243CBE666}">
  <dimension ref="A1:AX28"/>
  <sheetViews>
    <sheetView zoomScale="90" zoomScaleNormal="90" workbookViewId="0">
      <selection activeCell="N8" sqref="N8"/>
    </sheetView>
  </sheetViews>
  <sheetFormatPr defaultColWidth="9.140625" defaultRowHeight="15"/>
  <cols>
    <col min="1" max="1" width="23.28515625" style="26" bestFit="1" customWidth="1"/>
    <col min="2" max="64" width="5.7109375" style="26" customWidth="1"/>
    <col min="65" max="16384" width="9.140625" style="26"/>
  </cols>
  <sheetData>
    <row r="1" spans="1:50">
      <c r="A1" s="25" t="s">
        <v>74</v>
      </c>
      <c r="D1" s="25" t="s">
        <v>840</v>
      </c>
      <c r="I1" s="25" t="s">
        <v>841</v>
      </c>
    </row>
    <row r="3" spans="1:50" ht="18">
      <c r="A3" s="25" t="s">
        <v>77</v>
      </c>
      <c r="B3" s="203">
        <v>58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50" ht="18">
      <c r="A4" s="25" t="s">
        <v>79</v>
      </c>
      <c r="B4" s="203" t="s">
        <v>887</v>
      </c>
      <c r="C4" s="203"/>
      <c r="D4" s="203"/>
      <c r="F4" s="232" t="s">
        <v>900</v>
      </c>
      <c r="G4" s="232"/>
      <c r="H4" s="232"/>
      <c r="I4" s="232"/>
      <c r="J4" s="232"/>
      <c r="K4" s="232"/>
      <c r="L4" s="232"/>
      <c r="M4" s="232"/>
      <c r="N4" s="232"/>
      <c r="O4" s="232"/>
      <c r="P4" s="232"/>
    </row>
    <row r="5" spans="1:50" ht="17.45" customHeight="1">
      <c r="A5" s="25" t="s">
        <v>82</v>
      </c>
      <c r="B5" s="203" t="s">
        <v>885</v>
      </c>
      <c r="C5" s="203"/>
      <c r="D5" s="203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</row>
    <row r="7" spans="1:50" ht="30.75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32" t="s">
        <v>85</v>
      </c>
      <c r="AK7" s="32" t="s">
        <v>86</v>
      </c>
      <c r="AL7" s="33" t="s">
        <v>87</v>
      </c>
      <c r="AM7" s="34" t="s">
        <v>88</v>
      </c>
      <c r="AN7" s="35" t="s">
        <v>89</v>
      </c>
      <c r="AO7" s="35" t="s">
        <v>90</v>
      </c>
      <c r="AP7" s="36" t="s">
        <v>91</v>
      </c>
      <c r="AR7" s="32" t="s">
        <v>85</v>
      </c>
      <c r="AS7" s="58" t="s">
        <v>86</v>
      </c>
      <c r="AT7" s="59" t="s">
        <v>87</v>
      </c>
      <c r="AU7" s="34" t="s">
        <v>88</v>
      </c>
      <c r="AV7" s="61" t="s">
        <v>89</v>
      </c>
      <c r="AW7" s="61" t="s">
        <v>90</v>
      </c>
      <c r="AX7" s="62" t="s">
        <v>91</v>
      </c>
    </row>
    <row r="8" spans="1:50">
      <c r="A8" s="26" t="s">
        <v>117</v>
      </c>
      <c r="B8" s="86" t="s">
        <v>149</v>
      </c>
      <c r="C8" s="29" t="s">
        <v>287</v>
      </c>
      <c r="D8" s="29" t="s">
        <v>287</v>
      </c>
      <c r="E8" s="29" t="s">
        <v>287</v>
      </c>
      <c r="F8" s="28" t="s">
        <v>171</v>
      </c>
      <c r="G8" s="28" t="s">
        <v>171</v>
      </c>
      <c r="H8" s="28" t="s">
        <v>171</v>
      </c>
      <c r="I8" s="28" t="s">
        <v>171</v>
      </c>
      <c r="J8" s="28" t="s">
        <v>171</v>
      </c>
      <c r="K8" s="29" t="s">
        <v>287</v>
      </c>
      <c r="L8" s="29" t="s">
        <v>287</v>
      </c>
      <c r="M8" s="29" t="s">
        <v>287</v>
      </c>
      <c r="N8" s="28"/>
      <c r="O8" s="28"/>
      <c r="P8" s="29" t="s">
        <v>287</v>
      </c>
      <c r="Q8" s="29" t="s">
        <v>287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171</v>
      </c>
      <c r="AB8" s="28"/>
      <c r="AC8" s="28"/>
      <c r="AD8" s="28"/>
      <c r="AE8" s="28"/>
      <c r="AF8" s="28"/>
      <c r="AG8" s="28"/>
      <c r="AH8" s="29" t="s">
        <v>171</v>
      </c>
      <c r="AJ8" s="29" t="s">
        <v>502</v>
      </c>
      <c r="AK8" s="29" t="s">
        <v>502</v>
      </c>
      <c r="AL8" s="29" t="s">
        <v>287</v>
      </c>
      <c r="AM8" s="29" t="s">
        <v>287</v>
      </c>
      <c r="AN8" s="28" t="s">
        <v>901</v>
      </c>
      <c r="AO8" s="28" t="s">
        <v>901</v>
      </c>
      <c r="AP8" s="28" t="s">
        <v>901</v>
      </c>
      <c r="AR8" s="86" t="s">
        <v>419</v>
      </c>
      <c r="AS8" s="28" t="s">
        <v>419</v>
      </c>
      <c r="AT8" s="28" t="s">
        <v>419</v>
      </c>
      <c r="AU8" s="28" t="s">
        <v>419</v>
      </c>
      <c r="AV8" s="28" t="s">
        <v>419</v>
      </c>
      <c r="AW8" s="28" t="s">
        <v>419</v>
      </c>
      <c r="AX8" s="28" t="s">
        <v>419</v>
      </c>
    </row>
    <row r="9" spans="1:50">
      <c r="A9" s="26" t="s">
        <v>121</v>
      </c>
      <c r="B9" s="29" t="s">
        <v>174</v>
      </c>
      <c r="C9" s="29" t="s">
        <v>287</v>
      </c>
      <c r="D9" s="29" t="s">
        <v>287</v>
      </c>
      <c r="E9" s="29" t="s">
        <v>287</v>
      </c>
      <c r="F9" s="28" t="s">
        <v>866</v>
      </c>
      <c r="G9" s="28" t="s">
        <v>866</v>
      </c>
      <c r="H9" s="28" t="s">
        <v>866</v>
      </c>
      <c r="I9" s="28" t="s">
        <v>866</v>
      </c>
      <c r="J9" s="28" t="s">
        <v>867</v>
      </c>
      <c r="K9" s="29" t="s">
        <v>287</v>
      </c>
      <c r="L9" s="29" t="s">
        <v>287</v>
      </c>
      <c r="M9" s="29" t="s">
        <v>287</v>
      </c>
      <c r="N9" s="29"/>
      <c r="O9" s="29"/>
      <c r="P9" s="29" t="s">
        <v>287</v>
      </c>
      <c r="Q9" s="29" t="s">
        <v>287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174</v>
      </c>
      <c r="AB9" s="29"/>
      <c r="AC9" s="29"/>
      <c r="AD9" s="29"/>
      <c r="AE9" s="29"/>
      <c r="AF9" s="29"/>
      <c r="AG9" s="29"/>
      <c r="AH9" s="29" t="s">
        <v>174</v>
      </c>
      <c r="AJ9" s="28" t="s">
        <v>269</v>
      </c>
      <c r="AK9" s="28" t="s">
        <v>269</v>
      </c>
      <c r="AL9" s="29" t="s">
        <v>287</v>
      </c>
      <c r="AM9" s="29" t="s">
        <v>287</v>
      </c>
      <c r="AN9" s="28" t="s">
        <v>902</v>
      </c>
      <c r="AO9" s="28" t="s">
        <v>902</v>
      </c>
      <c r="AP9" s="28" t="s">
        <v>902</v>
      </c>
      <c r="AR9" s="86" t="s">
        <v>425</v>
      </c>
      <c r="AS9" s="28" t="s">
        <v>419</v>
      </c>
      <c r="AT9" s="28" t="s">
        <v>419</v>
      </c>
      <c r="AU9" s="28" t="s">
        <v>419</v>
      </c>
      <c r="AV9" s="28" t="s">
        <v>419</v>
      </c>
      <c r="AW9" s="28" t="s">
        <v>419</v>
      </c>
      <c r="AX9" s="28" t="s">
        <v>419</v>
      </c>
    </row>
    <row r="10" spans="1:50">
      <c r="A10" s="140" t="s">
        <v>122</v>
      </c>
      <c r="B10" s="167">
        <v>6</v>
      </c>
      <c r="C10" s="167" t="s">
        <v>287</v>
      </c>
      <c r="D10" s="167" t="s">
        <v>287</v>
      </c>
      <c r="E10" s="167" t="s">
        <v>287</v>
      </c>
      <c r="F10" s="167">
        <v>92</v>
      </c>
      <c r="G10" s="167">
        <v>92</v>
      </c>
      <c r="H10" s="167">
        <v>92</v>
      </c>
      <c r="I10" s="167">
        <v>92</v>
      </c>
      <c r="J10" s="167">
        <v>170</v>
      </c>
      <c r="K10" s="167" t="s">
        <v>287</v>
      </c>
      <c r="L10" s="167" t="s">
        <v>287</v>
      </c>
      <c r="M10" s="167" t="s">
        <v>287</v>
      </c>
      <c r="N10" s="167"/>
      <c r="O10" s="167"/>
      <c r="P10" s="167" t="s">
        <v>287</v>
      </c>
      <c r="Q10" s="167" t="s">
        <v>287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6</v>
      </c>
      <c r="AB10" s="167"/>
      <c r="AC10" s="167"/>
      <c r="AD10" s="167"/>
      <c r="AE10" s="167"/>
      <c r="AF10" s="167"/>
      <c r="AG10" s="167"/>
      <c r="AH10" s="167">
        <v>6</v>
      </c>
      <c r="AJ10" s="167">
        <v>98</v>
      </c>
      <c r="AK10" s="167">
        <v>98</v>
      </c>
      <c r="AL10" s="167" t="s">
        <v>287</v>
      </c>
      <c r="AM10" s="167" t="s">
        <v>287</v>
      </c>
      <c r="AN10" s="167">
        <v>175</v>
      </c>
      <c r="AO10" s="167">
        <v>175</v>
      </c>
      <c r="AP10" s="167">
        <v>175</v>
      </c>
      <c r="AR10" s="171">
        <v>87</v>
      </c>
      <c r="AS10" s="167">
        <v>85</v>
      </c>
      <c r="AT10" s="167">
        <v>85</v>
      </c>
      <c r="AU10" s="167">
        <v>85</v>
      </c>
      <c r="AV10" s="167">
        <v>85</v>
      </c>
      <c r="AW10" s="167">
        <v>85</v>
      </c>
      <c r="AX10" s="167">
        <v>85</v>
      </c>
    </row>
    <row r="11" spans="1:50">
      <c r="A11" s="26" t="s">
        <v>123</v>
      </c>
      <c r="B11" s="28" t="s">
        <v>124</v>
      </c>
      <c r="C11" s="28" t="s">
        <v>127</v>
      </c>
      <c r="D11" s="28" t="s">
        <v>127</v>
      </c>
      <c r="E11" s="28" t="s">
        <v>127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127</v>
      </c>
      <c r="L11" s="28" t="s">
        <v>127</v>
      </c>
      <c r="M11" s="28" t="s">
        <v>127</v>
      </c>
      <c r="N11" s="28"/>
      <c r="O11" s="28"/>
      <c r="P11" s="28" t="s">
        <v>127</v>
      </c>
      <c r="Q11" s="28" t="s">
        <v>127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8" t="s">
        <v>124</v>
      </c>
      <c r="AK11" s="28" t="s">
        <v>124</v>
      </c>
      <c r="AL11" s="28" t="s">
        <v>127</v>
      </c>
      <c r="AM11" s="28" t="s">
        <v>127</v>
      </c>
      <c r="AN11" s="28" t="s">
        <v>215</v>
      </c>
      <c r="AO11" s="28" t="s">
        <v>215</v>
      </c>
      <c r="AP11" s="28" t="s">
        <v>215</v>
      </c>
      <c r="AR11" s="86" t="s">
        <v>124</v>
      </c>
      <c r="AS11" s="28" t="s">
        <v>124</v>
      </c>
      <c r="AT11" s="28" t="s">
        <v>124</v>
      </c>
      <c r="AU11" s="28" t="s">
        <v>124</v>
      </c>
      <c r="AV11" s="28" t="s">
        <v>124</v>
      </c>
      <c r="AW11" s="28" t="s">
        <v>124</v>
      </c>
      <c r="AX11" s="28" t="s">
        <v>124</v>
      </c>
    </row>
    <row r="12" spans="1:50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 t="s">
        <v>124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  <c r="AJ12" s="28" t="s">
        <v>124</v>
      </c>
      <c r="AK12" s="28" t="s">
        <v>124</v>
      </c>
      <c r="AL12" s="28" t="s">
        <v>124</v>
      </c>
      <c r="AM12" s="28" t="s">
        <v>124</v>
      </c>
      <c r="AN12" s="28" t="s">
        <v>215</v>
      </c>
      <c r="AO12" s="28" t="s">
        <v>215</v>
      </c>
      <c r="AP12" s="28" t="s">
        <v>215</v>
      </c>
      <c r="AR12" s="86" t="s">
        <v>124</v>
      </c>
      <c r="AS12" s="28" t="s">
        <v>124</v>
      </c>
      <c r="AT12" s="28" t="s">
        <v>124</v>
      </c>
      <c r="AU12" s="28" t="s">
        <v>124</v>
      </c>
      <c r="AV12" s="28" t="s">
        <v>124</v>
      </c>
      <c r="AW12" s="28" t="s">
        <v>124</v>
      </c>
      <c r="AX12" s="28" t="s">
        <v>124</v>
      </c>
    </row>
    <row r="13" spans="1:50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28" t="s">
        <v>127</v>
      </c>
      <c r="AK13" s="28" t="s">
        <v>127</v>
      </c>
      <c r="AL13" s="28" t="s">
        <v>127</v>
      </c>
      <c r="AM13" s="28" t="s">
        <v>127</v>
      </c>
      <c r="AN13" s="28" t="s">
        <v>127</v>
      </c>
      <c r="AO13" s="28" t="s">
        <v>127</v>
      </c>
      <c r="AP13" s="28" t="s">
        <v>127</v>
      </c>
      <c r="AR13" s="86" t="s">
        <v>127</v>
      </c>
      <c r="AS13" s="28" t="s">
        <v>127</v>
      </c>
      <c r="AT13" s="28" t="s">
        <v>127</v>
      </c>
      <c r="AU13" s="28" t="s">
        <v>127</v>
      </c>
      <c r="AV13" s="28" t="s">
        <v>127</v>
      </c>
      <c r="AW13" s="28" t="s">
        <v>127</v>
      </c>
      <c r="AX13" s="28" t="s">
        <v>127</v>
      </c>
    </row>
    <row r="14" spans="1:50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  <c r="AL14" s="28" t="s">
        <v>127</v>
      </c>
      <c r="AM14" s="28" t="s">
        <v>127</v>
      </c>
      <c r="AN14" s="28" t="s">
        <v>127</v>
      </c>
      <c r="AO14" s="28" t="s">
        <v>127</v>
      </c>
      <c r="AP14" s="28" t="s">
        <v>127</v>
      </c>
      <c r="AR14" s="28" t="s">
        <v>124</v>
      </c>
      <c r="AS14" s="29" t="s">
        <v>124</v>
      </c>
      <c r="AT14" s="29" t="s">
        <v>124</v>
      </c>
      <c r="AU14" s="29" t="s">
        <v>124</v>
      </c>
      <c r="AV14" s="29" t="s">
        <v>124</v>
      </c>
      <c r="AW14" s="29" t="s">
        <v>124</v>
      </c>
      <c r="AX14" s="29" t="s">
        <v>124</v>
      </c>
    </row>
    <row r="15" spans="1:50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 t="s">
        <v>149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  <c r="AJ15" s="28" t="s">
        <v>150</v>
      </c>
      <c r="AK15" s="28" t="s">
        <v>150</v>
      </c>
      <c r="AL15" s="28" t="s">
        <v>149</v>
      </c>
      <c r="AM15" s="28" t="s">
        <v>149</v>
      </c>
      <c r="AN15" s="28" t="s">
        <v>149</v>
      </c>
      <c r="AO15" s="28" t="s">
        <v>149</v>
      </c>
      <c r="AP15" s="28" t="s">
        <v>149</v>
      </c>
      <c r="AR15" s="28" t="s">
        <v>432</v>
      </c>
      <c r="AS15" s="28" t="s">
        <v>149</v>
      </c>
      <c r="AT15" s="28" t="s">
        <v>149</v>
      </c>
      <c r="AU15" s="28" t="s">
        <v>149</v>
      </c>
      <c r="AV15" s="28" t="s">
        <v>149</v>
      </c>
      <c r="AW15" s="28" t="s">
        <v>149</v>
      </c>
      <c r="AX15" s="28" t="s">
        <v>149</v>
      </c>
    </row>
    <row r="16" spans="1:50">
      <c r="A16" s="26" t="s">
        <v>130</v>
      </c>
      <c r="B16" s="30">
        <f>5/3</f>
        <v>1.6666666666666667</v>
      </c>
      <c r="C16" s="30">
        <f t="shared" ref="C16:D16" si="0">AVERAGE(2,5/3)</f>
        <v>1.8333333333333335</v>
      </c>
      <c r="D16" s="30">
        <f t="shared" si="0"/>
        <v>1.8333333333333335</v>
      </c>
      <c r="E16" s="30">
        <f>AVERAGE(2,5/3)</f>
        <v>1.8333333333333335</v>
      </c>
      <c r="F16" s="30">
        <f>11/6</f>
        <v>1.8333333333333333</v>
      </c>
      <c r="G16" s="30">
        <f>11/6</f>
        <v>1.8333333333333333</v>
      </c>
      <c r="H16" s="30">
        <f>11/6</f>
        <v>1.8333333333333333</v>
      </c>
      <c r="I16" s="30">
        <f>11/6</f>
        <v>1.8333333333333333</v>
      </c>
      <c r="J16" s="30">
        <f>AVERAGE(2,11/6)</f>
        <v>1.9166666666666665</v>
      </c>
      <c r="K16" s="30">
        <f>AVERAGE(11/6,0.5)</f>
        <v>1.1666666666666665</v>
      </c>
      <c r="L16" s="30">
        <f>AVERAGE(11/6,0.5)</f>
        <v>1.1666666666666665</v>
      </c>
      <c r="M16" s="30">
        <f>AVERAGE(11/6,0.5)</f>
        <v>1.1666666666666665</v>
      </c>
      <c r="N16" s="30"/>
      <c r="O16" s="30"/>
      <c r="P16" s="30">
        <f>AVERAGE(2,5/3)</f>
        <v>1.8333333333333335</v>
      </c>
      <c r="Q16" s="30">
        <f>AVERAGE(2,5/3)</f>
        <v>1.8333333333333335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  <c r="AJ16" s="30">
        <v>-2</v>
      </c>
      <c r="AK16" s="30">
        <v>-2</v>
      </c>
      <c r="AL16" s="30">
        <f>AVERAGE(2,5/3)</f>
        <v>1.8333333333333335</v>
      </c>
      <c r="AM16" s="30">
        <f>AVERAGE(2,5/3)</f>
        <v>1.8333333333333335</v>
      </c>
      <c r="AN16" s="30">
        <f t="shared" ref="AN16:AO16" si="1">11/6</f>
        <v>1.8333333333333333</v>
      </c>
      <c r="AO16" s="30">
        <f t="shared" si="1"/>
        <v>1.8333333333333333</v>
      </c>
      <c r="AP16" s="102">
        <f>11/6</f>
        <v>1.8333333333333333</v>
      </c>
      <c r="AR16" s="30">
        <f>-7/6</f>
        <v>-1.1666666666666667</v>
      </c>
      <c r="AS16" s="30">
        <v>0.75</v>
      </c>
      <c r="AT16" s="30">
        <v>0.75</v>
      </c>
      <c r="AU16" s="30">
        <v>0.75</v>
      </c>
      <c r="AV16" s="30">
        <v>0.75</v>
      </c>
      <c r="AW16" s="30">
        <v>0.75</v>
      </c>
      <c r="AX16" s="30">
        <v>0.75</v>
      </c>
    </row>
    <row r="17" spans="1:50">
      <c r="A17" s="26" t="s">
        <v>131</v>
      </c>
      <c r="B17" s="28" t="s">
        <v>132</v>
      </c>
      <c r="C17" s="29" t="s">
        <v>287</v>
      </c>
      <c r="D17" s="29" t="s">
        <v>287</v>
      </c>
      <c r="E17" s="29" t="s">
        <v>287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850</v>
      </c>
      <c r="K17" s="29" t="s">
        <v>287</v>
      </c>
      <c r="L17" s="29" t="s">
        <v>287</v>
      </c>
      <c r="M17" s="29" t="s">
        <v>287</v>
      </c>
      <c r="N17" s="28"/>
      <c r="O17" s="28"/>
      <c r="P17" s="29" t="s">
        <v>287</v>
      </c>
      <c r="Q17" s="29" t="s">
        <v>287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  <c r="AJ17" s="28" t="s">
        <v>280</v>
      </c>
      <c r="AK17" s="28" t="s">
        <v>280</v>
      </c>
      <c r="AL17" s="29" t="s">
        <v>287</v>
      </c>
      <c r="AM17" s="29" t="s">
        <v>287</v>
      </c>
      <c r="AN17" s="103" t="s">
        <v>483</v>
      </c>
      <c r="AO17" s="104" t="s">
        <v>483</v>
      </c>
      <c r="AP17" s="103" t="s">
        <v>483</v>
      </c>
      <c r="AR17" s="29" t="s">
        <v>435</v>
      </c>
      <c r="AS17" s="29" t="s">
        <v>435</v>
      </c>
      <c r="AT17" s="29" t="s">
        <v>435</v>
      </c>
      <c r="AU17" s="29" t="s">
        <v>435</v>
      </c>
      <c r="AV17" s="29" t="s">
        <v>435</v>
      </c>
      <c r="AW17" s="28" t="s">
        <v>435</v>
      </c>
      <c r="AX17" s="28" t="s">
        <v>435</v>
      </c>
    </row>
    <row r="18" spans="1:50">
      <c r="A18" s="26" t="s">
        <v>133</v>
      </c>
      <c r="B18" s="30">
        <v>4</v>
      </c>
      <c r="C18" s="30">
        <v>0</v>
      </c>
      <c r="D18" s="30">
        <v>0</v>
      </c>
      <c r="E18" s="30">
        <v>0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v>0</v>
      </c>
      <c r="L18" s="30">
        <v>0</v>
      </c>
      <c r="M18" s="30">
        <v>0</v>
      </c>
      <c r="N18" s="30"/>
      <c r="O18" s="30"/>
      <c r="P18" s="30">
        <v>0</v>
      </c>
      <c r="Q18" s="30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  <c r="AJ18" s="30">
        <v>0.5</v>
      </c>
      <c r="AK18" s="30">
        <v>0.5</v>
      </c>
      <c r="AL18" s="30">
        <v>0</v>
      </c>
      <c r="AM18" s="30">
        <v>0</v>
      </c>
      <c r="AN18" s="30">
        <f>AVERAGE(0.5,0)</f>
        <v>0.25</v>
      </c>
      <c r="AO18" s="30">
        <f t="shared" ref="AO18:AP18" si="2">AVERAGE(0.5,0)</f>
        <v>0.25</v>
      </c>
      <c r="AP18" s="30">
        <f t="shared" si="2"/>
        <v>0.25</v>
      </c>
      <c r="AR18" s="30">
        <v>0.75</v>
      </c>
      <c r="AS18" s="30">
        <v>0.75</v>
      </c>
      <c r="AT18" s="30">
        <v>0.75</v>
      </c>
      <c r="AU18" s="30">
        <v>0.75</v>
      </c>
      <c r="AV18" s="30">
        <v>0.75</v>
      </c>
      <c r="AW18" s="30">
        <v>0.75</v>
      </c>
      <c r="AX18" s="30">
        <v>0.75</v>
      </c>
    </row>
    <row r="19" spans="1:50" ht="15.75" customHeight="1">
      <c r="C19" s="217" t="s">
        <v>903</v>
      </c>
      <c r="D19" s="217"/>
      <c r="AJ19" s="78" t="s">
        <v>904</v>
      </c>
      <c r="AR19" s="133" t="s">
        <v>905</v>
      </c>
      <c r="AS19" s="90"/>
    </row>
    <row r="20" spans="1:50">
      <c r="A20" s="31" t="s">
        <v>134</v>
      </c>
    </row>
    <row r="21" spans="1:50">
      <c r="A21" s="233" t="s">
        <v>906</v>
      </c>
      <c r="B21" s="56" t="s">
        <v>907</v>
      </c>
    </row>
    <row r="22" spans="1:50">
      <c r="A22" s="233"/>
      <c r="B22" s="93" t="s">
        <v>908</v>
      </c>
    </row>
    <row r="23" spans="1:50">
      <c r="A23" s="223" t="s">
        <v>909</v>
      </c>
      <c r="B23" s="56" t="s">
        <v>907</v>
      </c>
    </row>
    <row r="24" spans="1:50">
      <c r="A24" s="223"/>
      <c r="B24" s="93" t="s">
        <v>910</v>
      </c>
    </row>
    <row r="25" spans="1:50">
      <c r="A25" s="223"/>
      <c r="B25" s="93" t="s">
        <v>911</v>
      </c>
    </row>
    <row r="26" spans="1:50">
      <c r="A26" s="223" t="s">
        <v>912</v>
      </c>
      <c r="B26" s="56" t="s">
        <v>907</v>
      </c>
    </row>
    <row r="27" spans="1:50">
      <c r="A27" s="223"/>
      <c r="B27" s="93" t="s">
        <v>622</v>
      </c>
    </row>
    <row r="28" spans="1:50">
      <c r="A28" s="223"/>
      <c r="B28" s="93" t="s">
        <v>913</v>
      </c>
    </row>
  </sheetData>
  <mergeCells count="9">
    <mergeCell ref="F3:O3"/>
    <mergeCell ref="A26:A28"/>
    <mergeCell ref="A23:A25"/>
    <mergeCell ref="A21:A22"/>
    <mergeCell ref="B3:D3"/>
    <mergeCell ref="B4:D4"/>
    <mergeCell ref="B5:D5"/>
    <mergeCell ref="C19:D19"/>
    <mergeCell ref="F4:P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86B4-5FAA-459F-884D-872E2DBF406C}">
  <dimension ref="A1:AH23"/>
  <sheetViews>
    <sheetView zoomScale="90" zoomScaleNormal="90" workbookViewId="0">
      <selection activeCell="E8" sqref="E8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59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8">
      <c r="A4" s="25" t="s">
        <v>79</v>
      </c>
      <c r="B4" s="203" t="s">
        <v>914</v>
      </c>
      <c r="C4" s="203"/>
      <c r="D4" s="203"/>
      <c r="F4" s="204" t="s">
        <v>915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916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199</v>
      </c>
      <c r="C8" s="28" t="s">
        <v>250</v>
      </c>
      <c r="D8" s="28" t="s">
        <v>250</v>
      </c>
      <c r="E8" s="115" t="s">
        <v>291</v>
      </c>
      <c r="F8" s="28" t="s">
        <v>250</v>
      </c>
      <c r="G8" s="28" t="s">
        <v>250</v>
      </c>
      <c r="H8" s="28" t="s">
        <v>250</v>
      </c>
      <c r="I8" s="28" t="s">
        <v>250</v>
      </c>
      <c r="J8" s="28" t="s">
        <v>250</v>
      </c>
      <c r="K8" s="28" t="s">
        <v>250</v>
      </c>
      <c r="L8" s="28" t="s">
        <v>250</v>
      </c>
      <c r="M8" s="28" t="s">
        <v>250</v>
      </c>
      <c r="N8" s="28"/>
      <c r="O8" s="28"/>
      <c r="P8" s="28" t="s">
        <v>287</v>
      </c>
      <c r="Q8" s="28" t="s">
        <v>287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200</v>
      </c>
      <c r="AB8" s="28"/>
      <c r="AC8" s="28"/>
      <c r="AD8" s="28"/>
      <c r="AE8" s="28"/>
      <c r="AF8" s="28"/>
      <c r="AG8" s="28"/>
      <c r="AH8" s="28" t="s">
        <v>200</v>
      </c>
    </row>
    <row r="9" spans="1:34" ht="16.5" customHeight="1">
      <c r="A9" s="26" t="s">
        <v>121</v>
      </c>
      <c r="B9" s="28" t="s">
        <v>205</v>
      </c>
      <c r="C9" s="28" t="s">
        <v>917</v>
      </c>
      <c r="D9" s="28" t="s">
        <v>251</v>
      </c>
      <c r="E9" s="28" t="s">
        <v>918</v>
      </c>
      <c r="F9" s="28" t="s">
        <v>919</v>
      </c>
      <c r="G9" s="28" t="s">
        <v>919</v>
      </c>
      <c r="H9" s="28" t="s">
        <v>919</v>
      </c>
      <c r="I9" s="28" t="s">
        <v>919</v>
      </c>
      <c r="J9" s="28" t="s">
        <v>920</v>
      </c>
      <c r="K9" s="28" t="s">
        <v>920</v>
      </c>
      <c r="L9" s="28" t="s">
        <v>921</v>
      </c>
      <c r="M9" s="28" t="s">
        <v>922</v>
      </c>
      <c r="N9" s="29"/>
      <c r="O9" s="29"/>
      <c r="P9" s="28" t="s">
        <v>287</v>
      </c>
      <c r="Q9" s="28" t="s">
        <v>287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205</v>
      </c>
      <c r="AB9" s="29"/>
      <c r="AC9" s="29"/>
      <c r="AD9" s="29"/>
      <c r="AE9" s="29"/>
      <c r="AF9" s="29"/>
      <c r="AG9" s="29"/>
      <c r="AH9" s="28" t="s">
        <v>205</v>
      </c>
    </row>
    <row r="10" spans="1:34">
      <c r="A10" s="140" t="s">
        <v>122</v>
      </c>
      <c r="B10" s="167">
        <v>19</v>
      </c>
      <c r="C10" s="167">
        <v>64</v>
      </c>
      <c r="D10" s="167">
        <v>20</v>
      </c>
      <c r="E10" s="167">
        <v>177</v>
      </c>
      <c r="F10" s="167">
        <v>95</v>
      </c>
      <c r="G10" s="167">
        <v>95</v>
      </c>
      <c r="H10" s="167">
        <v>95</v>
      </c>
      <c r="I10" s="167">
        <v>95</v>
      </c>
      <c r="J10" s="167">
        <v>173</v>
      </c>
      <c r="K10" s="167">
        <v>173</v>
      </c>
      <c r="L10" s="167">
        <v>171</v>
      </c>
      <c r="M10" s="167">
        <v>172</v>
      </c>
      <c r="N10" s="167"/>
      <c r="O10" s="167"/>
      <c r="P10" s="167" t="s">
        <v>287</v>
      </c>
      <c r="Q10" s="167" t="s">
        <v>287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19</v>
      </c>
      <c r="AB10" s="167"/>
      <c r="AC10" s="167"/>
      <c r="AD10" s="167"/>
      <c r="AE10" s="167"/>
      <c r="AF10" s="167"/>
      <c r="AG10" s="167"/>
      <c r="AH10" s="167">
        <v>19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127</v>
      </c>
      <c r="Q11" s="28" t="s">
        <v>127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28" t="s">
        <v>124</v>
      </c>
      <c r="D12" s="28" t="s">
        <v>124</v>
      </c>
      <c r="E12" s="28" t="s">
        <v>301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 t="s">
        <v>124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302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/>
      <c r="O15" s="28"/>
      <c r="P15" s="28" t="s">
        <v>216</v>
      </c>
      <c r="Q15" s="28" t="s">
        <v>216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216</v>
      </c>
      <c r="AB15" s="28"/>
      <c r="AC15" s="28"/>
      <c r="AD15" s="28"/>
      <c r="AE15" s="28"/>
      <c r="AF15" s="28"/>
      <c r="AG15" s="28"/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/>
      <c r="O16" s="30"/>
      <c r="P16" s="30">
        <v>-3</v>
      </c>
      <c r="Q16" s="30">
        <v>-3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132</v>
      </c>
      <c r="E17" s="28" t="s">
        <v>923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850</v>
      </c>
      <c r="K17" s="28" t="s">
        <v>850</v>
      </c>
      <c r="L17" s="28" t="s">
        <v>304</v>
      </c>
      <c r="M17" s="28" t="s">
        <v>353</v>
      </c>
      <c r="N17" s="28"/>
      <c r="O17" s="28"/>
      <c r="P17" s="28" t="s">
        <v>287</v>
      </c>
      <c r="Q17" s="28" t="s">
        <v>287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0</v>
      </c>
      <c r="Q18" s="30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23" t="s">
        <v>924</v>
      </c>
      <c r="B21" s="56" t="s">
        <v>246</v>
      </c>
    </row>
    <row r="22" spans="1:34">
      <c r="A22" s="223"/>
      <c r="B22" s="93" t="s">
        <v>925</v>
      </c>
    </row>
    <row r="23" spans="1:34">
      <c r="A23" s="223"/>
      <c r="B23" s="93" t="s">
        <v>877</v>
      </c>
    </row>
  </sheetData>
  <mergeCells count="6"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12B4-A9B4-4EA4-A2CD-857B32785465}">
  <dimension ref="A1:AH23"/>
  <sheetViews>
    <sheetView workbookViewId="0">
      <selection activeCell="F4" sqref="F4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59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8">
      <c r="A4" s="25" t="s">
        <v>79</v>
      </c>
      <c r="B4" s="203" t="s">
        <v>914</v>
      </c>
      <c r="C4" s="203"/>
      <c r="D4" s="203"/>
      <c r="F4" s="204" t="s">
        <v>926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864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199</v>
      </c>
      <c r="C8" s="29" t="s">
        <v>173</v>
      </c>
      <c r="D8" s="29" t="s">
        <v>173</v>
      </c>
      <c r="E8" s="28" t="s">
        <v>200</v>
      </c>
      <c r="F8" s="28" t="s">
        <v>200</v>
      </c>
      <c r="G8" s="106" t="s">
        <v>200</v>
      </c>
      <c r="H8" s="29" t="s">
        <v>200</v>
      </c>
      <c r="I8" s="29" t="s">
        <v>200</v>
      </c>
      <c r="J8" s="28" t="s">
        <v>199</v>
      </c>
      <c r="K8" s="29" t="s">
        <v>287</v>
      </c>
      <c r="L8" s="29" t="s">
        <v>287</v>
      </c>
      <c r="M8" s="29" t="s">
        <v>287</v>
      </c>
      <c r="N8" s="28"/>
      <c r="O8" s="28"/>
      <c r="P8" s="29" t="s">
        <v>206</v>
      </c>
      <c r="Q8" s="28"/>
      <c r="R8" s="28"/>
      <c r="S8" s="28"/>
      <c r="T8" s="28" t="s">
        <v>263</v>
      </c>
      <c r="U8" s="28"/>
      <c r="V8" s="28"/>
      <c r="W8" s="28"/>
      <c r="X8" s="28"/>
      <c r="Y8" s="28"/>
      <c r="Z8" s="28"/>
      <c r="AA8" s="29" t="s">
        <v>200</v>
      </c>
      <c r="AB8" s="28"/>
      <c r="AC8" s="28"/>
      <c r="AD8" s="28"/>
      <c r="AE8" s="28"/>
      <c r="AF8" s="28"/>
      <c r="AG8" s="28"/>
      <c r="AH8" s="29" t="s">
        <v>200</v>
      </c>
    </row>
    <row r="9" spans="1:34">
      <c r="A9" s="26" t="s">
        <v>121</v>
      </c>
      <c r="B9" s="28" t="s">
        <v>205</v>
      </c>
      <c r="C9" s="115" t="s">
        <v>927</v>
      </c>
      <c r="D9" s="29" t="s">
        <v>173</v>
      </c>
      <c r="E9" s="28" t="s">
        <v>207</v>
      </c>
      <c r="F9" s="28" t="s">
        <v>208</v>
      </c>
      <c r="G9" s="29" t="s">
        <v>208</v>
      </c>
      <c r="H9" s="29" t="s">
        <v>209</v>
      </c>
      <c r="I9" s="29" t="s">
        <v>206</v>
      </c>
      <c r="J9" s="29" t="s">
        <v>208</v>
      </c>
      <c r="K9" s="29" t="s">
        <v>287</v>
      </c>
      <c r="L9" s="29" t="s">
        <v>287</v>
      </c>
      <c r="M9" s="29" t="s">
        <v>287</v>
      </c>
      <c r="N9" s="29"/>
      <c r="O9" s="29"/>
      <c r="P9" s="29" t="s">
        <v>177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148</v>
      </c>
      <c r="AB9" s="29"/>
      <c r="AC9" s="29"/>
      <c r="AD9" s="29"/>
      <c r="AE9" s="29"/>
      <c r="AF9" s="29"/>
      <c r="AG9" s="29"/>
      <c r="AH9" s="28" t="s">
        <v>148</v>
      </c>
    </row>
    <row r="10" spans="1:34">
      <c r="A10" s="140" t="s">
        <v>122</v>
      </c>
      <c r="B10" s="167">
        <v>19</v>
      </c>
      <c r="C10" s="167">
        <v>121</v>
      </c>
      <c r="D10" s="167">
        <v>51</v>
      </c>
      <c r="E10" s="167">
        <v>102</v>
      </c>
      <c r="F10" s="167">
        <v>44</v>
      </c>
      <c r="G10" s="167">
        <v>44</v>
      </c>
      <c r="H10" s="167">
        <v>46</v>
      </c>
      <c r="I10" s="167">
        <v>50</v>
      </c>
      <c r="J10" s="167">
        <v>44</v>
      </c>
      <c r="K10" s="167" t="s">
        <v>287</v>
      </c>
      <c r="L10" s="167" t="s">
        <v>287</v>
      </c>
      <c r="M10" s="167" t="s">
        <v>287</v>
      </c>
      <c r="N10" s="167"/>
      <c r="O10" s="167"/>
      <c r="P10" s="167">
        <v>49</v>
      </c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34</v>
      </c>
      <c r="AB10" s="167"/>
      <c r="AC10" s="167"/>
      <c r="AD10" s="167"/>
      <c r="AE10" s="167"/>
      <c r="AF10" s="167"/>
      <c r="AG10" s="167"/>
      <c r="AH10" s="167">
        <v>34</v>
      </c>
    </row>
    <row r="11" spans="1:34">
      <c r="A11" s="26" t="s">
        <v>123</v>
      </c>
      <c r="B11" s="29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127</v>
      </c>
      <c r="L11" s="28" t="s">
        <v>127</v>
      </c>
      <c r="M11" s="28" t="s">
        <v>127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28" t="s">
        <v>124</v>
      </c>
      <c r="D12" s="28" t="s">
        <v>124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 t="s">
        <v>127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139" t="s">
        <v>215</v>
      </c>
      <c r="F13" s="28" t="s">
        <v>127</v>
      </c>
      <c r="G13" s="28" t="s">
        <v>127</v>
      </c>
      <c r="H13" s="28" t="s">
        <v>124</v>
      </c>
      <c r="I13" s="28" t="s">
        <v>124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28" t="s">
        <v>150</v>
      </c>
    </row>
    <row r="16" spans="1:34">
      <c r="A16" s="26" t="s">
        <v>130</v>
      </c>
      <c r="B16" s="30">
        <v>-3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f>AVERAGE(11/6,0.5)</f>
        <v>1.1666666666666665</v>
      </c>
      <c r="L16" s="30">
        <f>AVERAGE(11/6,0.5)</f>
        <v>1.1666666666666665</v>
      </c>
      <c r="M16" s="30">
        <f>AVERAGE(11/6,0.5)</f>
        <v>1.1666666666666665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-0.5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180</v>
      </c>
      <c r="E17" s="28" t="s">
        <v>180</v>
      </c>
      <c r="F17" s="28" t="s">
        <v>180</v>
      </c>
      <c r="G17" s="28" t="s">
        <v>180</v>
      </c>
      <c r="H17" s="28" t="s">
        <v>180</v>
      </c>
      <c r="I17" s="28" t="s">
        <v>180</v>
      </c>
      <c r="J17" s="28" t="s">
        <v>180</v>
      </c>
      <c r="K17" s="29" t="s">
        <v>287</v>
      </c>
      <c r="L17" s="29" t="s">
        <v>287</v>
      </c>
      <c r="M17" s="29" t="s">
        <v>287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151</v>
      </c>
      <c r="AB17" s="28"/>
      <c r="AC17" s="28"/>
      <c r="AD17" s="28"/>
      <c r="AE17" s="28"/>
      <c r="AF17" s="28"/>
      <c r="AG17" s="28"/>
      <c r="AH17" s="28" t="s">
        <v>151</v>
      </c>
    </row>
    <row r="18" spans="1:34">
      <c r="A18" s="26" t="s">
        <v>133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0</v>
      </c>
      <c r="L18" s="30">
        <v>0</v>
      </c>
      <c r="M18" s="30">
        <v>0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</v>
      </c>
      <c r="AB18" s="30"/>
      <c r="AC18" s="30"/>
      <c r="AD18" s="30"/>
      <c r="AE18" s="30"/>
      <c r="AF18" s="30"/>
      <c r="AG18" s="30"/>
      <c r="AH18" s="30">
        <v>3</v>
      </c>
    </row>
    <row r="20" spans="1:34">
      <c r="A20" s="31" t="s">
        <v>134</v>
      </c>
    </row>
    <row r="21" spans="1:34">
      <c r="A21" s="223" t="s">
        <v>928</v>
      </c>
      <c r="B21" s="93" t="s">
        <v>929</v>
      </c>
    </row>
    <row r="22" spans="1:34">
      <c r="A22" s="223"/>
      <c r="B22" s="93" t="s">
        <v>930</v>
      </c>
    </row>
    <row r="23" spans="1:34">
      <c r="A23" s="223"/>
      <c r="B23" s="93" t="s">
        <v>220</v>
      </c>
    </row>
  </sheetData>
  <mergeCells count="6"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969B-8436-4F41-801B-917876C1A472}">
  <dimension ref="A1:AH23"/>
  <sheetViews>
    <sheetView workbookViewId="0">
      <selection activeCell="K10" sqref="K10:M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914</v>
      </c>
      <c r="C4" s="203"/>
      <c r="D4" s="203"/>
      <c r="F4" s="204" t="s">
        <v>931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932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199</v>
      </c>
      <c r="C8" s="29" t="s">
        <v>250</v>
      </c>
      <c r="D8" s="29" t="s">
        <v>250</v>
      </c>
      <c r="E8" s="115" t="s">
        <v>291</v>
      </c>
      <c r="F8" s="29" t="s">
        <v>250</v>
      </c>
      <c r="G8" s="29" t="s">
        <v>250</v>
      </c>
      <c r="H8" s="29" t="s">
        <v>250</v>
      </c>
      <c r="I8" s="29" t="s">
        <v>250</v>
      </c>
      <c r="J8" s="29" t="s">
        <v>250</v>
      </c>
      <c r="K8" s="29" t="s">
        <v>250</v>
      </c>
      <c r="L8" s="29" t="s">
        <v>250</v>
      </c>
      <c r="M8" s="29" t="s">
        <v>250</v>
      </c>
      <c r="N8" s="28"/>
      <c r="O8" s="28"/>
      <c r="P8" s="29" t="s">
        <v>933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200</v>
      </c>
      <c r="AB8" s="28"/>
      <c r="AC8" s="28"/>
      <c r="AD8" s="28"/>
      <c r="AE8" s="28"/>
      <c r="AF8" s="28"/>
      <c r="AG8" s="28"/>
      <c r="AH8" s="29" t="s">
        <v>200</v>
      </c>
    </row>
    <row r="9" spans="1:34" ht="16.5" customHeight="1">
      <c r="A9" s="26" t="s">
        <v>121</v>
      </c>
      <c r="B9" s="28" t="s">
        <v>205</v>
      </c>
      <c r="C9" s="28" t="s">
        <v>917</v>
      </c>
      <c r="D9" s="28" t="s">
        <v>251</v>
      </c>
      <c r="E9" s="28" t="s">
        <v>918</v>
      </c>
      <c r="F9" s="28" t="s">
        <v>919</v>
      </c>
      <c r="G9" s="28" t="s">
        <v>919</v>
      </c>
      <c r="H9" s="28" t="s">
        <v>919</v>
      </c>
      <c r="I9" s="28" t="s">
        <v>919</v>
      </c>
      <c r="J9" s="29" t="s">
        <v>920</v>
      </c>
      <c r="K9" s="29" t="s">
        <v>920</v>
      </c>
      <c r="L9" s="29" t="s">
        <v>921</v>
      </c>
      <c r="M9" s="29" t="s">
        <v>922</v>
      </c>
      <c r="N9" s="29"/>
      <c r="O9" s="29"/>
      <c r="P9" s="29" t="s">
        <v>934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205</v>
      </c>
      <c r="AB9" s="29"/>
      <c r="AC9" s="29"/>
      <c r="AD9" s="29"/>
      <c r="AE9" s="29"/>
      <c r="AF9" s="29"/>
      <c r="AG9" s="29"/>
      <c r="AH9" s="28" t="s">
        <v>205</v>
      </c>
    </row>
    <row r="10" spans="1:34">
      <c r="A10" s="140" t="s">
        <v>122</v>
      </c>
      <c r="B10" s="167">
        <v>19</v>
      </c>
      <c r="C10" s="167">
        <v>64</v>
      </c>
      <c r="D10" s="167">
        <v>20</v>
      </c>
      <c r="E10" s="167">
        <v>177</v>
      </c>
      <c r="F10" s="167">
        <v>95</v>
      </c>
      <c r="G10" s="167">
        <v>95</v>
      </c>
      <c r="H10" s="167">
        <v>95</v>
      </c>
      <c r="I10" s="167">
        <v>95</v>
      </c>
      <c r="J10" s="167">
        <v>173</v>
      </c>
      <c r="K10" s="167">
        <v>173</v>
      </c>
      <c r="L10" s="167">
        <v>171</v>
      </c>
      <c r="M10" s="167">
        <v>172</v>
      </c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19</v>
      </c>
      <c r="AB10" s="167"/>
      <c r="AC10" s="167"/>
      <c r="AD10" s="167"/>
      <c r="AE10" s="167"/>
      <c r="AF10" s="167"/>
      <c r="AG10" s="167"/>
      <c r="AH10" s="167">
        <v>19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8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8"/>
      <c r="O11" s="28"/>
      <c r="P11" s="28" t="s">
        <v>235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8" t="s">
        <v>127</v>
      </c>
      <c r="C12" s="28" t="s">
        <v>124</v>
      </c>
      <c r="D12" s="29" t="s">
        <v>124</v>
      </c>
      <c r="E12" s="28" t="s">
        <v>301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302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/>
      <c r="O15" s="28"/>
      <c r="P15" s="28" t="s">
        <v>238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216</v>
      </c>
      <c r="AB15" s="28"/>
      <c r="AC15" s="28"/>
      <c r="AD15" s="28"/>
      <c r="AE15" s="28"/>
      <c r="AF15" s="28"/>
      <c r="AG15" s="28"/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/>
      <c r="O16" s="30"/>
      <c r="P16" s="30">
        <f>AVERAGE(-3,-2)</f>
        <v>-2.5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132</v>
      </c>
      <c r="E17" s="28" t="s">
        <v>923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850</v>
      </c>
      <c r="K17" s="28" t="s">
        <v>850</v>
      </c>
      <c r="L17" s="28" t="s">
        <v>304</v>
      </c>
      <c r="M17" s="28" t="s">
        <v>353</v>
      </c>
      <c r="N17" s="28"/>
      <c r="O17" s="28"/>
      <c r="P17" s="105" t="s">
        <v>935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f>AVERAGE(0,0.5)</f>
        <v>0.25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23" t="s">
        <v>936</v>
      </c>
      <c r="B21" s="56" t="s">
        <v>246</v>
      </c>
    </row>
    <row r="22" spans="1:34">
      <c r="A22" s="223"/>
      <c r="B22" s="93" t="s">
        <v>925</v>
      </c>
    </row>
    <row r="23" spans="1:34">
      <c r="A23" s="223"/>
      <c r="B23" s="93" t="s">
        <v>937</v>
      </c>
    </row>
  </sheetData>
  <mergeCells count="6"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82B0-7B28-473B-9F5F-03E2B43D0926}">
  <dimension ref="A1:AH21"/>
  <sheetViews>
    <sheetView workbookViewId="0">
      <selection activeCell="F4" sqref="F4:O5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8">
      <c r="A4" s="25" t="s">
        <v>79</v>
      </c>
      <c r="B4" s="203" t="s">
        <v>938</v>
      </c>
      <c r="C4" s="203"/>
      <c r="D4" s="203"/>
      <c r="F4" s="204" t="s">
        <v>939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916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262</v>
      </c>
      <c r="C8" s="29" t="s">
        <v>250</v>
      </c>
      <c r="D8" s="29" t="s">
        <v>250</v>
      </c>
      <c r="E8" s="115" t="s">
        <v>291</v>
      </c>
      <c r="F8" s="29" t="s">
        <v>250</v>
      </c>
      <c r="G8" s="29" t="s">
        <v>250</v>
      </c>
      <c r="H8" s="29" t="s">
        <v>250</v>
      </c>
      <c r="I8" s="29" t="s">
        <v>250</v>
      </c>
      <c r="J8" s="29" t="s">
        <v>250</v>
      </c>
      <c r="K8" s="29" t="s">
        <v>250</v>
      </c>
      <c r="L8" s="29" t="s">
        <v>250</v>
      </c>
      <c r="M8" s="29" t="s">
        <v>250</v>
      </c>
      <c r="N8" s="28"/>
      <c r="O8" s="28"/>
      <c r="P8" s="29" t="s">
        <v>287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250</v>
      </c>
      <c r="AB8" s="28"/>
      <c r="AC8" s="28"/>
      <c r="AD8" s="28"/>
      <c r="AE8" s="28"/>
      <c r="AF8" s="28"/>
      <c r="AG8" s="28"/>
      <c r="AH8" s="29" t="s">
        <v>250</v>
      </c>
    </row>
    <row r="9" spans="1:34" ht="15.75" customHeight="1">
      <c r="A9" s="26" t="s">
        <v>121</v>
      </c>
      <c r="B9" s="28" t="s">
        <v>251</v>
      </c>
      <c r="C9" s="28" t="s">
        <v>917</v>
      </c>
      <c r="D9" s="28" t="s">
        <v>251</v>
      </c>
      <c r="E9" s="28" t="s">
        <v>918</v>
      </c>
      <c r="F9" s="28" t="s">
        <v>919</v>
      </c>
      <c r="G9" s="28" t="s">
        <v>919</v>
      </c>
      <c r="H9" s="28" t="s">
        <v>919</v>
      </c>
      <c r="I9" s="28" t="s">
        <v>919</v>
      </c>
      <c r="J9" s="29" t="s">
        <v>920</v>
      </c>
      <c r="K9" s="29" t="s">
        <v>920</v>
      </c>
      <c r="L9" s="29" t="s">
        <v>921</v>
      </c>
      <c r="M9" s="29" t="s">
        <v>922</v>
      </c>
      <c r="N9" s="29"/>
      <c r="O9" s="29"/>
      <c r="P9" s="29" t="s">
        <v>287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251</v>
      </c>
      <c r="AB9" s="29"/>
      <c r="AC9" s="29"/>
      <c r="AD9" s="29"/>
      <c r="AE9" s="29"/>
      <c r="AF9" s="29"/>
      <c r="AG9" s="29"/>
      <c r="AH9" s="28" t="s">
        <v>251</v>
      </c>
    </row>
    <row r="10" spans="1:34">
      <c r="A10" s="140" t="s">
        <v>122</v>
      </c>
      <c r="B10" s="167">
        <v>20</v>
      </c>
      <c r="C10" s="167">
        <v>64</v>
      </c>
      <c r="D10" s="167">
        <v>20</v>
      </c>
      <c r="E10" s="167">
        <v>177</v>
      </c>
      <c r="F10" s="167">
        <v>95</v>
      </c>
      <c r="G10" s="167">
        <v>95</v>
      </c>
      <c r="H10" s="167">
        <v>95</v>
      </c>
      <c r="I10" s="167">
        <v>95</v>
      </c>
      <c r="J10" s="167">
        <v>173</v>
      </c>
      <c r="K10" s="167">
        <v>173</v>
      </c>
      <c r="L10" s="167">
        <v>171</v>
      </c>
      <c r="M10" s="167">
        <v>172</v>
      </c>
      <c r="N10" s="167"/>
      <c r="O10" s="167"/>
      <c r="P10" s="167" t="s">
        <v>287</v>
      </c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20</v>
      </c>
      <c r="AB10" s="167"/>
      <c r="AC10" s="167"/>
      <c r="AD10" s="167"/>
      <c r="AE10" s="167"/>
      <c r="AF10" s="167"/>
      <c r="AG10" s="167"/>
      <c r="AH10" s="167">
        <v>20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8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8"/>
      <c r="O11" s="28"/>
      <c r="P11" s="28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9" t="s">
        <v>124</v>
      </c>
      <c r="C12" s="28" t="s">
        <v>124</v>
      </c>
      <c r="D12" s="29" t="s">
        <v>124</v>
      </c>
      <c r="E12" s="28" t="s">
        <v>301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124</v>
      </c>
      <c r="AB12" s="28"/>
      <c r="AC12" s="28"/>
      <c r="AD12" s="28"/>
      <c r="AE12" s="28"/>
      <c r="AF12" s="28"/>
      <c r="AG12" s="28"/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302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/>
      <c r="O15" s="28"/>
      <c r="P15" s="28" t="s">
        <v>216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216</v>
      </c>
      <c r="AB15" s="28"/>
      <c r="AC15" s="28"/>
      <c r="AD15" s="28"/>
      <c r="AE15" s="28"/>
      <c r="AF15" s="28"/>
      <c r="AG15" s="28"/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/>
      <c r="O16" s="30"/>
      <c r="P16" s="30">
        <v>-3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132</v>
      </c>
      <c r="E17" s="28" t="s">
        <v>923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850</v>
      </c>
      <c r="K17" s="28" t="s">
        <v>850</v>
      </c>
      <c r="L17" s="28" t="s">
        <v>304</v>
      </c>
      <c r="M17" s="28" t="s">
        <v>353</v>
      </c>
      <c r="N17" s="28"/>
      <c r="O17" s="28"/>
      <c r="P17" s="29" t="s">
        <v>287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6" t="s">
        <v>940</v>
      </c>
      <c r="B21" s="56" t="s">
        <v>246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474D-C9F2-4CCE-8F5E-ECFB348CC782}">
  <dimension ref="A1:AH21"/>
  <sheetViews>
    <sheetView workbookViewId="0">
      <selection activeCell="E9" sqref="E9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938</v>
      </c>
      <c r="C4" s="203"/>
      <c r="D4" s="203"/>
      <c r="F4" s="204" t="s">
        <v>941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932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262</v>
      </c>
      <c r="C8" s="29" t="s">
        <v>250</v>
      </c>
      <c r="D8" s="29" t="s">
        <v>250</v>
      </c>
      <c r="E8" s="115" t="s">
        <v>291</v>
      </c>
      <c r="F8" s="29" t="s">
        <v>250</v>
      </c>
      <c r="G8" s="29" t="s">
        <v>250</v>
      </c>
      <c r="H8" s="29" t="s">
        <v>250</v>
      </c>
      <c r="I8" s="29" t="s">
        <v>250</v>
      </c>
      <c r="J8" s="29" t="s">
        <v>250</v>
      </c>
      <c r="K8" s="29" t="s">
        <v>250</v>
      </c>
      <c r="L8" s="29" t="s">
        <v>250</v>
      </c>
      <c r="M8" s="29" t="s">
        <v>250</v>
      </c>
      <c r="N8" s="28"/>
      <c r="O8" s="28"/>
      <c r="P8" s="29" t="s">
        <v>942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250</v>
      </c>
      <c r="AB8" s="28"/>
      <c r="AC8" s="28"/>
      <c r="AD8" s="28"/>
      <c r="AE8" s="28"/>
      <c r="AF8" s="28"/>
      <c r="AG8" s="28"/>
      <c r="AH8" s="29" t="s">
        <v>250</v>
      </c>
    </row>
    <row r="9" spans="1:34">
      <c r="A9" s="26" t="s">
        <v>121</v>
      </c>
      <c r="B9" s="28" t="s">
        <v>251</v>
      </c>
      <c r="C9" s="28" t="s">
        <v>917</v>
      </c>
      <c r="D9" s="28" t="s">
        <v>251</v>
      </c>
      <c r="E9" s="28" t="s">
        <v>918</v>
      </c>
      <c r="F9" s="28" t="s">
        <v>919</v>
      </c>
      <c r="G9" s="28" t="s">
        <v>919</v>
      </c>
      <c r="H9" s="28" t="s">
        <v>919</v>
      </c>
      <c r="I9" s="28" t="s">
        <v>919</v>
      </c>
      <c r="J9" s="29" t="s">
        <v>920</v>
      </c>
      <c r="K9" s="29" t="s">
        <v>920</v>
      </c>
      <c r="L9" s="29" t="s">
        <v>921</v>
      </c>
      <c r="M9" s="29" t="s">
        <v>922</v>
      </c>
      <c r="N9" s="29"/>
      <c r="O9" s="29"/>
      <c r="P9" s="29" t="s">
        <v>943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251</v>
      </c>
      <c r="AB9" s="29"/>
      <c r="AC9" s="29"/>
      <c r="AD9" s="29"/>
      <c r="AE9" s="29"/>
      <c r="AF9" s="29"/>
      <c r="AG9" s="29"/>
      <c r="AH9" s="28" t="s">
        <v>251</v>
      </c>
    </row>
    <row r="10" spans="1:34">
      <c r="A10" s="140" t="s">
        <v>122</v>
      </c>
      <c r="B10" s="167">
        <v>20</v>
      </c>
      <c r="C10" s="167">
        <v>64</v>
      </c>
      <c r="D10" s="167">
        <v>20</v>
      </c>
      <c r="E10" s="167">
        <v>177</v>
      </c>
      <c r="F10" s="167">
        <v>95</v>
      </c>
      <c r="G10" s="167">
        <v>95</v>
      </c>
      <c r="H10" s="167">
        <v>95</v>
      </c>
      <c r="I10" s="167">
        <v>95</v>
      </c>
      <c r="J10" s="167">
        <v>173</v>
      </c>
      <c r="K10" s="167">
        <v>173</v>
      </c>
      <c r="L10" s="167">
        <v>171</v>
      </c>
      <c r="M10" s="167">
        <v>172</v>
      </c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8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9" t="s">
        <v>124</v>
      </c>
      <c r="K11" s="29" t="s">
        <v>124</v>
      </c>
      <c r="L11" s="29" t="s">
        <v>124</v>
      </c>
      <c r="M11" s="29" t="s">
        <v>124</v>
      </c>
      <c r="N11" s="28"/>
      <c r="O11" s="28"/>
      <c r="P11" s="28" t="s">
        <v>235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9" t="s">
        <v>124</v>
      </c>
      <c r="C12" s="28" t="s">
        <v>124</v>
      </c>
      <c r="D12" s="29" t="s">
        <v>124</v>
      </c>
      <c r="E12" s="28" t="s">
        <v>301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124</v>
      </c>
      <c r="AB12" s="28"/>
      <c r="AC12" s="28"/>
      <c r="AD12" s="28"/>
      <c r="AE12" s="28"/>
      <c r="AF12" s="28"/>
      <c r="AG12" s="28"/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302</v>
      </c>
      <c r="F15" s="28" t="s">
        <v>216</v>
      </c>
      <c r="G15" s="28" t="s">
        <v>216</v>
      </c>
      <c r="H15" s="28" t="s">
        <v>216</v>
      </c>
      <c r="I15" s="28" t="s">
        <v>216</v>
      </c>
      <c r="J15" s="28" t="s">
        <v>216</v>
      </c>
      <c r="K15" s="28" t="s">
        <v>216</v>
      </c>
      <c r="L15" s="28" t="s">
        <v>216</v>
      </c>
      <c r="M15" s="28" t="s">
        <v>216</v>
      </c>
      <c r="N15" s="28"/>
      <c r="O15" s="28"/>
      <c r="P15" s="28" t="s">
        <v>944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216</v>
      </c>
      <c r="AB15" s="28"/>
      <c r="AC15" s="28"/>
      <c r="AD15" s="28"/>
      <c r="AE15" s="28"/>
      <c r="AF15" s="28"/>
      <c r="AG15" s="28"/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/>
      <c r="O16" s="30"/>
      <c r="P16" s="30">
        <f>AVERAGE(-3,2.5)</f>
        <v>-0.25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132</v>
      </c>
      <c r="E17" s="28" t="s">
        <v>923</v>
      </c>
      <c r="F17" s="28" t="s">
        <v>280</v>
      </c>
      <c r="G17" s="28" t="s">
        <v>280</v>
      </c>
      <c r="H17" s="28" t="s">
        <v>280</v>
      </c>
      <c r="I17" s="28" t="s">
        <v>280</v>
      </c>
      <c r="J17" s="28" t="s">
        <v>850</v>
      </c>
      <c r="K17" s="28" t="s">
        <v>850</v>
      </c>
      <c r="L17" s="28" t="s">
        <v>304</v>
      </c>
      <c r="M17" s="28" t="s">
        <v>353</v>
      </c>
      <c r="N17" s="28"/>
      <c r="O17" s="28"/>
      <c r="P17" s="29" t="s">
        <v>945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132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f>AVERAGE(0,2)</f>
        <v>1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6" t="s">
        <v>946</v>
      </c>
      <c r="B21" s="56" t="s">
        <v>246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DAF1-403C-4BCF-BA1B-0B70F3846DC7}">
  <dimension ref="A1:BF39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59" width="5.7109375" style="26" customWidth="1"/>
    <col min="60" max="16384" width="9.140625" style="26"/>
  </cols>
  <sheetData>
    <row r="1" spans="1:58">
      <c r="A1" s="25" t="s">
        <v>74</v>
      </c>
      <c r="D1" s="25" t="s">
        <v>840</v>
      </c>
      <c r="I1" s="25" t="s">
        <v>841</v>
      </c>
    </row>
    <row r="3" spans="1:58" ht="18">
      <c r="A3" s="25" t="s">
        <v>77</v>
      </c>
      <c r="B3" s="203">
        <v>64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58" ht="18">
      <c r="A4" s="25" t="s">
        <v>79</v>
      </c>
      <c r="B4" s="203" t="s">
        <v>938</v>
      </c>
      <c r="C4" s="203"/>
      <c r="D4" s="203"/>
      <c r="F4" s="234" t="s">
        <v>947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58" ht="18">
      <c r="A5" s="25" t="s">
        <v>82</v>
      </c>
      <c r="B5" s="203" t="s">
        <v>864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58" ht="30.75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32" t="s">
        <v>85</v>
      </c>
      <c r="AK7" s="32" t="s">
        <v>86</v>
      </c>
      <c r="AL7" s="33" t="s">
        <v>87</v>
      </c>
      <c r="AM7" s="34" t="s">
        <v>88</v>
      </c>
      <c r="AN7" s="38" t="s">
        <v>92</v>
      </c>
      <c r="AO7" s="39" t="s">
        <v>93</v>
      </c>
      <c r="AP7" s="39" t="s">
        <v>94</v>
      </c>
      <c r="AQ7" s="39" t="s">
        <v>95</v>
      </c>
      <c r="AR7" s="40" t="s">
        <v>96</v>
      </c>
      <c r="AS7" s="40" t="s">
        <v>97</v>
      </c>
      <c r="AT7" s="45" t="s">
        <v>102</v>
      </c>
      <c r="AU7" s="45" t="s">
        <v>103</v>
      </c>
      <c r="AV7" s="46" t="s">
        <v>104</v>
      </c>
      <c r="AW7" s="46" t="s">
        <v>105</v>
      </c>
      <c r="AX7" s="48" t="s">
        <v>108</v>
      </c>
      <c r="AY7" s="48" t="s">
        <v>109</v>
      </c>
      <c r="AZ7" s="49" t="s">
        <v>110</v>
      </c>
      <c r="BA7" s="49" t="s">
        <v>111</v>
      </c>
      <c r="BB7" s="49" t="s">
        <v>112</v>
      </c>
      <c r="BC7" s="50" t="s">
        <v>113</v>
      </c>
      <c r="BD7" s="51" t="s">
        <v>114</v>
      </c>
      <c r="BE7" s="53" t="s">
        <v>115</v>
      </c>
      <c r="BF7" s="53" t="s">
        <v>116</v>
      </c>
    </row>
    <row r="8" spans="1:58">
      <c r="A8" s="26" t="s">
        <v>117</v>
      </c>
      <c r="B8" s="29" t="s">
        <v>262</v>
      </c>
      <c r="C8" s="29" t="s">
        <v>889</v>
      </c>
      <c r="D8" s="29" t="s">
        <v>889</v>
      </c>
      <c r="E8" s="29" t="s">
        <v>889</v>
      </c>
      <c r="F8" s="29" t="s">
        <v>889</v>
      </c>
      <c r="G8" s="29" t="s">
        <v>889</v>
      </c>
      <c r="H8" s="29" t="s">
        <v>889</v>
      </c>
      <c r="I8" s="29" t="s">
        <v>889</v>
      </c>
      <c r="J8" s="29" t="s">
        <v>948</v>
      </c>
      <c r="K8" s="29" t="s">
        <v>889</v>
      </c>
      <c r="L8" s="29" t="s">
        <v>889</v>
      </c>
      <c r="M8" s="29" t="s">
        <v>889</v>
      </c>
      <c r="N8" s="29" t="s">
        <v>889</v>
      </c>
      <c r="O8" s="29" t="s">
        <v>889</v>
      </c>
      <c r="P8" s="29" t="s">
        <v>889</v>
      </c>
      <c r="Q8" s="29" t="s">
        <v>889</v>
      </c>
      <c r="R8" s="29" t="s">
        <v>889</v>
      </c>
      <c r="S8" s="29" t="s">
        <v>889</v>
      </c>
      <c r="T8" s="29" t="s">
        <v>889</v>
      </c>
      <c r="U8" s="29" t="s">
        <v>889</v>
      </c>
      <c r="V8" s="29" t="s">
        <v>949</v>
      </c>
      <c r="W8" s="29" t="s">
        <v>889</v>
      </c>
      <c r="X8" s="29" t="s">
        <v>889</v>
      </c>
      <c r="Y8" s="29" t="s">
        <v>889</v>
      </c>
      <c r="Z8" s="29" t="s">
        <v>889</v>
      </c>
      <c r="AA8" s="29" t="s">
        <v>889</v>
      </c>
      <c r="AB8" s="29" t="s">
        <v>949</v>
      </c>
      <c r="AC8" s="29" t="s">
        <v>949</v>
      </c>
      <c r="AD8" s="29" t="s">
        <v>949</v>
      </c>
      <c r="AE8" s="29" t="s">
        <v>949</v>
      </c>
      <c r="AF8" s="29" t="s">
        <v>949</v>
      </c>
      <c r="AG8" s="29" t="s">
        <v>889</v>
      </c>
      <c r="AH8" s="29" t="s">
        <v>889</v>
      </c>
      <c r="AJ8" s="29" t="s">
        <v>250</v>
      </c>
      <c r="AK8" s="29" t="s">
        <v>250</v>
      </c>
      <c r="AL8" s="29" t="s">
        <v>263</v>
      </c>
      <c r="AM8" s="29" t="s">
        <v>263</v>
      </c>
      <c r="AN8" s="29" t="s">
        <v>264</v>
      </c>
      <c r="AO8" s="29" t="s">
        <v>250</v>
      </c>
      <c r="AP8" s="29" t="s">
        <v>250</v>
      </c>
      <c r="AQ8" s="29" t="s">
        <v>250</v>
      </c>
      <c r="AR8" s="29" t="s">
        <v>250</v>
      </c>
      <c r="AS8" s="28" t="s">
        <v>250</v>
      </c>
      <c r="AT8" s="28" t="s">
        <v>950</v>
      </c>
      <c r="AU8" s="29" t="s">
        <v>266</v>
      </c>
      <c r="AV8" s="28" t="s">
        <v>250</v>
      </c>
      <c r="AW8" s="28" t="s">
        <v>295</v>
      </c>
      <c r="AX8" s="29" t="s">
        <v>268</v>
      </c>
      <c r="AY8" s="29" t="s">
        <v>951</v>
      </c>
      <c r="AZ8" s="29" t="s">
        <v>952</v>
      </c>
      <c r="BA8" s="29" t="s">
        <v>952</v>
      </c>
      <c r="BB8" s="29" t="s">
        <v>950</v>
      </c>
      <c r="BC8" s="29" t="s">
        <v>951</v>
      </c>
      <c r="BD8" s="29" t="s">
        <v>270</v>
      </c>
      <c r="BE8" s="29" t="s">
        <v>172</v>
      </c>
      <c r="BF8" s="29" t="s">
        <v>250</v>
      </c>
    </row>
    <row r="9" spans="1:58">
      <c r="A9" s="26" t="s">
        <v>121</v>
      </c>
      <c r="B9" s="28" t="s">
        <v>251</v>
      </c>
      <c r="C9" s="29" t="s">
        <v>560</v>
      </c>
      <c r="D9" s="29" t="s">
        <v>560</v>
      </c>
      <c r="E9" s="29" t="s">
        <v>560</v>
      </c>
      <c r="F9" s="29" t="s">
        <v>560</v>
      </c>
      <c r="G9" s="29" t="s">
        <v>560</v>
      </c>
      <c r="H9" s="29" t="s">
        <v>560</v>
      </c>
      <c r="I9" s="29" t="s">
        <v>560</v>
      </c>
      <c r="J9" s="29" t="s">
        <v>560</v>
      </c>
      <c r="K9" s="29" t="s">
        <v>560</v>
      </c>
      <c r="L9" s="29" t="s">
        <v>560</v>
      </c>
      <c r="M9" s="29" t="s">
        <v>560</v>
      </c>
      <c r="N9" s="29" t="s">
        <v>560</v>
      </c>
      <c r="O9" s="29" t="s">
        <v>560</v>
      </c>
      <c r="P9" s="29" t="s">
        <v>560</v>
      </c>
      <c r="Q9" s="29" t="s">
        <v>560</v>
      </c>
      <c r="R9" s="29" t="s">
        <v>560</v>
      </c>
      <c r="S9" s="29" t="s">
        <v>560</v>
      </c>
      <c r="T9" s="29" t="s">
        <v>560</v>
      </c>
      <c r="U9" s="29" t="s">
        <v>560</v>
      </c>
      <c r="V9" s="29" t="s">
        <v>560</v>
      </c>
      <c r="W9" s="29" t="s">
        <v>560</v>
      </c>
      <c r="X9" s="29" t="s">
        <v>560</v>
      </c>
      <c r="Y9" s="29" t="s">
        <v>560</v>
      </c>
      <c r="Z9" s="29" t="s">
        <v>560</v>
      </c>
      <c r="AA9" s="29" t="s">
        <v>560</v>
      </c>
      <c r="AB9" s="29" t="s">
        <v>560</v>
      </c>
      <c r="AC9" s="29" t="s">
        <v>560</v>
      </c>
      <c r="AD9" s="29" t="s">
        <v>560</v>
      </c>
      <c r="AE9" s="29" t="s">
        <v>560</v>
      </c>
      <c r="AF9" s="29" t="s">
        <v>560</v>
      </c>
      <c r="AG9" s="29" t="s">
        <v>560</v>
      </c>
      <c r="AH9" s="29" t="s">
        <v>560</v>
      </c>
      <c r="AJ9" s="28" t="s">
        <v>271</v>
      </c>
      <c r="AK9" s="28" t="s">
        <v>271</v>
      </c>
      <c r="AL9" s="28" t="s">
        <v>231</v>
      </c>
      <c r="AM9" s="28" t="s">
        <v>231</v>
      </c>
      <c r="AN9" s="29" t="s">
        <v>953</v>
      </c>
      <c r="AO9" s="28" t="s">
        <v>271</v>
      </c>
      <c r="AP9" s="28" t="s">
        <v>178</v>
      </c>
      <c r="AQ9" s="28" t="s">
        <v>271</v>
      </c>
      <c r="AR9" s="28" t="s">
        <v>178</v>
      </c>
      <c r="AS9" s="28" t="s">
        <v>271</v>
      </c>
      <c r="AT9" s="113" t="s">
        <v>274</v>
      </c>
      <c r="AU9" s="29" t="s">
        <v>275</v>
      </c>
      <c r="AV9" s="29" t="s">
        <v>299</v>
      </c>
      <c r="AW9" s="29" t="s">
        <v>299</v>
      </c>
      <c r="AX9" s="29" t="s">
        <v>277</v>
      </c>
      <c r="AY9" s="28" t="s">
        <v>954</v>
      </c>
      <c r="AZ9" s="202" t="s">
        <v>955</v>
      </c>
      <c r="BA9" s="202" t="s">
        <v>955</v>
      </c>
      <c r="BB9" s="28" t="s">
        <v>956</v>
      </c>
      <c r="BC9" s="28" t="s">
        <v>954</v>
      </c>
      <c r="BD9" s="29" t="s">
        <v>278</v>
      </c>
      <c r="BE9" s="29" t="s">
        <v>176</v>
      </c>
      <c r="BF9" s="28" t="s">
        <v>178</v>
      </c>
    </row>
    <row r="10" spans="1:58">
      <c r="A10" s="140" t="s">
        <v>122</v>
      </c>
      <c r="B10" s="167">
        <v>20</v>
      </c>
      <c r="C10" s="167">
        <v>151</v>
      </c>
      <c r="D10" s="167">
        <v>151</v>
      </c>
      <c r="E10" s="167">
        <v>151</v>
      </c>
      <c r="F10" s="167">
        <v>151</v>
      </c>
      <c r="G10" s="167">
        <v>151</v>
      </c>
      <c r="H10" s="167">
        <v>151</v>
      </c>
      <c r="I10" s="167">
        <v>151</v>
      </c>
      <c r="J10" s="167">
        <v>151</v>
      </c>
      <c r="K10" s="167">
        <v>151</v>
      </c>
      <c r="L10" s="167">
        <v>151</v>
      </c>
      <c r="M10" s="167">
        <v>151</v>
      </c>
      <c r="N10" s="167">
        <v>151</v>
      </c>
      <c r="O10" s="167">
        <v>151</v>
      </c>
      <c r="P10" s="167">
        <v>151</v>
      </c>
      <c r="Q10" s="167">
        <v>151</v>
      </c>
      <c r="R10" s="167">
        <v>151</v>
      </c>
      <c r="S10" s="167">
        <v>151</v>
      </c>
      <c r="T10" s="167">
        <v>151</v>
      </c>
      <c r="U10" s="167">
        <v>151</v>
      </c>
      <c r="V10" s="167">
        <v>151</v>
      </c>
      <c r="W10" s="167">
        <v>151</v>
      </c>
      <c r="X10" s="167">
        <v>151</v>
      </c>
      <c r="Y10" s="167">
        <v>151</v>
      </c>
      <c r="Z10" s="167">
        <v>151</v>
      </c>
      <c r="AA10" s="167">
        <v>151</v>
      </c>
      <c r="AB10" s="167">
        <v>151</v>
      </c>
      <c r="AC10" s="167">
        <v>151</v>
      </c>
      <c r="AD10" s="167">
        <v>151</v>
      </c>
      <c r="AE10" s="167">
        <v>151</v>
      </c>
      <c r="AF10" s="167">
        <v>151</v>
      </c>
      <c r="AG10" s="167">
        <v>151</v>
      </c>
      <c r="AH10" s="167">
        <v>151</v>
      </c>
      <c r="AJ10" s="167">
        <v>57</v>
      </c>
      <c r="AK10" s="167">
        <v>57</v>
      </c>
      <c r="AL10" s="167">
        <v>56</v>
      </c>
      <c r="AM10" s="167">
        <v>56</v>
      </c>
      <c r="AN10" s="167">
        <v>61</v>
      </c>
      <c r="AO10" s="167">
        <v>57</v>
      </c>
      <c r="AP10" s="167">
        <v>35</v>
      </c>
      <c r="AQ10" s="167">
        <v>57</v>
      </c>
      <c r="AR10" s="167">
        <v>35</v>
      </c>
      <c r="AS10" s="167">
        <v>57</v>
      </c>
      <c r="AT10" s="167">
        <v>111</v>
      </c>
      <c r="AU10" s="167">
        <v>108</v>
      </c>
      <c r="AV10" s="167">
        <v>153</v>
      </c>
      <c r="AW10" s="167">
        <v>153</v>
      </c>
      <c r="AX10" s="167">
        <v>18</v>
      </c>
      <c r="AY10" s="167">
        <v>187</v>
      </c>
      <c r="AZ10" s="167">
        <v>190</v>
      </c>
      <c r="BA10" s="167">
        <v>190</v>
      </c>
      <c r="BB10" s="167">
        <v>183</v>
      </c>
      <c r="BC10" s="167">
        <v>187</v>
      </c>
      <c r="BD10" s="167">
        <v>109</v>
      </c>
      <c r="BE10" s="167">
        <v>27</v>
      </c>
      <c r="BF10" s="167">
        <v>35</v>
      </c>
    </row>
    <row r="11" spans="1:58">
      <c r="A11" s="26" t="s">
        <v>123</v>
      </c>
      <c r="B11" s="29" t="s">
        <v>124</v>
      </c>
      <c r="C11" s="28" t="s">
        <v>215</v>
      </c>
      <c r="D11" s="28" t="s">
        <v>215</v>
      </c>
      <c r="E11" s="28" t="s">
        <v>215</v>
      </c>
      <c r="F11" s="28" t="s">
        <v>215</v>
      </c>
      <c r="G11" s="28" t="s">
        <v>215</v>
      </c>
      <c r="H11" s="28" t="s">
        <v>215</v>
      </c>
      <c r="I11" s="28" t="s">
        <v>215</v>
      </c>
      <c r="J11" s="28" t="s">
        <v>215</v>
      </c>
      <c r="K11" s="28" t="s">
        <v>215</v>
      </c>
      <c r="L11" s="28" t="s">
        <v>215</v>
      </c>
      <c r="M11" s="28" t="s">
        <v>215</v>
      </c>
      <c r="N11" s="28" t="s">
        <v>215</v>
      </c>
      <c r="O11" s="28" t="s">
        <v>215</v>
      </c>
      <c r="P11" s="28" t="s">
        <v>215</v>
      </c>
      <c r="Q11" s="28" t="s">
        <v>215</v>
      </c>
      <c r="R11" s="28" t="s">
        <v>215</v>
      </c>
      <c r="S11" s="28" t="s">
        <v>215</v>
      </c>
      <c r="T11" s="28" t="s">
        <v>215</v>
      </c>
      <c r="U11" s="28" t="s">
        <v>215</v>
      </c>
      <c r="V11" s="28" t="s">
        <v>215</v>
      </c>
      <c r="W11" s="28" t="s">
        <v>215</v>
      </c>
      <c r="X11" s="28" t="s">
        <v>215</v>
      </c>
      <c r="Y11" s="28" t="s">
        <v>215</v>
      </c>
      <c r="Z11" s="28" t="s">
        <v>215</v>
      </c>
      <c r="AA11" s="28" t="s">
        <v>215</v>
      </c>
      <c r="AB11" s="28" t="s">
        <v>215</v>
      </c>
      <c r="AC11" s="28" t="s">
        <v>215</v>
      </c>
      <c r="AD11" s="28" t="s">
        <v>215</v>
      </c>
      <c r="AE11" s="28" t="s">
        <v>215</v>
      </c>
      <c r="AF11" s="28" t="s">
        <v>215</v>
      </c>
      <c r="AG11" s="28" t="s">
        <v>215</v>
      </c>
      <c r="AH11" s="28" t="s">
        <v>215</v>
      </c>
      <c r="AJ11" s="28" t="s">
        <v>124</v>
      </c>
      <c r="AK11" s="28" t="s">
        <v>124</v>
      </c>
      <c r="AL11" s="28" t="s">
        <v>124</v>
      </c>
      <c r="AM11" s="28" t="s">
        <v>124</v>
      </c>
      <c r="AN11" s="28" t="s">
        <v>124</v>
      </c>
      <c r="AO11" s="28" t="s">
        <v>124</v>
      </c>
      <c r="AP11" s="28" t="s">
        <v>124</v>
      </c>
      <c r="AQ11" s="28" t="s">
        <v>124</v>
      </c>
      <c r="AR11" s="28" t="s">
        <v>124</v>
      </c>
      <c r="AS11" s="28" t="s">
        <v>124</v>
      </c>
      <c r="AT11" s="28" t="s">
        <v>124</v>
      </c>
      <c r="AU11" s="28" t="s">
        <v>124</v>
      </c>
      <c r="AV11" s="29" t="s">
        <v>124</v>
      </c>
      <c r="AW11" s="29" t="s">
        <v>124</v>
      </c>
      <c r="AX11" s="28" t="s">
        <v>124</v>
      </c>
      <c r="AY11" s="28" t="s">
        <v>124</v>
      </c>
      <c r="AZ11" s="28" t="s">
        <v>124</v>
      </c>
      <c r="BA11" s="28" t="s">
        <v>124</v>
      </c>
      <c r="BB11" s="28" t="s">
        <v>124</v>
      </c>
      <c r="BC11" s="28" t="s">
        <v>124</v>
      </c>
      <c r="BD11" s="28" t="s">
        <v>124</v>
      </c>
      <c r="BE11" s="28" t="s">
        <v>124</v>
      </c>
      <c r="BF11" s="28" t="s">
        <v>124</v>
      </c>
    </row>
    <row r="12" spans="1:58">
      <c r="A12" s="26" t="s">
        <v>125</v>
      </c>
      <c r="B12" s="29" t="s">
        <v>124</v>
      </c>
      <c r="C12" s="28" t="s">
        <v>215</v>
      </c>
      <c r="D12" s="28" t="s">
        <v>215</v>
      </c>
      <c r="E12" s="28" t="s">
        <v>215</v>
      </c>
      <c r="F12" s="28" t="s">
        <v>215</v>
      </c>
      <c r="G12" s="28" t="s">
        <v>215</v>
      </c>
      <c r="H12" s="28" t="s">
        <v>215</v>
      </c>
      <c r="I12" s="28" t="s">
        <v>215</v>
      </c>
      <c r="J12" s="28" t="s">
        <v>215</v>
      </c>
      <c r="K12" s="28" t="s">
        <v>215</v>
      </c>
      <c r="L12" s="28" t="s">
        <v>215</v>
      </c>
      <c r="M12" s="28" t="s">
        <v>215</v>
      </c>
      <c r="N12" s="28" t="s">
        <v>215</v>
      </c>
      <c r="O12" s="28" t="s">
        <v>215</v>
      </c>
      <c r="P12" s="28" t="s">
        <v>215</v>
      </c>
      <c r="Q12" s="28" t="s">
        <v>215</v>
      </c>
      <c r="R12" s="28" t="s">
        <v>215</v>
      </c>
      <c r="S12" s="28" t="s">
        <v>215</v>
      </c>
      <c r="T12" s="28" t="s">
        <v>215</v>
      </c>
      <c r="U12" s="28" t="s">
        <v>215</v>
      </c>
      <c r="V12" s="28" t="s">
        <v>215</v>
      </c>
      <c r="W12" s="28" t="s">
        <v>215</v>
      </c>
      <c r="X12" s="28" t="s">
        <v>215</v>
      </c>
      <c r="Y12" s="28" t="s">
        <v>215</v>
      </c>
      <c r="Z12" s="28" t="s">
        <v>215</v>
      </c>
      <c r="AA12" s="28" t="s">
        <v>215</v>
      </c>
      <c r="AB12" s="28" t="s">
        <v>215</v>
      </c>
      <c r="AC12" s="28" t="s">
        <v>215</v>
      </c>
      <c r="AD12" s="28" t="s">
        <v>215</v>
      </c>
      <c r="AE12" s="28" t="s">
        <v>215</v>
      </c>
      <c r="AF12" s="28" t="s">
        <v>215</v>
      </c>
      <c r="AG12" s="28" t="s">
        <v>215</v>
      </c>
      <c r="AH12" s="28" t="s">
        <v>215</v>
      </c>
      <c r="AJ12" s="28" t="s">
        <v>124</v>
      </c>
      <c r="AK12" s="28" t="s">
        <v>124</v>
      </c>
      <c r="AL12" s="28" t="s">
        <v>127</v>
      </c>
      <c r="AM12" s="28" t="s">
        <v>127</v>
      </c>
      <c r="AN12" s="28" t="s">
        <v>124</v>
      </c>
      <c r="AO12" s="28" t="s">
        <v>124</v>
      </c>
      <c r="AP12" s="28" t="s">
        <v>124</v>
      </c>
      <c r="AQ12" s="28" t="s">
        <v>124</v>
      </c>
      <c r="AR12" s="28" t="s">
        <v>124</v>
      </c>
      <c r="AS12" s="28" t="s">
        <v>124</v>
      </c>
      <c r="AT12" s="28" t="s">
        <v>124</v>
      </c>
      <c r="AU12" s="28" t="s">
        <v>124</v>
      </c>
      <c r="AV12" s="28" t="s">
        <v>124</v>
      </c>
      <c r="AW12" s="28" t="s">
        <v>124</v>
      </c>
      <c r="AX12" s="28" t="s">
        <v>124</v>
      </c>
      <c r="AY12" s="28" t="s">
        <v>124</v>
      </c>
      <c r="AZ12" s="28" t="s">
        <v>124</v>
      </c>
      <c r="BA12" s="28" t="s">
        <v>124</v>
      </c>
      <c r="BB12" s="28" t="s">
        <v>124</v>
      </c>
      <c r="BC12" s="28" t="s">
        <v>124</v>
      </c>
      <c r="BD12" s="28" t="s">
        <v>127</v>
      </c>
      <c r="BE12" s="28" t="s">
        <v>124</v>
      </c>
      <c r="BF12" s="28" t="s">
        <v>124</v>
      </c>
    </row>
    <row r="13" spans="1:58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 t="s">
        <v>127</v>
      </c>
      <c r="U13" s="28" t="s">
        <v>127</v>
      </c>
      <c r="V13" s="28" t="s">
        <v>127</v>
      </c>
      <c r="W13" s="28" t="s">
        <v>127</v>
      </c>
      <c r="X13" s="28" t="s">
        <v>127</v>
      </c>
      <c r="Y13" s="28" t="s">
        <v>127</v>
      </c>
      <c r="Z13" s="28" t="s">
        <v>127</v>
      </c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 t="s">
        <v>127</v>
      </c>
      <c r="AH13" s="28" t="s">
        <v>127</v>
      </c>
      <c r="AJ13" s="28" t="s">
        <v>124</v>
      </c>
      <c r="AK13" s="28" t="s">
        <v>124</v>
      </c>
      <c r="AL13" s="28" t="s">
        <v>124</v>
      </c>
      <c r="AM13" s="28" t="s">
        <v>124</v>
      </c>
      <c r="AN13" s="28" t="s">
        <v>127</v>
      </c>
      <c r="AO13" s="28" t="s">
        <v>124</v>
      </c>
      <c r="AP13" s="28" t="s">
        <v>124</v>
      </c>
      <c r="AQ13" s="28" t="s">
        <v>124</v>
      </c>
      <c r="AR13" s="28" t="s">
        <v>124</v>
      </c>
      <c r="AS13" s="28" t="s">
        <v>124</v>
      </c>
      <c r="AT13" s="28" t="s">
        <v>124</v>
      </c>
      <c r="AU13" s="28" t="s">
        <v>124</v>
      </c>
      <c r="AV13" s="28" t="s">
        <v>235</v>
      </c>
      <c r="AW13" s="28" t="s">
        <v>235</v>
      </c>
      <c r="AX13" s="28" t="s">
        <v>127</v>
      </c>
      <c r="AY13" s="28" t="s">
        <v>124</v>
      </c>
      <c r="AZ13" s="28" t="s">
        <v>124</v>
      </c>
      <c r="BA13" s="28" t="s">
        <v>124</v>
      </c>
      <c r="BB13" s="28" t="s">
        <v>124</v>
      </c>
      <c r="BC13" s="28" t="s">
        <v>124</v>
      </c>
      <c r="BD13" s="139" t="s">
        <v>215</v>
      </c>
      <c r="BE13" s="28" t="s">
        <v>124</v>
      </c>
      <c r="BF13" s="28" t="s">
        <v>124</v>
      </c>
    </row>
    <row r="14" spans="1:58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 t="s">
        <v>127</v>
      </c>
      <c r="U14" s="28" t="s">
        <v>127</v>
      </c>
      <c r="V14" s="28" t="s">
        <v>127</v>
      </c>
      <c r="W14" s="28" t="s">
        <v>127</v>
      </c>
      <c r="X14" s="28" t="s">
        <v>127</v>
      </c>
      <c r="Y14" s="28" t="s">
        <v>127</v>
      </c>
      <c r="Z14" s="28" t="s">
        <v>127</v>
      </c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 t="s">
        <v>127</v>
      </c>
      <c r="AH14" s="28" t="s">
        <v>127</v>
      </c>
      <c r="AJ14" s="28" t="s">
        <v>127</v>
      </c>
      <c r="AK14" s="28" t="s">
        <v>127</v>
      </c>
      <c r="AL14" s="28" t="s">
        <v>127</v>
      </c>
      <c r="AM14" s="28" t="s">
        <v>127</v>
      </c>
      <c r="AN14" s="28" t="s">
        <v>127</v>
      </c>
      <c r="AO14" s="28" t="s">
        <v>127</v>
      </c>
      <c r="AP14" s="28" t="s">
        <v>127</v>
      </c>
      <c r="AQ14" s="28" t="s">
        <v>127</v>
      </c>
      <c r="AR14" s="28" t="s">
        <v>127</v>
      </c>
      <c r="AS14" s="28" t="s">
        <v>127</v>
      </c>
      <c r="AT14" s="28" t="s">
        <v>127</v>
      </c>
      <c r="AU14" s="28" t="s">
        <v>127</v>
      </c>
      <c r="AV14" s="28" t="s">
        <v>127</v>
      </c>
      <c r="AW14" s="28" t="s">
        <v>127</v>
      </c>
      <c r="AX14" s="28" t="s">
        <v>127</v>
      </c>
      <c r="AY14" s="28" t="s">
        <v>127</v>
      </c>
      <c r="AZ14" s="28" t="s">
        <v>127</v>
      </c>
      <c r="BA14" s="28" t="s">
        <v>127</v>
      </c>
      <c r="BB14" s="28" t="s">
        <v>127</v>
      </c>
      <c r="BC14" s="28" t="s">
        <v>127</v>
      </c>
      <c r="BD14" s="28" t="s">
        <v>127</v>
      </c>
      <c r="BE14" s="28" t="s">
        <v>127</v>
      </c>
      <c r="BF14" s="28" t="s">
        <v>127</v>
      </c>
    </row>
    <row r="15" spans="1:58">
      <c r="A15" s="26" t="s">
        <v>129</v>
      </c>
      <c r="B15" s="28" t="s">
        <v>216</v>
      </c>
      <c r="C15" s="28" t="s">
        <v>150</v>
      </c>
      <c r="D15" s="28" t="s">
        <v>150</v>
      </c>
      <c r="E15" s="28" t="s">
        <v>150</v>
      </c>
      <c r="F15" s="28" t="s">
        <v>150</v>
      </c>
      <c r="G15" s="28" t="s">
        <v>150</v>
      </c>
      <c r="H15" s="28" t="s">
        <v>150</v>
      </c>
      <c r="I15" s="28" t="s">
        <v>150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 t="s">
        <v>150</v>
      </c>
      <c r="O15" s="28" t="s">
        <v>150</v>
      </c>
      <c r="P15" s="28" t="s">
        <v>150</v>
      </c>
      <c r="Q15" s="28" t="s">
        <v>150</v>
      </c>
      <c r="R15" s="28" t="s">
        <v>150</v>
      </c>
      <c r="S15" s="28" t="s">
        <v>150</v>
      </c>
      <c r="T15" s="28" t="s">
        <v>150</v>
      </c>
      <c r="U15" s="28" t="s">
        <v>150</v>
      </c>
      <c r="V15" s="28" t="s">
        <v>150</v>
      </c>
      <c r="W15" s="28" t="s">
        <v>150</v>
      </c>
      <c r="X15" s="28" t="s">
        <v>150</v>
      </c>
      <c r="Y15" s="28" t="s">
        <v>150</v>
      </c>
      <c r="Z15" s="28" t="s">
        <v>150</v>
      </c>
      <c r="AA15" s="28" t="s">
        <v>150</v>
      </c>
      <c r="AB15" s="28" t="s">
        <v>150</v>
      </c>
      <c r="AC15" s="28" t="s">
        <v>150</v>
      </c>
      <c r="AD15" s="28" t="s">
        <v>150</v>
      </c>
      <c r="AE15" s="28" t="s">
        <v>150</v>
      </c>
      <c r="AF15" s="28" t="s">
        <v>150</v>
      </c>
      <c r="AG15" s="28" t="s">
        <v>150</v>
      </c>
      <c r="AH15" s="28" t="s">
        <v>150</v>
      </c>
      <c r="AJ15" s="28" t="s">
        <v>150</v>
      </c>
      <c r="AK15" s="28" t="s">
        <v>150</v>
      </c>
      <c r="AL15" s="28" t="s">
        <v>150</v>
      </c>
      <c r="AM15" s="28" t="s">
        <v>150</v>
      </c>
      <c r="AN15" s="28" t="s">
        <v>150</v>
      </c>
      <c r="AO15" s="28" t="s">
        <v>150</v>
      </c>
      <c r="AP15" s="28" t="s">
        <v>150</v>
      </c>
      <c r="AQ15" s="28" t="s">
        <v>150</v>
      </c>
      <c r="AR15" s="28" t="s">
        <v>150</v>
      </c>
      <c r="AS15" s="28" t="s">
        <v>150</v>
      </c>
      <c r="AT15" s="28" t="s">
        <v>149</v>
      </c>
      <c r="AU15" s="28" t="s">
        <v>217</v>
      </c>
      <c r="AV15" s="28" t="s">
        <v>150</v>
      </c>
      <c r="AW15" s="28" t="s">
        <v>150</v>
      </c>
      <c r="AX15" s="28" t="s">
        <v>150</v>
      </c>
      <c r="AY15" s="28" t="s">
        <v>150</v>
      </c>
      <c r="AZ15" s="28" t="s">
        <v>316</v>
      </c>
      <c r="BA15" s="28" t="s">
        <v>316</v>
      </c>
      <c r="BB15" s="28" t="s">
        <v>150</v>
      </c>
      <c r="BC15" s="28" t="s">
        <v>150</v>
      </c>
      <c r="BD15" s="28" t="s">
        <v>149</v>
      </c>
      <c r="BE15" s="28" t="s">
        <v>149</v>
      </c>
      <c r="BF15" s="28" t="s">
        <v>150</v>
      </c>
    </row>
    <row r="16" spans="1:58">
      <c r="A16" s="26" t="s">
        <v>130</v>
      </c>
      <c r="B16" s="30">
        <v>-3</v>
      </c>
      <c r="C16" s="30">
        <v>-2</v>
      </c>
      <c r="D16" s="30">
        <v>-2</v>
      </c>
      <c r="E16" s="30">
        <v>-2</v>
      </c>
      <c r="F16" s="30">
        <v>-2</v>
      </c>
      <c r="G16" s="30">
        <v>-2</v>
      </c>
      <c r="H16" s="30">
        <v>-2</v>
      </c>
      <c r="I16" s="30">
        <v>-2</v>
      </c>
      <c r="J16" s="30">
        <v>-2</v>
      </c>
      <c r="K16" s="30">
        <v>-2</v>
      </c>
      <c r="L16" s="30">
        <v>-2</v>
      </c>
      <c r="M16" s="30">
        <v>-2</v>
      </c>
      <c r="N16" s="30">
        <v>-2</v>
      </c>
      <c r="O16" s="30">
        <v>-2</v>
      </c>
      <c r="P16" s="30">
        <v>-2</v>
      </c>
      <c r="Q16" s="30">
        <v>-2</v>
      </c>
      <c r="R16" s="30">
        <v>-2</v>
      </c>
      <c r="S16" s="30">
        <v>-2</v>
      </c>
      <c r="T16" s="30">
        <v>-2</v>
      </c>
      <c r="U16" s="30">
        <v>-2</v>
      </c>
      <c r="V16" s="30">
        <v>-2</v>
      </c>
      <c r="W16" s="30">
        <v>-2</v>
      </c>
      <c r="X16" s="30">
        <v>-2</v>
      </c>
      <c r="Y16" s="30">
        <v>-2</v>
      </c>
      <c r="Z16" s="30">
        <v>-2</v>
      </c>
      <c r="AA16" s="30">
        <v>-2</v>
      </c>
      <c r="AB16" s="30">
        <v>-2</v>
      </c>
      <c r="AC16" s="30">
        <v>-2</v>
      </c>
      <c r="AD16" s="30">
        <v>-2</v>
      </c>
      <c r="AE16" s="30">
        <v>-2</v>
      </c>
      <c r="AF16" s="30">
        <v>-2</v>
      </c>
      <c r="AG16" s="30">
        <v>-2</v>
      </c>
      <c r="AH16" s="30">
        <v>-2</v>
      </c>
      <c r="AJ16" s="30">
        <v>-0.5</v>
      </c>
      <c r="AK16" s="30">
        <v>-0.5</v>
      </c>
      <c r="AL16" s="30">
        <v>-0.5</v>
      </c>
      <c r="AM16" s="30">
        <v>-0.5</v>
      </c>
      <c r="AN16" s="30">
        <v>-2</v>
      </c>
      <c r="AO16" s="30">
        <v>-0.5</v>
      </c>
      <c r="AP16" s="30">
        <v>-0.5</v>
      </c>
      <c r="AQ16" s="30">
        <v>-0.5</v>
      </c>
      <c r="AR16" s="30">
        <v>-0.5</v>
      </c>
      <c r="AS16" s="30">
        <v>-0.5</v>
      </c>
      <c r="AT16" s="30">
        <v>1</v>
      </c>
      <c r="AU16" s="30">
        <f>AVERAGE(-0.5,1)</f>
        <v>0.25</v>
      </c>
      <c r="AV16" s="30">
        <f>AVERAGE(-2,-0.5)</f>
        <v>-1.25</v>
      </c>
      <c r="AW16" s="30">
        <f>AVERAGE(-2,-0.5)</f>
        <v>-1.25</v>
      </c>
      <c r="AX16" s="30">
        <v>-2</v>
      </c>
      <c r="AY16" s="30">
        <v>-0.5</v>
      </c>
      <c r="AZ16" s="30">
        <f>AVERAGE(1,-0.5)</f>
        <v>0.25</v>
      </c>
      <c r="BA16" s="30">
        <f>AVERAGE(1,-0.5)</f>
        <v>0.25</v>
      </c>
      <c r="BB16" s="30">
        <v>1</v>
      </c>
      <c r="BC16" s="30">
        <v>-0.5</v>
      </c>
      <c r="BD16" s="30">
        <f>AVERAGE(0.5,2)</f>
        <v>1.25</v>
      </c>
      <c r="BE16" s="30">
        <f>4/3</f>
        <v>1.3333333333333333</v>
      </c>
      <c r="BF16" s="30">
        <v>-0.5</v>
      </c>
    </row>
    <row r="17" spans="1:58">
      <c r="A17" s="26" t="s">
        <v>131</v>
      </c>
      <c r="B17" s="28" t="s">
        <v>132</v>
      </c>
      <c r="C17" s="28" t="s">
        <v>483</v>
      </c>
      <c r="D17" s="28" t="s">
        <v>483</v>
      </c>
      <c r="E17" s="28" t="s">
        <v>483</v>
      </c>
      <c r="F17" s="28" t="s">
        <v>483</v>
      </c>
      <c r="G17" s="28" t="s">
        <v>483</v>
      </c>
      <c r="H17" s="28" t="s">
        <v>483</v>
      </c>
      <c r="I17" s="28" t="s">
        <v>483</v>
      </c>
      <c r="J17" s="28" t="s">
        <v>483</v>
      </c>
      <c r="K17" s="28" t="s">
        <v>483</v>
      </c>
      <c r="L17" s="28" t="s">
        <v>483</v>
      </c>
      <c r="M17" s="28" t="s">
        <v>483</v>
      </c>
      <c r="N17" s="28" t="s">
        <v>483</v>
      </c>
      <c r="O17" s="28" t="s">
        <v>483</v>
      </c>
      <c r="P17" s="28" t="s">
        <v>483</v>
      </c>
      <c r="Q17" s="28" t="s">
        <v>483</v>
      </c>
      <c r="R17" s="28" t="s">
        <v>483</v>
      </c>
      <c r="S17" s="28" t="s">
        <v>483</v>
      </c>
      <c r="T17" s="28" t="s">
        <v>483</v>
      </c>
      <c r="U17" s="28" t="s">
        <v>483</v>
      </c>
      <c r="V17" s="28" t="s">
        <v>483</v>
      </c>
      <c r="W17" s="28" t="s">
        <v>483</v>
      </c>
      <c r="X17" s="28" t="s">
        <v>483</v>
      </c>
      <c r="Y17" s="28" t="s">
        <v>483</v>
      </c>
      <c r="Z17" s="28" t="s">
        <v>483</v>
      </c>
      <c r="AA17" s="28" t="s">
        <v>483</v>
      </c>
      <c r="AB17" s="28" t="s">
        <v>483</v>
      </c>
      <c r="AC17" s="28" t="s">
        <v>483</v>
      </c>
      <c r="AD17" s="28" t="s">
        <v>483</v>
      </c>
      <c r="AE17" s="28" t="s">
        <v>483</v>
      </c>
      <c r="AF17" s="28" t="s">
        <v>483</v>
      </c>
      <c r="AG17" s="28" t="s">
        <v>483</v>
      </c>
      <c r="AH17" s="28" t="s">
        <v>483</v>
      </c>
      <c r="AJ17" s="28" t="s">
        <v>180</v>
      </c>
      <c r="AK17" s="28" t="s">
        <v>180</v>
      </c>
      <c r="AL17" s="28" t="s">
        <v>180</v>
      </c>
      <c r="AM17" s="28" t="s">
        <v>180</v>
      </c>
      <c r="AN17" s="28" t="s">
        <v>180</v>
      </c>
      <c r="AO17" s="28" t="s">
        <v>180</v>
      </c>
      <c r="AP17" s="28" t="s">
        <v>151</v>
      </c>
      <c r="AQ17" s="28" t="s">
        <v>180</v>
      </c>
      <c r="AR17" s="28" t="s">
        <v>151</v>
      </c>
      <c r="AS17" s="28" t="s">
        <v>180</v>
      </c>
      <c r="AT17" s="115" t="s">
        <v>279</v>
      </c>
      <c r="AU17" s="28" t="s">
        <v>240</v>
      </c>
      <c r="AV17" s="28" t="s">
        <v>241</v>
      </c>
      <c r="AW17" s="28" t="s">
        <v>241</v>
      </c>
      <c r="AX17" s="28" t="s">
        <v>132</v>
      </c>
      <c r="AY17" s="28" t="s">
        <v>957</v>
      </c>
      <c r="AZ17" s="28" t="s">
        <v>957</v>
      </c>
      <c r="BA17" s="28" t="s">
        <v>957</v>
      </c>
      <c r="BB17" s="28" t="s">
        <v>957</v>
      </c>
      <c r="BC17" s="28" t="s">
        <v>957</v>
      </c>
      <c r="BD17" s="28" t="s">
        <v>180</v>
      </c>
      <c r="BE17" s="28" t="s">
        <v>151</v>
      </c>
      <c r="BF17" s="28" t="s">
        <v>151</v>
      </c>
    </row>
    <row r="18" spans="1:58">
      <c r="A18" s="26" t="s">
        <v>133</v>
      </c>
      <c r="B18" s="30">
        <v>4</v>
      </c>
      <c r="C18" s="30">
        <f>AVERAGE(1/3,0)</f>
        <v>0.16666666666666666</v>
      </c>
      <c r="D18" s="30">
        <f>AVERAGE(1/3,0)</f>
        <v>0.16666666666666666</v>
      </c>
      <c r="E18" s="30">
        <f>AVERAGE(1/3,0)</f>
        <v>0.16666666666666666</v>
      </c>
      <c r="F18" s="30">
        <f>AVERAGE(1/3,0)</f>
        <v>0.16666666666666666</v>
      </c>
      <c r="G18" s="30">
        <f>AVERAGE(1/3,0)</f>
        <v>0.16666666666666666</v>
      </c>
      <c r="H18" s="30">
        <f>AVERAGE(1/3,0)</f>
        <v>0.16666666666666666</v>
      </c>
      <c r="I18" s="30">
        <f>AVERAGE(1/3,0)</f>
        <v>0.16666666666666666</v>
      </c>
      <c r="J18" s="30">
        <f>AVERAGE(1/3,0)</f>
        <v>0.16666666666666666</v>
      </c>
      <c r="K18" s="30">
        <f t="shared" ref="K18:O18" si="0">AVERAGE(1/3,0)</f>
        <v>0.16666666666666666</v>
      </c>
      <c r="L18" s="30">
        <f t="shared" si="0"/>
        <v>0.16666666666666666</v>
      </c>
      <c r="M18" s="30">
        <f t="shared" si="0"/>
        <v>0.16666666666666666</v>
      </c>
      <c r="N18" s="30">
        <f t="shared" si="0"/>
        <v>0.16666666666666666</v>
      </c>
      <c r="O18" s="30">
        <f t="shared" si="0"/>
        <v>0.16666666666666666</v>
      </c>
      <c r="P18" s="30">
        <f>AVERAGE(1/3,0)</f>
        <v>0.16666666666666666</v>
      </c>
      <c r="Q18" s="30">
        <f>AVERAGE(1/3,0)</f>
        <v>0.16666666666666666</v>
      </c>
      <c r="R18" s="30">
        <f>AVERAGE(1/3,0)</f>
        <v>0.16666666666666666</v>
      </c>
      <c r="S18" s="30">
        <f>AVERAGE(1/3,0)</f>
        <v>0.16666666666666666</v>
      </c>
      <c r="T18" s="30">
        <f t="shared" ref="T18:Y18" si="1">AVERAGE(1/3,0)</f>
        <v>0.16666666666666666</v>
      </c>
      <c r="U18" s="30">
        <f t="shared" si="1"/>
        <v>0.16666666666666666</v>
      </c>
      <c r="V18" s="30">
        <f t="shared" si="1"/>
        <v>0.16666666666666666</v>
      </c>
      <c r="W18" s="30">
        <f t="shared" si="1"/>
        <v>0.16666666666666666</v>
      </c>
      <c r="X18" s="30">
        <f t="shared" si="1"/>
        <v>0.16666666666666666</v>
      </c>
      <c r="Y18" s="30">
        <f t="shared" si="1"/>
        <v>0.16666666666666666</v>
      </c>
      <c r="Z18" s="30">
        <f>AVERAGE(1/3,0)</f>
        <v>0.16666666666666666</v>
      </c>
      <c r="AA18" s="30">
        <f>AVERAGE(1/3,0)</f>
        <v>0.16666666666666666</v>
      </c>
      <c r="AB18" s="30">
        <f t="shared" ref="AB18:AD18" si="2">AVERAGE(1/3,0)</f>
        <v>0.16666666666666666</v>
      </c>
      <c r="AC18" s="30">
        <f t="shared" si="2"/>
        <v>0.16666666666666666</v>
      </c>
      <c r="AD18" s="30">
        <f t="shared" si="2"/>
        <v>0.16666666666666666</v>
      </c>
      <c r="AE18" s="30">
        <f t="shared" ref="AE18:AF18" si="3">AVERAGE(1/3,0)</f>
        <v>0.16666666666666666</v>
      </c>
      <c r="AF18" s="30">
        <f t="shared" si="3"/>
        <v>0.16666666666666666</v>
      </c>
      <c r="AG18" s="30">
        <f t="shared" ref="AG18:AH18" si="4">AVERAGE(1/3,0)</f>
        <v>0.16666666666666666</v>
      </c>
      <c r="AH18" s="30">
        <f t="shared" si="4"/>
        <v>0.16666666666666666</v>
      </c>
      <c r="AJ18" s="30">
        <v>2</v>
      </c>
      <c r="AK18" s="30">
        <v>2</v>
      </c>
      <c r="AL18" s="30">
        <v>2</v>
      </c>
      <c r="AM18" s="30">
        <v>2</v>
      </c>
      <c r="AN18" s="30">
        <v>2</v>
      </c>
      <c r="AO18" s="30">
        <v>2</v>
      </c>
      <c r="AP18" s="30">
        <v>3</v>
      </c>
      <c r="AQ18" s="30">
        <v>2</v>
      </c>
      <c r="AR18" s="30">
        <v>3</v>
      </c>
      <c r="AS18" s="30">
        <v>2</v>
      </c>
      <c r="AT18" s="30">
        <f>AVERAGE(2,2,3)</f>
        <v>2.3333333333333335</v>
      </c>
      <c r="AU18" s="30">
        <f>AVERAGE(3,2)</f>
        <v>2.5</v>
      </c>
      <c r="AV18" s="30">
        <f>AVERAGE(4,3)</f>
        <v>3.5</v>
      </c>
      <c r="AW18" s="30">
        <f>AVERAGE(4,3)</f>
        <v>3.5</v>
      </c>
      <c r="AX18" s="30">
        <v>4</v>
      </c>
      <c r="AY18" s="30">
        <v>3.75</v>
      </c>
      <c r="AZ18" s="30">
        <v>3.75</v>
      </c>
      <c r="BA18" s="30">
        <v>3.75</v>
      </c>
      <c r="BB18" s="30">
        <v>3.75</v>
      </c>
      <c r="BC18" s="30">
        <v>3.75</v>
      </c>
      <c r="BD18" s="30">
        <v>2</v>
      </c>
      <c r="BE18" s="30">
        <v>3</v>
      </c>
      <c r="BF18" s="30">
        <v>3</v>
      </c>
    </row>
    <row r="19" spans="1:58" ht="15.75" customHeight="1">
      <c r="C19" s="78" t="s">
        <v>958</v>
      </c>
      <c r="AJ19" s="78" t="s">
        <v>959</v>
      </c>
    </row>
    <row r="20" spans="1:58">
      <c r="A20" s="31" t="s">
        <v>134</v>
      </c>
    </row>
    <row r="21" spans="1:58" ht="30.75">
      <c r="A21" s="198" t="s">
        <v>960</v>
      </c>
      <c r="B21" s="56" t="s">
        <v>961</v>
      </c>
    </row>
    <row r="22" spans="1:58" ht="15.75" customHeight="1">
      <c r="A22" s="229" t="s">
        <v>962</v>
      </c>
      <c r="B22" s="56" t="s">
        <v>963</v>
      </c>
    </row>
    <row r="23" spans="1:58">
      <c r="A23" s="227"/>
      <c r="B23" s="56" t="s">
        <v>964</v>
      </c>
    </row>
    <row r="25" spans="1:58">
      <c r="A25" s="26" t="s">
        <v>627</v>
      </c>
    </row>
    <row r="27" spans="1:58">
      <c r="A27" s="26" t="s">
        <v>965</v>
      </c>
      <c r="C27" s="200" t="s">
        <v>269</v>
      </c>
      <c r="D27" s="200"/>
      <c r="E27" s="200"/>
      <c r="F27" s="200"/>
      <c r="G27" s="200" t="s">
        <v>269</v>
      </c>
      <c r="H27" s="200"/>
      <c r="I27" s="200"/>
      <c r="J27" s="200"/>
      <c r="K27" s="201" t="s">
        <v>966</v>
      </c>
      <c r="L27" s="201"/>
      <c r="M27" s="201"/>
      <c r="P27" s="200"/>
      <c r="Q27" s="200"/>
      <c r="R27" s="200"/>
      <c r="T27" s="200"/>
      <c r="U27" s="200"/>
      <c r="V27" s="200"/>
      <c r="W27" s="200"/>
      <c r="X27" s="200"/>
      <c r="Y27" s="200"/>
      <c r="Z27" s="200"/>
      <c r="AA27" s="201" t="s">
        <v>966</v>
      </c>
      <c r="AB27" s="200"/>
      <c r="AC27" s="200"/>
      <c r="AD27" s="200"/>
      <c r="AE27" s="200"/>
      <c r="AF27" s="200"/>
      <c r="AG27" s="26" t="s">
        <v>966</v>
      </c>
      <c r="AH27" s="26" t="s">
        <v>966</v>
      </c>
    </row>
    <row r="28" spans="1:58">
      <c r="A28" s="26" t="s">
        <v>967</v>
      </c>
      <c r="C28" s="200" t="s">
        <v>287</v>
      </c>
      <c r="D28" s="200"/>
      <c r="E28" s="200"/>
      <c r="F28" s="200"/>
      <c r="G28" s="200" t="s">
        <v>287</v>
      </c>
      <c r="H28" s="200"/>
      <c r="I28" s="200"/>
      <c r="J28" s="26" t="s">
        <v>890</v>
      </c>
      <c r="K28" s="200" t="s">
        <v>269</v>
      </c>
      <c r="L28" s="200"/>
      <c r="M28" s="200"/>
      <c r="P28" s="200" t="s">
        <v>560</v>
      </c>
      <c r="Q28" s="200"/>
      <c r="T28" s="200"/>
      <c r="U28" s="26" t="s">
        <v>171</v>
      </c>
      <c r="W28" s="26" t="s">
        <v>966</v>
      </c>
      <c r="AA28" s="200" t="s">
        <v>269</v>
      </c>
      <c r="AF28" s="54"/>
    </row>
    <row r="29" spans="1:58">
      <c r="A29" s="26" t="s">
        <v>968</v>
      </c>
      <c r="C29" s="201" t="s">
        <v>966</v>
      </c>
      <c r="D29" s="200"/>
      <c r="E29" s="200"/>
      <c r="F29" s="200"/>
      <c r="G29" s="201" t="s">
        <v>966</v>
      </c>
      <c r="H29" s="201"/>
      <c r="I29" s="201"/>
      <c r="J29" s="26" t="s">
        <v>966</v>
      </c>
      <c r="P29" s="200" t="s">
        <v>287</v>
      </c>
      <c r="Q29" s="200"/>
      <c r="R29" s="200"/>
      <c r="T29" s="200"/>
      <c r="U29" s="200"/>
      <c r="W29" s="26" t="s">
        <v>966</v>
      </c>
      <c r="X29" s="26" t="s">
        <v>966</v>
      </c>
      <c r="Y29" s="26" t="s">
        <v>966</v>
      </c>
      <c r="AA29" s="200" t="s">
        <v>560</v>
      </c>
      <c r="AF29" s="200"/>
    </row>
    <row r="30" spans="1:58">
      <c r="A30" s="26" t="s">
        <v>969</v>
      </c>
      <c r="C30" s="200" t="s">
        <v>287</v>
      </c>
      <c r="D30" s="200"/>
      <c r="E30" s="200"/>
      <c r="F30" s="200"/>
      <c r="G30" s="200" t="s">
        <v>287</v>
      </c>
      <c r="H30" s="200"/>
      <c r="I30" s="200"/>
      <c r="J30" s="54" t="s">
        <v>953</v>
      </c>
      <c r="K30" s="200" t="s">
        <v>287</v>
      </c>
      <c r="L30" s="200"/>
      <c r="M30" s="200"/>
      <c r="P30" s="200" t="s">
        <v>287</v>
      </c>
      <c r="Q30" s="200"/>
      <c r="R30" s="26" t="s">
        <v>970</v>
      </c>
      <c r="T30" s="200"/>
      <c r="U30" s="200" t="s">
        <v>560</v>
      </c>
      <c r="W30" s="200"/>
      <c r="X30" s="200"/>
      <c r="Y30" s="26" t="s">
        <v>970</v>
      </c>
      <c r="Z30" s="200"/>
      <c r="AA30" s="200" t="s">
        <v>287</v>
      </c>
      <c r="AF30" s="200"/>
      <c r="AG30" s="200"/>
      <c r="AH30" s="200"/>
    </row>
    <row r="31" spans="1:58">
      <c r="A31" s="26" t="s">
        <v>971</v>
      </c>
      <c r="C31" s="200" t="s">
        <v>560</v>
      </c>
      <c r="D31" s="200"/>
      <c r="E31" s="200"/>
      <c r="F31" s="200"/>
      <c r="G31" s="200" t="s">
        <v>269</v>
      </c>
      <c r="H31" s="200"/>
      <c r="I31" s="200"/>
      <c r="J31" s="200" t="s">
        <v>269</v>
      </c>
      <c r="K31" s="200" t="s">
        <v>269</v>
      </c>
      <c r="L31" s="200"/>
      <c r="M31" s="200"/>
      <c r="P31" s="200" t="s">
        <v>560</v>
      </c>
      <c r="Q31" s="200"/>
      <c r="R31" s="200"/>
      <c r="X31" s="200"/>
      <c r="Y31" s="200"/>
    </row>
    <row r="32" spans="1:58">
      <c r="A32" s="26" t="s">
        <v>972</v>
      </c>
      <c r="C32" s="200" t="s">
        <v>973</v>
      </c>
      <c r="D32" s="200"/>
      <c r="E32" s="200"/>
      <c r="F32" s="200"/>
      <c r="G32" s="200" t="s">
        <v>973</v>
      </c>
      <c r="H32" s="200"/>
      <c r="I32" s="200"/>
      <c r="J32" s="200" t="s">
        <v>287</v>
      </c>
      <c r="K32" s="54" t="s">
        <v>271</v>
      </c>
      <c r="L32" s="54"/>
      <c r="M32" s="54"/>
      <c r="N32" s="200" t="s">
        <v>287</v>
      </c>
      <c r="P32" s="200" t="s">
        <v>287</v>
      </c>
      <c r="Q32" s="200"/>
      <c r="R32" s="200"/>
      <c r="S32" s="200" t="s">
        <v>287</v>
      </c>
      <c r="T32" s="200"/>
      <c r="U32" s="200"/>
      <c r="W32" s="200"/>
      <c r="X32" s="200"/>
      <c r="Y32" s="200"/>
      <c r="Z32" s="200"/>
      <c r="AA32" s="200" t="s">
        <v>287</v>
      </c>
      <c r="AB32" s="200"/>
      <c r="AC32" s="200"/>
      <c r="AD32" s="200"/>
      <c r="AE32" s="200"/>
      <c r="AF32" s="200"/>
    </row>
    <row r="33" spans="1:34">
      <c r="A33" s="26" t="s">
        <v>974</v>
      </c>
      <c r="C33" s="170" t="s">
        <v>966</v>
      </c>
      <c r="G33" s="170" t="s">
        <v>966</v>
      </c>
      <c r="H33" s="170"/>
      <c r="I33" s="170"/>
      <c r="K33" s="200" t="s">
        <v>287</v>
      </c>
      <c r="L33" s="200"/>
      <c r="M33" s="200"/>
      <c r="V33" s="26" t="s">
        <v>966</v>
      </c>
      <c r="W33" s="200"/>
      <c r="AA33" s="170" t="s">
        <v>966</v>
      </c>
      <c r="AB33" s="200"/>
      <c r="AC33" s="200"/>
      <c r="AD33" s="200"/>
      <c r="AE33" s="200"/>
    </row>
    <row r="34" spans="1:34">
      <c r="A34" s="26" t="s">
        <v>975</v>
      </c>
      <c r="C34" s="200"/>
      <c r="D34" s="200"/>
      <c r="E34" s="200"/>
      <c r="F34" s="200"/>
      <c r="G34" s="200" t="s">
        <v>973</v>
      </c>
      <c r="H34" s="200"/>
      <c r="I34" s="200"/>
      <c r="J34" s="200" t="s">
        <v>287</v>
      </c>
      <c r="K34" s="54" t="s">
        <v>271</v>
      </c>
      <c r="L34" s="54"/>
      <c r="M34" s="54"/>
      <c r="P34" s="200" t="s">
        <v>560</v>
      </c>
      <c r="Q34" s="200"/>
      <c r="T34" s="54"/>
      <c r="V34" s="26" t="s">
        <v>966</v>
      </c>
      <c r="W34" s="200"/>
      <c r="AA34" s="54" t="s">
        <v>954</v>
      </c>
      <c r="AB34" s="200"/>
      <c r="AC34" s="200"/>
      <c r="AD34" s="200"/>
      <c r="AE34" s="200"/>
    </row>
    <row r="35" spans="1:34">
      <c r="A35" s="26" t="s">
        <v>976</v>
      </c>
      <c r="C35" s="200" t="s">
        <v>287</v>
      </c>
      <c r="D35" s="200"/>
      <c r="E35" s="200"/>
      <c r="F35" s="200"/>
      <c r="G35" s="200" t="s">
        <v>287</v>
      </c>
      <c r="H35" s="200"/>
      <c r="I35" s="200"/>
      <c r="J35" s="54"/>
      <c r="K35" s="54" t="s">
        <v>271</v>
      </c>
      <c r="L35" s="54"/>
      <c r="M35" s="54"/>
      <c r="N35" s="54"/>
      <c r="P35" s="200" t="s">
        <v>287</v>
      </c>
      <c r="Q35" s="200"/>
      <c r="T35" s="200"/>
      <c r="U35" s="200"/>
      <c r="V35" s="26" t="s">
        <v>970</v>
      </c>
      <c r="W35" s="200"/>
      <c r="X35" s="26" t="s">
        <v>966</v>
      </c>
      <c r="Y35" s="26" t="s">
        <v>966</v>
      </c>
      <c r="Z35" s="200"/>
      <c r="AA35" s="200" t="s">
        <v>287</v>
      </c>
      <c r="AF35" s="200"/>
      <c r="AG35" s="54"/>
      <c r="AH35" s="54"/>
    </row>
    <row r="36" spans="1:34">
      <c r="A36" s="26" t="s">
        <v>977</v>
      </c>
      <c r="C36" s="200" t="s">
        <v>287</v>
      </c>
      <c r="D36" s="200"/>
      <c r="E36" s="200"/>
      <c r="F36" s="200"/>
      <c r="G36" s="200" t="s">
        <v>287</v>
      </c>
      <c r="H36" s="201"/>
      <c r="I36" s="201"/>
      <c r="J36" s="200"/>
      <c r="K36" s="54" t="s">
        <v>271</v>
      </c>
      <c r="L36" s="199"/>
      <c r="M36" s="199"/>
      <c r="N36" s="54"/>
      <c r="P36" s="200" t="s">
        <v>287</v>
      </c>
      <c r="Q36" s="201"/>
      <c r="T36" s="54" t="s">
        <v>973</v>
      </c>
      <c r="U36" s="54"/>
      <c r="V36" s="54"/>
      <c r="W36" s="54"/>
      <c r="X36" s="26" t="s">
        <v>966</v>
      </c>
      <c r="Y36" s="26" t="s">
        <v>966</v>
      </c>
      <c r="AA36" s="54" t="s">
        <v>954</v>
      </c>
      <c r="AF36" s="54"/>
      <c r="AG36" s="54"/>
      <c r="AH36" s="54"/>
    </row>
    <row r="37" spans="1:34">
      <c r="A37" s="26" t="s">
        <v>978</v>
      </c>
      <c r="C37" s="54" t="s">
        <v>271</v>
      </c>
      <c r="D37" s="54"/>
      <c r="E37" s="54"/>
      <c r="F37" s="200"/>
      <c r="G37" s="200" t="s">
        <v>287</v>
      </c>
      <c r="H37" s="200"/>
      <c r="I37" s="200"/>
      <c r="J37" s="26" t="s">
        <v>890</v>
      </c>
      <c r="K37" s="54" t="s">
        <v>271</v>
      </c>
      <c r="L37" s="54"/>
      <c r="M37" s="54"/>
      <c r="N37" s="54"/>
      <c r="P37" s="200" t="s">
        <v>560</v>
      </c>
      <c r="Q37" s="200"/>
      <c r="R37" s="200"/>
      <c r="T37" s="54"/>
      <c r="W37" s="26" t="s">
        <v>171</v>
      </c>
      <c r="X37" s="200"/>
      <c r="Y37" s="200"/>
      <c r="Z37" s="54"/>
      <c r="AA37" s="54" t="s">
        <v>954</v>
      </c>
      <c r="AF37" s="54"/>
      <c r="AG37" s="54"/>
      <c r="AH37" s="54"/>
    </row>
    <row r="38" spans="1:34">
      <c r="A38" s="26" t="s">
        <v>979</v>
      </c>
      <c r="C38" s="170"/>
      <c r="G38" s="200" t="s">
        <v>560</v>
      </c>
      <c r="H38" s="200"/>
      <c r="I38" s="200"/>
      <c r="J38" s="200"/>
      <c r="T38" s="54"/>
      <c r="U38" s="54"/>
      <c r="V38" s="200"/>
      <c r="W38" s="54"/>
      <c r="X38" s="200"/>
      <c r="Y38" s="200"/>
      <c r="Z38" s="54"/>
      <c r="AA38" s="54" t="s">
        <v>954</v>
      </c>
      <c r="AB38" s="54"/>
      <c r="AC38" s="54"/>
      <c r="AD38" s="54"/>
      <c r="AE38" s="54"/>
      <c r="AF38" s="54"/>
      <c r="AG38" s="54"/>
      <c r="AH38" s="54"/>
    </row>
    <row r="39" spans="1:34">
      <c r="A39" s="26" t="s">
        <v>980</v>
      </c>
      <c r="C39" s="54" t="s">
        <v>271</v>
      </c>
      <c r="D39" s="54"/>
      <c r="E39" s="54"/>
      <c r="F39" s="54"/>
      <c r="G39" s="200" t="s">
        <v>287</v>
      </c>
      <c r="H39" s="200"/>
      <c r="I39" s="200"/>
      <c r="J39" s="26" t="s">
        <v>890</v>
      </c>
      <c r="K39" s="54" t="s">
        <v>271</v>
      </c>
      <c r="L39" s="54"/>
      <c r="M39" s="54"/>
      <c r="N39" s="54"/>
      <c r="P39" s="200" t="s">
        <v>560</v>
      </c>
      <c r="Q39" s="200"/>
      <c r="R39" s="200"/>
      <c r="T39" s="26" t="s">
        <v>966</v>
      </c>
      <c r="U39" s="26" t="s">
        <v>966</v>
      </c>
      <c r="V39" s="54"/>
      <c r="W39" s="200"/>
      <c r="X39" s="200"/>
      <c r="Y39" s="200"/>
      <c r="AA39" s="54" t="s">
        <v>954</v>
      </c>
      <c r="AF39" s="54"/>
      <c r="AG39" s="54"/>
      <c r="AH39" s="54"/>
    </row>
  </sheetData>
  <mergeCells count="6">
    <mergeCell ref="A22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3B64-412A-42D4-9C4C-4A5724B75CFC}">
  <dimension ref="A1:AH21"/>
  <sheetViews>
    <sheetView topLeftCell="J1" workbookViewId="0">
      <selection activeCell="AH10" activeCellId="1" sqref="AA10 AG10:AH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981</v>
      </c>
      <c r="C4" s="203"/>
      <c r="D4" s="203"/>
      <c r="F4" s="204" t="s">
        <v>982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324</v>
      </c>
      <c r="C8" s="29" t="s">
        <v>325</v>
      </c>
      <c r="D8" s="29" t="s">
        <v>325</v>
      </c>
      <c r="E8" s="29" t="s">
        <v>325</v>
      </c>
      <c r="F8" s="29" t="s">
        <v>325</v>
      </c>
      <c r="G8" s="29" t="s">
        <v>325</v>
      </c>
      <c r="H8" s="29" t="s">
        <v>325</v>
      </c>
      <c r="I8" s="29" t="s">
        <v>325</v>
      </c>
      <c r="J8" s="28"/>
      <c r="K8" s="29" t="s">
        <v>325</v>
      </c>
      <c r="L8" s="29" t="s">
        <v>325</v>
      </c>
      <c r="M8" s="29" t="s">
        <v>325</v>
      </c>
      <c r="N8" s="28"/>
      <c r="O8" s="28"/>
      <c r="P8" s="29" t="s">
        <v>325</v>
      </c>
      <c r="Q8" s="29" t="s">
        <v>325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325</v>
      </c>
      <c r="AB8" s="28"/>
      <c r="AC8" s="28"/>
      <c r="AD8" s="28"/>
      <c r="AE8" s="28"/>
      <c r="AF8" s="28"/>
      <c r="AG8" s="29" t="s">
        <v>325</v>
      </c>
      <c r="AH8" s="29" t="s">
        <v>325</v>
      </c>
    </row>
    <row r="9" spans="1:34">
      <c r="A9" s="26" t="s">
        <v>121</v>
      </c>
      <c r="B9" s="28" t="s">
        <v>325</v>
      </c>
      <c r="C9" s="28" t="s">
        <v>325</v>
      </c>
      <c r="D9" s="28" t="s">
        <v>325</v>
      </c>
      <c r="E9" s="28" t="s">
        <v>325</v>
      </c>
      <c r="F9" s="28" t="s">
        <v>325</v>
      </c>
      <c r="G9" s="28" t="s">
        <v>325</v>
      </c>
      <c r="H9" s="28" t="s">
        <v>325</v>
      </c>
      <c r="I9" s="28" t="s">
        <v>325</v>
      </c>
      <c r="J9" s="29"/>
      <c r="K9" s="28" t="s">
        <v>325</v>
      </c>
      <c r="L9" s="28" t="s">
        <v>325</v>
      </c>
      <c r="M9" s="28" t="s">
        <v>325</v>
      </c>
      <c r="N9" s="29"/>
      <c r="O9" s="29"/>
      <c r="P9" s="28" t="s">
        <v>325</v>
      </c>
      <c r="Q9" s="28" t="s">
        <v>325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325</v>
      </c>
      <c r="AB9" s="29"/>
      <c r="AC9" s="29"/>
      <c r="AD9" s="29"/>
      <c r="AE9" s="29"/>
      <c r="AF9" s="29"/>
      <c r="AG9" s="28" t="s">
        <v>325</v>
      </c>
      <c r="AH9" s="28" t="s">
        <v>325</v>
      </c>
    </row>
    <row r="10" spans="1:34">
      <c r="A10" s="140" t="s">
        <v>122</v>
      </c>
      <c r="B10" s="167">
        <v>70</v>
      </c>
      <c r="C10" s="167">
        <v>70</v>
      </c>
      <c r="D10" s="167">
        <v>70</v>
      </c>
      <c r="E10" s="167">
        <v>70</v>
      </c>
      <c r="F10" s="167">
        <v>70</v>
      </c>
      <c r="G10" s="167">
        <v>70</v>
      </c>
      <c r="H10" s="167">
        <v>70</v>
      </c>
      <c r="I10" s="167">
        <v>70</v>
      </c>
      <c r="J10" s="167"/>
      <c r="K10" s="167">
        <v>70</v>
      </c>
      <c r="L10" s="167">
        <v>70</v>
      </c>
      <c r="M10" s="167">
        <v>70</v>
      </c>
      <c r="N10" s="167"/>
      <c r="O10" s="167"/>
      <c r="P10" s="167">
        <v>70</v>
      </c>
      <c r="Q10" s="167">
        <v>70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>
        <v>70</v>
      </c>
      <c r="AB10" s="167"/>
      <c r="AC10" s="167"/>
      <c r="AD10" s="167"/>
      <c r="AE10" s="167"/>
      <c r="AF10" s="167"/>
      <c r="AG10" s="167">
        <v>70</v>
      </c>
      <c r="AH10" s="167">
        <v>70</v>
      </c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9" t="s">
        <v>124</v>
      </c>
      <c r="F11" s="29" t="s">
        <v>124</v>
      </c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9" t="s">
        <v>124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9" t="s">
        <v>124</v>
      </c>
      <c r="AH11" s="29" t="s">
        <v>124</v>
      </c>
    </row>
    <row r="12" spans="1:34">
      <c r="A12" s="26" t="s">
        <v>125</v>
      </c>
      <c r="B12" s="29" t="s">
        <v>124</v>
      </c>
      <c r="C12" s="29" t="s">
        <v>124</v>
      </c>
      <c r="D12" s="29" t="s">
        <v>124</v>
      </c>
      <c r="E12" s="29" t="s">
        <v>124</v>
      </c>
      <c r="F12" s="29" t="s">
        <v>124</v>
      </c>
      <c r="G12" s="29" t="s">
        <v>124</v>
      </c>
      <c r="H12" s="29" t="s">
        <v>124</v>
      </c>
      <c r="I12" s="29" t="s">
        <v>124</v>
      </c>
      <c r="J12" s="28"/>
      <c r="K12" s="29" t="s">
        <v>124</v>
      </c>
      <c r="L12" s="29" t="s">
        <v>124</v>
      </c>
      <c r="M12" s="29" t="s">
        <v>124</v>
      </c>
      <c r="N12" s="28"/>
      <c r="O12" s="28"/>
      <c r="P12" s="29" t="s">
        <v>124</v>
      </c>
      <c r="Q12" s="29" t="s">
        <v>124</v>
      </c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124</v>
      </c>
      <c r="AB12" s="28"/>
      <c r="AC12" s="28"/>
      <c r="AD12" s="28"/>
      <c r="AE12" s="28"/>
      <c r="AF12" s="28"/>
      <c r="AG12" s="29" t="s">
        <v>124</v>
      </c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 t="s">
        <v>127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 t="s">
        <v>127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 t="s">
        <v>118</v>
      </c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 t="s">
        <v>118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 t="s">
        <v>118</v>
      </c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/>
      <c r="K16" s="30">
        <v>3</v>
      </c>
      <c r="L16" s="30">
        <v>3</v>
      </c>
      <c r="M16" s="30">
        <v>3</v>
      </c>
      <c r="N16" s="30"/>
      <c r="O16" s="30"/>
      <c r="P16" s="30">
        <v>3</v>
      </c>
      <c r="Q16" s="30">
        <v>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>
        <v>3</v>
      </c>
      <c r="AH16" s="30">
        <v>3</v>
      </c>
    </row>
    <row r="17" spans="1:34">
      <c r="A17" s="26" t="s">
        <v>131</v>
      </c>
      <c r="B17" s="28" t="s">
        <v>312</v>
      </c>
      <c r="C17" s="28" t="s">
        <v>312</v>
      </c>
      <c r="D17" s="28" t="s">
        <v>312</v>
      </c>
      <c r="E17" s="28" t="s">
        <v>312</v>
      </c>
      <c r="F17" s="28" t="s">
        <v>312</v>
      </c>
      <c r="G17" s="28" t="s">
        <v>312</v>
      </c>
      <c r="H17" s="28" t="s">
        <v>312</v>
      </c>
      <c r="I17" s="28" t="s">
        <v>312</v>
      </c>
      <c r="J17" s="28"/>
      <c r="K17" s="28" t="s">
        <v>312</v>
      </c>
      <c r="L17" s="28" t="s">
        <v>312</v>
      </c>
      <c r="M17" s="28" t="s">
        <v>312</v>
      </c>
      <c r="N17" s="28"/>
      <c r="O17" s="28"/>
      <c r="P17" s="28" t="s">
        <v>312</v>
      </c>
      <c r="Q17" s="28" t="s">
        <v>312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312</v>
      </c>
      <c r="AB17" s="28"/>
      <c r="AC17" s="28"/>
      <c r="AD17" s="28"/>
      <c r="AE17" s="28"/>
      <c r="AF17" s="28"/>
      <c r="AG17" s="28" t="s">
        <v>312</v>
      </c>
      <c r="AH17" s="28" t="s">
        <v>312</v>
      </c>
    </row>
    <row r="18" spans="1:34">
      <c r="A18" s="26" t="s">
        <v>133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/>
      <c r="K18" s="30">
        <v>1.5</v>
      </c>
      <c r="L18" s="30">
        <v>1.5</v>
      </c>
      <c r="M18" s="30">
        <v>1.5</v>
      </c>
      <c r="N18" s="30"/>
      <c r="O18" s="30"/>
      <c r="P18" s="30">
        <v>1.5</v>
      </c>
      <c r="Q18" s="30">
        <v>1.5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1.5</v>
      </c>
      <c r="AB18" s="30"/>
      <c r="AC18" s="30"/>
      <c r="AD18" s="30"/>
      <c r="AE18" s="30"/>
      <c r="AF18" s="30"/>
      <c r="AG18" s="30">
        <v>1.5</v>
      </c>
      <c r="AH18" s="30">
        <v>1.5</v>
      </c>
    </row>
    <row r="20" spans="1:34">
      <c r="A20" s="31" t="s">
        <v>134</v>
      </c>
    </row>
    <row r="21" spans="1:34">
      <c r="A21" s="26" t="s">
        <v>983</v>
      </c>
      <c r="B21" s="56" t="s">
        <v>984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9880-0651-4487-A16F-0B5230BBAEAB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985</v>
      </c>
      <c r="C4" s="203"/>
      <c r="D4" s="203"/>
      <c r="F4" s="204" t="s">
        <v>986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312</v>
      </c>
      <c r="C8" s="29" t="s">
        <v>987</v>
      </c>
      <c r="D8" s="29" t="s">
        <v>987</v>
      </c>
      <c r="E8" s="29"/>
      <c r="F8" s="29"/>
      <c r="G8" s="28" t="s">
        <v>313</v>
      </c>
      <c r="H8" s="28" t="s">
        <v>313</v>
      </c>
      <c r="I8" s="28" t="s">
        <v>313</v>
      </c>
      <c r="J8" s="28"/>
      <c r="K8" s="28" t="s">
        <v>313</v>
      </c>
      <c r="L8" s="28" t="s">
        <v>313</v>
      </c>
      <c r="M8" s="28" t="s">
        <v>313</v>
      </c>
      <c r="N8" s="28"/>
      <c r="O8" s="28"/>
      <c r="P8" s="28" t="s">
        <v>313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313</v>
      </c>
      <c r="AB8" s="28"/>
      <c r="AC8" s="28"/>
      <c r="AD8" s="28"/>
      <c r="AE8" s="28"/>
      <c r="AF8" s="28"/>
      <c r="AG8" s="28"/>
      <c r="AH8" s="28" t="s">
        <v>313</v>
      </c>
    </row>
    <row r="9" spans="1:34">
      <c r="A9" s="26" t="s">
        <v>121</v>
      </c>
      <c r="B9" s="28" t="s">
        <v>313</v>
      </c>
      <c r="C9" s="29" t="s">
        <v>988</v>
      </c>
      <c r="D9" s="29" t="s">
        <v>988</v>
      </c>
      <c r="E9" s="29"/>
      <c r="F9" s="29"/>
      <c r="G9" s="28" t="s">
        <v>313</v>
      </c>
      <c r="H9" s="28" t="s">
        <v>313</v>
      </c>
      <c r="I9" s="28" t="s">
        <v>313</v>
      </c>
      <c r="J9" s="29"/>
      <c r="K9" s="28" t="s">
        <v>313</v>
      </c>
      <c r="L9" s="28" t="s">
        <v>313</v>
      </c>
      <c r="M9" s="28" t="s">
        <v>313</v>
      </c>
      <c r="N9" s="29"/>
      <c r="O9" s="29"/>
      <c r="P9" s="28" t="s">
        <v>313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313</v>
      </c>
      <c r="AB9" s="29"/>
      <c r="AC9" s="29"/>
      <c r="AD9" s="29"/>
      <c r="AE9" s="29"/>
      <c r="AF9" s="29"/>
      <c r="AG9" s="29"/>
      <c r="AH9" s="28" t="s">
        <v>313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8" t="s">
        <v>127</v>
      </c>
      <c r="D11" s="28" t="s">
        <v>127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9" t="s">
        <v>124</v>
      </c>
      <c r="C12" s="29" t="s">
        <v>124</v>
      </c>
      <c r="D12" s="29" t="s">
        <v>124</v>
      </c>
      <c r="E12" s="28"/>
      <c r="F12" s="28"/>
      <c r="G12" s="29" t="s">
        <v>124</v>
      </c>
      <c r="H12" s="29" t="s">
        <v>124</v>
      </c>
      <c r="I12" s="29" t="s">
        <v>124</v>
      </c>
      <c r="J12" s="28"/>
      <c r="K12" s="29" t="s">
        <v>124</v>
      </c>
      <c r="L12" s="29" t="s">
        <v>124</v>
      </c>
      <c r="M12" s="29" t="s">
        <v>124</v>
      </c>
      <c r="N12" s="28"/>
      <c r="O12" s="28"/>
      <c r="P12" s="29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124</v>
      </c>
      <c r="AB12" s="28"/>
      <c r="AC12" s="28"/>
      <c r="AD12" s="28"/>
      <c r="AE12" s="28"/>
      <c r="AF12" s="28"/>
      <c r="AG12" s="28"/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149</v>
      </c>
      <c r="C15" s="87" t="s">
        <v>989</v>
      </c>
      <c r="D15" s="87" t="s">
        <v>989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</row>
    <row r="16" spans="1:34">
      <c r="A16" s="26" t="s">
        <v>130</v>
      </c>
      <c r="B16" s="30">
        <v>3</v>
      </c>
      <c r="C16" s="30">
        <f t="shared" ref="C16:D16" si="0">-8/3</f>
        <v>-2.6666666666666665</v>
      </c>
      <c r="D16" s="30">
        <f t="shared" si="0"/>
        <v>-2.6666666666666665</v>
      </c>
      <c r="E16" s="30"/>
      <c r="F16" s="30"/>
      <c r="G16" s="30">
        <v>0.75</v>
      </c>
      <c r="H16" s="30">
        <v>0.75</v>
      </c>
      <c r="I16" s="30">
        <v>0.75</v>
      </c>
      <c r="J16" s="30"/>
      <c r="K16" s="30">
        <v>0.75</v>
      </c>
      <c r="L16" s="30">
        <v>0.75</v>
      </c>
      <c r="M16" s="30">
        <v>0.75</v>
      </c>
      <c r="N16" s="30"/>
      <c r="O16" s="30"/>
      <c r="P16" s="30">
        <v>1.67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1.67</v>
      </c>
      <c r="AB16" s="30"/>
      <c r="AC16" s="30"/>
      <c r="AD16" s="30"/>
      <c r="AE16" s="30"/>
      <c r="AF16" s="30"/>
      <c r="AG16" s="30"/>
      <c r="AH16" s="30">
        <v>1.67</v>
      </c>
    </row>
    <row r="17" spans="1:34">
      <c r="A17" s="26" t="s">
        <v>131</v>
      </c>
      <c r="B17" s="28" t="s">
        <v>312</v>
      </c>
      <c r="C17" s="28" t="s">
        <v>990</v>
      </c>
      <c r="D17" s="28" t="s">
        <v>990</v>
      </c>
      <c r="E17" s="28"/>
      <c r="F17" s="28"/>
      <c r="G17" s="28" t="s">
        <v>312</v>
      </c>
      <c r="H17" s="28" t="s">
        <v>312</v>
      </c>
      <c r="I17" s="28" t="s">
        <v>312</v>
      </c>
      <c r="J17" s="28"/>
      <c r="K17" s="28" t="s">
        <v>312</v>
      </c>
      <c r="L17" s="28" t="s">
        <v>312</v>
      </c>
      <c r="M17" s="28" t="s">
        <v>312</v>
      </c>
      <c r="N17" s="28"/>
      <c r="O17" s="28"/>
      <c r="P17" s="28" t="s">
        <v>312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312</v>
      </c>
      <c r="AB17" s="28"/>
      <c r="AC17" s="28"/>
      <c r="AD17" s="28"/>
      <c r="AE17" s="28"/>
      <c r="AF17" s="28"/>
      <c r="AG17" s="28"/>
      <c r="AH17" s="28" t="s">
        <v>312</v>
      </c>
    </row>
    <row r="18" spans="1:34">
      <c r="A18" s="26" t="s">
        <v>133</v>
      </c>
      <c r="B18" s="30">
        <v>1.5</v>
      </c>
      <c r="C18" s="30">
        <f>AVERAGE(1.5,0)</f>
        <v>0.75</v>
      </c>
      <c r="D18" s="30">
        <f>AVERAGE(1.5,0)</f>
        <v>0.75</v>
      </c>
      <c r="E18" s="30"/>
      <c r="F18" s="30"/>
      <c r="G18" s="30">
        <v>1.5</v>
      </c>
      <c r="H18" s="30">
        <v>1.5</v>
      </c>
      <c r="I18" s="30">
        <v>1.5</v>
      </c>
      <c r="J18" s="30"/>
      <c r="K18" s="30">
        <v>1.5</v>
      </c>
      <c r="L18" s="30">
        <v>1.5</v>
      </c>
      <c r="M18" s="30">
        <v>1.5</v>
      </c>
      <c r="N18" s="30"/>
      <c r="O18" s="30"/>
      <c r="P18" s="30">
        <v>1.5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1.5</v>
      </c>
      <c r="AB18" s="30"/>
      <c r="AC18" s="30"/>
      <c r="AD18" s="30"/>
      <c r="AE18" s="30"/>
      <c r="AF18" s="30"/>
      <c r="AG18" s="30"/>
      <c r="AH18" s="30">
        <v>1.5</v>
      </c>
    </row>
    <row r="20" spans="1:34">
      <c r="A20" s="31" t="s">
        <v>134</v>
      </c>
    </row>
    <row r="21" spans="1:34">
      <c r="A21" s="26" t="s">
        <v>991</v>
      </c>
      <c r="B21" s="56" t="s">
        <v>992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8C55-BE6C-4A3B-81DD-3E01B07F1BB9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67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993</v>
      </c>
      <c r="C4" s="203"/>
      <c r="D4" s="203"/>
      <c r="F4" s="204" t="s">
        <v>994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180</v>
      </c>
      <c r="C8" s="29" t="s">
        <v>349</v>
      </c>
      <c r="D8" s="29" t="s">
        <v>349</v>
      </c>
      <c r="E8" s="29"/>
      <c r="F8" s="29"/>
      <c r="G8" s="29" t="s">
        <v>995</v>
      </c>
      <c r="H8" s="29" t="s">
        <v>995</v>
      </c>
      <c r="I8" s="29" t="s">
        <v>995</v>
      </c>
      <c r="J8" s="28"/>
      <c r="K8" s="29" t="s">
        <v>349</v>
      </c>
      <c r="L8" s="29" t="s">
        <v>349</v>
      </c>
      <c r="M8" s="29" t="s">
        <v>349</v>
      </c>
      <c r="N8" s="28"/>
      <c r="O8" s="28"/>
      <c r="P8" s="29" t="s">
        <v>341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331</v>
      </c>
      <c r="AB8" s="28"/>
      <c r="AC8" s="28"/>
      <c r="AD8" s="28"/>
      <c r="AE8" s="28"/>
      <c r="AF8" s="28"/>
      <c r="AG8" s="28"/>
      <c r="AH8" s="29" t="s">
        <v>331</v>
      </c>
    </row>
    <row r="9" spans="1:34">
      <c r="A9" s="26" t="s">
        <v>121</v>
      </c>
      <c r="B9" s="29" t="s">
        <v>333</v>
      </c>
      <c r="C9" s="28" t="s">
        <v>349</v>
      </c>
      <c r="D9" s="28" t="s">
        <v>349</v>
      </c>
      <c r="E9" s="29"/>
      <c r="F9" s="29"/>
      <c r="G9" s="29" t="s">
        <v>996</v>
      </c>
      <c r="H9" s="29" t="s">
        <v>996</v>
      </c>
      <c r="I9" s="29" t="s">
        <v>996</v>
      </c>
      <c r="J9" s="29"/>
      <c r="K9" s="28" t="s">
        <v>847</v>
      </c>
      <c r="L9" s="28" t="s">
        <v>858</v>
      </c>
      <c r="M9" s="28" t="s">
        <v>349</v>
      </c>
      <c r="N9" s="29"/>
      <c r="O9" s="29"/>
      <c r="P9" s="29" t="s">
        <v>996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331</v>
      </c>
      <c r="AB9" s="29"/>
      <c r="AC9" s="29"/>
      <c r="AD9" s="29"/>
      <c r="AE9" s="29"/>
      <c r="AF9" s="29"/>
      <c r="AG9" s="29"/>
      <c r="AH9" s="28" t="s">
        <v>331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9" t="s">
        <v>124</v>
      </c>
      <c r="D11" s="29" t="s">
        <v>124</v>
      </c>
      <c r="E11" s="28"/>
      <c r="F11" s="28"/>
      <c r="G11" s="28" t="s">
        <v>215</v>
      </c>
      <c r="H11" s="28" t="s">
        <v>215</v>
      </c>
      <c r="I11" s="28" t="s">
        <v>215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8" t="s">
        <v>215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8" t="s">
        <v>127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9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/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118</v>
      </c>
    </row>
    <row r="16" spans="1:34">
      <c r="A16" s="26" t="s">
        <v>130</v>
      </c>
      <c r="B16" s="30">
        <v>2.75</v>
      </c>
      <c r="C16" s="30">
        <v>2.5</v>
      </c>
      <c r="D16" s="30">
        <v>2.5</v>
      </c>
      <c r="E16" s="30"/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f>AVERAGE(2.5,3)</f>
        <v>2.75</v>
      </c>
      <c r="M16" s="30">
        <v>2.5</v>
      </c>
      <c r="N16" s="30"/>
      <c r="O16" s="30"/>
      <c r="P16" s="30">
        <v>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v>2.5</v>
      </c>
    </row>
    <row r="17" spans="1:34">
      <c r="A17" s="26" t="s">
        <v>131</v>
      </c>
      <c r="B17" s="28" t="s">
        <v>180</v>
      </c>
      <c r="C17" s="28" t="s">
        <v>180</v>
      </c>
      <c r="D17" s="28" t="s">
        <v>180</v>
      </c>
      <c r="E17" s="28"/>
      <c r="F17" s="28"/>
      <c r="G17" s="103" t="s">
        <v>483</v>
      </c>
      <c r="H17" s="103" t="s">
        <v>483</v>
      </c>
      <c r="I17" s="103" t="s">
        <v>483</v>
      </c>
      <c r="J17" s="28"/>
      <c r="K17" s="28" t="s">
        <v>850</v>
      </c>
      <c r="L17" s="28" t="s">
        <v>850</v>
      </c>
      <c r="M17" s="28" t="s">
        <v>180</v>
      </c>
      <c r="N17" s="28"/>
      <c r="O17" s="28"/>
      <c r="P17" s="103" t="s">
        <v>483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180</v>
      </c>
      <c r="AB17" s="28"/>
      <c r="AC17" s="28"/>
      <c r="AD17" s="28"/>
      <c r="AE17" s="28"/>
      <c r="AF17" s="28"/>
      <c r="AG17" s="28"/>
      <c r="AH17" s="28" t="s">
        <v>180</v>
      </c>
    </row>
    <row r="18" spans="1:34">
      <c r="A18" s="26" t="s">
        <v>133</v>
      </c>
      <c r="B18" s="30">
        <v>2</v>
      </c>
      <c r="C18" s="30">
        <v>2</v>
      </c>
      <c r="D18" s="30">
        <v>2</v>
      </c>
      <c r="E18" s="30"/>
      <c r="F18" s="30"/>
      <c r="G18" s="30">
        <f>AVERAGE(0.5,0)</f>
        <v>0.25</v>
      </c>
      <c r="H18" s="30">
        <f t="shared" ref="H18:I18" si="0">AVERAGE(0.5,0)</f>
        <v>0.25</v>
      </c>
      <c r="I18" s="30">
        <f t="shared" si="0"/>
        <v>0.25</v>
      </c>
      <c r="J18" s="30"/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30">
        <f>AVERAGE(0.5,0)</f>
        <v>0.25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v>2</v>
      </c>
    </row>
    <row r="20" spans="1:34">
      <c r="A20" s="31" t="s">
        <v>134</v>
      </c>
    </row>
    <row r="21" spans="1:34">
      <c r="A21" s="26" t="s">
        <v>997</v>
      </c>
      <c r="B21" s="56" t="s">
        <v>998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BFD7-B4E2-4CC1-8709-C3A89BDF4EE3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999</v>
      </c>
      <c r="C4" s="203"/>
      <c r="D4" s="203"/>
      <c r="F4" s="204" t="s">
        <v>1000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348</v>
      </c>
      <c r="C8" s="28" t="s">
        <v>349</v>
      </c>
      <c r="D8" s="28" t="s">
        <v>349</v>
      </c>
      <c r="E8" s="28"/>
      <c r="F8" s="28"/>
      <c r="G8" s="28" t="s">
        <v>349</v>
      </c>
      <c r="H8" s="28" t="s">
        <v>349</v>
      </c>
      <c r="I8" s="28" t="s">
        <v>349</v>
      </c>
      <c r="J8" s="28"/>
      <c r="K8" s="28" t="s">
        <v>349</v>
      </c>
      <c r="L8" s="28" t="s">
        <v>349</v>
      </c>
      <c r="M8" s="28" t="s">
        <v>349</v>
      </c>
      <c r="N8" s="28"/>
      <c r="O8" s="28"/>
      <c r="P8" s="28" t="s">
        <v>349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349</v>
      </c>
      <c r="AB8" s="28"/>
      <c r="AC8" s="28"/>
      <c r="AD8" s="28"/>
      <c r="AE8" s="28"/>
      <c r="AF8" s="28"/>
      <c r="AG8" s="28"/>
      <c r="AH8" s="28" t="s">
        <v>478</v>
      </c>
    </row>
    <row r="9" spans="1:34">
      <c r="A9" s="26" t="s">
        <v>121</v>
      </c>
      <c r="B9" s="28" t="s">
        <v>350</v>
      </c>
      <c r="C9" s="28" t="s">
        <v>349</v>
      </c>
      <c r="D9" s="28" t="s">
        <v>349</v>
      </c>
      <c r="E9" s="28"/>
      <c r="F9" s="28"/>
      <c r="G9" s="28" t="s">
        <v>846</v>
      </c>
      <c r="H9" s="28" t="s">
        <v>846</v>
      </c>
      <c r="I9" s="28" t="s">
        <v>846</v>
      </c>
      <c r="J9" s="29"/>
      <c r="K9" s="28" t="s">
        <v>847</v>
      </c>
      <c r="L9" s="28" t="s">
        <v>858</v>
      </c>
      <c r="M9" s="28" t="s">
        <v>349</v>
      </c>
      <c r="N9" s="29"/>
      <c r="O9" s="29"/>
      <c r="P9" s="28" t="s">
        <v>349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349</v>
      </c>
      <c r="AB9" s="29"/>
      <c r="AC9" s="29"/>
      <c r="AD9" s="29"/>
      <c r="AE9" s="29"/>
      <c r="AF9" s="29"/>
      <c r="AG9" s="29"/>
      <c r="AH9" s="103" t="s">
        <v>480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215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352</v>
      </c>
      <c r="C15" s="28" t="s">
        <v>118</v>
      </c>
      <c r="D15" s="28" t="s">
        <v>118</v>
      </c>
      <c r="E15" s="28"/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103" t="s">
        <v>482</v>
      </c>
    </row>
    <row r="16" spans="1:34">
      <c r="A16" s="26" t="s">
        <v>130</v>
      </c>
      <c r="B16" s="30">
        <v>0</v>
      </c>
      <c r="C16" s="30">
        <v>2.5</v>
      </c>
      <c r="D16" s="30">
        <v>2.5</v>
      </c>
      <c r="E16" s="30"/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f>AVERAGE(2.5,3)</f>
        <v>2.75</v>
      </c>
      <c r="M16" s="30">
        <v>2.5</v>
      </c>
      <c r="N16" s="30"/>
      <c r="O16" s="30"/>
      <c r="P16" s="30">
        <v>2.5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f>AVERAGE(0,3)</f>
        <v>1.5</v>
      </c>
    </row>
    <row r="17" spans="1:34">
      <c r="A17" s="26" t="s">
        <v>131</v>
      </c>
      <c r="B17" s="28" t="s">
        <v>280</v>
      </c>
      <c r="C17" s="28" t="s">
        <v>180</v>
      </c>
      <c r="D17" s="28" t="s">
        <v>180</v>
      </c>
      <c r="E17" s="28"/>
      <c r="F17" s="28"/>
      <c r="G17" s="28" t="s">
        <v>280</v>
      </c>
      <c r="H17" s="28" t="s">
        <v>280</v>
      </c>
      <c r="I17" s="28" t="s">
        <v>280</v>
      </c>
      <c r="J17" s="28"/>
      <c r="K17" s="28" t="s">
        <v>850</v>
      </c>
      <c r="L17" s="28" t="s">
        <v>850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180</v>
      </c>
      <c r="AB17" s="28"/>
      <c r="AC17" s="28"/>
      <c r="AD17" s="28"/>
      <c r="AE17" s="28"/>
      <c r="AF17" s="28"/>
      <c r="AG17" s="28"/>
      <c r="AH17" s="103" t="s">
        <v>483</v>
      </c>
    </row>
    <row r="18" spans="1:34">
      <c r="A18" s="26" t="s">
        <v>133</v>
      </c>
      <c r="B18" s="30">
        <v>0.5</v>
      </c>
      <c r="C18" s="30">
        <v>2</v>
      </c>
      <c r="D18" s="30">
        <v>2</v>
      </c>
      <c r="E18" s="30"/>
      <c r="F18" s="30"/>
      <c r="G18" s="30">
        <v>0.5</v>
      </c>
      <c r="H18" s="30">
        <v>0.5</v>
      </c>
      <c r="I18" s="30">
        <v>0.5</v>
      </c>
      <c r="J18" s="30"/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f>AVERAGE(0.5,0)</f>
        <v>0.25</v>
      </c>
    </row>
    <row r="20" spans="1:34">
      <c r="A20" s="31" t="s">
        <v>134</v>
      </c>
    </row>
    <row r="21" spans="1:34">
      <c r="A21" s="26" t="s">
        <v>1001</v>
      </c>
      <c r="B21" s="56" t="s">
        <v>355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AAB7-19EB-4010-9822-C915F68602D3}">
  <dimension ref="A1:AH21"/>
  <sheetViews>
    <sheetView workbookViewId="0">
      <selection activeCell="A10" sqref="A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69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1002</v>
      </c>
      <c r="C4" s="203"/>
      <c r="D4" s="203"/>
      <c r="F4" s="204" t="s">
        <v>1003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864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362</v>
      </c>
      <c r="C8" s="29" t="s">
        <v>206</v>
      </c>
      <c r="D8" s="29" t="s">
        <v>206</v>
      </c>
      <c r="E8" s="29" t="s">
        <v>206</v>
      </c>
      <c r="F8" s="29" t="s">
        <v>206</v>
      </c>
      <c r="G8" s="29" t="s">
        <v>206</v>
      </c>
      <c r="H8" s="29" t="s">
        <v>206</v>
      </c>
      <c r="I8" s="29" t="s">
        <v>206</v>
      </c>
      <c r="J8" s="29" t="s">
        <v>206</v>
      </c>
      <c r="K8" s="29" t="s">
        <v>206</v>
      </c>
      <c r="L8" s="29" t="s">
        <v>206</v>
      </c>
      <c r="M8" s="29" t="s">
        <v>206</v>
      </c>
      <c r="N8" s="28"/>
      <c r="O8" s="28"/>
      <c r="P8" s="29" t="s">
        <v>206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206</v>
      </c>
      <c r="AB8" s="28"/>
      <c r="AC8" s="28"/>
      <c r="AD8" s="28"/>
      <c r="AE8" s="28"/>
      <c r="AF8" s="28"/>
      <c r="AG8" s="28"/>
      <c r="AH8" s="29" t="s">
        <v>363</v>
      </c>
    </row>
    <row r="9" spans="1:34">
      <c r="A9" s="26" t="s">
        <v>121</v>
      </c>
      <c r="B9" s="29" t="s">
        <v>210</v>
      </c>
      <c r="C9" s="29" t="s">
        <v>1004</v>
      </c>
      <c r="D9" s="29" t="s">
        <v>173</v>
      </c>
      <c r="E9" s="29"/>
      <c r="F9" s="29"/>
      <c r="G9" s="28" t="s">
        <v>210</v>
      </c>
      <c r="H9" s="29" t="s">
        <v>209</v>
      </c>
      <c r="I9" s="29" t="s">
        <v>206</v>
      </c>
      <c r="J9" s="29"/>
      <c r="K9" s="28" t="s">
        <v>1005</v>
      </c>
      <c r="L9" s="28" t="s">
        <v>1005</v>
      </c>
      <c r="M9" s="28" t="s">
        <v>1005</v>
      </c>
      <c r="N9" s="29"/>
      <c r="O9" s="29"/>
      <c r="P9" s="29" t="s">
        <v>177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107" t="s">
        <v>1006</v>
      </c>
      <c r="AB9" s="29"/>
      <c r="AC9" s="29"/>
      <c r="AD9" s="29"/>
      <c r="AE9" s="29"/>
      <c r="AF9" s="29"/>
      <c r="AG9" s="29"/>
      <c r="AH9" s="28" t="s">
        <v>231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29" t="s">
        <v>124</v>
      </c>
      <c r="D12" s="29" t="s">
        <v>124</v>
      </c>
      <c r="E12" s="28"/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235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124</v>
      </c>
      <c r="C13" s="28" t="s">
        <v>124</v>
      </c>
      <c r="D13" s="28" t="s">
        <v>124</v>
      </c>
      <c r="E13" s="28"/>
      <c r="F13" s="28"/>
      <c r="G13" s="28" t="s">
        <v>124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150</v>
      </c>
    </row>
    <row r="16" spans="1:34">
      <c r="A16" s="26" t="s">
        <v>130</v>
      </c>
      <c r="B16" s="30">
        <v>0.5</v>
      </c>
      <c r="C16" s="30">
        <v>0.875</v>
      </c>
      <c r="D16" s="30">
        <v>1</v>
      </c>
      <c r="E16" s="30"/>
      <c r="F16" s="30"/>
      <c r="G16" s="30">
        <v>0.5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7/6</f>
        <v>1.1666666666666667</v>
      </c>
      <c r="AB16" s="30"/>
      <c r="AC16" s="30"/>
      <c r="AD16" s="30"/>
      <c r="AE16" s="30"/>
      <c r="AF16" s="30"/>
      <c r="AG16" s="30"/>
      <c r="AH16" s="30">
        <v>-0.5</v>
      </c>
    </row>
    <row r="17" spans="1:34">
      <c r="A17" s="26" t="s">
        <v>131</v>
      </c>
      <c r="B17" s="28" t="s">
        <v>180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180</v>
      </c>
      <c r="AB17" s="28"/>
      <c r="AC17" s="28"/>
      <c r="AD17" s="28"/>
      <c r="AE17" s="28"/>
      <c r="AF17" s="28"/>
      <c r="AG17" s="28"/>
      <c r="AH17" s="28" t="s">
        <v>180</v>
      </c>
    </row>
    <row r="18" spans="1:34">
      <c r="A18" s="26" t="s">
        <v>133</v>
      </c>
      <c r="B18" s="30">
        <v>2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v>2</v>
      </c>
    </row>
    <row r="20" spans="1:34">
      <c r="A20" s="31" t="s">
        <v>134</v>
      </c>
    </row>
    <row r="21" spans="1:34">
      <c r="A21" s="26" t="s">
        <v>1007</v>
      </c>
      <c r="B21" s="56" t="s">
        <v>1008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0DA2-720E-48EE-BE53-AA506815E7E7}">
  <dimension ref="A1:AH21"/>
  <sheetViews>
    <sheetView topLeftCell="G1" workbookViewId="0">
      <selection activeCell="A10" sqref="A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841</v>
      </c>
    </row>
    <row r="3" spans="1:34" ht="17.45">
      <c r="A3" s="25" t="s">
        <v>77</v>
      </c>
      <c r="B3" s="203">
        <v>70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1002</v>
      </c>
      <c r="C4" s="203"/>
      <c r="D4" s="203"/>
      <c r="F4" s="204" t="s">
        <v>1009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885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362</v>
      </c>
      <c r="C8" s="29" t="s">
        <v>206</v>
      </c>
      <c r="D8" s="29" t="s">
        <v>206</v>
      </c>
      <c r="E8" s="29" t="s">
        <v>206</v>
      </c>
      <c r="F8" s="29" t="s">
        <v>206</v>
      </c>
      <c r="G8" s="29" t="s">
        <v>206</v>
      </c>
      <c r="H8" s="29" t="s">
        <v>206</v>
      </c>
      <c r="I8" s="29" t="s">
        <v>206</v>
      </c>
      <c r="J8" s="29" t="s">
        <v>206</v>
      </c>
      <c r="K8" s="29" t="s">
        <v>206</v>
      </c>
      <c r="L8" s="29" t="s">
        <v>206</v>
      </c>
      <c r="M8" s="29" t="s">
        <v>206</v>
      </c>
      <c r="N8" s="28"/>
      <c r="O8" s="28"/>
      <c r="P8" s="29" t="s">
        <v>206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206</v>
      </c>
      <c r="AB8" s="28"/>
      <c r="AC8" s="28"/>
      <c r="AD8" s="28"/>
      <c r="AE8" s="28"/>
      <c r="AF8" s="28"/>
      <c r="AG8" s="28"/>
      <c r="AH8" s="29" t="s">
        <v>206</v>
      </c>
    </row>
    <row r="9" spans="1:34">
      <c r="A9" s="26" t="s">
        <v>121</v>
      </c>
      <c r="B9" s="29" t="s">
        <v>210</v>
      </c>
      <c r="C9" s="29" t="s">
        <v>1004</v>
      </c>
      <c r="D9" s="29" t="s">
        <v>173</v>
      </c>
      <c r="E9" s="29"/>
      <c r="F9" s="29"/>
      <c r="G9" s="28" t="s">
        <v>210</v>
      </c>
      <c r="H9" s="29" t="s">
        <v>209</v>
      </c>
      <c r="I9" s="29" t="s">
        <v>206</v>
      </c>
      <c r="J9" s="29"/>
      <c r="K9" s="28" t="s">
        <v>1005</v>
      </c>
      <c r="L9" s="28" t="s">
        <v>1005</v>
      </c>
      <c r="M9" s="28" t="s">
        <v>1005</v>
      </c>
      <c r="N9" s="29"/>
      <c r="O9" s="29"/>
      <c r="P9" s="29" t="s">
        <v>177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107" t="s">
        <v>1006</v>
      </c>
      <c r="AB9" s="29"/>
      <c r="AC9" s="29"/>
      <c r="AD9" s="29"/>
      <c r="AE9" s="29"/>
      <c r="AF9" s="29"/>
      <c r="AG9" s="29"/>
      <c r="AH9" s="29" t="s">
        <v>211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9" t="s">
        <v>124</v>
      </c>
      <c r="D11" s="29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8" t="s">
        <v>127</v>
      </c>
      <c r="C12" s="29" t="s">
        <v>124</v>
      </c>
      <c r="D12" s="29" t="s">
        <v>124</v>
      </c>
      <c r="E12" s="28"/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235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124</v>
      </c>
      <c r="C13" s="28" t="s">
        <v>124</v>
      </c>
      <c r="D13" s="28" t="s">
        <v>124</v>
      </c>
      <c r="E13" s="28"/>
      <c r="F13" s="28"/>
      <c r="G13" s="28" t="s">
        <v>124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</row>
    <row r="16" spans="1:34">
      <c r="A16" s="26" t="s">
        <v>130</v>
      </c>
      <c r="B16" s="30">
        <v>0.5</v>
      </c>
      <c r="C16" s="30">
        <v>0.875</v>
      </c>
      <c r="D16" s="30">
        <v>1</v>
      </c>
      <c r="E16" s="30"/>
      <c r="F16" s="30"/>
      <c r="G16" s="30">
        <v>0.5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7/6</f>
        <v>1.1666666666666667</v>
      </c>
      <c r="AB16" s="30"/>
      <c r="AC16" s="30"/>
      <c r="AD16" s="30"/>
      <c r="AE16" s="30"/>
      <c r="AF16" s="30"/>
      <c r="AG16" s="30"/>
      <c r="AH16" s="30">
        <f>4/3</f>
        <v>1.3333333333333333</v>
      </c>
    </row>
    <row r="17" spans="1:34">
      <c r="A17" s="26" t="s">
        <v>131</v>
      </c>
      <c r="B17" s="28" t="s">
        <v>180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180</v>
      </c>
      <c r="AB17" s="28"/>
      <c r="AC17" s="28"/>
      <c r="AD17" s="28"/>
      <c r="AE17" s="28"/>
      <c r="AF17" s="28"/>
      <c r="AG17" s="28"/>
      <c r="AH17" s="28" t="s">
        <v>180</v>
      </c>
    </row>
    <row r="18" spans="1:34">
      <c r="A18" s="26" t="s">
        <v>133</v>
      </c>
      <c r="B18" s="30">
        <v>2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v>2</v>
      </c>
    </row>
    <row r="20" spans="1:34">
      <c r="A20" s="31" t="s">
        <v>134</v>
      </c>
    </row>
    <row r="21" spans="1:34">
      <c r="A21" s="26" t="s">
        <v>1010</v>
      </c>
      <c r="B21" s="56" t="s">
        <v>1008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DEF4-EC9B-4E86-AA01-559A4068BAFC}">
  <dimension ref="A1:AJ21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6">
      <c r="A1" s="25" t="s">
        <v>74</v>
      </c>
      <c r="D1" s="25" t="s">
        <v>840</v>
      </c>
      <c r="I1" s="25" t="s">
        <v>841</v>
      </c>
    </row>
    <row r="3" spans="1:36" ht="17.45">
      <c r="A3" s="25" t="s">
        <v>77</v>
      </c>
      <c r="B3" s="203">
        <v>71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1011</v>
      </c>
      <c r="C4" s="203"/>
      <c r="D4" s="203"/>
      <c r="F4" s="204" t="s">
        <v>1012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53" t="s">
        <v>116</v>
      </c>
    </row>
    <row r="8" spans="1:36">
      <c r="A8" s="26" t="s">
        <v>117</v>
      </c>
      <c r="B8" s="28" t="s">
        <v>394</v>
      </c>
      <c r="C8" s="28" t="s">
        <v>395</v>
      </c>
      <c r="D8" s="28" t="s">
        <v>395</v>
      </c>
      <c r="E8" s="28" t="s">
        <v>395</v>
      </c>
      <c r="F8" s="28" t="s">
        <v>395</v>
      </c>
      <c r="G8" s="28" t="s">
        <v>395</v>
      </c>
      <c r="H8" s="28" t="s">
        <v>395</v>
      </c>
      <c r="I8" s="28" t="s">
        <v>395</v>
      </c>
      <c r="J8" s="28" t="s">
        <v>395</v>
      </c>
      <c r="K8" s="28" t="s">
        <v>395</v>
      </c>
      <c r="L8" s="28" t="s">
        <v>395</v>
      </c>
      <c r="M8" s="28" t="s">
        <v>395</v>
      </c>
      <c r="N8" s="28" t="s">
        <v>395</v>
      </c>
      <c r="O8" s="28" t="s">
        <v>395</v>
      </c>
      <c r="P8" s="28" t="s">
        <v>395</v>
      </c>
      <c r="Q8" s="28" t="s">
        <v>395</v>
      </c>
      <c r="R8" s="28" t="s">
        <v>395</v>
      </c>
      <c r="S8" s="28" t="s">
        <v>395</v>
      </c>
      <c r="T8" s="28"/>
      <c r="U8" s="28"/>
      <c r="V8" s="28"/>
      <c r="W8" s="28"/>
      <c r="X8" s="28" t="s">
        <v>395</v>
      </c>
      <c r="Y8" s="28" t="s">
        <v>395</v>
      </c>
      <c r="Z8" s="28"/>
      <c r="AA8" s="28" t="s">
        <v>395</v>
      </c>
      <c r="AB8" s="28" t="s">
        <v>395</v>
      </c>
      <c r="AC8" s="28" t="s">
        <v>395</v>
      </c>
      <c r="AD8" s="28" t="s">
        <v>395</v>
      </c>
      <c r="AE8" s="28" t="s">
        <v>395</v>
      </c>
      <c r="AF8" s="28" t="s">
        <v>395</v>
      </c>
      <c r="AG8" s="28"/>
      <c r="AH8" s="28" t="s">
        <v>395</v>
      </c>
      <c r="AJ8" s="28" t="s">
        <v>313</v>
      </c>
    </row>
    <row r="9" spans="1:36">
      <c r="A9" s="26" t="s">
        <v>121</v>
      </c>
      <c r="B9" s="28" t="s">
        <v>395</v>
      </c>
      <c r="C9" s="28" t="s">
        <v>507</v>
      </c>
      <c r="D9" s="28" t="s">
        <v>507</v>
      </c>
      <c r="E9" s="28" t="s">
        <v>507</v>
      </c>
      <c r="F9" s="28" t="s">
        <v>507</v>
      </c>
      <c r="G9" s="28" t="s">
        <v>507</v>
      </c>
      <c r="H9" s="28" t="s">
        <v>507</v>
      </c>
      <c r="I9" s="28" t="s">
        <v>507</v>
      </c>
      <c r="J9" s="28" t="s">
        <v>507</v>
      </c>
      <c r="K9" s="28" t="s">
        <v>507</v>
      </c>
      <c r="L9" s="28" t="s">
        <v>507</v>
      </c>
      <c r="M9" s="28" t="s">
        <v>507</v>
      </c>
      <c r="N9" s="28" t="s">
        <v>507</v>
      </c>
      <c r="O9" s="28" t="s">
        <v>507</v>
      </c>
      <c r="P9" s="115" t="s">
        <v>400</v>
      </c>
      <c r="Q9" s="115" t="s">
        <v>400</v>
      </c>
      <c r="R9" s="29" t="s">
        <v>401</v>
      </c>
      <c r="S9" s="28" t="s">
        <v>1013</v>
      </c>
      <c r="T9" s="29"/>
      <c r="U9" s="29"/>
      <c r="V9" s="29"/>
      <c r="W9" s="29"/>
      <c r="X9" s="28" t="s">
        <v>507</v>
      </c>
      <c r="Y9" s="28" t="s">
        <v>507</v>
      </c>
      <c r="Z9" s="29"/>
      <c r="AA9" s="28" t="s">
        <v>507</v>
      </c>
      <c r="AB9" s="28" t="s">
        <v>507</v>
      </c>
      <c r="AC9" s="28" t="s">
        <v>507</v>
      </c>
      <c r="AD9" s="28" t="s">
        <v>507</v>
      </c>
      <c r="AE9" s="28" t="s">
        <v>507</v>
      </c>
      <c r="AF9" s="28" t="s">
        <v>507</v>
      </c>
      <c r="AG9" s="29"/>
      <c r="AH9" s="28" t="s">
        <v>404</v>
      </c>
      <c r="AJ9" s="28" t="s">
        <v>313</v>
      </c>
    </row>
    <row r="10" spans="1:36">
      <c r="A10" s="140" t="s">
        <v>122</v>
      </c>
      <c r="B10" s="167">
        <v>79</v>
      </c>
      <c r="C10" s="167">
        <v>83</v>
      </c>
      <c r="D10" s="167">
        <v>83</v>
      </c>
      <c r="E10" s="167">
        <v>83</v>
      </c>
      <c r="F10" s="167">
        <v>83</v>
      </c>
      <c r="G10" s="167">
        <v>83</v>
      </c>
      <c r="H10" s="167">
        <v>83</v>
      </c>
      <c r="I10" s="167">
        <v>83</v>
      </c>
      <c r="J10" s="167">
        <v>83</v>
      </c>
      <c r="K10" s="167"/>
      <c r="L10" s="167"/>
      <c r="M10" s="167"/>
      <c r="N10" s="167">
        <v>83</v>
      </c>
      <c r="O10" s="167">
        <v>83</v>
      </c>
      <c r="P10" s="167">
        <v>128</v>
      </c>
      <c r="Q10" s="167">
        <v>128</v>
      </c>
      <c r="R10" s="167">
        <v>81</v>
      </c>
      <c r="S10" s="167">
        <v>127</v>
      </c>
      <c r="T10" s="167"/>
      <c r="U10" s="167"/>
      <c r="V10" s="167"/>
      <c r="W10" s="167"/>
      <c r="X10" s="167">
        <v>83</v>
      </c>
      <c r="Y10" s="167">
        <v>83</v>
      </c>
      <c r="Z10" s="167"/>
      <c r="AA10" s="167">
        <v>83</v>
      </c>
      <c r="AB10" s="167">
        <v>83</v>
      </c>
      <c r="AC10" s="167">
        <v>83</v>
      </c>
      <c r="AD10" s="167">
        <v>83</v>
      </c>
      <c r="AE10" s="167">
        <v>83</v>
      </c>
      <c r="AF10" s="167">
        <v>83</v>
      </c>
      <c r="AG10" s="167"/>
      <c r="AH10" s="167">
        <v>78</v>
      </c>
      <c r="AJ10" s="167"/>
    </row>
    <row r="11" spans="1:36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/>
      <c r="U11" s="28"/>
      <c r="V11" s="28"/>
      <c r="W11" s="28"/>
      <c r="X11" s="28" t="s">
        <v>124</v>
      </c>
      <c r="Y11" s="28" t="s">
        <v>124</v>
      </c>
      <c r="Z11" s="28"/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 t="s">
        <v>124</v>
      </c>
      <c r="AG11" s="28"/>
      <c r="AH11" s="28" t="s">
        <v>124</v>
      </c>
      <c r="AJ11" s="29" t="s">
        <v>124</v>
      </c>
    </row>
    <row r="12" spans="1:36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/>
      <c r="U12" s="28"/>
      <c r="V12" s="28"/>
      <c r="W12" s="28"/>
      <c r="X12" s="28" t="s">
        <v>124</v>
      </c>
      <c r="Y12" s="28" t="s">
        <v>124</v>
      </c>
      <c r="Z12" s="28"/>
      <c r="AA12" s="28" t="s">
        <v>124</v>
      </c>
      <c r="AB12" s="28" t="s">
        <v>124</v>
      </c>
      <c r="AC12" s="28" t="s">
        <v>124</v>
      </c>
      <c r="AD12" s="28" t="s">
        <v>124</v>
      </c>
      <c r="AE12" s="28" t="s">
        <v>124</v>
      </c>
      <c r="AF12" s="28" t="s">
        <v>124</v>
      </c>
      <c r="AG12" s="28"/>
      <c r="AH12" s="28" t="s">
        <v>124</v>
      </c>
      <c r="AJ12" s="29" t="s">
        <v>124</v>
      </c>
    </row>
    <row r="13" spans="1:36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/>
      <c r="U13" s="28"/>
      <c r="V13" s="28"/>
      <c r="W13" s="28"/>
      <c r="X13" s="28" t="s">
        <v>127</v>
      </c>
      <c r="Y13" s="28" t="s">
        <v>127</v>
      </c>
      <c r="Z13" s="28"/>
      <c r="AA13" s="28" t="s">
        <v>127</v>
      </c>
      <c r="AB13" s="28" t="s">
        <v>127</v>
      </c>
      <c r="AC13" s="28" t="s">
        <v>127</v>
      </c>
      <c r="AD13" s="28" t="s">
        <v>127</v>
      </c>
      <c r="AE13" s="28" t="s">
        <v>127</v>
      </c>
      <c r="AF13" s="28" t="s">
        <v>127</v>
      </c>
      <c r="AG13" s="28"/>
      <c r="AH13" s="28" t="s">
        <v>127</v>
      </c>
      <c r="AJ13" s="28" t="s">
        <v>127</v>
      </c>
    </row>
    <row r="14" spans="1:36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/>
      <c r="U14" s="28"/>
      <c r="V14" s="28"/>
      <c r="W14" s="28"/>
      <c r="X14" s="28" t="s">
        <v>127</v>
      </c>
      <c r="Y14" s="28" t="s">
        <v>127</v>
      </c>
      <c r="Z14" s="28"/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 t="s">
        <v>127</v>
      </c>
      <c r="AG14" s="28"/>
      <c r="AH14" s="28" t="s">
        <v>127</v>
      </c>
      <c r="AJ14" s="28" t="s">
        <v>127</v>
      </c>
    </row>
    <row r="15" spans="1:36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149</v>
      </c>
      <c r="L15" s="28" t="s">
        <v>149</v>
      </c>
      <c r="M15" s="28" t="s">
        <v>149</v>
      </c>
      <c r="N15" s="28" t="s">
        <v>149</v>
      </c>
      <c r="O15" s="28" t="s">
        <v>149</v>
      </c>
      <c r="P15" s="28" t="s">
        <v>408</v>
      </c>
      <c r="Q15" s="28" t="s">
        <v>408</v>
      </c>
      <c r="R15" s="28" t="s">
        <v>408</v>
      </c>
      <c r="S15" s="115" t="s">
        <v>407</v>
      </c>
      <c r="T15" s="28"/>
      <c r="U15" s="28"/>
      <c r="V15" s="28"/>
      <c r="W15" s="28"/>
      <c r="X15" s="28" t="s">
        <v>149</v>
      </c>
      <c r="Y15" s="28" t="s">
        <v>149</v>
      </c>
      <c r="Z15" s="28"/>
      <c r="AA15" s="28" t="s">
        <v>149</v>
      </c>
      <c r="AB15" s="28" t="s">
        <v>149</v>
      </c>
      <c r="AC15" s="28" t="s">
        <v>149</v>
      </c>
      <c r="AD15" s="28" t="s">
        <v>149</v>
      </c>
      <c r="AE15" s="28" t="s">
        <v>149</v>
      </c>
      <c r="AF15" s="28" t="s">
        <v>149</v>
      </c>
      <c r="AG15" s="28"/>
      <c r="AH15" s="28" t="s">
        <v>149</v>
      </c>
      <c r="AJ15" s="28" t="s">
        <v>149</v>
      </c>
    </row>
    <row r="16" spans="1:36">
      <c r="A16" s="26" t="s">
        <v>130</v>
      </c>
      <c r="B16" s="30">
        <v>0.75</v>
      </c>
      <c r="C16" s="30">
        <v>0.75</v>
      </c>
      <c r="D16" s="30">
        <v>0.75</v>
      </c>
      <c r="E16" s="30">
        <v>0.75</v>
      </c>
      <c r="F16" s="30">
        <v>0.75</v>
      </c>
      <c r="G16" s="30">
        <v>0.75</v>
      </c>
      <c r="H16" s="30">
        <v>0.75</v>
      </c>
      <c r="I16" s="30">
        <v>0.75</v>
      </c>
      <c r="J16" s="30">
        <v>0.75</v>
      </c>
      <c r="K16" s="30"/>
      <c r="L16" s="30"/>
      <c r="M16" s="30"/>
      <c r="N16" s="30">
        <v>0.75</v>
      </c>
      <c r="O16" s="30">
        <v>0.75</v>
      </c>
      <c r="P16" s="30">
        <v>-4</v>
      </c>
      <c r="Q16" s="30">
        <v>-4</v>
      </c>
      <c r="R16" s="30">
        <v>-4</v>
      </c>
      <c r="S16" s="30">
        <f>AVERAGE(0.75,0.75,-4)</f>
        <v>-0.83333333333333337</v>
      </c>
      <c r="T16" s="30"/>
      <c r="U16" s="30"/>
      <c r="V16" s="30"/>
      <c r="W16" s="30"/>
      <c r="X16" s="30">
        <v>0.75</v>
      </c>
      <c r="Y16" s="30">
        <v>0.75</v>
      </c>
      <c r="Z16" s="30"/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v>0.75</v>
      </c>
      <c r="AG16" s="30"/>
      <c r="AH16" s="88">
        <f>5/3</f>
        <v>1.6666666666666667</v>
      </c>
      <c r="AJ16" s="30">
        <v>1.67</v>
      </c>
    </row>
    <row r="17" spans="1:36">
      <c r="A17" s="26" t="s">
        <v>131</v>
      </c>
      <c r="B17" s="28" t="s">
        <v>409</v>
      </c>
      <c r="C17" s="28" t="s">
        <v>409</v>
      </c>
      <c r="D17" s="28" t="s">
        <v>409</v>
      </c>
      <c r="E17" s="28" t="s">
        <v>409</v>
      </c>
      <c r="F17" s="28" t="s">
        <v>409</v>
      </c>
      <c r="G17" s="28" t="s">
        <v>409</v>
      </c>
      <c r="H17" s="28" t="s">
        <v>409</v>
      </c>
      <c r="I17" s="28" t="s">
        <v>409</v>
      </c>
      <c r="J17" s="28" t="s">
        <v>409</v>
      </c>
      <c r="K17" s="28" t="s">
        <v>409</v>
      </c>
      <c r="L17" s="28" t="s">
        <v>409</v>
      </c>
      <c r="M17" s="28" t="s">
        <v>409</v>
      </c>
      <c r="N17" s="28" t="s">
        <v>409</v>
      </c>
      <c r="O17" s="28" t="s">
        <v>409</v>
      </c>
      <c r="P17" s="115" t="s">
        <v>411</v>
      </c>
      <c r="Q17" s="115" t="s">
        <v>411</v>
      </c>
      <c r="R17" s="28" t="s">
        <v>409</v>
      </c>
      <c r="S17" s="115" t="s">
        <v>1014</v>
      </c>
      <c r="T17" s="28"/>
      <c r="U17" s="28"/>
      <c r="V17" s="28"/>
      <c r="W17" s="28"/>
      <c r="X17" s="28" t="s">
        <v>409</v>
      </c>
      <c r="Y17" s="28" t="s">
        <v>409</v>
      </c>
      <c r="Z17" s="28"/>
      <c r="AA17" s="28" t="s">
        <v>409</v>
      </c>
      <c r="AB17" s="28" t="s">
        <v>409</v>
      </c>
      <c r="AC17" s="28" t="s">
        <v>409</v>
      </c>
      <c r="AD17" s="28" t="s">
        <v>409</v>
      </c>
      <c r="AE17" s="28" t="s">
        <v>409</v>
      </c>
      <c r="AF17" s="28" t="s">
        <v>409</v>
      </c>
      <c r="AG17" s="28"/>
      <c r="AH17" s="83" t="s">
        <v>409</v>
      </c>
      <c r="AJ17" s="28" t="s">
        <v>312</v>
      </c>
    </row>
    <row r="18" spans="1:36">
      <c r="A18" s="26" t="s">
        <v>133</v>
      </c>
      <c r="B18" s="30">
        <v>1.25</v>
      </c>
      <c r="C18" s="30">
        <v>0.875</v>
      </c>
      <c r="D18" s="30">
        <v>0.875</v>
      </c>
      <c r="E18" s="30">
        <v>0.875</v>
      </c>
      <c r="F18" s="30">
        <v>0.875</v>
      </c>
      <c r="G18" s="30">
        <v>0.875</v>
      </c>
      <c r="H18" s="30">
        <v>0.875</v>
      </c>
      <c r="I18" s="30">
        <v>0.875</v>
      </c>
      <c r="J18" s="30">
        <v>0.875</v>
      </c>
      <c r="K18" s="30">
        <v>0.875</v>
      </c>
      <c r="L18" s="30">
        <v>0.875</v>
      </c>
      <c r="M18" s="30">
        <v>0.875</v>
      </c>
      <c r="N18" s="30">
        <v>0.875</v>
      </c>
      <c r="O18" s="30">
        <v>0.875</v>
      </c>
      <c r="P18" s="30">
        <v>1.75</v>
      </c>
      <c r="Q18" s="30">
        <v>1.75</v>
      </c>
      <c r="R18" s="30">
        <v>1.25</v>
      </c>
      <c r="S18" s="30">
        <f>AVERAGE(25/16,25/16,1.25)</f>
        <v>1.4583333333333333</v>
      </c>
      <c r="T18" s="30"/>
      <c r="U18" s="30"/>
      <c r="V18" s="30"/>
      <c r="W18" s="30"/>
      <c r="X18" s="30">
        <v>0.875</v>
      </c>
      <c r="Y18" s="30">
        <v>0.875</v>
      </c>
      <c r="Z18" s="30"/>
      <c r="AA18" s="30">
        <v>0.875</v>
      </c>
      <c r="AB18" s="30">
        <v>0.875</v>
      </c>
      <c r="AC18" s="30">
        <v>0.875</v>
      </c>
      <c r="AD18" s="30">
        <v>0.875</v>
      </c>
      <c r="AE18" s="30">
        <v>0.875</v>
      </c>
      <c r="AF18" s="30">
        <v>0.875</v>
      </c>
      <c r="AG18" s="30"/>
      <c r="AH18" s="88">
        <v>1.25</v>
      </c>
      <c r="AJ18" s="30">
        <v>1.5</v>
      </c>
    </row>
    <row r="19" spans="1:36">
      <c r="AH19" s="78" t="s">
        <v>1015</v>
      </c>
      <c r="AJ19" s="78" t="s">
        <v>1016</v>
      </c>
    </row>
    <row r="20" spans="1:36">
      <c r="A20" s="31" t="s">
        <v>134</v>
      </c>
    </row>
    <row r="21" spans="1:36">
      <c r="A21" s="26" t="s">
        <v>1017</v>
      </c>
      <c r="B21" s="56" t="s">
        <v>1018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BB6-6C79-478B-9C2C-0A4F489CB6E1}">
  <dimension ref="A1:AJ22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>
      <c r="A1" s="25" t="s">
        <v>74</v>
      </c>
      <c r="D1" s="25" t="s">
        <v>840</v>
      </c>
      <c r="I1" s="25" t="s">
        <v>841</v>
      </c>
    </row>
    <row r="3" spans="1:36" ht="17.45">
      <c r="A3" s="25" t="s">
        <v>77</v>
      </c>
      <c r="B3" s="203">
        <v>72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6" ht="17.45">
      <c r="A4" s="25" t="s">
        <v>79</v>
      </c>
      <c r="B4" s="203" t="s">
        <v>1019</v>
      </c>
      <c r="C4" s="203"/>
      <c r="D4" s="203"/>
      <c r="F4" s="204" t="s">
        <v>1020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6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43" t="s">
        <v>6</v>
      </c>
    </row>
    <row r="8" spans="1:36">
      <c r="A8" s="26" t="s">
        <v>117</v>
      </c>
      <c r="B8" s="28" t="s">
        <v>409</v>
      </c>
      <c r="C8" s="29" t="s">
        <v>287</v>
      </c>
      <c r="D8" s="29" t="s">
        <v>287</v>
      </c>
      <c r="E8" s="29"/>
      <c r="F8" s="29"/>
      <c r="G8" s="29" t="s">
        <v>419</v>
      </c>
      <c r="H8" s="29" t="s">
        <v>419</v>
      </c>
      <c r="I8" s="29" t="s">
        <v>419</v>
      </c>
      <c r="J8" s="28"/>
      <c r="K8" s="29" t="s">
        <v>419</v>
      </c>
      <c r="L8" s="29" t="s">
        <v>419</v>
      </c>
      <c r="M8" s="29" t="s">
        <v>419</v>
      </c>
      <c r="N8" s="28"/>
      <c r="O8" s="28"/>
      <c r="P8" s="29" t="s">
        <v>419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419</v>
      </c>
      <c r="AB8" s="28"/>
      <c r="AC8" s="28"/>
      <c r="AD8" s="28"/>
      <c r="AE8" s="28"/>
      <c r="AF8" s="28"/>
      <c r="AG8" s="28"/>
      <c r="AH8" s="29" t="s">
        <v>395</v>
      </c>
      <c r="AJ8" s="28" t="s">
        <v>409</v>
      </c>
    </row>
    <row r="9" spans="1:36">
      <c r="A9" s="26" t="s">
        <v>121</v>
      </c>
      <c r="B9" s="28" t="s">
        <v>425</v>
      </c>
      <c r="C9" s="29" t="s">
        <v>287</v>
      </c>
      <c r="D9" s="29" t="s">
        <v>287</v>
      </c>
      <c r="E9" s="29"/>
      <c r="F9" s="29"/>
      <c r="G9" s="28" t="s">
        <v>419</v>
      </c>
      <c r="H9" s="28" t="s">
        <v>419</v>
      </c>
      <c r="I9" s="28" t="s">
        <v>419</v>
      </c>
      <c r="J9" s="29"/>
      <c r="K9" s="29" t="s">
        <v>419</v>
      </c>
      <c r="L9" s="28" t="s">
        <v>504</v>
      </c>
      <c r="M9" s="28" t="s">
        <v>505</v>
      </c>
      <c r="N9" s="29"/>
      <c r="O9" s="29"/>
      <c r="P9" s="28" t="s">
        <v>419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419</v>
      </c>
      <c r="AB9" s="29"/>
      <c r="AC9" s="29"/>
      <c r="AD9" s="29"/>
      <c r="AE9" s="29"/>
      <c r="AF9" s="29"/>
      <c r="AG9" s="29"/>
      <c r="AH9" s="28" t="s">
        <v>507</v>
      </c>
      <c r="AJ9" s="28" t="s">
        <v>430</v>
      </c>
    </row>
    <row r="10" spans="1:36">
      <c r="A10" s="140" t="s">
        <v>122</v>
      </c>
      <c r="B10" s="167">
        <v>87</v>
      </c>
      <c r="C10" s="167" t="s">
        <v>287</v>
      </c>
      <c r="D10" s="167" t="s">
        <v>287</v>
      </c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J10" s="167">
        <v>139</v>
      </c>
    </row>
    <row r="11" spans="1:36">
      <c r="A11" s="26" t="s">
        <v>123</v>
      </c>
      <c r="B11" s="28" t="s">
        <v>124</v>
      </c>
      <c r="C11" s="28" t="s">
        <v>127</v>
      </c>
      <c r="D11" s="28" t="s">
        <v>127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8" t="s">
        <v>124</v>
      </c>
    </row>
    <row r="12" spans="1:36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  <c r="AJ12" s="28" t="s">
        <v>124</v>
      </c>
    </row>
    <row r="13" spans="1:36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28" t="s">
        <v>127</v>
      </c>
    </row>
    <row r="14" spans="1:36">
      <c r="A14" s="26" t="s">
        <v>128</v>
      </c>
      <c r="B14" s="28" t="s">
        <v>124</v>
      </c>
      <c r="C14" s="28" t="s">
        <v>124</v>
      </c>
      <c r="D14" s="28" t="s">
        <v>124</v>
      </c>
      <c r="E14" s="28"/>
      <c r="F14" s="28"/>
      <c r="G14" s="28" t="s">
        <v>124</v>
      </c>
      <c r="H14" s="28" t="s">
        <v>124</v>
      </c>
      <c r="I14" s="28" t="s">
        <v>124</v>
      </c>
      <c r="J14" s="28"/>
      <c r="K14" s="28" t="s">
        <v>124</v>
      </c>
      <c r="L14" s="28" t="s">
        <v>124</v>
      </c>
      <c r="M14" s="28" t="s">
        <v>124</v>
      </c>
      <c r="N14" s="28"/>
      <c r="O14" s="28"/>
      <c r="P14" s="28" t="s">
        <v>124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124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124</v>
      </c>
    </row>
    <row r="15" spans="1:36">
      <c r="A15" s="26" t="s">
        <v>129</v>
      </c>
      <c r="B15" s="28" t="s">
        <v>432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615</v>
      </c>
      <c r="M15" s="28" t="s">
        <v>150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  <c r="AJ15" s="28" t="s">
        <v>150</v>
      </c>
    </row>
    <row r="16" spans="1:36">
      <c r="A16" s="26" t="s">
        <v>130</v>
      </c>
      <c r="B16" s="30">
        <f>-7/6</f>
        <v>-1.1666666666666667</v>
      </c>
      <c r="C16" s="30">
        <f>AVERAGE(1.5,0.5)</f>
        <v>1</v>
      </c>
      <c r="D16" s="30">
        <f>AVERAGE(1.5,0.5)</f>
        <v>1</v>
      </c>
      <c r="E16" s="30"/>
      <c r="F16" s="30"/>
      <c r="G16" s="30">
        <v>0.75</v>
      </c>
      <c r="H16" s="30">
        <v>0.75</v>
      </c>
      <c r="I16" s="30">
        <v>0.75</v>
      </c>
      <c r="J16" s="30"/>
      <c r="K16" s="30">
        <v>0.75</v>
      </c>
      <c r="L16" s="30">
        <v>-1.125</v>
      </c>
      <c r="M16" s="30">
        <v>-3</v>
      </c>
      <c r="N16" s="30"/>
      <c r="O16" s="30"/>
      <c r="P16" s="30">
        <v>0.75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0.75</v>
      </c>
      <c r="AB16" s="30"/>
      <c r="AC16" s="30"/>
      <c r="AD16" s="30"/>
      <c r="AE16" s="30"/>
      <c r="AF16" s="30"/>
      <c r="AG16" s="30"/>
      <c r="AH16" s="30">
        <v>0.75</v>
      </c>
      <c r="AJ16" s="30">
        <f>-1/6</f>
        <v>-0.16666666666666666</v>
      </c>
    </row>
    <row r="17" spans="1:36">
      <c r="A17" s="26" t="s">
        <v>131</v>
      </c>
      <c r="B17" s="28" t="s">
        <v>435</v>
      </c>
      <c r="C17" s="29" t="s">
        <v>287</v>
      </c>
      <c r="D17" s="29" t="s">
        <v>287</v>
      </c>
      <c r="E17" s="28"/>
      <c r="F17" s="28"/>
      <c r="G17" s="28" t="s">
        <v>435</v>
      </c>
      <c r="H17" s="28" t="s">
        <v>435</v>
      </c>
      <c r="I17" s="28" t="s">
        <v>435</v>
      </c>
      <c r="J17" s="28"/>
      <c r="K17" s="28" t="s">
        <v>435</v>
      </c>
      <c r="L17" s="28" t="s">
        <v>435</v>
      </c>
      <c r="M17" s="28" t="s">
        <v>435</v>
      </c>
      <c r="N17" s="28"/>
      <c r="O17" s="28"/>
      <c r="P17" s="28" t="s">
        <v>435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435</v>
      </c>
      <c r="AB17" s="28"/>
      <c r="AC17" s="28"/>
      <c r="AD17" s="28"/>
      <c r="AE17" s="28"/>
      <c r="AF17" s="28"/>
      <c r="AG17" s="28"/>
      <c r="AH17" s="28" t="s">
        <v>409</v>
      </c>
      <c r="AJ17" s="28" t="s">
        <v>435</v>
      </c>
    </row>
    <row r="18" spans="1:36">
      <c r="A18" s="26" t="s">
        <v>133</v>
      </c>
      <c r="B18" s="30">
        <v>0.75</v>
      </c>
      <c r="C18" s="30">
        <v>0</v>
      </c>
      <c r="D18" s="30">
        <v>0</v>
      </c>
      <c r="E18" s="30"/>
      <c r="F18" s="30"/>
      <c r="G18" s="30">
        <v>0.75</v>
      </c>
      <c r="H18" s="30">
        <v>0.75</v>
      </c>
      <c r="I18" s="30">
        <v>0.75</v>
      </c>
      <c r="J18" s="30"/>
      <c r="K18" s="30">
        <v>0.75</v>
      </c>
      <c r="L18" s="30">
        <v>0.75</v>
      </c>
      <c r="M18" s="30">
        <v>0.75</v>
      </c>
      <c r="N18" s="30"/>
      <c r="O18" s="30"/>
      <c r="P18" s="30">
        <v>0.75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0.75</v>
      </c>
      <c r="AB18" s="30"/>
      <c r="AC18" s="30"/>
      <c r="AD18" s="30"/>
      <c r="AE18" s="30"/>
      <c r="AF18" s="30"/>
      <c r="AG18" s="30"/>
      <c r="AH18" s="30">
        <v>0.875</v>
      </c>
      <c r="AJ18" s="30">
        <v>0.75</v>
      </c>
    </row>
    <row r="19" spans="1:36">
      <c r="B19" s="78" t="s">
        <v>1021</v>
      </c>
      <c r="AJ19" s="78" t="s">
        <v>1022</v>
      </c>
    </row>
    <row r="20" spans="1:36">
      <c r="A20" s="31" t="s">
        <v>134</v>
      </c>
    </row>
    <row r="21" spans="1:36">
      <c r="A21" s="26" t="s">
        <v>1023</v>
      </c>
      <c r="B21" s="56" t="s">
        <v>1024</v>
      </c>
    </row>
    <row r="22" spans="1:36">
      <c r="A22" s="26" t="s">
        <v>1025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6540-A0F8-439E-B692-CC58BE6A7CC1}">
  <dimension ref="A1:AN22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5" width="5.7109375" style="26" customWidth="1"/>
    <col min="56" max="16384" width="9.140625" style="26"/>
  </cols>
  <sheetData>
    <row r="1" spans="1:40">
      <c r="A1" s="25" t="s">
        <v>74</v>
      </c>
      <c r="D1" s="25" t="s">
        <v>840</v>
      </c>
      <c r="I1" s="25" t="s">
        <v>841</v>
      </c>
    </row>
    <row r="3" spans="1:40" ht="17.45">
      <c r="A3" s="25" t="s">
        <v>77</v>
      </c>
      <c r="B3" s="203">
        <v>73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0" ht="17.45">
      <c r="A4" s="25" t="s">
        <v>79</v>
      </c>
      <c r="B4" s="203" t="s">
        <v>1026</v>
      </c>
      <c r="C4" s="203"/>
      <c r="D4" s="203"/>
      <c r="F4" s="204" t="s">
        <v>1027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0" ht="17.45">
      <c r="A5" s="25" t="s">
        <v>82</v>
      </c>
      <c r="B5" s="203" t="s">
        <v>1028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0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32" t="s">
        <v>85</v>
      </c>
      <c r="AK7" s="32" t="s">
        <v>86</v>
      </c>
      <c r="AL7" s="35" t="s">
        <v>89</v>
      </c>
      <c r="AM7" s="35" t="s">
        <v>90</v>
      </c>
      <c r="AN7" s="36" t="s">
        <v>91</v>
      </c>
    </row>
    <row r="8" spans="1:40">
      <c r="A8" s="26" t="s">
        <v>117</v>
      </c>
      <c r="B8" s="29" t="s">
        <v>455</v>
      </c>
      <c r="C8" s="29" t="s">
        <v>269</v>
      </c>
      <c r="D8" s="29" t="s">
        <v>269</v>
      </c>
      <c r="E8" s="29"/>
      <c r="F8" s="29"/>
      <c r="G8" s="29" t="s">
        <v>264</v>
      </c>
      <c r="H8" s="29" t="s">
        <v>264</v>
      </c>
      <c r="I8" s="29" t="s">
        <v>264</v>
      </c>
      <c r="J8" s="28"/>
      <c r="K8" s="29" t="s">
        <v>269</v>
      </c>
      <c r="L8" s="29" t="s">
        <v>269</v>
      </c>
      <c r="M8" s="29" t="s">
        <v>269</v>
      </c>
      <c r="N8" s="28"/>
      <c r="O8" s="28"/>
      <c r="P8" s="29" t="s">
        <v>502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1029</v>
      </c>
      <c r="AB8" s="28"/>
      <c r="AC8" s="28"/>
      <c r="AD8" s="28"/>
      <c r="AE8" s="28"/>
      <c r="AF8" s="28"/>
      <c r="AG8" s="28"/>
      <c r="AH8" s="28" t="s">
        <v>949</v>
      </c>
      <c r="AJ8" s="29" t="s">
        <v>269</v>
      </c>
      <c r="AK8" s="29" t="s">
        <v>269</v>
      </c>
      <c r="AL8" s="29" t="s">
        <v>287</v>
      </c>
      <c r="AM8" s="29" t="s">
        <v>287</v>
      </c>
      <c r="AN8" s="29" t="s">
        <v>287</v>
      </c>
    </row>
    <row r="9" spans="1:40">
      <c r="A9" s="26" t="s">
        <v>121</v>
      </c>
      <c r="B9" s="28" t="s">
        <v>269</v>
      </c>
      <c r="C9" s="28" t="s">
        <v>560</v>
      </c>
      <c r="D9" s="28" t="s">
        <v>560</v>
      </c>
      <c r="E9" s="29"/>
      <c r="F9" s="29"/>
      <c r="G9" s="28" t="s">
        <v>953</v>
      </c>
      <c r="H9" s="28" t="s">
        <v>953</v>
      </c>
      <c r="I9" s="28" t="s">
        <v>953</v>
      </c>
      <c r="J9" s="29"/>
      <c r="K9" s="28" t="s">
        <v>271</v>
      </c>
      <c r="L9" s="28" t="s">
        <v>178</v>
      </c>
      <c r="M9" s="28" t="s">
        <v>271</v>
      </c>
      <c r="N9" s="29"/>
      <c r="O9" s="29"/>
      <c r="P9" s="28" t="s">
        <v>287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954</v>
      </c>
      <c r="AB9" s="29"/>
      <c r="AC9" s="29"/>
      <c r="AD9" s="29"/>
      <c r="AE9" s="29"/>
      <c r="AF9" s="29"/>
      <c r="AG9" s="29"/>
      <c r="AH9" s="28" t="s">
        <v>1030</v>
      </c>
      <c r="AJ9" s="28" t="s">
        <v>271</v>
      </c>
      <c r="AK9" s="28" t="s">
        <v>271</v>
      </c>
      <c r="AL9" s="28" t="s">
        <v>287</v>
      </c>
      <c r="AM9" s="28" t="s">
        <v>287</v>
      </c>
      <c r="AN9" s="28" t="s">
        <v>287</v>
      </c>
    </row>
    <row r="10" spans="1:40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40">
      <c r="A11" s="26" t="s">
        <v>123</v>
      </c>
      <c r="B11" s="28" t="s">
        <v>124</v>
      </c>
      <c r="C11" s="28" t="s">
        <v>215</v>
      </c>
      <c r="D11" s="28" t="s">
        <v>215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9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215</v>
      </c>
      <c r="AJ11" s="28" t="s">
        <v>124</v>
      </c>
      <c r="AK11" s="28" t="s">
        <v>124</v>
      </c>
      <c r="AL11" s="29" t="s">
        <v>127</v>
      </c>
      <c r="AM11" s="29" t="s">
        <v>127</v>
      </c>
      <c r="AN11" s="29" t="s">
        <v>127</v>
      </c>
    </row>
    <row r="12" spans="1:40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  <c r="AJ12" s="28" t="s">
        <v>124</v>
      </c>
      <c r="AK12" s="28" t="s">
        <v>124</v>
      </c>
      <c r="AL12" s="28" t="s">
        <v>124</v>
      </c>
      <c r="AM12" s="28" t="s">
        <v>124</v>
      </c>
      <c r="AN12" s="28" t="s">
        <v>124</v>
      </c>
    </row>
    <row r="13" spans="1:40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215</v>
      </c>
      <c r="AJ13" s="28" t="s">
        <v>124</v>
      </c>
      <c r="AK13" s="28" t="s">
        <v>124</v>
      </c>
      <c r="AL13" s="28" t="s">
        <v>127</v>
      </c>
      <c r="AM13" s="28" t="s">
        <v>127</v>
      </c>
      <c r="AN13" s="28" t="s">
        <v>127</v>
      </c>
    </row>
    <row r="14" spans="1:40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  <c r="AL14" s="28" t="s">
        <v>127</v>
      </c>
      <c r="AM14" s="28" t="s">
        <v>127</v>
      </c>
      <c r="AN14" s="28" t="s">
        <v>127</v>
      </c>
    </row>
    <row r="15" spans="1:40">
      <c r="A15" s="26" t="s">
        <v>129</v>
      </c>
      <c r="B15" s="28" t="s">
        <v>150</v>
      </c>
      <c r="C15" s="28" t="s">
        <v>150</v>
      </c>
      <c r="D15" s="28" t="s">
        <v>150</v>
      </c>
      <c r="E15" s="28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28" t="s">
        <v>150</v>
      </c>
      <c r="AJ15" s="28" t="s">
        <v>150</v>
      </c>
      <c r="AK15" s="28" t="s">
        <v>150</v>
      </c>
      <c r="AL15" s="28" t="s">
        <v>150</v>
      </c>
      <c r="AM15" s="28" t="s">
        <v>150</v>
      </c>
      <c r="AN15" s="28" t="s">
        <v>150</v>
      </c>
    </row>
    <row r="16" spans="1:40">
      <c r="A16" s="26" t="s">
        <v>130</v>
      </c>
      <c r="B16" s="30">
        <v>-2</v>
      </c>
      <c r="C16" s="30">
        <v>-2</v>
      </c>
      <c r="D16" s="30">
        <v>-2</v>
      </c>
      <c r="E16" s="30"/>
      <c r="F16" s="30"/>
      <c r="G16" s="30">
        <v>-2</v>
      </c>
      <c r="H16" s="30">
        <v>-2</v>
      </c>
      <c r="I16" s="30">
        <v>-2</v>
      </c>
      <c r="J16" s="30"/>
      <c r="K16" s="30">
        <v>-0.5</v>
      </c>
      <c r="L16" s="30">
        <v>-0.5</v>
      </c>
      <c r="M16" s="30">
        <v>-0.5</v>
      </c>
      <c r="N16" s="30"/>
      <c r="O16" s="30"/>
      <c r="P16" s="30">
        <v>-2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-0.5</v>
      </c>
      <c r="AJ16" s="30">
        <v>-0.5</v>
      </c>
      <c r="AK16" s="30">
        <v>-0.5</v>
      </c>
      <c r="AL16" s="30">
        <v>-2</v>
      </c>
      <c r="AM16" s="30">
        <v>-2</v>
      </c>
      <c r="AN16" s="30">
        <v>-2</v>
      </c>
    </row>
    <row r="17" spans="1:40">
      <c r="A17" s="26" t="s">
        <v>131</v>
      </c>
      <c r="B17" s="28" t="s">
        <v>280</v>
      </c>
      <c r="C17" s="103" t="s">
        <v>483</v>
      </c>
      <c r="D17" s="103" t="s">
        <v>483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151</v>
      </c>
      <c r="M17" s="28" t="s">
        <v>180</v>
      </c>
      <c r="N17" s="28"/>
      <c r="O17" s="28"/>
      <c r="P17" s="29" t="s">
        <v>287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/>
      <c r="AH17" s="28" t="s">
        <v>1031</v>
      </c>
      <c r="AJ17" s="28" t="s">
        <v>180</v>
      </c>
      <c r="AK17" s="28" t="s">
        <v>180</v>
      </c>
      <c r="AL17" s="29" t="s">
        <v>287</v>
      </c>
      <c r="AM17" s="29" t="s">
        <v>287</v>
      </c>
      <c r="AN17" s="29" t="s">
        <v>287</v>
      </c>
    </row>
    <row r="18" spans="1:40">
      <c r="A18" s="26" t="s">
        <v>133</v>
      </c>
      <c r="B18" s="30">
        <v>0.5</v>
      </c>
      <c r="C18" s="30">
        <f>AVERAGE(0.5,0)</f>
        <v>0.25</v>
      </c>
      <c r="D18" s="30">
        <f>AVERAGE(0.5,0)</f>
        <v>0.25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3</v>
      </c>
      <c r="M18" s="30">
        <v>2</v>
      </c>
      <c r="N18" s="30"/>
      <c r="O18" s="30"/>
      <c r="P18" s="30">
        <v>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f>AVERAGE(2,0)</f>
        <v>1</v>
      </c>
      <c r="AJ18" s="30">
        <v>2</v>
      </c>
      <c r="AK18" s="30">
        <v>2</v>
      </c>
      <c r="AL18" s="30">
        <v>0</v>
      </c>
      <c r="AM18" s="30">
        <v>0</v>
      </c>
      <c r="AN18" s="30">
        <v>0</v>
      </c>
    </row>
    <row r="19" spans="1:40">
      <c r="C19" s="134" t="s">
        <v>1032</v>
      </c>
      <c r="AJ19" s="134" t="s">
        <v>1033</v>
      </c>
    </row>
    <row r="20" spans="1:40">
      <c r="A20" s="31" t="s">
        <v>134</v>
      </c>
    </row>
    <row r="21" spans="1:40">
      <c r="A21" s="108" t="s">
        <v>1034</v>
      </c>
      <c r="B21" s="93" t="s">
        <v>1035</v>
      </c>
    </row>
    <row r="22" spans="1:40">
      <c r="A22" s="108" t="s">
        <v>1036</v>
      </c>
      <c r="B22" s="93" t="s">
        <v>1037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5B58-F4B6-47B4-A4AB-5F8D9AD8CE9E}">
  <dimension ref="A1:AT2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60" width="5.7109375" style="26" customWidth="1"/>
    <col min="61" max="16384" width="9.140625" style="26"/>
  </cols>
  <sheetData>
    <row r="1" spans="1:46">
      <c r="A1" s="25" t="s">
        <v>74</v>
      </c>
      <c r="D1" s="25" t="s">
        <v>840</v>
      </c>
      <c r="I1" s="25" t="s">
        <v>841</v>
      </c>
    </row>
    <row r="3" spans="1:46" ht="17.45">
      <c r="A3" s="25" t="s">
        <v>77</v>
      </c>
      <c r="B3" s="203">
        <v>74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6" ht="17.45">
      <c r="A4" s="25" t="s">
        <v>79</v>
      </c>
      <c r="B4" s="203" t="s">
        <v>1026</v>
      </c>
      <c r="C4" s="203"/>
      <c r="D4" s="203"/>
      <c r="F4" s="204" t="s">
        <v>1038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6" ht="17.45">
      <c r="A5" s="25" t="s">
        <v>82</v>
      </c>
      <c r="B5" s="203" t="s">
        <v>1039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35" t="s">
        <v>89</v>
      </c>
      <c r="AK7" s="35" t="s">
        <v>90</v>
      </c>
      <c r="AL7" s="36" t="s">
        <v>91</v>
      </c>
      <c r="AM7" s="39" t="s">
        <v>93</v>
      </c>
      <c r="AN7" s="39" t="s">
        <v>94</v>
      </c>
      <c r="AO7" s="39" t="s">
        <v>95</v>
      </c>
      <c r="AQ7" s="32" t="s">
        <v>85</v>
      </c>
      <c r="AR7" s="32" t="s">
        <v>86</v>
      </c>
      <c r="AS7" s="48" t="s">
        <v>109</v>
      </c>
      <c r="AT7" s="53" t="s">
        <v>116</v>
      </c>
    </row>
    <row r="8" spans="1:46">
      <c r="A8" s="26" t="s">
        <v>117</v>
      </c>
      <c r="B8" s="29" t="s">
        <v>455</v>
      </c>
      <c r="C8" s="29" t="s">
        <v>502</v>
      </c>
      <c r="D8" s="29" t="s">
        <v>502</v>
      </c>
      <c r="E8" s="29"/>
      <c r="F8" s="29"/>
      <c r="G8" s="29" t="s">
        <v>264</v>
      </c>
      <c r="H8" s="29" t="s">
        <v>264</v>
      </c>
      <c r="I8" s="29" t="s">
        <v>264</v>
      </c>
      <c r="J8" s="28"/>
      <c r="K8" s="29" t="s">
        <v>269</v>
      </c>
      <c r="L8" s="29" t="s">
        <v>269</v>
      </c>
      <c r="M8" s="29" t="s">
        <v>269</v>
      </c>
      <c r="N8" s="28"/>
      <c r="O8" s="28"/>
      <c r="P8" s="29" t="s">
        <v>502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1029</v>
      </c>
      <c r="AB8" s="28"/>
      <c r="AC8" s="28"/>
      <c r="AD8" s="28"/>
      <c r="AE8" s="28"/>
      <c r="AF8" s="28"/>
      <c r="AG8" s="28"/>
      <c r="AH8" s="29" t="s">
        <v>502</v>
      </c>
      <c r="AJ8" s="29" t="s">
        <v>287</v>
      </c>
      <c r="AK8" s="29" t="s">
        <v>287</v>
      </c>
      <c r="AL8" s="29" t="s">
        <v>287</v>
      </c>
      <c r="AM8" s="29" t="s">
        <v>287</v>
      </c>
      <c r="AN8" s="29" t="s">
        <v>287</v>
      </c>
      <c r="AO8" s="29" t="s">
        <v>287</v>
      </c>
      <c r="AQ8" s="29" t="s">
        <v>269</v>
      </c>
      <c r="AR8" s="29" t="s">
        <v>269</v>
      </c>
      <c r="AS8" s="29" t="s">
        <v>294</v>
      </c>
      <c r="AT8" s="29" t="s">
        <v>269</v>
      </c>
    </row>
    <row r="9" spans="1:46">
      <c r="A9" s="26" t="s">
        <v>121</v>
      </c>
      <c r="B9" s="28" t="s">
        <v>269</v>
      </c>
      <c r="C9" s="28" t="s">
        <v>269</v>
      </c>
      <c r="D9" s="28" t="s">
        <v>269</v>
      </c>
      <c r="E9" s="29"/>
      <c r="F9" s="29"/>
      <c r="G9" s="28" t="s">
        <v>953</v>
      </c>
      <c r="H9" s="28" t="s">
        <v>953</v>
      </c>
      <c r="I9" s="28" t="s">
        <v>953</v>
      </c>
      <c r="J9" s="29"/>
      <c r="K9" s="28" t="s">
        <v>271</v>
      </c>
      <c r="L9" s="28" t="s">
        <v>178</v>
      </c>
      <c r="M9" s="28" t="s">
        <v>271</v>
      </c>
      <c r="N9" s="29"/>
      <c r="O9" s="29"/>
      <c r="P9" s="28" t="s">
        <v>287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954</v>
      </c>
      <c r="AB9" s="29"/>
      <c r="AC9" s="29"/>
      <c r="AD9" s="29"/>
      <c r="AE9" s="29"/>
      <c r="AF9" s="29"/>
      <c r="AG9" s="29"/>
      <c r="AH9" s="28" t="s">
        <v>269</v>
      </c>
      <c r="AJ9" s="28" t="s">
        <v>287</v>
      </c>
      <c r="AK9" s="28" t="s">
        <v>287</v>
      </c>
      <c r="AL9" s="28" t="s">
        <v>287</v>
      </c>
      <c r="AM9" s="28" t="s">
        <v>287</v>
      </c>
      <c r="AN9" s="28" t="s">
        <v>287</v>
      </c>
      <c r="AO9" s="28" t="s">
        <v>287</v>
      </c>
      <c r="AQ9" s="28" t="s">
        <v>271</v>
      </c>
      <c r="AR9" s="28" t="s">
        <v>271</v>
      </c>
      <c r="AS9" s="28" t="s">
        <v>178</v>
      </c>
      <c r="AT9" s="28" t="s">
        <v>271</v>
      </c>
    </row>
    <row r="10" spans="1:46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46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9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9" t="s">
        <v>127</v>
      </c>
      <c r="AK11" s="29" t="s">
        <v>127</v>
      </c>
      <c r="AL11" s="29" t="s">
        <v>127</v>
      </c>
      <c r="AM11" s="29" t="s">
        <v>127</v>
      </c>
      <c r="AN11" s="29" t="s">
        <v>127</v>
      </c>
      <c r="AO11" s="29" t="s">
        <v>127</v>
      </c>
      <c r="AQ11" s="28" t="s">
        <v>124</v>
      </c>
      <c r="AR11" s="28" t="s">
        <v>124</v>
      </c>
      <c r="AS11" s="28" t="s">
        <v>124</v>
      </c>
      <c r="AT11" s="28" t="s">
        <v>124</v>
      </c>
    </row>
    <row r="12" spans="1:46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  <c r="AJ12" s="28" t="s">
        <v>124</v>
      </c>
      <c r="AK12" s="28" t="s">
        <v>124</v>
      </c>
      <c r="AL12" s="28" t="s">
        <v>124</v>
      </c>
      <c r="AM12" s="28" t="s">
        <v>124</v>
      </c>
      <c r="AN12" s="28" t="s">
        <v>124</v>
      </c>
      <c r="AO12" s="28" t="s">
        <v>124</v>
      </c>
      <c r="AQ12" s="28" t="s">
        <v>124</v>
      </c>
      <c r="AR12" s="28" t="s">
        <v>124</v>
      </c>
      <c r="AS12" s="28" t="s">
        <v>124</v>
      </c>
      <c r="AT12" s="28" t="s">
        <v>124</v>
      </c>
    </row>
    <row r="13" spans="1:46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127</v>
      </c>
      <c r="AJ13" s="28" t="s">
        <v>127</v>
      </c>
      <c r="AK13" s="28" t="s">
        <v>127</v>
      </c>
      <c r="AL13" s="28" t="s">
        <v>127</v>
      </c>
      <c r="AM13" s="28" t="s">
        <v>127</v>
      </c>
      <c r="AN13" s="28" t="s">
        <v>127</v>
      </c>
      <c r="AO13" s="28" t="s">
        <v>127</v>
      </c>
      <c r="AQ13" s="28" t="s">
        <v>124</v>
      </c>
      <c r="AR13" s="28" t="s">
        <v>124</v>
      </c>
      <c r="AS13" s="28" t="s">
        <v>124</v>
      </c>
      <c r="AT13" s="28" t="s">
        <v>124</v>
      </c>
    </row>
    <row r="14" spans="1:46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  <c r="AL14" s="28" t="s">
        <v>127</v>
      </c>
      <c r="AM14" s="28" t="s">
        <v>127</v>
      </c>
      <c r="AN14" s="28" t="s">
        <v>127</v>
      </c>
      <c r="AO14" s="28" t="s">
        <v>127</v>
      </c>
      <c r="AQ14" s="28" t="s">
        <v>127</v>
      </c>
      <c r="AR14" s="28" t="s">
        <v>127</v>
      </c>
      <c r="AS14" s="28" t="s">
        <v>127</v>
      </c>
      <c r="AT14" s="28" t="s">
        <v>127</v>
      </c>
    </row>
    <row r="15" spans="1:46">
      <c r="A15" s="26" t="s">
        <v>129</v>
      </c>
      <c r="B15" s="28" t="s">
        <v>150</v>
      </c>
      <c r="C15" s="28" t="s">
        <v>150</v>
      </c>
      <c r="D15" s="28" t="s">
        <v>150</v>
      </c>
      <c r="E15" s="28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28" t="s">
        <v>150</v>
      </c>
      <c r="AJ15" s="28" t="s">
        <v>150</v>
      </c>
      <c r="AK15" s="28" t="s">
        <v>150</v>
      </c>
      <c r="AL15" s="28" t="s">
        <v>150</v>
      </c>
      <c r="AM15" s="28" t="s">
        <v>150</v>
      </c>
      <c r="AN15" s="28" t="s">
        <v>150</v>
      </c>
      <c r="AO15" s="28" t="s">
        <v>150</v>
      </c>
      <c r="AQ15" s="28" t="s">
        <v>150</v>
      </c>
      <c r="AR15" s="28" t="s">
        <v>150</v>
      </c>
      <c r="AS15" s="28" t="s">
        <v>150</v>
      </c>
      <c r="AT15" s="28" t="s">
        <v>150</v>
      </c>
    </row>
    <row r="16" spans="1:46">
      <c r="A16" s="26" t="s">
        <v>130</v>
      </c>
      <c r="B16" s="30">
        <v>-2</v>
      </c>
      <c r="C16" s="30">
        <v>-2</v>
      </c>
      <c r="D16" s="30">
        <v>-2</v>
      </c>
      <c r="E16" s="30"/>
      <c r="F16" s="30"/>
      <c r="G16" s="30">
        <v>-2</v>
      </c>
      <c r="H16" s="30">
        <v>-2</v>
      </c>
      <c r="I16" s="30">
        <v>-2</v>
      </c>
      <c r="J16" s="30"/>
      <c r="K16" s="30">
        <v>-0.5</v>
      </c>
      <c r="L16" s="30">
        <v>-0.5</v>
      </c>
      <c r="M16" s="30">
        <v>-0.5</v>
      </c>
      <c r="N16" s="30"/>
      <c r="O16" s="30"/>
      <c r="P16" s="30">
        <v>-2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-2</v>
      </c>
      <c r="AJ16" s="30">
        <v>-2</v>
      </c>
      <c r="AK16" s="30">
        <v>-2</v>
      </c>
      <c r="AL16" s="30">
        <v>-2</v>
      </c>
      <c r="AM16" s="30">
        <v>-2</v>
      </c>
      <c r="AN16" s="30">
        <v>-2</v>
      </c>
      <c r="AO16" s="30">
        <v>-2</v>
      </c>
      <c r="AQ16" s="30">
        <v>-0.5</v>
      </c>
      <c r="AR16" s="30">
        <v>-0.5</v>
      </c>
      <c r="AS16" s="30">
        <v>-0.5</v>
      </c>
      <c r="AT16" s="30">
        <v>-0.5</v>
      </c>
    </row>
    <row r="17" spans="1:46">
      <c r="A17" s="26" t="s">
        <v>131</v>
      </c>
      <c r="B17" s="28" t="s">
        <v>280</v>
      </c>
      <c r="C17" s="28" t="s">
        <v>280</v>
      </c>
      <c r="D17" s="28" t="s">
        <v>280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151</v>
      </c>
      <c r="M17" s="28" t="s">
        <v>180</v>
      </c>
      <c r="N17" s="28"/>
      <c r="O17" s="28"/>
      <c r="P17" s="29" t="s">
        <v>287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/>
      <c r="AH17" s="28" t="s">
        <v>280</v>
      </c>
      <c r="AJ17" s="29" t="s">
        <v>287</v>
      </c>
      <c r="AK17" s="29" t="s">
        <v>287</v>
      </c>
      <c r="AL17" s="29" t="s">
        <v>287</v>
      </c>
      <c r="AM17" s="29" t="s">
        <v>287</v>
      </c>
      <c r="AN17" s="29" t="s">
        <v>287</v>
      </c>
      <c r="AO17" s="29" t="s">
        <v>287</v>
      </c>
      <c r="AQ17" s="28" t="s">
        <v>180</v>
      </c>
      <c r="AR17" s="28" t="s">
        <v>180</v>
      </c>
      <c r="AS17" s="28" t="s">
        <v>151</v>
      </c>
      <c r="AT17" s="28" t="s">
        <v>180</v>
      </c>
    </row>
    <row r="18" spans="1:46">
      <c r="A18" s="26" t="s">
        <v>133</v>
      </c>
      <c r="B18" s="30">
        <v>0.5</v>
      </c>
      <c r="C18" s="30">
        <v>0.5</v>
      </c>
      <c r="D18" s="30">
        <v>0.5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3</v>
      </c>
      <c r="M18" s="30">
        <v>2</v>
      </c>
      <c r="N18" s="30"/>
      <c r="O18" s="30"/>
      <c r="P18" s="30">
        <v>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0.5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Q18" s="30">
        <v>2</v>
      </c>
      <c r="AR18" s="30">
        <v>2</v>
      </c>
      <c r="AS18" s="30">
        <v>3</v>
      </c>
      <c r="AT18" s="30">
        <v>2</v>
      </c>
    </row>
    <row r="19" spans="1:46">
      <c r="C19" s="217" t="s">
        <v>1040</v>
      </c>
      <c r="D19" s="217"/>
      <c r="G19" s="217" t="s">
        <v>1041</v>
      </c>
      <c r="H19" s="217"/>
      <c r="I19" s="217"/>
      <c r="K19" s="217" t="s">
        <v>1041</v>
      </c>
      <c r="L19" s="217"/>
      <c r="M19" s="217"/>
      <c r="AA19" s="78" t="s">
        <v>1040</v>
      </c>
      <c r="AJ19" s="135" t="s">
        <v>1042</v>
      </c>
      <c r="AK19" s="109"/>
      <c r="AL19" s="109"/>
      <c r="AQ19" s="134" t="s">
        <v>1043</v>
      </c>
    </row>
    <row r="20" spans="1:46">
      <c r="A20" s="31" t="s">
        <v>134</v>
      </c>
    </row>
    <row r="21" spans="1:46">
      <c r="A21" s="108" t="s">
        <v>1044</v>
      </c>
      <c r="B21" s="93" t="s">
        <v>1035</v>
      </c>
    </row>
    <row r="22" spans="1:46">
      <c r="A22" s="136" t="s">
        <v>1045</v>
      </c>
      <c r="B22" s="93" t="s">
        <v>1037</v>
      </c>
    </row>
    <row r="23" spans="1:46">
      <c r="A23" s="93" t="s">
        <v>1046</v>
      </c>
    </row>
  </sheetData>
  <mergeCells count="8">
    <mergeCell ref="K19:M19"/>
    <mergeCell ref="B3:D3"/>
    <mergeCell ref="B4:D4"/>
    <mergeCell ref="B5:D5"/>
    <mergeCell ref="C19:D19"/>
    <mergeCell ref="G19:I19"/>
    <mergeCell ref="F3:O3"/>
    <mergeCell ref="F4:O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A039-0E58-4039-B151-84A27719B49C}">
  <dimension ref="A1:AK34"/>
  <sheetViews>
    <sheetView workbookViewId="0">
      <selection activeCell="A22" sqref="A22:XFD22"/>
    </sheetView>
  </sheetViews>
  <sheetFormatPr defaultColWidth="9.140625" defaultRowHeight="1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>
      <c r="A1" s="25" t="s">
        <v>74</v>
      </c>
      <c r="D1" s="25" t="s">
        <v>840</v>
      </c>
      <c r="I1" s="25" t="s">
        <v>1047</v>
      </c>
    </row>
    <row r="3" spans="1:37" ht="17.45">
      <c r="A3" s="25" t="s">
        <v>77</v>
      </c>
      <c r="B3" s="203">
        <v>75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1048</v>
      </c>
      <c r="C4" s="203"/>
      <c r="D4" s="203"/>
      <c r="F4" s="204" t="s">
        <v>1049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7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76" t="s">
        <v>115</v>
      </c>
      <c r="AH7" s="76" t="s">
        <v>116</v>
      </c>
      <c r="AJ7" s="72" t="s">
        <v>109</v>
      </c>
      <c r="AK7" s="76" t="s">
        <v>116</v>
      </c>
    </row>
    <row r="8" spans="1:37">
      <c r="A8" s="26" t="s">
        <v>117</v>
      </c>
      <c r="B8" s="28" t="s">
        <v>132</v>
      </c>
      <c r="C8" s="28" t="s">
        <v>502</v>
      </c>
      <c r="D8" s="28" t="s">
        <v>502</v>
      </c>
      <c r="E8" s="28"/>
      <c r="F8" s="28"/>
      <c r="G8" s="28" t="s">
        <v>287</v>
      </c>
      <c r="H8" s="28" t="s">
        <v>287</v>
      </c>
      <c r="I8" s="28" t="s">
        <v>287</v>
      </c>
      <c r="J8" s="28"/>
      <c r="K8" s="28" t="s">
        <v>1050</v>
      </c>
      <c r="L8" s="28" t="s">
        <v>1050</v>
      </c>
      <c r="M8" s="28" t="s">
        <v>1050</v>
      </c>
      <c r="N8" s="28"/>
      <c r="O8" s="28"/>
      <c r="P8" s="28" t="s">
        <v>1051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1052</v>
      </c>
      <c r="AB8" s="28"/>
      <c r="AC8" s="28"/>
      <c r="AD8" s="28"/>
      <c r="AE8" s="28"/>
      <c r="AF8" s="28"/>
      <c r="AG8" s="28"/>
      <c r="AH8" s="28" t="s">
        <v>502</v>
      </c>
      <c r="AJ8" s="28" t="s">
        <v>498</v>
      </c>
      <c r="AK8" s="28" t="s">
        <v>498</v>
      </c>
    </row>
    <row r="9" spans="1:37">
      <c r="A9" s="26" t="s">
        <v>121</v>
      </c>
      <c r="B9" s="29" t="s">
        <v>498</v>
      </c>
      <c r="C9" s="28" t="s">
        <v>269</v>
      </c>
      <c r="D9" s="28" t="s">
        <v>269</v>
      </c>
      <c r="E9" s="29"/>
      <c r="F9" s="29"/>
      <c r="G9" s="28" t="s">
        <v>287</v>
      </c>
      <c r="H9" s="28" t="s">
        <v>287</v>
      </c>
      <c r="I9" s="28" t="s">
        <v>287</v>
      </c>
      <c r="J9" s="29"/>
      <c r="K9" s="29" t="s">
        <v>1053</v>
      </c>
      <c r="L9" s="29" t="s">
        <v>1053</v>
      </c>
      <c r="M9" s="29" t="s">
        <v>1053</v>
      </c>
      <c r="N9" s="29"/>
      <c r="O9" s="29"/>
      <c r="P9" s="28" t="s">
        <v>287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 t="s">
        <v>1052</v>
      </c>
      <c r="AB9" s="29"/>
      <c r="AC9" s="29"/>
      <c r="AD9" s="29"/>
      <c r="AE9" s="29"/>
      <c r="AF9" s="29"/>
      <c r="AG9" s="29" t="s">
        <v>205</v>
      </c>
      <c r="AH9" s="28" t="s">
        <v>269</v>
      </c>
      <c r="AJ9" s="29" t="s">
        <v>498</v>
      </c>
      <c r="AK9" s="29" t="s">
        <v>498</v>
      </c>
    </row>
    <row r="10" spans="1:37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7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9" t="s">
        <v>127</v>
      </c>
      <c r="H11" s="29" t="s">
        <v>127</v>
      </c>
      <c r="I11" s="29" t="s">
        <v>127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9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8" t="s">
        <v>124</v>
      </c>
      <c r="AK11" s="28" t="s">
        <v>124</v>
      </c>
    </row>
    <row r="12" spans="1:37">
      <c r="A12" s="26" t="s">
        <v>125</v>
      </c>
      <c r="B12" s="28" t="s">
        <v>127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235</v>
      </c>
      <c r="L12" s="28" t="s">
        <v>235</v>
      </c>
      <c r="M12" s="28" t="s">
        <v>235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124</v>
      </c>
      <c r="AJ12" s="28" t="s">
        <v>127</v>
      </c>
      <c r="AK12" s="28" t="s">
        <v>127</v>
      </c>
    </row>
    <row r="13" spans="1:37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28" t="s">
        <v>127</v>
      </c>
      <c r="AK13" s="28" t="s">
        <v>127</v>
      </c>
    </row>
    <row r="14" spans="1:37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</row>
    <row r="15" spans="1:37">
      <c r="A15" s="26" t="s">
        <v>129</v>
      </c>
      <c r="B15" s="28" t="s">
        <v>118</v>
      </c>
      <c r="C15" s="28" t="s">
        <v>150</v>
      </c>
      <c r="D15" s="28" t="s">
        <v>150</v>
      </c>
      <c r="E15" s="28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150</v>
      </c>
      <c r="AJ15" s="28" t="s">
        <v>118</v>
      </c>
      <c r="AK15" s="28" t="s">
        <v>118</v>
      </c>
    </row>
    <row r="16" spans="1:37">
      <c r="A16" s="26" t="s">
        <v>130</v>
      </c>
      <c r="B16" s="30">
        <v>3</v>
      </c>
      <c r="C16" s="30">
        <v>-2</v>
      </c>
      <c r="D16" s="30">
        <v>-2</v>
      </c>
      <c r="E16" s="30"/>
      <c r="F16" s="30"/>
      <c r="G16" s="30">
        <v>-2</v>
      </c>
      <c r="H16" s="30">
        <v>-2</v>
      </c>
      <c r="I16" s="30">
        <v>-2</v>
      </c>
      <c r="J16" s="30"/>
      <c r="K16" s="30">
        <v>3</v>
      </c>
      <c r="L16" s="30">
        <v>3</v>
      </c>
      <c r="M16" s="30">
        <v>3</v>
      </c>
      <c r="N16" s="30"/>
      <c r="O16" s="30"/>
      <c r="P16" s="30">
        <v>-2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-2</v>
      </c>
      <c r="AJ16" s="30">
        <v>3</v>
      </c>
      <c r="AK16" s="30">
        <v>3</v>
      </c>
    </row>
    <row r="17" spans="1:37">
      <c r="A17" s="26" t="s">
        <v>131</v>
      </c>
      <c r="B17" s="28" t="s">
        <v>132</v>
      </c>
      <c r="C17" s="28" t="s">
        <v>280</v>
      </c>
      <c r="D17" s="28" t="s">
        <v>280</v>
      </c>
      <c r="E17" s="28"/>
      <c r="F17" s="28"/>
      <c r="G17" s="29" t="s">
        <v>287</v>
      </c>
      <c r="H17" s="29" t="s">
        <v>287</v>
      </c>
      <c r="I17" s="29" t="s">
        <v>287</v>
      </c>
      <c r="J17" s="28"/>
      <c r="K17" s="28" t="s">
        <v>132</v>
      </c>
      <c r="L17" s="28" t="s">
        <v>132</v>
      </c>
      <c r="M17" s="28" t="s">
        <v>132</v>
      </c>
      <c r="N17" s="28"/>
      <c r="O17" s="28"/>
      <c r="P17" s="29" t="s">
        <v>287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280</v>
      </c>
      <c r="AJ17" s="28" t="s">
        <v>132</v>
      </c>
      <c r="AK17" s="28" t="s">
        <v>132</v>
      </c>
    </row>
    <row r="18" spans="1:37">
      <c r="A18" s="26" t="s">
        <v>133</v>
      </c>
      <c r="B18" s="30">
        <v>4</v>
      </c>
      <c r="C18" s="30">
        <v>0.5</v>
      </c>
      <c r="D18" s="30">
        <v>0.5</v>
      </c>
      <c r="E18" s="30"/>
      <c r="F18" s="30"/>
      <c r="G18" s="30">
        <v>0</v>
      </c>
      <c r="H18" s="30">
        <v>0</v>
      </c>
      <c r="I18" s="30">
        <v>0</v>
      </c>
      <c r="J18" s="30"/>
      <c r="K18" s="30">
        <v>4</v>
      </c>
      <c r="L18" s="30">
        <v>4</v>
      </c>
      <c r="M18" s="30">
        <v>4</v>
      </c>
      <c r="N18" s="30"/>
      <c r="O18" s="30"/>
      <c r="P18" s="30">
        <v>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0.5</v>
      </c>
      <c r="AJ18" s="30">
        <v>4</v>
      </c>
      <c r="AK18" s="30">
        <v>4</v>
      </c>
    </row>
    <row r="20" spans="1:37">
      <c r="A20" s="26" t="s">
        <v>117</v>
      </c>
      <c r="B20" s="28" t="s">
        <v>1055</v>
      </c>
      <c r="C20" s="28" t="s">
        <v>119</v>
      </c>
      <c r="D20" s="28" t="s">
        <v>119</v>
      </c>
      <c r="E20" s="28"/>
      <c r="F20" s="86"/>
      <c r="G20" s="28" t="s">
        <v>498</v>
      </c>
      <c r="H20" s="28" t="s">
        <v>498</v>
      </c>
      <c r="I20" s="28" t="s">
        <v>498</v>
      </c>
      <c r="J20" s="28"/>
      <c r="K20" s="80"/>
      <c r="L20" s="80"/>
      <c r="M20" s="80"/>
      <c r="N20" s="28"/>
      <c r="O20" s="28"/>
      <c r="P20" s="28" t="s">
        <v>203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502</v>
      </c>
      <c r="AB20" s="28"/>
      <c r="AC20" s="28"/>
      <c r="AD20" s="28"/>
      <c r="AE20" s="28"/>
      <c r="AF20" s="28"/>
      <c r="AG20" s="28"/>
      <c r="AH20" s="28" t="s">
        <v>498</v>
      </c>
      <c r="AJ20" s="28" t="s">
        <v>502</v>
      </c>
      <c r="AK20" s="28" t="s">
        <v>502</v>
      </c>
    </row>
    <row r="21" spans="1:37">
      <c r="A21" s="26" t="s">
        <v>121</v>
      </c>
      <c r="B21" s="28" t="s">
        <v>269</v>
      </c>
      <c r="C21" s="28" t="s">
        <v>119</v>
      </c>
      <c r="D21" s="28" t="s">
        <v>119</v>
      </c>
      <c r="E21" s="29"/>
      <c r="F21" s="29"/>
      <c r="G21" s="29" t="s">
        <v>498</v>
      </c>
      <c r="H21" s="29" t="s">
        <v>498</v>
      </c>
      <c r="I21" s="29" t="s">
        <v>498</v>
      </c>
      <c r="J21" s="29"/>
      <c r="K21" s="81"/>
      <c r="L21" s="81"/>
      <c r="M21" s="81"/>
      <c r="N21" s="29"/>
      <c r="O21" s="29"/>
      <c r="P21" s="28" t="s">
        <v>231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8" t="s">
        <v>269</v>
      </c>
      <c r="AB21" s="29"/>
      <c r="AC21" s="29"/>
      <c r="AD21" s="29"/>
      <c r="AE21" s="29"/>
      <c r="AF21" s="29"/>
      <c r="AG21" s="29" t="s">
        <v>269</v>
      </c>
      <c r="AH21" s="29" t="s">
        <v>498</v>
      </c>
      <c r="AJ21" s="28" t="s">
        <v>269</v>
      </c>
      <c r="AK21" s="28" t="s">
        <v>1056</v>
      </c>
    </row>
    <row r="22" spans="1:37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7">
      <c r="A23" s="26" t="s">
        <v>123</v>
      </c>
      <c r="B23" s="28" t="s">
        <v>124</v>
      </c>
      <c r="C23" s="29" t="s">
        <v>124</v>
      </c>
      <c r="D23" s="29" t="s">
        <v>124</v>
      </c>
      <c r="E23" s="28"/>
      <c r="F23" s="28"/>
      <c r="G23" s="28" t="s">
        <v>124</v>
      </c>
      <c r="H23" s="28" t="s">
        <v>124</v>
      </c>
      <c r="I23" s="28" t="s">
        <v>124</v>
      </c>
      <c r="J23" s="28"/>
      <c r="K23" s="80"/>
      <c r="L23" s="80"/>
      <c r="M23" s="80"/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124</v>
      </c>
      <c r="AB23" s="28"/>
      <c r="AC23" s="29"/>
      <c r="AD23" s="28"/>
      <c r="AE23" s="29"/>
      <c r="AF23" s="28"/>
      <c r="AG23" s="28"/>
      <c r="AH23" s="28" t="s">
        <v>124</v>
      </c>
      <c r="AJ23" s="28" t="s">
        <v>124</v>
      </c>
      <c r="AK23" s="28" t="s">
        <v>235</v>
      </c>
    </row>
    <row r="24" spans="1:37">
      <c r="A24" s="26" t="s">
        <v>125</v>
      </c>
      <c r="B24" s="28" t="s">
        <v>124</v>
      </c>
      <c r="C24" s="29" t="s">
        <v>124</v>
      </c>
      <c r="D24" s="29" t="s">
        <v>124</v>
      </c>
      <c r="E24" s="28"/>
      <c r="F24" s="28"/>
      <c r="G24" s="28" t="s">
        <v>127</v>
      </c>
      <c r="H24" s="28" t="s">
        <v>127</v>
      </c>
      <c r="I24" s="28" t="s">
        <v>127</v>
      </c>
      <c r="J24" s="28"/>
      <c r="K24" s="80"/>
      <c r="L24" s="80"/>
      <c r="M24" s="80"/>
      <c r="N24" s="28"/>
      <c r="O24" s="28"/>
      <c r="P24" s="28" t="s">
        <v>127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124</v>
      </c>
      <c r="AB24" s="28"/>
      <c r="AC24" s="28"/>
      <c r="AD24" s="28"/>
      <c r="AE24" s="28"/>
      <c r="AF24" s="28"/>
      <c r="AG24" s="28"/>
      <c r="AH24" s="28" t="s">
        <v>127</v>
      </c>
      <c r="AJ24" s="28" t="s">
        <v>124</v>
      </c>
      <c r="AK24" s="28" t="s">
        <v>124</v>
      </c>
    </row>
    <row r="25" spans="1:37">
      <c r="A25" s="26" t="s">
        <v>126</v>
      </c>
      <c r="B25" s="28" t="s">
        <v>127</v>
      </c>
      <c r="C25" s="28" t="s">
        <v>127</v>
      </c>
      <c r="D25" s="28" t="s">
        <v>127</v>
      </c>
      <c r="E25" s="28"/>
      <c r="F25" s="28"/>
      <c r="G25" s="28" t="s">
        <v>127</v>
      </c>
      <c r="H25" s="28" t="s">
        <v>127</v>
      </c>
      <c r="I25" s="28" t="s">
        <v>127</v>
      </c>
      <c r="J25" s="28"/>
      <c r="K25" s="80"/>
      <c r="L25" s="80"/>
      <c r="M25" s="80"/>
      <c r="N25" s="28"/>
      <c r="O25" s="28"/>
      <c r="P25" s="28" t="s">
        <v>124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127</v>
      </c>
      <c r="AB25" s="28"/>
      <c r="AC25" s="28"/>
      <c r="AD25" s="28"/>
      <c r="AE25" s="28"/>
      <c r="AF25" s="28"/>
      <c r="AG25" s="28"/>
      <c r="AH25" s="28" t="s">
        <v>127</v>
      </c>
      <c r="AJ25" s="28" t="s">
        <v>127</v>
      </c>
      <c r="AK25" s="28" t="s">
        <v>127</v>
      </c>
    </row>
    <row r="26" spans="1:37">
      <c r="A26" s="26" t="s">
        <v>128</v>
      </c>
      <c r="B26" s="28" t="s">
        <v>127</v>
      </c>
      <c r="C26" s="28" t="s">
        <v>127</v>
      </c>
      <c r="D26" s="28" t="s">
        <v>127</v>
      </c>
      <c r="E26" s="28"/>
      <c r="F26" s="28"/>
      <c r="G26" s="28" t="s">
        <v>127</v>
      </c>
      <c r="H26" s="28" t="s">
        <v>127</v>
      </c>
      <c r="I26" s="28" t="s">
        <v>127</v>
      </c>
      <c r="J26" s="28"/>
      <c r="K26" s="80"/>
      <c r="L26" s="80"/>
      <c r="M26" s="80"/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127</v>
      </c>
      <c r="AB26" s="28"/>
      <c r="AC26" s="28"/>
      <c r="AD26" s="28"/>
      <c r="AE26" s="28"/>
      <c r="AF26" s="28"/>
      <c r="AG26" s="28"/>
      <c r="AH26" s="28" t="s">
        <v>127</v>
      </c>
      <c r="AJ26" s="28" t="s">
        <v>127</v>
      </c>
      <c r="AK26" s="28" t="s">
        <v>127</v>
      </c>
    </row>
    <row r="27" spans="1:37">
      <c r="A27" s="26" t="s">
        <v>129</v>
      </c>
      <c r="B27" s="28" t="s">
        <v>150</v>
      </c>
      <c r="C27" s="28" t="s">
        <v>118</v>
      </c>
      <c r="D27" s="28" t="s">
        <v>118</v>
      </c>
      <c r="E27" s="28"/>
      <c r="F27" s="28"/>
      <c r="G27" s="28" t="s">
        <v>118</v>
      </c>
      <c r="H27" s="28" t="s">
        <v>118</v>
      </c>
      <c r="I27" s="28" t="s">
        <v>118</v>
      </c>
      <c r="J27" s="28"/>
      <c r="K27" s="80"/>
      <c r="L27" s="80"/>
      <c r="M27" s="80"/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150</v>
      </c>
      <c r="AB27" s="28"/>
      <c r="AC27" s="28"/>
      <c r="AD27" s="28"/>
      <c r="AE27" s="28"/>
      <c r="AF27" s="28"/>
      <c r="AG27" s="28"/>
      <c r="AH27" s="28" t="s">
        <v>118</v>
      </c>
      <c r="AJ27" s="28" t="s">
        <v>150</v>
      </c>
      <c r="AK27" s="28" t="s">
        <v>150</v>
      </c>
    </row>
    <row r="28" spans="1:37">
      <c r="A28" s="26" t="s">
        <v>130</v>
      </c>
      <c r="B28" s="30">
        <v>-2</v>
      </c>
      <c r="C28" s="30">
        <v>3</v>
      </c>
      <c r="D28" s="30">
        <v>3</v>
      </c>
      <c r="E28" s="30"/>
      <c r="F28" s="30"/>
      <c r="G28" s="30">
        <v>3</v>
      </c>
      <c r="H28" s="30">
        <v>3</v>
      </c>
      <c r="I28" s="30">
        <v>3</v>
      </c>
      <c r="J28" s="30"/>
      <c r="K28" s="82"/>
      <c r="L28" s="82"/>
      <c r="M28" s="82"/>
      <c r="N28" s="30"/>
      <c r="O28" s="30"/>
      <c r="P28" s="30">
        <v>-0.5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3</v>
      </c>
      <c r="AJ28" s="30">
        <v>-2</v>
      </c>
      <c r="AK28" s="30">
        <v>-2</v>
      </c>
    </row>
    <row r="29" spans="1:37">
      <c r="A29" s="26" t="s">
        <v>131</v>
      </c>
      <c r="B29" s="28" t="s">
        <v>280</v>
      </c>
      <c r="C29" s="28" t="s">
        <v>132</v>
      </c>
      <c r="D29" s="28" t="s">
        <v>132</v>
      </c>
      <c r="E29" s="28"/>
      <c r="F29" s="28"/>
      <c r="G29" s="28" t="s">
        <v>132</v>
      </c>
      <c r="H29" s="28" t="s">
        <v>132</v>
      </c>
      <c r="I29" s="28" t="s">
        <v>132</v>
      </c>
      <c r="J29" s="28"/>
      <c r="K29" s="80"/>
      <c r="L29" s="80"/>
      <c r="M29" s="80"/>
      <c r="N29" s="28"/>
      <c r="O29" s="28"/>
      <c r="P29" s="28" t="s">
        <v>180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 t="s">
        <v>280</v>
      </c>
      <c r="AB29" s="28"/>
      <c r="AC29" s="28"/>
      <c r="AD29" s="28"/>
      <c r="AE29" s="28"/>
      <c r="AF29" s="28"/>
      <c r="AG29" s="28"/>
      <c r="AH29" s="28" t="s">
        <v>132</v>
      </c>
      <c r="AJ29" s="28" t="s">
        <v>280</v>
      </c>
      <c r="AK29" s="103" t="s">
        <v>935</v>
      </c>
    </row>
    <row r="30" spans="1:37">
      <c r="A30" s="26" t="s">
        <v>133</v>
      </c>
      <c r="B30" s="30">
        <v>0.5</v>
      </c>
      <c r="C30" s="30">
        <v>4</v>
      </c>
      <c r="D30" s="30">
        <v>4</v>
      </c>
      <c r="E30" s="30"/>
      <c r="F30" s="30"/>
      <c r="G30" s="30">
        <v>4</v>
      </c>
      <c r="H30" s="30">
        <v>4</v>
      </c>
      <c r="I30" s="30">
        <v>4</v>
      </c>
      <c r="J30" s="30"/>
      <c r="K30" s="82"/>
      <c r="L30" s="82"/>
      <c r="M30" s="82"/>
      <c r="N30" s="30"/>
      <c r="O30" s="30"/>
      <c r="P30" s="30">
        <v>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>
        <v>0.5</v>
      </c>
      <c r="AB30" s="30"/>
      <c r="AC30" s="30"/>
      <c r="AD30" s="30"/>
      <c r="AE30" s="30"/>
      <c r="AF30" s="30"/>
      <c r="AG30" s="30"/>
      <c r="AH30" s="30">
        <v>4</v>
      </c>
      <c r="AJ30" s="30">
        <v>0.5</v>
      </c>
      <c r="AK30" s="30">
        <f>AVERAGE(0,0.5)</f>
        <v>0.25</v>
      </c>
    </row>
    <row r="31" spans="1:37">
      <c r="AA31" s="26" t="s">
        <v>1057</v>
      </c>
      <c r="AH31" s="26" t="s">
        <v>1057</v>
      </c>
      <c r="AJ31" s="235" t="s">
        <v>1058</v>
      </c>
      <c r="AK31" s="235"/>
    </row>
    <row r="32" spans="1:37">
      <c r="A32" s="31" t="s">
        <v>134</v>
      </c>
    </row>
    <row r="33" spans="1:2">
      <c r="A33" s="93" t="s">
        <v>1059</v>
      </c>
      <c r="B33" s="56"/>
    </row>
    <row r="34" spans="1:2">
      <c r="A34" s="93" t="s">
        <v>1060</v>
      </c>
      <c r="B34" s="56"/>
    </row>
  </sheetData>
  <mergeCells count="6">
    <mergeCell ref="AJ31:AK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9712-B7F4-4770-ACDD-DF1CD834A6CE}">
  <dimension ref="A1:BF35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72" width="5.7109375" style="26" customWidth="1"/>
    <col min="73" max="16384" width="9.140625" style="26"/>
  </cols>
  <sheetData>
    <row r="1" spans="1:58">
      <c r="A1" s="25" t="s">
        <v>74</v>
      </c>
      <c r="D1" s="25" t="s">
        <v>840</v>
      </c>
      <c r="I1" s="25" t="s">
        <v>1047</v>
      </c>
    </row>
    <row r="3" spans="1:58" ht="17.45">
      <c r="A3" s="25" t="s">
        <v>77</v>
      </c>
      <c r="B3" s="203">
        <v>76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58" ht="17.45">
      <c r="A4" s="25" t="s">
        <v>79</v>
      </c>
      <c r="B4" s="203" t="s">
        <v>1061</v>
      </c>
      <c r="C4" s="203"/>
      <c r="D4" s="203"/>
      <c r="F4" s="204" t="s">
        <v>1062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58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58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76" t="s">
        <v>115</v>
      </c>
      <c r="AH7" s="76" t="s">
        <v>116</v>
      </c>
      <c r="AJ7" s="32" t="s">
        <v>85</v>
      </c>
      <c r="AK7" s="32" t="s">
        <v>86</v>
      </c>
      <c r="AL7" s="35" t="s">
        <v>89</v>
      </c>
      <c r="AM7" s="35" t="s">
        <v>90</v>
      </c>
      <c r="AN7" s="36" t="s">
        <v>91</v>
      </c>
      <c r="AO7" s="39" t="s">
        <v>93</v>
      </c>
      <c r="AP7" s="112" t="s">
        <v>94</v>
      </c>
      <c r="AQ7" s="39" t="s">
        <v>95</v>
      </c>
      <c r="AR7" s="42" t="s">
        <v>98</v>
      </c>
      <c r="AS7" s="48" t="s">
        <v>109</v>
      </c>
      <c r="AT7" s="53" t="s">
        <v>116</v>
      </c>
      <c r="AV7" s="32" t="s">
        <v>85</v>
      </c>
      <c r="AW7" s="32" t="s">
        <v>86</v>
      </c>
      <c r="AX7" s="35" t="s">
        <v>89</v>
      </c>
      <c r="AY7" s="35" t="s">
        <v>90</v>
      </c>
      <c r="AZ7" s="36" t="s">
        <v>91</v>
      </c>
      <c r="BA7" s="39" t="s">
        <v>93</v>
      </c>
      <c r="BB7" s="39" t="s">
        <v>94</v>
      </c>
      <c r="BC7" s="64" t="s">
        <v>95</v>
      </c>
      <c r="BD7" s="67" t="s">
        <v>98</v>
      </c>
      <c r="BE7" s="72" t="s">
        <v>109</v>
      </c>
      <c r="BF7" s="76" t="s">
        <v>116</v>
      </c>
    </row>
    <row r="8" spans="1:58">
      <c r="A8" s="26" t="s">
        <v>117</v>
      </c>
      <c r="B8" s="28" t="s">
        <v>118</v>
      </c>
      <c r="C8" s="28" t="s">
        <v>502</v>
      </c>
      <c r="D8" s="28" t="s">
        <v>502</v>
      </c>
      <c r="E8" s="28"/>
      <c r="F8" s="28"/>
      <c r="G8" s="28" t="s">
        <v>119</v>
      </c>
      <c r="H8" s="28" t="s">
        <v>119</v>
      </c>
      <c r="I8" s="28" t="s">
        <v>119</v>
      </c>
      <c r="J8" s="28"/>
      <c r="K8" s="28" t="s">
        <v>1063</v>
      </c>
      <c r="L8" s="28" t="s">
        <v>1063</v>
      </c>
      <c r="M8" s="28" t="s">
        <v>1063</v>
      </c>
      <c r="N8" s="28"/>
      <c r="O8" s="28"/>
      <c r="P8" s="80"/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1064</v>
      </c>
      <c r="AB8" s="28"/>
      <c r="AC8" s="28"/>
      <c r="AD8" s="28"/>
      <c r="AE8" s="28"/>
      <c r="AF8" s="28"/>
      <c r="AG8" s="28"/>
      <c r="AH8" s="28" t="s">
        <v>502</v>
      </c>
      <c r="AJ8" s="81"/>
      <c r="AK8" s="81"/>
      <c r="AL8" s="81"/>
      <c r="AM8" s="81"/>
      <c r="AN8" s="81"/>
      <c r="AO8" s="29" t="s">
        <v>287</v>
      </c>
      <c r="AP8" s="91" t="s">
        <v>287</v>
      </c>
      <c r="AQ8" s="28" t="s">
        <v>287</v>
      </c>
      <c r="AR8" s="80"/>
      <c r="AS8" s="28" t="s">
        <v>1064</v>
      </c>
      <c r="AT8" s="28" t="s">
        <v>502</v>
      </c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</row>
    <row r="9" spans="1:58">
      <c r="A9" s="26" t="s">
        <v>121</v>
      </c>
      <c r="B9" s="28" t="s">
        <v>119</v>
      </c>
      <c r="C9" s="28" t="s">
        <v>269</v>
      </c>
      <c r="D9" s="28" t="s">
        <v>269</v>
      </c>
      <c r="E9" s="28"/>
      <c r="F9" s="28"/>
      <c r="G9" s="28" t="s">
        <v>846</v>
      </c>
      <c r="H9" s="28" t="s">
        <v>846</v>
      </c>
      <c r="I9" s="28" t="s">
        <v>846</v>
      </c>
      <c r="J9" s="29"/>
      <c r="K9" s="28" t="s">
        <v>847</v>
      </c>
      <c r="L9" s="28" t="s">
        <v>858</v>
      </c>
      <c r="M9" s="28" t="s">
        <v>1065</v>
      </c>
      <c r="N9" s="29"/>
      <c r="O9" s="29"/>
      <c r="P9" s="80"/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1064</v>
      </c>
      <c r="AB9" s="29"/>
      <c r="AC9" s="29"/>
      <c r="AD9" s="29"/>
      <c r="AE9" s="29"/>
      <c r="AF9" s="29"/>
      <c r="AG9" s="28" t="s">
        <v>205</v>
      </c>
      <c r="AH9" s="28" t="s">
        <v>269</v>
      </c>
      <c r="AJ9" s="80"/>
      <c r="AK9" s="80"/>
      <c r="AL9" s="80"/>
      <c r="AM9" s="80"/>
      <c r="AN9" s="80"/>
      <c r="AO9" s="28" t="s">
        <v>287</v>
      </c>
      <c r="AP9" s="86" t="s">
        <v>287</v>
      </c>
      <c r="AQ9" s="28" t="s">
        <v>287</v>
      </c>
      <c r="AR9" s="80"/>
      <c r="AS9" s="28" t="s">
        <v>1064</v>
      </c>
      <c r="AT9" s="28" t="s">
        <v>269</v>
      </c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</row>
    <row r="10" spans="1:58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58">
      <c r="A11" s="26" t="s">
        <v>123</v>
      </c>
      <c r="B11" s="29" t="s">
        <v>124</v>
      </c>
      <c r="C11" s="29" t="s">
        <v>124</v>
      </c>
      <c r="D11" s="29" t="s">
        <v>124</v>
      </c>
      <c r="E11" s="29"/>
      <c r="F11" s="29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8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9"/>
      <c r="AH11" s="29" t="s">
        <v>124</v>
      </c>
      <c r="AJ11" s="80"/>
      <c r="AK11" s="80"/>
      <c r="AL11" s="80"/>
      <c r="AM11" s="80"/>
      <c r="AN11" s="80"/>
      <c r="AO11" s="28" t="s">
        <v>127</v>
      </c>
      <c r="AP11" s="86" t="s">
        <v>127</v>
      </c>
      <c r="AQ11" s="28" t="s">
        <v>127</v>
      </c>
      <c r="AR11" s="80"/>
      <c r="AS11" s="28" t="s">
        <v>124</v>
      </c>
      <c r="AT11" s="28" t="s">
        <v>124</v>
      </c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</row>
    <row r="12" spans="1:58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80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  <c r="AJ12" s="80"/>
      <c r="AK12" s="80"/>
      <c r="AL12" s="80"/>
      <c r="AM12" s="80"/>
      <c r="AN12" s="80"/>
      <c r="AO12" s="28" t="s">
        <v>124</v>
      </c>
      <c r="AP12" s="86" t="s">
        <v>124</v>
      </c>
      <c r="AQ12" s="28" t="s">
        <v>124</v>
      </c>
      <c r="AR12" s="80"/>
      <c r="AS12" s="28" t="s">
        <v>124</v>
      </c>
      <c r="AT12" s="28" t="s">
        <v>124</v>
      </c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</row>
    <row r="13" spans="1:58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80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80"/>
      <c r="AK13" s="80"/>
      <c r="AL13" s="80"/>
      <c r="AM13" s="80"/>
      <c r="AN13" s="80"/>
      <c r="AO13" s="28" t="s">
        <v>127</v>
      </c>
      <c r="AP13" s="86" t="s">
        <v>127</v>
      </c>
      <c r="AQ13" s="28" t="s">
        <v>127</v>
      </c>
      <c r="AR13" s="80"/>
      <c r="AS13" s="28" t="s">
        <v>127</v>
      </c>
      <c r="AT13" s="28" t="s">
        <v>127</v>
      </c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</row>
    <row r="14" spans="1:58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80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80"/>
      <c r="AK14" s="80"/>
      <c r="AL14" s="80"/>
      <c r="AM14" s="80"/>
      <c r="AN14" s="80"/>
      <c r="AO14" s="28" t="s">
        <v>127</v>
      </c>
      <c r="AP14" s="28" t="s">
        <v>127</v>
      </c>
      <c r="AQ14" s="29" t="s">
        <v>127</v>
      </c>
      <c r="AR14" s="81"/>
      <c r="AS14" s="29" t="s">
        <v>127</v>
      </c>
      <c r="AT14" s="29" t="s">
        <v>127</v>
      </c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</row>
    <row r="15" spans="1:58">
      <c r="A15" s="26" t="s">
        <v>129</v>
      </c>
      <c r="B15" s="28" t="s">
        <v>118</v>
      </c>
      <c r="C15" s="28" t="s">
        <v>150</v>
      </c>
      <c r="D15" s="28" t="s">
        <v>150</v>
      </c>
      <c r="E15" s="28"/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80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150</v>
      </c>
      <c r="AJ15" s="80"/>
      <c r="AK15" s="80"/>
      <c r="AL15" s="80"/>
      <c r="AM15" s="80"/>
      <c r="AN15" s="80"/>
      <c r="AO15" s="28" t="s">
        <v>150</v>
      </c>
      <c r="AP15" s="28" t="s">
        <v>150</v>
      </c>
      <c r="AQ15" s="28" t="s">
        <v>150</v>
      </c>
      <c r="AR15" s="80"/>
      <c r="AS15" s="28" t="s">
        <v>118</v>
      </c>
      <c r="AT15" s="28" t="s">
        <v>150</v>
      </c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</row>
    <row r="16" spans="1:58">
      <c r="A16" s="26" t="s">
        <v>130</v>
      </c>
      <c r="B16" s="30">
        <v>3</v>
      </c>
      <c r="C16" s="30">
        <v>-2</v>
      </c>
      <c r="D16" s="30">
        <v>-2</v>
      </c>
      <c r="E16" s="30"/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f>AVERAGE(2.5,3)</f>
        <v>2.75</v>
      </c>
      <c r="M16" s="30">
        <f>AVERAGE(2.5,3)</f>
        <v>2.75</v>
      </c>
      <c r="N16" s="30"/>
      <c r="O16" s="30"/>
      <c r="P16" s="8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-2</v>
      </c>
      <c r="AJ16" s="82"/>
      <c r="AK16" s="82"/>
      <c r="AL16" s="82"/>
      <c r="AM16" s="82"/>
      <c r="AN16" s="82"/>
      <c r="AO16" s="30">
        <v>-2</v>
      </c>
      <c r="AP16" s="30">
        <v>-2</v>
      </c>
      <c r="AQ16" s="30">
        <v>-2</v>
      </c>
      <c r="AR16" s="82"/>
      <c r="AS16" s="30">
        <v>3</v>
      </c>
      <c r="AT16" s="30">
        <v>-2</v>
      </c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</row>
    <row r="17" spans="1:58">
      <c r="A17" s="26" t="s">
        <v>131</v>
      </c>
      <c r="B17" s="28" t="s">
        <v>132</v>
      </c>
      <c r="C17" s="28" t="s">
        <v>280</v>
      </c>
      <c r="D17" s="28" t="s">
        <v>280</v>
      </c>
      <c r="E17" s="28"/>
      <c r="F17" s="28"/>
      <c r="G17" s="28" t="s">
        <v>280</v>
      </c>
      <c r="H17" s="28" t="s">
        <v>280</v>
      </c>
      <c r="I17" s="28" t="s">
        <v>280</v>
      </c>
      <c r="J17" s="28"/>
      <c r="K17" s="28" t="s">
        <v>850</v>
      </c>
      <c r="L17" s="28" t="s">
        <v>850</v>
      </c>
      <c r="M17" s="28" t="s">
        <v>180</v>
      </c>
      <c r="N17" s="28"/>
      <c r="O17" s="28"/>
      <c r="P17" s="80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280</v>
      </c>
      <c r="AJ17" s="80"/>
      <c r="AK17" s="80"/>
      <c r="AL17" s="80"/>
      <c r="AM17" s="80"/>
      <c r="AN17" s="80"/>
      <c r="AO17" s="28" t="s">
        <v>287</v>
      </c>
      <c r="AP17" s="28" t="s">
        <v>287</v>
      </c>
      <c r="AQ17" s="28" t="s">
        <v>287</v>
      </c>
      <c r="AR17" s="80"/>
      <c r="AS17" s="28" t="s">
        <v>1054</v>
      </c>
      <c r="AT17" s="28" t="s">
        <v>280</v>
      </c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</row>
    <row r="18" spans="1:58">
      <c r="A18" s="26" t="s">
        <v>133</v>
      </c>
      <c r="B18" s="30">
        <v>4</v>
      </c>
      <c r="C18" s="30">
        <v>0.5</v>
      </c>
      <c r="D18" s="30">
        <v>0.5</v>
      </c>
      <c r="E18" s="30"/>
      <c r="F18" s="30"/>
      <c r="G18" s="30">
        <v>0.5</v>
      </c>
      <c r="H18" s="30">
        <v>0.5</v>
      </c>
      <c r="I18" s="30">
        <v>0.5</v>
      </c>
      <c r="J18" s="30"/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8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0.5</v>
      </c>
      <c r="AJ18" s="82"/>
      <c r="AK18" s="82"/>
      <c r="AL18" s="82"/>
      <c r="AM18" s="82"/>
      <c r="AN18" s="82"/>
      <c r="AO18" s="30">
        <v>0</v>
      </c>
      <c r="AP18" s="30">
        <v>0</v>
      </c>
      <c r="AQ18" s="30">
        <v>0</v>
      </c>
      <c r="AR18" s="82"/>
      <c r="AS18" s="30">
        <v>5</v>
      </c>
      <c r="AT18" s="30">
        <v>0.5</v>
      </c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</row>
    <row r="20" spans="1:58">
      <c r="A20" s="26" t="s">
        <v>117</v>
      </c>
      <c r="B20" s="28" t="s">
        <v>1055</v>
      </c>
      <c r="C20" s="28" t="s">
        <v>1065</v>
      </c>
      <c r="D20" s="28" t="s">
        <v>349</v>
      </c>
      <c r="E20" s="28"/>
      <c r="F20" s="28"/>
      <c r="G20" s="28" t="s">
        <v>502</v>
      </c>
      <c r="H20" s="28" t="s">
        <v>502</v>
      </c>
      <c r="I20" s="28" t="s">
        <v>502</v>
      </c>
      <c r="J20" s="28"/>
      <c r="K20" s="28" t="s">
        <v>502</v>
      </c>
      <c r="L20" s="28" t="s">
        <v>502</v>
      </c>
      <c r="M20" s="28" t="s">
        <v>502</v>
      </c>
      <c r="N20" s="28"/>
      <c r="O20" s="28"/>
      <c r="P20" s="28" t="s">
        <v>1066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502</v>
      </c>
      <c r="AB20" s="28"/>
      <c r="AC20" s="28"/>
      <c r="AD20" s="28"/>
      <c r="AE20" s="28"/>
      <c r="AF20" s="28"/>
      <c r="AG20" s="28"/>
      <c r="AH20" s="28" t="s">
        <v>119</v>
      </c>
      <c r="AJ20" s="28" t="s">
        <v>269</v>
      </c>
      <c r="AK20" s="28" t="s">
        <v>269</v>
      </c>
      <c r="AL20" s="28" t="s">
        <v>264</v>
      </c>
      <c r="AM20" s="28" t="s">
        <v>264</v>
      </c>
      <c r="AN20" s="28" t="s">
        <v>264</v>
      </c>
      <c r="AO20" s="28" t="s">
        <v>469</v>
      </c>
      <c r="AP20" s="28" t="s">
        <v>469</v>
      </c>
      <c r="AQ20" s="28" t="s">
        <v>469</v>
      </c>
      <c r="AR20" s="28" t="s">
        <v>287</v>
      </c>
      <c r="AS20" s="28" t="s">
        <v>502</v>
      </c>
      <c r="AT20" s="28" t="s">
        <v>119</v>
      </c>
      <c r="AV20" s="28" t="s">
        <v>502</v>
      </c>
      <c r="AW20" s="28" t="s">
        <v>502</v>
      </c>
      <c r="AX20" s="28" t="s">
        <v>287</v>
      </c>
      <c r="AY20" s="28" t="s">
        <v>287</v>
      </c>
      <c r="AZ20" s="28" t="s">
        <v>287</v>
      </c>
      <c r="BA20" s="28" t="s">
        <v>287</v>
      </c>
      <c r="BB20" s="28" t="s">
        <v>287</v>
      </c>
      <c r="BC20" s="28" t="s">
        <v>287</v>
      </c>
      <c r="BD20" s="28" t="s">
        <v>287</v>
      </c>
      <c r="BE20" s="28" t="s">
        <v>287</v>
      </c>
      <c r="BF20" s="80"/>
    </row>
    <row r="21" spans="1:58">
      <c r="A21" s="26" t="s">
        <v>121</v>
      </c>
      <c r="B21" s="28" t="s">
        <v>269</v>
      </c>
      <c r="C21" s="28" t="s">
        <v>349</v>
      </c>
      <c r="D21" s="28" t="s">
        <v>349</v>
      </c>
      <c r="E21" s="28"/>
      <c r="F21" s="28"/>
      <c r="G21" s="28" t="s">
        <v>269</v>
      </c>
      <c r="H21" s="28" t="s">
        <v>269</v>
      </c>
      <c r="I21" s="28" t="s">
        <v>269</v>
      </c>
      <c r="J21" s="29"/>
      <c r="K21" s="28" t="s">
        <v>1056</v>
      </c>
      <c r="L21" s="28" t="s">
        <v>1056</v>
      </c>
      <c r="M21" s="28" t="s">
        <v>1056</v>
      </c>
      <c r="N21" s="29"/>
      <c r="O21" s="29"/>
      <c r="P21" s="28" t="s">
        <v>271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8" t="s">
        <v>269</v>
      </c>
      <c r="AB21" s="29"/>
      <c r="AC21" s="29"/>
      <c r="AD21" s="29"/>
      <c r="AE21" s="29"/>
      <c r="AF21" s="29"/>
      <c r="AG21" s="28" t="s">
        <v>269</v>
      </c>
      <c r="AH21" s="28" t="s">
        <v>119</v>
      </c>
      <c r="AJ21" s="28" t="s">
        <v>271</v>
      </c>
      <c r="AK21" s="28" t="s">
        <v>271</v>
      </c>
      <c r="AL21" s="28" t="s">
        <v>953</v>
      </c>
      <c r="AM21" s="28" t="s">
        <v>953</v>
      </c>
      <c r="AN21" s="28" t="s">
        <v>953</v>
      </c>
      <c r="AO21" s="28" t="s">
        <v>920</v>
      </c>
      <c r="AP21" s="28" t="s">
        <v>921</v>
      </c>
      <c r="AQ21" s="28" t="s">
        <v>922</v>
      </c>
      <c r="AR21" s="28" t="s">
        <v>287</v>
      </c>
      <c r="AS21" s="28" t="s">
        <v>269</v>
      </c>
      <c r="AT21" s="28" t="s">
        <v>119</v>
      </c>
      <c r="AV21" s="28" t="s">
        <v>269</v>
      </c>
      <c r="AW21" s="28" t="s">
        <v>269</v>
      </c>
      <c r="AX21" s="29" t="s">
        <v>287</v>
      </c>
      <c r="AY21" s="29" t="s">
        <v>287</v>
      </c>
      <c r="AZ21" s="29" t="s">
        <v>287</v>
      </c>
      <c r="BA21" s="29" t="s">
        <v>287</v>
      </c>
      <c r="BB21" s="29" t="s">
        <v>287</v>
      </c>
      <c r="BC21" s="29" t="s">
        <v>287</v>
      </c>
      <c r="BD21" s="28" t="s">
        <v>287</v>
      </c>
      <c r="BE21" s="29" t="s">
        <v>287</v>
      </c>
      <c r="BF21" s="81"/>
    </row>
    <row r="22" spans="1:58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58">
      <c r="A23" s="26" t="s">
        <v>123</v>
      </c>
      <c r="B23" s="28" t="s">
        <v>124</v>
      </c>
      <c r="C23" s="28" t="s">
        <v>124</v>
      </c>
      <c r="D23" s="28" t="s">
        <v>124</v>
      </c>
      <c r="E23" s="28"/>
      <c r="F23" s="28"/>
      <c r="G23" s="28" t="s">
        <v>124</v>
      </c>
      <c r="H23" s="28" t="s">
        <v>124</v>
      </c>
      <c r="I23" s="28" t="s">
        <v>124</v>
      </c>
      <c r="J23" s="28"/>
      <c r="K23" s="28" t="s">
        <v>235</v>
      </c>
      <c r="L23" s="28" t="s">
        <v>235</v>
      </c>
      <c r="M23" s="28" t="s">
        <v>235</v>
      </c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124</v>
      </c>
      <c r="AB23" s="28"/>
      <c r="AC23" s="29"/>
      <c r="AD23" s="28"/>
      <c r="AE23" s="29"/>
      <c r="AF23" s="28"/>
      <c r="AG23" s="28"/>
      <c r="AH23" s="28" t="s">
        <v>124</v>
      </c>
      <c r="AJ23" s="28" t="s">
        <v>124</v>
      </c>
      <c r="AK23" s="28" t="s">
        <v>124</v>
      </c>
      <c r="AL23" s="28" t="s">
        <v>124</v>
      </c>
      <c r="AM23" s="28" t="s">
        <v>124</v>
      </c>
      <c r="AN23" s="28" t="s">
        <v>124</v>
      </c>
      <c r="AO23" s="28" t="s">
        <v>124</v>
      </c>
      <c r="AP23" s="28" t="s">
        <v>124</v>
      </c>
      <c r="AQ23" s="28" t="s">
        <v>124</v>
      </c>
      <c r="AR23" s="28" t="s">
        <v>127</v>
      </c>
      <c r="AS23" s="28" t="s">
        <v>124</v>
      </c>
      <c r="AT23" s="28" t="s">
        <v>124</v>
      </c>
      <c r="AV23" s="28" t="s">
        <v>124</v>
      </c>
      <c r="AW23" s="28" t="s">
        <v>124</v>
      </c>
      <c r="AX23" s="28" t="s">
        <v>127</v>
      </c>
      <c r="AY23" s="28" t="s">
        <v>127</v>
      </c>
      <c r="AZ23" s="28" t="s">
        <v>127</v>
      </c>
      <c r="BA23" s="28" t="s">
        <v>127</v>
      </c>
      <c r="BB23" s="28" t="s">
        <v>127</v>
      </c>
      <c r="BC23" s="28" t="s">
        <v>127</v>
      </c>
      <c r="BD23" s="28" t="s">
        <v>127</v>
      </c>
      <c r="BE23" s="28" t="s">
        <v>127</v>
      </c>
      <c r="BF23" s="80"/>
    </row>
    <row r="24" spans="1:58">
      <c r="A24" s="26" t="s">
        <v>125</v>
      </c>
      <c r="B24" s="28" t="s">
        <v>124</v>
      </c>
      <c r="C24" s="28" t="s">
        <v>124</v>
      </c>
      <c r="D24" s="28" t="s">
        <v>124</v>
      </c>
      <c r="E24" s="28"/>
      <c r="F24" s="28"/>
      <c r="G24" s="28" t="s">
        <v>124</v>
      </c>
      <c r="H24" s="28" t="s">
        <v>124</v>
      </c>
      <c r="I24" s="28" t="s">
        <v>124</v>
      </c>
      <c r="J24" s="28"/>
      <c r="K24" s="28" t="s">
        <v>124</v>
      </c>
      <c r="L24" s="28" t="s">
        <v>124</v>
      </c>
      <c r="M24" s="28" t="s">
        <v>124</v>
      </c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124</v>
      </c>
      <c r="AB24" s="28"/>
      <c r="AC24" s="28"/>
      <c r="AD24" s="28"/>
      <c r="AE24" s="28"/>
      <c r="AF24" s="28"/>
      <c r="AG24" s="28"/>
      <c r="AH24" s="28" t="s">
        <v>124</v>
      </c>
      <c r="AJ24" s="28" t="s">
        <v>124</v>
      </c>
      <c r="AK24" s="28" t="s">
        <v>124</v>
      </c>
      <c r="AL24" s="28" t="s">
        <v>124</v>
      </c>
      <c r="AM24" s="28" t="s">
        <v>124</v>
      </c>
      <c r="AN24" s="28" t="s">
        <v>124</v>
      </c>
      <c r="AO24" s="28" t="s">
        <v>124</v>
      </c>
      <c r="AP24" s="28" t="s">
        <v>124</v>
      </c>
      <c r="AQ24" s="28" t="s">
        <v>124</v>
      </c>
      <c r="AR24" s="28" t="s">
        <v>124</v>
      </c>
      <c r="AS24" s="28" t="s">
        <v>124</v>
      </c>
      <c r="AT24" s="28" t="s">
        <v>124</v>
      </c>
      <c r="AV24" s="28" t="s">
        <v>124</v>
      </c>
      <c r="AW24" s="28" t="s">
        <v>124</v>
      </c>
      <c r="AX24" s="28" t="s">
        <v>124</v>
      </c>
      <c r="AY24" s="28" t="s">
        <v>124</v>
      </c>
      <c r="AZ24" s="28" t="s">
        <v>124</v>
      </c>
      <c r="BA24" s="28" t="s">
        <v>124</v>
      </c>
      <c r="BB24" s="28" t="s">
        <v>124</v>
      </c>
      <c r="BC24" s="28" t="s">
        <v>124</v>
      </c>
      <c r="BD24" s="28" t="s">
        <v>124</v>
      </c>
      <c r="BE24" s="28" t="s">
        <v>124</v>
      </c>
      <c r="BF24" s="80"/>
    </row>
    <row r="25" spans="1:58">
      <c r="A25" s="26" t="s">
        <v>126</v>
      </c>
      <c r="B25" s="28" t="s">
        <v>127</v>
      </c>
      <c r="C25" s="28" t="s">
        <v>127</v>
      </c>
      <c r="D25" s="28" t="s">
        <v>127</v>
      </c>
      <c r="E25" s="28"/>
      <c r="F25" s="28"/>
      <c r="G25" s="28" t="s">
        <v>127</v>
      </c>
      <c r="H25" s="28" t="s">
        <v>127</v>
      </c>
      <c r="I25" s="28" t="s">
        <v>127</v>
      </c>
      <c r="J25" s="28"/>
      <c r="K25" s="28" t="s">
        <v>127</v>
      </c>
      <c r="L25" s="28" t="s">
        <v>127</v>
      </c>
      <c r="M25" s="28" t="s">
        <v>127</v>
      </c>
      <c r="N25" s="28"/>
      <c r="O25" s="28"/>
      <c r="P25" s="28" t="s">
        <v>124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127</v>
      </c>
      <c r="AB25" s="28"/>
      <c r="AC25" s="28"/>
      <c r="AD25" s="28"/>
      <c r="AE25" s="28"/>
      <c r="AF25" s="28"/>
      <c r="AG25" s="28"/>
      <c r="AH25" s="28" t="s">
        <v>127</v>
      </c>
      <c r="AJ25" s="28" t="s">
        <v>124</v>
      </c>
      <c r="AK25" s="28" t="s">
        <v>124</v>
      </c>
      <c r="AL25" s="28" t="s">
        <v>127</v>
      </c>
      <c r="AM25" s="28" t="s">
        <v>127</v>
      </c>
      <c r="AN25" s="28" t="s">
        <v>127</v>
      </c>
      <c r="AO25" s="28" t="s">
        <v>127</v>
      </c>
      <c r="AP25" s="28" t="s">
        <v>127</v>
      </c>
      <c r="AQ25" s="28" t="s">
        <v>127</v>
      </c>
      <c r="AR25" s="28" t="s">
        <v>127</v>
      </c>
      <c r="AS25" s="28" t="s">
        <v>127</v>
      </c>
      <c r="AT25" s="28" t="s">
        <v>127</v>
      </c>
      <c r="AV25" s="28" t="s">
        <v>127</v>
      </c>
      <c r="AW25" s="28" t="s">
        <v>127</v>
      </c>
      <c r="AX25" s="28" t="s">
        <v>127</v>
      </c>
      <c r="AY25" s="28" t="s">
        <v>127</v>
      </c>
      <c r="AZ25" s="28" t="s">
        <v>127</v>
      </c>
      <c r="BA25" s="28" t="s">
        <v>127</v>
      </c>
      <c r="BB25" s="28" t="s">
        <v>127</v>
      </c>
      <c r="BC25" s="28" t="s">
        <v>127</v>
      </c>
      <c r="BD25" s="28" t="s">
        <v>127</v>
      </c>
      <c r="BE25" s="28" t="s">
        <v>127</v>
      </c>
      <c r="BF25" s="80"/>
    </row>
    <row r="26" spans="1:58">
      <c r="A26" s="26" t="s">
        <v>128</v>
      </c>
      <c r="B26" s="28" t="s">
        <v>127</v>
      </c>
      <c r="C26" s="28" t="s">
        <v>127</v>
      </c>
      <c r="D26" s="28" t="s">
        <v>127</v>
      </c>
      <c r="E26" s="28"/>
      <c r="F26" s="28"/>
      <c r="G26" s="28" t="s">
        <v>127</v>
      </c>
      <c r="H26" s="28" t="s">
        <v>127</v>
      </c>
      <c r="I26" s="28" t="s">
        <v>127</v>
      </c>
      <c r="J26" s="28"/>
      <c r="K26" s="28" t="s">
        <v>127</v>
      </c>
      <c r="L26" s="28" t="s">
        <v>127</v>
      </c>
      <c r="M26" s="28" t="s">
        <v>127</v>
      </c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127</v>
      </c>
      <c r="AB26" s="28"/>
      <c r="AC26" s="28"/>
      <c r="AD26" s="28"/>
      <c r="AE26" s="28"/>
      <c r="AF26" s="28"/>
      <c r="AG26" s="28"/>
      <c r="AH26" s="28" t="s">
        <v>127</v>
      </c>
      <c r="AJ26" s="28" t="s">
        <v>127</v>
      </c>
      <c r="AK26" s="28" t="s">
        <v>127</v>
      </c>
      <c r="AL26" s="28" t="s">
        <v>127</v>
      </c>
      <c r="AM26" s="28" t="s">
        <v>127</v>
      </c>
      <c r="AN26" s="28" t="s">
        <v>127</v>
      </c>
      <c r="AO26" s="28" t="s">
        <v>127</v>
      </c>
      <c r="AP26" s="28" t="s">
        <v>127</v>
      </c>
      <c r="AQ26" s="28" t="s">
        <v>127</v>
      </c>
      <c r="AR26" s="28" t="s">
        <v>127</v>
      </c>
      <c r="AS26" s="28" t="s">
        <v>127</v>
      </c>
      <c r="AT26" s="28" t="s">
        <v>127</v>
      </c>
      <c r="AV26" s="28" t="s">
        <v>127</v>
      </c>
      <c r="AW26" s="28" t="s">
        <v>127</v>
      </c>
      <c r="AX26" s="28" t="s">
        <v>127</v>
      </c>
      <c r="AY26" s="28" t="s">
        <v>127</v>
      </c>
      <c r="AZ26" s="28" t="s">
        <v>127</v>
      </c>
      <c r="BA26" s="28" t="s">
        <v>127</v>
      </c>
      <c r="BB26" s="28" t="s">
        <v>127</v>
      </c>
      <c r="BC26" s="28" t="s">
        <v>127</v>
      </c>
      <c r="BD26" s="28" t="s">
        <v>127</v>
      </c>
      <c r="BE26" s="28" t="s">
        <v>127</v>
      </c>
      <c r="BF26" s="80"/>
    </row>
    <row r="27" spans="1:58">
      <c r="A27" s="26" t="s">
        <v>129</v>
      </c>
      <c r="B27" s="28" t="s">
        <v>150</v>
      </c>
      <c r="C27" s="28" t="s">
        <v>118</v>
      </c>
      <c r="D27" s="28" t="s">
        <v>118</v>
      </c>
      <c r="E27" s="28"/>
      <c r="F27" s="28"/>
      <c r="G27" s="28" t="s">
        <v>150</v>
      </c>
      <c r="H27" s="28" t="s">
        <v>150</v>
      </c>
      <c r="I27" s="28" t="s">
        <v>150</v>
      </c>
      <c r="J27" s="28"/>
      <c r="K27" s="28" t="s">
        <v>150</v>
      </c>
      <c r="L27" s="28" t="s">
        <v>150</v>
      </c>
      <c r="M27" s="28" t="s">
        <v>150</v>
      </c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150</v>
      </c>
      <c r="AB27" s="28"/>
      <c r="AC27" s="28"/>
      <c r="AD27" s="28"/>
      <c r="AE27" s="28"/>
      <c r="AF27" s="28"/>
      <c r="AG27" s="28"/>
      <c r="AH27" s="28" t="s">
        <v>118</v>
      </c>
      <c r="AJ27" s="28" t="s">
        <v>150</v>
      </c>
      <c r="AK27" s="28" t="s">
        <v>150</v>
      </c>
      <c r="AL27" s="28" t="s">
        <v>150</v>
      </c>
      <c r="AM27" s="28" t="s">
        <v>150</v>
      </c>
      <c r="AN27" s="28" t="s">
        <v>150</v>
      </c>
      <c r="AO27" s="28" t="s">
        <v>216</v>
      </c>
      <c r="AP27" s="28" t="s">
        <v>216</v>
      </c>
      <c r="AQ27" s="28" t="s">
        <v>216</v>
      </c>
      <c r="AR27" s="28" t="s">
        <v>150</v>
      </c>
      <c r="AS27" s="28" t="s">
        <v>150</v>
      </c>
      <c r="AT27" s="28" t="s">
        <v>118</v>
      </c>
      <c r="AV27" s="28" t="s">
        <v>150</v>
      </c>
      <c r="AW27" s="28" t="s">
        <v>150</v>
      </c>
      <c r="AX27" s="28" t="s">
        <v>150</v>
      </c>
      <c r="AY27" s="28" t="s">
        <v>150</v>
      </c>
      <c r="AZ27" s="28" t="s">
        <v>150</v>
      </c>
      <c r="BA27" s="28" t="s">
        <v>150</v>
      </c>
      <c r="BB27" s="28" t="s">
        <v>150</v>
      </c>
      <c r="BC27" s="28" t="s">
        <v>150</v>
      </c>
      <c r="BD27" s="28" t="s">
        <v>150</v>
      </c>
      <c r="BE27" s="28" t="s">
        <v>150</v>
      </c>
      <c r="BF27" s="80"/>
    </row>
    <row r="28" spans="1:58">
      <c r="A28" s="26" t="s">
        <v>130</v>
      </c>
      <c r="B28" s="30">
        <v>-2</v>
      </c>
      <c r="C28" s="30">
        <f>AVERAGE(2.5,3)</f>
        <v>2.75</v>
      </c>
      <c r="D28" s="30">
        <v>2.5</v>
      </c>
      <c r="E28" s="30"/>
      <c r="F28" s="30"/>
      <c r="G28" s="30">
        <v>-2</v>
      </c>
      <c r="H28" s="30">
        <v>-2</v>
      </c>
      <c r="I28" s="30">
        <v>-2</v>
      </c>
      <c r="J28" s="30"/>
      <c r="K28" s="30">
        <v>-2</v>
      </c>
      <c r="L28" s="30">
        <v>-2</v>
      </c>
      <c r="M28" s="30">
        <v>-2</v>
      </c>
      <c r="N28" s="30"/>
      <c r="O28" s="30"/>
      <c r="P28" s="30">
        <v>-0.5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3</v>
      </c>
      <c r="AJ28" s="30">
        <v>-0.5</v>
      </c>
      <c r="AK28" s="30">
        <v>-0.5</v>
      </c>
      <c r="AL28" s="30">
        <v>-2</v>
      </c>
      <c r="AM28" s="30">
        <v>-2</v>
      </c>
      <c r="AN28" s="30">
        <v>-2</v>
      </c>
      <c r="AO28" s="30">
        <v>-3</v>
      </c>
      <c r="AP28" s="30">
        <v>-3</v>
      </c>
      <c r="AQ28" s="30">
        <v>-3</v>
      </c>
      <c r="AR28" s="30">
        <v>-2</v>
      </c>
      <c r="AS28" s="30">
        <v>-2</v>
      </c>
      <c r="AT28" s="30">
        <v>3</v>
      </c>
      <c r="AV28" s="30">
        <v>-2</v>
      </c>
      <c r="AW28" s="30">
        <v>-2</v>
      </c>
      <c r="AX28" s="30">
        <v>-2</v>
      </c>
      <c r="AY28" s="30">
        <v>-2</v>
      </c>
      <c r="AZ28" s="30">
        <v>-2</v>
      </c>
      <c r="BA28" s="30">
        <v>-2</v>
      </c>
      <c r="BB28" s="30">
        <v>-2</v>
      </c>
      <c r="BC28" s="30">
        <v>-2</v>
      </c>
      <c r="BD28" s="30">
        <v>-2</v>
      </c>
      <c r="BE28" s="30">
        <v>-2</v>
      </c>
      <c r="BF28" s="82"/>
    </row>
    <row r="29" spans="1:58">
      <c r="A29" s="26" t="s">
        <v>131</v>
      </c>
      <c r="B29" s="28" t="s">
        <v>280</v>
      </c>
      <c r="C29" s="28" t="s">
        <v>180</v>
      </c>
      <c r="D29" s="28" t="s">
        <v>180</v>
      </c>
      <c r="E29" s="28"/>
      <c r="F29" s="28"/>
      <c r="G29" s="28" t="s">
        <v>280</v>
      </c>
      <c r="H29" s="28" t="s">
        <v>280</v>
      </c>
      <c r="I29" s="28" t="s">
        <v>280</v>
      </c>
      <c r="J29" s="28"/>
      <c r="K29" s="103" t="s">
        <v>935</v>
      </c>
      <c r="L29" s="103" t="s">
        <v>935</v>
      </c>
      <c r="M29" s="103" t="s">
        <v>935</v>
      </c>
      <c r="N29" s="28"/>
      <c r="O29" s="28"/>
      <c r="P29" s="28" t="s">
        <v>180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 t="s">
        <v>280</v>
      </c>
      <c r="AB29" s="28"/>
      <c r="AC29" s="28"/>
      <c r="AD29" s="28"/>
      <c r="AE29" s="28"/>
      <c r="AF29" s="28"/>
      <c r="AG29" s="28"/>
      <c r="AH29" s="28" t="s">
        <v>132</v>
      </c>
      <c r="AJ29" s="28" t="s">
        <v>180</v>
      </c>
      <c r="AK29" s="28" t="s">
        <v>180</v>
      </c>
      <c r="AL29" s="28" t="s">
        <v>180</v>
      </c>
      <c r="AM29" s="28" t="s">
        <v>180</v>
      </c>
      <c r="AN29" s="28" t="s">
        <v>180</v>
      </c>
      <c r="AO29" s="28" t="s">
        <v>850</v>
      </c>
      <c r="AP29" s="28" t="s">
        <v>304</v>
      </c>
      <c r="AQ29" s="28" t="s">
        <v>353</v>
      </c>
      <c r="AR29" s="28" t="s">
        <v>287</v>
      </c>
      <c r="AS29" s="28" t="s">
        <v>280</v>
      </c>
      <c r="AT29" s="28" t="s">
        <v>132</v>
      </c>
      <c r="AV29" s="28" t="s">
        <v>280</v>
      </c>
      <c r="AW29" s="28" t="s">
        <v>280</v>
      </c>
      <c r="AX29" s="28" t="s">
        <v>287</v>
      </c>
      <c r="AY29" s="28" t="s">
        <v>287</v>
      </c>
      <c r="AZ29" s="28" t="s">
        <v>287</v>
      </c>
      <c r="BA29" s="28" t="s">
        <v>287</v>
      </c>
      <c r="BB29" s="28" t="s">
        <v>287</v>
      </c>
      <c r="BC29" s="28" t="s">
        <v>287</v>
      </c>
      <c r="BD29" s="28" t="s">
        <v>287</v>
      </c>
      <c r="BE29" s="28" t="s">
        <v>287</v>
      </c>
      <c r="BF29" s="80"/>
    </row>
    <row r="30" spans="1:58">
      <c r="A30" s="26" t="s">
        <v>133</v>
      </c>
      <c r="B30" s="30">
        <v>0.5</v>
      </c>
      <c r="C30" s="30">
        <v>2</v>
      </c>
      <c r="D30" s="30">
        <v>2</v>
      </c>
      <c r="E30" s="30"/>
      <c r="F30" s="30"/>
      <c r="G30" s="30">
        <v>0.5</v>
      </c>
      <c r="H30" s="30">
        <v>0.5</v>
      </c>
      <c r="I30" s="30">
        <v>0.5</v>
      </c>
      <c r="J30" s="30"/>
      <c r="K30" s="30">
        <f>AVERAGE(0,0.5)</f>
        <v>0.25</v>
      </c>
      <c r="L30" s="30">
        <f>AVERAGE(0,0.5)</f>
        <v>0.25</v>
      </c>
      <c r="M30" s="30">
        <f>AVERAGE(0,0.5)</f>
        <v>0.25</v>
      </c>
      <c r="N30" s="30"/>
      <c r="O30" s="30"/>
      <c r="P30" s="30">
        <v>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>
        <v>0.5</v>
      </c>
      <c r="AB30" s="30"/>
      <c r="AC30" s="30"/>
      <c r="AD30" s="30"/>
      <c r="AE30" s="30"/>
      <c r="AF30" s="30"/>
      <c r="AG30" s="30"/>
      <c r="AH30" s="30">
        <v>4</v>
      </c>
      <c r="AJ30" s="30">
        <v>2</v>
      </c>
      <c r="AK30" s="30">
        <v>2</v>
      </c>
      <c r="AL30" s="30">
        <v>2</v>
      </c>
      <c r="AM30" s="30">
        <v>2</v>
      </c>
      <c r="AN30" s="30">
        <v>2</v>
      </c>
      <c r="AO30" s="30">
        <f>AVERAGE(2,0.5)</f>
        <v>1.25</v>
      </c>
      <c r="AP30" s="30">
        <f>AVERAGE(4,0.5)</f>
        <v>2.25</v>
      </c>
      <c r="AQ30" s="30">
        <f>AVERAGE(4,2)</f>
        <v>3</v>
      </c>
      <c r="AR30" s="30">
        <v>0</v>
      </c>
      <c r="AS30" s="30">
        <v>0.5</v>
      </c>
      <c r="AT30" s="30">
        <v>4</v>
      </c>
      <c r="AV30" s="30">
        <v>0.5</v>
      </c>
      <c r="AW30" s="30">
        <v>0.5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82"/>
    </row>
    <row r="31" spans="1:58">
      <c r="C31" s="93" t="s">
        <v>1067</v>
      </c>
      <c r="AJ31" s="93" t="s">
        <v>1068</v>
      </c>
      <c r="AV31" s="93" t="s">
        <v>1069</v>
      </c>
    </row>
    <row r="32" spans="1:58">
      <c r="A32" s="31" t="s">
        <v>134</v>
      </c>
    </row>
    <row r="33" spans="1:2">
      <c r="A33" s="93" t="s">
        <v>1070</v>
      </c>
      <c r="B33" s="56"/>
    </row>
    <row r="34" spans="1:2">
      <c r="A34" s="110" t="s">
        <v>1071</v>
      </c>
      <c r="B34" s="56" t="s">
        <v>1072</v>
      </c>
    </row>
    <row r="35" spans="1:2">
      <c r="A35" s="110" t="s">
        <v>1073</v>
      </c>
      <c r="B35" s="93" t="s">
        <v>1074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5AB8-795C-4A3E-B116-8AFF4391248F}">
  <dimension ref="A1:AL36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8" width="5.7109375" style="26" customWidth="1"/>
    <col min="59" max="16384" width="9.140625" style="26"/>
  </cols>
  <sheetData>
    <row r="1" spans="1:38">
      <c r="A1" s="25" t="s">
        <v>74</v>
      </c>
      <c r="D1" s="25" t="s">
        <v>840</v>
      </c>
      <c r="I1" s="25" t="s">
        <v>1047</v>
      </c>
    </row>
    <row r="3" spans="1:38" ht="17.45">
      <c r="A3" s="25" t="s">
        <v>77</v>
      </c>
      <c r="B3" s="203">
        <v>77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8" ht="17.45">
      <c r="A4" s="25" t="s">
        <v>79</v>
      </c>
      <c r="B4" s="203" t="s">
        <v>1075</v>
      </c>
      <c r="C4" s="203"/>
      <c r="D4" s="203"/>
      <c r="F4" s="236" t="s">
        <v>1076</v>
      </c>
      <c r="G4" s="237"/>
      <c r="H4" s="237"/>
      <c r="I4" s="237"/>
      <c r="J4" s="237"/>
      <c r="K4" s="237"/>
      <c r="L4" s="237"/>
      <c r="M4" s="237"/>
      <c r="N4" s="237"/>
      <c r="O4" s="237"/>
      <c r="P4" s="238"/>
    </row>
    <row r="5" spans="1:38" ht="17.45">
      <c r="A5" s="25" t="s">
        <v>82</v>
      </c>
      <c r="B5" s="203" t="s">
        <v>1028</v>
      </c>
      <c r="C5" s="203"/>
      <c r="D5" s="203"/>
      <c r="F5" s="239"/>
      <c r="G5" s="240"/>
      <c r="H5" s="240"/>
      <c r="I5" s="240"/>
      <c r="J5" s="240"/>
      <c r="K5" s="240"/>
      <c r="L5" s="240"/>
      <c r="M5" s="240"/>
      <c r="N5" s="240"/>
      <c r="O5" s="240"/>
      <c r="P5" s="241"/>
    </row>
    <row r="7" spans="1:38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58" t="s">
        <v>85</v>
      </c>
      <c r="AK7" s="58" t="s">
        <v>86</v>
      </c>
      <c r="AL7" s="72" t="s">
        <v>109</v>
      </c>
    </row>
    <row r="8" spans="1:38">
      <c r="A8" s="26" t="s">
        <v>117</v>
      </c>
      <c r="B8" s="28" t="s">
        <v>142</v>
      </c>
      <c r="C8" s="83" t="s">
        <v>173</v>
      </c>
      <c r="D8" s="28" t="s">
        <v>173</v>
      </c>
      <c r="E8" s="28"/>
      <c r="F8" s="86"/>
      <c r="G8" s="28" t="s">
        <v>173</v>
      </c>
      <c r="H8" s="28" t="s">
        <v>173</v>
      </c>
      <c r="I8" s="28" t="s">
        <v>173</v>
      </c>
      <c r="J8" s="28"/>
      <c r="K8" s="28" t="s">
        <v>287</v>
      </c>
      <c r="L8" s="28" t="s">
        <v>287</v>
      </c>
      <c r="M8" s="28" t="s">
        <v>287</v>
      </c>
      <c r="N8" s="28"/>
      <c r="O8" s="28"/>
      <c r="P8" s="28" t="s">
        <v>206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115" t="s">
        <v>1077</v>
      </c>
      <c r="AB8" s="28"/>
      <c r="AC8" s="28"/>
      <c r="AD8" s="28"/>
      <c r="AE8" s="28"/>
      <c r="AF8" s="28"/>
      <c r="AG8" s="28"/>
      <c r="AH8" s="115" t="s">
        <v>1078</v>
      </c>
      <c r="AJ8" s="28" t="s">
        <v>1079</v>
      </c>
      <c r="AK8" s="28" t="s">
        <v>1079</v>
      </c>
      <c r="AL8" s="28" t="s">
        <v>950</v>
      </c>
    </row>
    <row r="9" spans="1:38">
      <c r="A9" s="26" t="s">
        <v>121</v>
      </c>
      <c r="B9" s="29" t="s">
        <v>146</v>
      </c>
      <c r="C9" s="29" t="s">
        <v>1080</v>
      </c>
      <c r="D9" s="29" t="s">
        <v>173</v>
      </c>
      <c r="E9" s="29"/>
      <c r="F9" s="91"/>
      <c r="G9" s="28" t="s">
        <v>208</v>
      </c>
      <c r="H9" s="28" t="s">
        <v>209</v>
      </c>
      <c r="I9" s="28" t="s">
        <v>206</v>
      </c>
      <c r="J9" s="29"/>
      <c r="K9" s="28" t="s">
        <v>287</v>
      </c>
      <c r="L9" s="28" t="s">
        <v>287</v>
      </c>
      <c r="M9" s="28" t="s">
        <v>287</v>
      </c>
      <c r="N9" s="29"/>
      <c r="O9" s="29"/>
      <c r="P9" s="29" t="s">
        <v>177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114" t="s">
        <v>1081</v>
      </c>
      <c r="AB9" s="29"/>
      <c r="AC9" s="29"/>
      <c r="AD9" s="29"/>
      <c r="AE9" s="29"/>
      <c r="AF9" s="29"/>
      <c r="AG9" s="29"/>
      <c r="AH9" s="117" t="s">
        <v>1082</v>
      </c>
      <c r="AJ9" s="28" t="s">
        <v>1083</v>
      </c>
      <c r="AK9" s="28" t="s">
        <v>206</v>
      </c>
      <c r="AL9" s="28" t="s">
        <v>1084</v>
      </c>
    </row>
    <row r="10" spans="1:38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8">
      <c r="A11" s="26" t="s">
        <v>123</v>
      </c>
      <c r="B11" s="28" t="s">
        <v>124</v>
      </c>
      <c r="C11" s="29" t="s">
        <v>124</v>
      </c>
      <c r="D11" s="29" t="s">
        <v>124</v>
      </c>
      <c r="E11" s="28"/>
      <c r="F11" s="86"/>
      <c r="G11" s="28" t="s">
        <v>124</v>
      </c>
      <c r="H11" s="28" t="s">
        <v>124</v>
      </c>
      <c r="I11" s="28" t="s">
        <v>124</v>
      </c>
      <c r="J11" s="28"/>
      <c r="K11" s="29" t="s">
        <v>127</v>
      </c>
      <c r="L11" s="29" t="s">
        <v>127</v>
      </c>
      <c r="M11" s="29" t="s">
        <v>127</v>
      </c>
      <c r="N11" s="28"/>
      <c r="O11" s="28"/>
      <c r="P11" s="29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9" t="s">
        <v>124</v>
      </c>
      <c r="AK11" s="29" t="s">
        <v>124</v>
      </c>
      <c r="AL11" s="28" t="s">
        <v>124</v>
      </c>
    </row>
    <row r="12" spans="1:38">
      <c r="A12" s="26" t="s">
        <v>125</v>
      </c>
      <c r="B12" s="28" t="s">
        <v>127</v>
      </c>
      <c r="C12" s="29" t="s">
        <v>124</v>
      </c>
      <c r="D12" s="29" t="s">
        <v>124</v>
      </c>
      <c r="E12" s="28"/>
      <c r="F12" s="28"/>
      <c r="G12" s="29" t="s">
        <v>127</v>
      </c>
      <c r="H12" s="29" t="s">
        <v>127</v>
      </c>
      <c r="I12" s="29" t="s">
        <v>127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115" t="s">
        <v>1085</v>
      </c>
      <c r="AB12" s="28"/>
      <c r="AC12" s="28"/>
      <c r="AD12" s="28"/>
      <c r="AE12" s="28"/>
      <c r="AF12" s="28"/>
      <c r="AG12" s="28"/>
      <c r="AH12" s="28" t="s">
        <v>127</v>
      </c>
      <c r="AJ12" s="28" t="s">
        <v>127</v>
      </c>
      <c r="AK12" s="28" t="s">
        <v>127</v>
      </c>
      <c r="AL12" s="28" t="s">
        <v>127</v>
      </c>
    </row>
    <row r="13" spans="1:38">
      <c r="A13" s="26" t="s">
        <v>126</v>
      </c>
      <c r="B13" s="28" t="s">
        <v>127</v>
      </c>
      <c r="C13" s="28" t="s">
        <v>124</v>
      </c>
      <c r="D13" s="28" t="s">
        <v>124</v>
      </c>
      <c r="E13" s="28"/>
      <c r="F13" s="28"/>
      <c r="G13" s="28" t="s">
        <v>127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  <c r="AJ13" s="28" t="s">
        <v>124</v>
      </c>
      <c r="AK13" s="28" t="s">
        <v>124</v>
      </c>
      <c r="AL13" s="28" t="s">
        <v>124</v>
      </c>
    </row>
    <row r="14" spans="1:38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  <c r="AL14" s="28" t="s">
        <v>127</v>
      </c>
    </row>
    <row r="15" spans="1:38">
      <c r="A15" s="26" t="s">
        <v>129</v>
      </c>
      <c r="B15" s="28" t="s">
        <v>149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115" t="s">
        <v>433</v>
      </c>
      <c r="AB15" s="28"/>
      <c r="AC15" s="28"/>
      <c r="AD15" s="28"/>
      <c r="AE15" s="28"/>
      <c r="AF15" s="28"/>
      <c r="AG15" s="28"/>
      <c r="AH15" s="115" t="s">
        <v>1086</v>
      </c>
      <c r="AJ15" s="28" t="s">
        <v>149</v>
      </c>
      <c r="AK15" s="28" t="s">
        <v>149</v>
      </c>
      <c r="AL15" s="28" t="s">
        <v>149</v>
      </c>
    </row>
    <row r="16" spans="1:38">
      <c r="A16" s="26" t="s">
        <v>130</v>
      </c>
      <c r="B16" s="30">
        <f>5/3</f>
        <v>1.6666666666666667</v>
      </c>
      <c r="C16" s="30">
        <f>13/12</f>
        <v>1.0833333333333333</v>
      </c>
      <c r="D16" s="30">
        <v>1</v>
      </c>
      <c r="E16" s="30"/>
      <c r="F16" s="30"/>
      <c r="G16" s="30">
        <v>2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AVERAGE(1,1,-0.5)</f>
        <v>0.5</v>
      </c>
      <c r="AB16" s="30"/>
      <c r="AC16" s="30"/>
      <c r="AD16" s="30"/>
      <c r="AE16" s="30"/>
      <c r="AF16" s="30"/>
      <c r="AG16" s="30"/>
      <c r="AH16" s="30">
        <f>AVERAGE(1,1,-0.5)</f>
        <v>0.5</v>
      </c>
      <c r="AJ16" s="30">
        <f>13/12</f>
        <v>1.0833333333333333</v>
      </c>
      <c r="AK16" s="30">
        <v>1</v>
      </c>
      <c r="AL16" s="30">
        <v>1</v>
      </c>
    </row>
    <row r="17" spans="1:38">
      <c r="A17" s="26" t="s">
        <v>131</v>
      </c>
      <c r="B17" s="28" t="s">
        <v>132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287</v>
      </c>
      <c r="L17" s="28" t="s">
        <v>287</v>
      </c>
      <c r="M17" s="28" t="s">
        <v>287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116" t="s">
        <v>1087</v>
      </c>
      <c r="AB17" s="28"/>
      <c r="AC17" s="28"/>
      <c r="AD17" s="28"/>
      <c r="AE17" s="28"/>
      <c r="AF17" s="28"/>
      <c r="AG17" s="28"/>
      <c r="AH17" s="28" t="s">
        <v>151</v>
      </c>
      <c r="AJ17" s="28" t="s">
        <v>180</v>
      </c>
      <c r="AK17" s="28" t="s">
        <v>180</v>
      </c>
      <c r="AL17" s="28" t="s">
        <v>957</v>
      </c>
    </row>
    <row r="18" spans="1:38">
      <c r="A18" s="26" t="s">
        <v>133</v>
      </c>
      <c r="B18" s="30">
        <v>4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0</v>
      </c>
      <c r="L18" s="30">
        <v>0</v>
      </c>
      <c r="M18" s="30">
        <v>0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AVERAGE(3.75,3.75,2)</f>
        <v>3.1666666666666665</v>
      </c>
      <c r="AB18" s="30"/>
      <c r="AC18" s="30"/>
      <c r="AD18" s="30"/>
      <c r="AE18" s="30"/>
      <c r="AF18" s="30"/>
      <c r="AG18" s="30"/>
      <c r="AH18" s="30">
        <v>3</v>
      </c>
      <c r="AJ18" s="30">
        <v>2</v>
      </c>
      <c r="AK18" s="30">
        <v>2</v>
      </c>
      <c r="AL18" s="30">
        <v>3.75</v>
      </c>
    </row>
    <row r="20" spans="1:38">
      <c r="A20" s="26" t="s">
        <v>117</v>
      </c>
      <c r="B20" s="86" t="s">
        <v>1055</v>
      </c>
      <c r="C20" s="80"/>
      <c r="D20" s="80"/>
      <c r="E20" s="83"/>
      <c r="F20" s="28"/>
      <c r="G20" s="80"/>
      <c r="H20" s="80"/>
      <c r="I20" s="80"/>
      <c r="J20" s="28"/>
      <c r="K20" s="80"/>
      <c r="L20" s="80"/>
      <c r="M20" s="80"/>
      <c r="N20" s="28"/>
      <c r="O20" s="28"/>
      <c r="P20" s="80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80"/>
      <c r="AJ20" s="80"/>
      <c r="AK20" s="80"/>
      <c r="AL20" s="80"/>
    </row>
    <row r="21" spans="1:38">
      <c r="A21" s="26" t="s">
        <v>121</v>
      </c>
      <c r="B21" s="28" t="s">
        <v>269</v>
      </c>
      <c r="C21" s="81"/>
      <c r="D21" s="81"/>
      <c r="E21" s="29"/>
      <c r="F21" s="29"/>
      <c r="G21" s="81"/>
      <c r="H21" s="81"/>
      <c r="I21" s="81"/>
      <c r="J21" s="29"/>
      <c r="K21" s="81"/>
      <c r="L21" s="81"/>
      <c r="M21" s="81"/>
      <c r="N21" s="29"/>
      <c r="O21" s="29"/>
      <c r="P21" s="8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29"/>
      <c r="AC21" s="29"/>
      <c r="AD21" s="29"/>
      <c r="AE21" s="29"/>
      <c r="AF21" s="29"/>
      <c r="AG21" s="29"/>
      <c r="AH21" s="81"/>
      <c r="AJ21" s="81"/>
      <c r="AK21" s="81"/>
      <c r="AL21" s="81"/>
    </row>
    <row r="22" spans="1:38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8">
      <c r="A23" s="26" t="s">
        <v>123</v>
      </c>
      <c r="B23" s="28" t="s">
        <v>124</v>
      </c>
      <c r="C23" s="80"/>
      <c r="D23" s="80"/>
      <c r="E23" s="28"/>
      <c r="F23" s="28"/>
      <c r="G23" s="80"/>
      <c r="H23" s="80"/>
      <c r="I23" s="80"/>
      <c r="J23" s="28"/>
      <c r="K23" s="80"/>
      <c r="L23" s="80"/>
      <c r="M23" s="80"/>
      <c r="N23" s="28"/>
      <c r="O23" s="28"/>
      <c r="P23" s="80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80"/>
      <c r="AJ23" s="80"/>
      <c r="AK23" s="80"/>
      <c r="AL23" s="80"/>
    </row>
    <row r="24" spans="1:38">
      <c r="A24" s="26" t="s">
        <v>125</v>
      </c>
      <c r="B24" s="28" t="s">
        <v>124</v>
      </c>
      <c r="C24" s="80"/>
      <c r="D24" s="80"/>
      <c r="E24" s="28"/>
      <c r="F24" s="28"/>
      <c r="G24" s="80"/>
      <c r="H24" s="80"/>
      <c r="I24" s="80"/>
      <c r="J24" s="28"/>
      <c r="K24" s="80"/>
      <c r="L24" s="80"/>
      <c r="M24" s="80"/>
      <c r="N24" s="28"/>
      <c r="O24" s="28"/>
      <c r="P24" s="80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80"/>
      <c r="AJ24" s="80"/>
      <c r="AK24" s="80"/>
      <c r="AL24" s="80"/>
    </row>
    <row r="25" spans="1:38">
      <c r="A25" s="26" t="s">
        <v>126</v>
      </c>
      <c r="B25" s="28" t="s">
        <v>127</v>
      </c>
      <c r="C25" s="80"/>
      <c r="D25" s="80"/>
      <c r="E25" s="28"/>
      <c r="F25" s="28"/>
      <c r="G25" s="80"/>
      <c r="H25" s="80"/>
      <c r="I25" s="80"/>
      <c r="J25" s="28"/>
      <c r="K25" s="80"/>
      <c r="L25" s="80"/>
      <c r="M25" s="80"/>
      <c r="N25" s="28"/>
      <c r="O25" s="28"/>
      <c r="P25" s="80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80"/>
      <c r="AJ25" s="80"/>
      <c r="AK25" s="80"/>
      <c r="AL25" s="80"/>
    </row>
    <row r="26" spans="1:38">
      <c r="A26" s="26" t="s">
        <v>128</v>
      </c>
      <c r="B26" s="28" t="s">
        <v>127</v>
      </c>
      <c r="C26" s="80"/>
      <c r="D26" s="80"/>
      <c r="E26" s="28"/>
      <c r="F26" s="28"/>
      <c r="G26" s="80"/>
      <c r="H26" s="80"/>
      <c r="I26" s="80"/>
      <c r="J26" s="28"/>
      <c r="K26" s="80"/>
      <c r="L26" s="80"/>
      <c r="M26" s="80"/>
      <c r="N26" s="28"/>
      <c r="O26" s="28"/>
      <c r="P26" s="80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80"/>
      <c r="AJ26" s="80"/>
      <c r="AK26" s="80"/>
      <c r="AL26" s="80"/>
    </row>
    <row r="27" spans="1:38">
      <c r="A27" s="26" t="s">
        <v>129</v>
      </c>
      <c r="B27" s="28" t="s">
        <v>150</v>
      </c>
      <c r="C27" s="80"/>
      <c r="D27" s="80"/>
      <c r="E27" s="28"/>
      <c r="F27" s="28"/>
      <c r="G27" s="80"/>
      <c r="H27" s="80"/>
      <c r="I27" s="80"/>
      <c r="J27" s="28"/>
      <c r="K27" s="80"/>
      <c r="L27" s="80"/>
      <c r="M27" s="80"/>
      <c r="N27" s="28"/>
      <c r="O27" s="28"/>
      <c r="P27" s="80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80"/>
      <c r="AJ27" s="80"/>
      <c r="AK27" s="80"/>
      <c r="AL27" s="80"/>
    </row>
    <row r="28" spans="1:38">
      <c r="A28" s="26" t="s">
        <v>130</v>
      </c>
      <c r="B28" s="30">
        <v>-2</v>
      </c>
      <c r="C28" s="82"/>
      <c r="D28" s="82"/>
      <c r="E28" s="30"/>
      <c r="F28" s="30"/>
      <c r="G28" s="82"/>
      <c r="H28" s="82"/>
      <c r="I28" s="82"/>
      <c r="J28" s="30"/>
      <c r="K28" s="82"/>
      <c r="L28" s="82"/>
      <c r="M28" s="82"/>
      <c r="N28" s="30"/>
      <c r="O28" s="30"/>
      <c r="P28" s="82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82"/>
      <c r="AJ28" s="82"/>
      <c r="AK28" s="82"/>
      <c r="AL28" s="82"/>
    </row>
    <row r="29" spans="1:38">
      <c r="A29" s="26" t="s">
        <v>131</v>
      </c>
      <c r="B29" s="28" t="s">
        <v>280</v>
      </c>
      <c r="C29" s="80"/>
      <c r="D29" s="80"/>
      <c r="E29" s="28"/>
      <c r="F29" s="28"/>
      <c r="G29" s="80"/>
      <c r="H29" s="80"/>
      <c r="I29" s="80"/>
      <c r="J29" s="28"/>
      <c r="K29" s="80"/>
      <c r="L29" s="80"/>
      <c r="M29" s="80"/>
      <c r="N29" s="28"/>
      <c r="O29" s="28"/>
      <c r="P29" s="80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80"/>
      <c r="AJ29" s="80"/>
      <c r="AK29" s="80"/>
      <c r="AL29" s="80"/>
    </row>
    <row r="30" spans="1:38">
      <c r="A30" s="26" t="s">
        <v>133</v>
      </c>
      <c r="B30" s="30">
        <v>0.5</v>
      </c>
      <c r="C30" s="82"/>
      <c r="D30" s="82"/>
      <c r="E30" s="30"/>
      <c r="F30" s="30"/>
      <c r="G30" s="82"/>
      <c r="H30" s="82"/>
      <c r="I30" s="82"/>
      <c r="J30" s="30"/>
      <c r="K30" s="82"/>
      <c r="L30" s="82"/>
      <c r="M30" s="82"/>
      <c r="N30" s="30"/>
      <c r="O30" s="30"/>
      <c r="P30" s="8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82"/>
      <c r="AJ30" s="82"/>
      <c r="AK30" s="82"/>
      <c r="AL30" s="82"/>
    </row>
    <row r="31" spans="1:38">
      <c r="C31" s="134" t="s">
        <v>1088</v>
      </c>
      <c r="AJ31" s="134" t="s">
        <v>1089</v>
      </c>
    </row>
    <row r="32" spans="1:38">
      <c r="A32" s="31" t="s">
        <v>134</v>
      </c>
    </row>
    <row r="33" spans="1:10">
      <c r="A33" s="93" t="s">
        <v>1090</v>
      </c>
      <c r="B33" s="56" t="s">
        <v>1091</v>
      </c>
    </row>
    <row r="34" spans="1:10">
      <c r="A34" s="93" t="s">
        <v>1092</v>
      </c>
      <c r="B34" s="56" t="s">
        <v>1093</v>
      </c>
    </row>
    <row r="35" spans="1:10">
      <c r="A35" s="110"/>
      <c r="J35" s="111"/>
    </row>
    <row r="36" spans="1:10">
      <c r="A36" s="93" t="s">
        <v>1094</v>
      </c>
    </row>
  </sheetData>
  <mergeCells count="5">
    <mergeCell ref="B3:D3"/>
    <mergeCell ref="B4:D4"/>
    <mergeCell ref="B5:D5"/>
    <mergeCell ref="F4:P5"/>
    <mergeCell ref="F3:O3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2132-8353-4D10-B35E-94DB12F340BD}">
  <dimension ref="A1:AK36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6" width="5.7109375" style="26" customWidth="1"/>
    <col min="57" max="16384" width="9.140625" style="26"/>
  </cols>
  <sheetData>
    <row r="1" spans="1:37">
      <c r="A1" s="25" t="s">
        <v>74</v>
      </c>
      <c r="D1" s="25" t="s">
        <v>840</v>
      </c>
      <c r="I1" s="25" t="s">
        <v>1047</v>
      </c>
    </row>
    <row r="3" spans="1:37" ht="17.45">
      <c r="A3" s="25" t="s">
        <v>77</v>
      </c>
      <c r="B3" s="203">
        <v>78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1075</v>
      </c>
      <c r="C4" s="203"/>
      <c r="D4" s="203"/>
      <c r="F4" s="204" t="s">
        <v>1095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7" ht="17.45">
      <c r="A5" s="25" t="s">
        <v>82</v>
      </c>
      <c r="B5" s="203" t="s">
        <v>1039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58" t="s">
        <v>85</v>
      </c>
      <c r="AK7" s="58" t="s">
        <v>86</v>
      </c>
    </row>
    <row r="8" spans="1:37">
      <c r="A8" s="26" t="s">
        <v>117</v>
      </c>
      <c r="B8" s="28" t="s">
        <v>142</v>
      </c>
      <c r="C8" s="28" t="s">
        <v>1096</v>
      </c>
      <c r="D8" s="28" t="s">
        <v>1096</v>
      </c>
      <c r="E8" s="28"/>
      <c r="F8" s="28"/>
      <c r="G8" s="28" t="s">
        <v>173</v>
      </c>
      <c r="H8" s="28" t="s">
        <v>173</v>
      </c>
      <c r="I8" s="28" t="s">
        <v>173</v>
      </c>
      <c r="J8" s="28"/>
      <c r="K8" s="28" t="s">
        <v>287</v>
      </c>
      <c r="L8" s="28" t="s">
        <v>287</v>
      </c>
      <c r="M8" s="28" t="s">
        <v>287</v>
      </c>
      <c r="N8" s="28"/>
      <c r="O8" s="28"/>
      <c r="P8" s="28" t="s">
        <v>206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950</v>
      </c>
      <c r="AB8" s="28"/>
      <c r="AC8" s="28"/>
      <c r="AD8" s="28"/>
      <c r="AE8" s="28"/>
      <c r="AF8" s="28"/>
      <c r="AG8" s="28"/>
      <c r="AH8" s="28" t="s">
        <v>145</v>
      </c>
      <c r="AJ8" s="28" t="s">
        <v>1079</v>
      </c>
      <c r="AK8" s="28" t="s">
        <v>1079</v>
      </c>
    </row>
    <row r="9" spans="1:37">
      <c r="A9" s="26" t="s">
        <v>121</v>
      </c>
      <c r="B9" s="29" t="s">
        <v>146</v>
      </c>
      <c r="C9" s="113" t="s">
        <v>1097</v>
      </c>
      <c r="D9" s="28" t="s">
        <v>1098</v>
      </c>
      <c r="E9" s="29"/>
      <c r="F9" s="29"/>
      <c r="G9" s="28" t="s">
        <v>208</v>
      </c>
      <c r="H9" s="28" t="s">
        <v>209</v>
      </c>
      <c r="I9" s="28" t="s">
        <v>206</v>
      </c>
      <c r="J9" s="29"/>
      <c r="K9" s="28" t="s">
        <v>287</v>
      </c>
      <c r="L9" s="28" t="s">
        <v>287</v>
      </c>
      <c r="M9" s="28" t="s">
        <v>287</v>
      </c>
      <c r="N9" s="29"/>
      <c r="O9" s="29"/>
      <c r="P9" s="28" t="s">
        <v>177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1084</v>
      </c>
      <c r="AB9" s="29"/>
      <c r="AC9" s="29"/>
      <c r="AD9" s="29"/>
      <c r="AE9" s="29"/>
      <c r="AF9" s="29"/>
      <c r="AG9" s="29"/>
      <c r="AH9" s="28" t="s">
        <v>1099</v>
      </c>
      <c r="AJ9" s="28" t="s">
        <v>1083</v>
      </c>
      <c r="AK9" s="28" t="s">
        <v>206</v>
      </c>
    </row>
    <row r="10" spans="1:37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7">
      <c r="A11" s="26" t="s">
        <v>123</v>
      </c>
      <c r="B11" s="28" t="s">
        <v>124</v>
      </c>
      <c r="C11" s="29" t="s">
        <v>124</v>
      </c>
      <c r="D11" s="29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9" t="s">
        <v>127</v>
      </c>
      <c r="L11" s="29" t="s">
        <v>127</v>
      </c>
      <c r="M11" s="29" t="s">
        <v>127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8" t="s">
        <v>124</v>
      </c>
      <c r="AK11" s="29" t="s">
        <v>124</v>
      </c>
    </row>
    <row r="12" spans="1:37">
      <c r="A12" s="26" t="s">
        <v>125</v>
      </c>
      <c r="B12" s="28" t="s">
        <v>127</v>
      </c>
      <c r="C12" s="28" t="s">
        <v>215</v>
      </c>
      <c r="D12" s="28" t="s">
        <v>215</v>
      </c>
      <c r="E12" s="28"/>
      <c r="F12" s="28"/>
      <c r="G12" s="29" t="s">
        <v>127</v>
      </c>
      <c r="H12" s="29" t="s">
        <v>127</v>
      </c>
      <c r="I12" s="29" t="s">
        <v>127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  <c r="AJ12" s="28" t="s">
        <v>127</v>
      </c>
      <c r="AK12" s="28" t="s">
        <v>127</v>
      </c>
    </row>
    <row r="13" spans="1:37">
      <c r="A13" s="26" t="s">
        <v>126</v>
      </c>
      <c r="B13" s="28" t="s">
        <v>127</v>
      </c>
      <c r="C13" s="28" t="s">
        <v>124</v>
      </c>
      <c r="D13" s="28" t="s">
        <v>124</v>
      </c>
      <c r="E13" s="28"/>
      <c r="F13" s="28"/>
      <c r="G13" s="28" t="s">
        <v>127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  <c r="AJ13" s="28" t="s">
        <v>124</v>
      </c>
      <c r="AK13" s="28" t="s">
        <v>124</v>
      </c>
    </row>
    <row r="14" spans="1:37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</row>
    <row r="15" spans="1:37">
      <c r="A15" s="26" t="s">
        <v>129</v>
      </c>
      <c r="B15" s="28" t="s">
        <v>149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  <c r="AJ15" s="28" t="s">
        <v>149</v>
      </c>
      <c r="AK15" s="28" t="s">
        <v>149</v>
      </c>
    </row>
    <row r="16" spans="1:37">
      <c r="A16" s="26" t="s">
        <v>130</v>
      </c>
      <c r="B16" s="30">
        <f>5/3</f>
        <v>1.6666666666666667</v>
      </c>
      <c r="C16" s="30">
        <f>13/12</f>
        <v>1.0833333333333333</v>
      </c>
      <c r="D16" s="30">
        <v>1</v>
      </c>
      <c r="E16" s="30"/>
      <c r="F16" s="30"/>
      <c r="G16" s="30">
        <v>2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30"/>
      <c r="AF16" s="30"/>
      <c r="AG16" s="30"/>
      <c r="AH16" s="30">
        <v>1</v>
      </c>
      <c r="AJ16" s="30">
        <f>13/12</f>
        <v>1.0833333333333333</v>
      </c>
      <c r="AK16" s="30">
        <v>1</v>
      </c>
    </row>
    <row r="17" spans="1:37">
      <c r="A17" s="26" t="s">
        <v>131</v>
      </c>
      <c r="B17" s="28" t="s">
        <v>132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287</v>
      </c>
      <c r="L17" s="28" t="s">
        <v>287</v>
      </c>
      <c r="M17" s="28" t="s">
        <v>287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/>
      <c r="AH17" s="28" t="s">
        <v>151</v>
      </c>
      <c r="AJ17" s="28" t="s">
        <v>180</v>
      </c>
      <c r="AK17" s="28" t="s">
        <v>180</v>
      </c>
    </row>
    <row r="18" spans="1:37">
      <c r="A18" s="26" t="s">
        <v>133</v>
      </c>
      <c r="B18" s="30">
        <v>4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0</v>
      </c>
      <c r="L18" s="30">
        <v>0</v>
      </c>
      <c r="M18" s="30">
        <v>0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3</v>
      </c>
      <c r="AJ18" s="30">
        <v>2</v>
      </c>
      <c r="AK18" s="30">
        <v>2</v>
      </c>
    </row>
    <row r="20" spans="1:37">
      <c r="A20" s="26" t="s">
        <v>117</v>
      </c>
      <c r="B20" s="28" t="s">
        <v>1055</v>
      </c>
      <c r="C20" s="80"/>
      <c r="D20" s="80"/>
      <c r="E20" s="28"/>
      <c r="F20" s="28"/>
      <c r="G20" s="80"/>
      <c r="H20" s="80"/>
      <c r="I20" s="80"/>
      <c r="J20" s="28"/>
      <c r="K20" s="80"/>
      <c r="L20" s="80"/>
      <c r="M20" s="80"/>
      <c r="N20" s="28"/>
      <c r="O20" s="28"/>
      <c r="P20" s="80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80"/>
      <c r="AJ20" s="80"/>
      <c r="AK20" s="80"/>
    </row>
    <row r="21" spans="1:37">
      <c r="A21" s="26" t="s">
        <v>121</v>
      </c>
      <c r="B21" s="28" t="s">
        <v>269</v>
      </c>
      <c r="C21" s="81"/>
      <c r="D21" s="81"/>
      <c r="E21" s="29"/>
      <c r="F21" s="29"/>
      <c r="G21" s="81"/>
      <c r="H21" s="81"/>
      <c r="I21" s="81"/>
      <c r="J21" s="29"/>
      <c r="K21" s="81"/>
      <c r="L21" s="81"/>
      <c r="M21" s="81"/>
      <c r="N21" s="29"/>
      <c r="O21" s="29"/>
      <c r="P21" s="8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29"/>
      <c r="AC21" s="29"/>
      <c r="AD21" s="29"/>
      <c r="AE21" s="29"/>
      <c r="AF21" s="29"/>
      <c r="AG21" s="29"/>
      <c r="AH21" s="81"/>
      <c r="AJ21" s="81"/>
      <c r="AK21" s="81"/>
    </row>
    <row r="22" spans="1:37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7">
      <c r="A23" s="26" t="s">
        <v>123</v>
      </c>
      <c r="B23" s="28" t="s">
        <v>124</v>
      </c>
      <c r="C23" s="80"/>
      <c r="D23" s="80"/>
      <c r="E23" s="28"/>
      <c r="F23" s="28"/>
      <c r="G23" s="80"/>
      <c r="H23" s="80"/>
      <c r="I23" s="80"/>
      <c r="J23" s="28"/>
      <c r="K23" s="80"/>
      <c r="L23" s="80"/>
      <c r="M23" s="80"/>
      <c r="N23" s="28"/>
      <c r="O23" s="28"/>
      <c r="P23" s="80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80"/>
      <c r="AJ23" s="80"/>
      <c r="AK23" s="80"/>
    </row>
    <row r="24" spans="1:37">
      <c r="A24" s="26" t="s">
        <v>125</v>
      </c>
      <c r="B24" s="28" t="s">
        <v>124</v>
      </c>
      <c r="C24" s="80"/>
      <c r="D24" s="80"/>
      <c r="E24" s="28"/>
      <c r="F24" s="28"/>
      <c r="G24" s="80"/>
      <c r="H24" s="80"/>
      <c r="I24" s="80"/>
      <c r="J24" s="28"/>
      <c r="K24" s="80"/>
      <c r="L24" s="80"/>
      <c r="M24" s="80"/>
      <c r="N24" s="28"/>
      <c r="O24" s="28"/>
      <c r="P24" s="80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80"/>
      <c r="AJ24" s="80"/>
      <c r="AK24" s="80"/>
    </row>
    <row r="25" spans="1:37">
      <c r="A25" s="26" t="s">
        <v>126</v>
      </c>
      <c r="B25" s="28" t="s">
        <v>127</v>
      </c>
      <c r="C25" s="80"/>
      <c r="D25" s="80"/>
      <c r="E25" s="28"/>
      <c r="F25" s="28"/>
      <c r="G25" s="80"/>
      <c r="H25" s="80"/>
      <c r="I25" s="80"/>
      <c r="J25" s="28"/>
      <c r="K25" s="80"/>
      <c r="L25" s="80"/>
      <c r="M25" s="80"/>
      <c r="N25" s="28"/>
      <c r="O25" s="28"/>
      <c r="P25" s="80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80"/>
      <c r="AJ25" s="80"/>
      <c r="AK25" s="80"/>
    </row>
    <row r="26" spans="1:37">
      <c r="A26" s="26" t="s">
        <v>128</v>
      </c>
      <c r="B26" s="28" t="s">
        <v>127</v>
      </c>
      <c r="C26" s="80"/>
      <c r="D26" s="80"/>
      <c r="E26" s="28"/>
      <c r="F26" s="28"/>
      <c r="G26" s="80"/>
      <c r="H26" s="80"/>
      <c r="I26" s="80"/>
      <c r="J26" s="28"/>
      <c r="K26" s="80"/>
      <c r="L26" s="80"/>
      <c r="M26" s="80"/>
      <c r="N26" s="28"/>
      <c r="O26" s="28"/>
      <c r="P26" s="80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80"/>
      <c r="AJ26" s="80"/>
      <c r="AK26" s="80"/>
    </row>
    <row r="27" spans="1:37">
      <c r="A27" s="26" t="s">
        <v>129</v>
      </c>
      <c r="B27" s="28" t="s">
        <v>150</v>
      </c>
      <c r="C27" s="80"/>
      <c r="D27" s="80"/>
      <c r="E27" s="28"/>
      <c r="F27" s="28"/>
      <c r="G27" s="80"/>
      <c r="H27" s="80"/>
      <c r="I27" s="80"/>
      <c r="J27" s="28"/>
      <c r="K27" s="80"/>
      <c r="L27" s="80"/>
      <c r="M27" s="80"/>
      <c r="N27" s="28"/>
      <c r="O27" s="28"/>
      <c r="P27" s="80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80"/>
      <c r="AJ27" s="80"/>
      <c r="AK27" s="80"/>
    </row>
    <row r="28" spans="1:37">
      <c r="A28" s="26" t="s">
        <v>130</v>
      </c>
      <c r="B28" s="30">
        <v>-2</v>
      </c>
      <c r="C28" s="82"/>
      <c r="D28" s="82"/>
      <c r="E28" s="30"/>
      <c r="F28" s="30"/>
      <c r="G28" s="82"/>
      <c r="H28" s="82"/>
      <c r="I28" s="82"/>
      <c r="J28" s="30"/>
      <c r="K28" s="82"/>
      <c r="L28" s="82"/>
      <c r="M28" s="82"/>
      <c r="N28" s="30"/>
      <c r="O28" s="30"/>
      <c r="P28" s="82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82"/>
      <c r="AJ28" s="82"/>
      <c r="AK28" s="82"/>
    </row>
    <row r="29" spans="1:37">
      <c r="A29" s="26" t="s">
        <v>131</v>
      </c>
      <c r="B29" s="28" t="s">
        <v>280</v>
      </c>
      <c r="C29" s="80"/>
      <c r="D29" s="80"/>
      <c r="E29" s="28"/>
      <c r="F29" s="28"/>
      <c r="G29" s="80"/>
      <c r="H29" s="80"/>
      <c r="I29" s="80"/>
      <c r="J29" s="28"/>
      <c r="K29" s="80"/>
      <c r="L29" s="80"/>
      <c r="M29" s="80"/>
      <c r="N29" s="28"/>
      <c r="O29" s="28"/>
      <c r="P29" s="80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80"/>
      <c r="AJ29" s="80"/>
      <c r="AK29" s="80"/>
    </row>
    <row r="30" spans="1:37">
      <c r="A30" s="26" t="s">
        <v>133</v>
      </c>
      <c r="B30" s="30">
        <v>0.5</v>
      </c>
      <c r="C30" s="82"/>
      <c r="D30" s="82"/>
      <c r="E30" s="30"/>
      <c r="F30" s="30"/>
      <c r="G30" s="82"/>
      <c r="H30" s="82"/>
      <c r="I30" s="82"/>
      <c r="J30" s="30"/>
      <c r="K30" s="82"/>
      <c r="L30" s="82"/>
      <c r="M30" s="82"/>
      <c r="N30" s="30"/>
      <c r="O30" s="30"/>
      <c r="P30" s="8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82"/>
      <c r="AJ30" s="82"/>
      <c r="AK30" s="82"/>
    </row>
    <row r="31" spans="1:37">
      <c r="C31" s="217" t="s">
        <v>1100</v>
      </c>
      <c r="D31" s="217"/>
      <c r="AJ31" s="217" t="s">
        <v>1101</v>
      </c>
      <c r="AK31" s="217"/>
    </row>
    <row r="32" spans="1:37">
      <c r="A32" s="31" t="s">
        <v>134</v>
      </c>
    </row>
    <row r="33" spans="1:2">
      <c r="A33" s="93" t="s">
        <v>1102</v>
      </c>
      <c r="B33" s="56" t="s">
        <v>1091</v>
      </c>
    </row>
    <row r="34" spans="1:2">
      <c r="A34" s="93" t="s">
        <v>1103</v>
      </c>
      <c r="B34" s="56" t="s">
        <v>1093</v>
      </c>
    </row>
    <row r="35" spans="1:2">
      <c r="A35" s="110"/>
    </row>
    <row r="36" spans="1:2">
      <c r="A36" s="93" t="s">
        <v>1094</v>
      </c>
    </row>
  </sheetData>
  <mergeCells count="7">
    <mergeCell ref="AJ31:AK31"/>
    <mergeCell ref="C31:D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AD09-CE35-45F2-BCF8-6D61B1B9A785}">
  <dimension ref="A1:AH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79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1104</v>
      </c>
      <c r="C4" s="203"/>
      <c r="D4" s="203"/>
      <c r="F4" s="204" t="s">
        <v>1105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149</v>
      </c>
      <c r="C8" s="83" t="s">
        <v>1106</v>
      </c>
      <c r="D8" s="83" t="s">
        <v>1106</v>
      </c>
      <c r="E8" s="28"/>
      <c r="F8" s="28"/>
      <c r="G8" s="28" t="s">
        <v>264</v>
      </c>
      <c r="H8" s="28" t="s">
        <v>264</v>
      </c>
      <c r="I8" s="28" t="s">
        <v>264</v>
      </c>
      <c r="J8" s="86"/>
      <c r="K8" s="28" t="s">
        <v>269</v>
      </c>
      <c r="L8" s="28" t="s">
        <v>269</v>
      </c>
      <c r="M8" s="28" t="s">
        <v>269</v>
      </c>
      <c r="N8" s="28"/>
      <c r="O8" s="28"/>
      <c r="P8" s="80"/>
      <c r="Q8" s="28"/>
      <c r="R8" s="28"/>
      <c r="S8" s="28"/>
      <c r="T8" s="28"/>
      <c r="U8" s="28"/>
      <c r="V8" s="28"/>
      <c r="W8" s="28"/>
      <c r="X8" s="28"/>
      <c r="Y8" s="28"/>
      <c r="Z8" s="28"/>
      <c r="AA8" s="94" t="s">
        <v>1107</v>
      </c>
      <c r="AB8" s="28"/>
      <c r="AC8" s="28"/>
      <c r="AD8" s="28"/>
      <c r="AE8" s="28"/>
      <c r="AF8" s="28"/>
      <c r="AG8" s="28"/>
      <c r="AH8" s="28" t="s">
        <v>173</v>
      </c>
    </row>
    <row r="9" spans="1:34">
      <c r="A9" s="26" t="s">
        <v>121</v>
      </c>
      <c r="B9" s="29" t="s">
        <v>174</v>
      </c>
      <c r="C9" s="115" t="s">
        <v>1108</v>
      </c>
      <c r="D9" s="115" t="s">
        <v>1108</v>
      </c>
      <c r="E9" s="29" t="s">
        <v>231</v>
      </c>
      <c r="F9" s="29"/>
      <c r="G9" s="28" t="s">
        <v>953</v>
      </c>
      <c r="H9" s="28" t="s">
        <v>953</v>
      </c>
      <c r="I9" s="28" t="s">
        <v>953</v>
      </c>
      <c r="J9" s="28" t="s">
        <v>953</v>
      </c>
      <c r="K9" s="29" t="s">
        <v>271</v>
      </c>
      <c r="L9" s="29" t="s">
        <v>178</v>
      </c>
      <c r="M9" s="29" t="s">
        <v>271</v>
      </c>
      <c r="N9" s="29"/>
      <c r="O9" s="29"/>
      <c r="P9" s="81"/>
      <c r="Q9" s="29"/>
      <c r="R9" s="29"/>
      <c r="S9" s="29"/>
      <c r="T9" s="29"/>
      <c r="U9" s="29"/>
      <c r="V9" s="29"/>
      <c r="W9" s="29"/>
      <c r="X9" s="29"/>
      <c r="Y9" s="29"/>
      <c r="Z9" s="29"/>
      <c r="AA9" s="119" t="s">
        <v>1109</v>
      </c>
      <c r="AB9" s="29"/>
      <c r="AC9" s="29"/>
      <c r="AD9" s="29"/>
      <c r="AE9" s="29"/>
      <c r="AF9" s="29"/>
      <c r="AG9" s="29"/>
      <c r="AH9" s="29" t="s">
        <v>177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/>
      <c r="O11" s="28"/>
      <c r="P11" s="80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/>
      <c r="O12" s="28"/>
      <c r="P12" s="80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118" t="s">
        <v>236</v>
      </c>
      <c r="D13" s="118" t="s">
        <v>236</v>
      </c>
      <c r="E13" s="28"/>
      <c r="F13" s="28"/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124</v>
      </c>
      <c r="L13" s="28" t="s">
        <v>124</v>
      </c>
      <c r="M13" s="28" t="s">
        <v>124</v>
      </c>
      <c r="N13" s="28"/>
      <c r="O13" s="28"/>
      <c r="P13" s="80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/>
      <c r="O14" s="28"/>
      <c r="P14" s="80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149</v>
      </c>
      <c r="C15" s="28" t="s">
        <v>150</v>
      </c>
      <c r="D15" s="28" t="s">
        <v>150</v>
      </c>
      <c r="E15" s="28"/>
      <c r="F15" s="28"/>
      <c r="G15" s="28" t="s">
        <v>150</v>
      </c>
      <c r="H15" s="28" t="s">
        <v>150</v>
      </c>
      <c r="I15" s="28" t="s">
        <v>150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/>
      <c r="O15" s="28"/>
      <c r="P15" s="80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1110</v>
      </c>
      <c r="AB15" s="28"/>
      <c r="AC15" s="28"/>
      <c r="AD15" s="28"/>
      <c r="AE15" s="28"/>
      <c r="AF15" s="28"/>
      <c r="AG15" s="28"/>
      <c r="AH15" s="28" t="s">
        <v>149</v>
      </c>
    </row>
    <row r="16" spans="1:34">
      <c r="A16" s="26" t="s">
        <v>130</v>
      </c>
      <c r="B16" s="30">
        <f t="shared" ref="B16" si="0">5/3</f>
        <v>1.6666666666666667</v>
      </c>
      <c r="C16" s="30">
        <f>AVERAGE(-0.5,-0.5,-2)</f>
        <v>-1</v>
      </c>
      <c r="D16" s="30">
        <f>AVERAGE(-0.5,-0.5,-2)</f>
        <v>-1</v>
      </c>
      <c r="E16" s="30"/>
      <c r="F16" s="30"/>
      <c r="G16" s="30">
        <v>-2</v>
      </c>
      <c r="H16" s="30">
        <v>-2</v>
      </c>
      <c r="I16" s="30">
        <v>-2</v>
      </c>
      <c r="J16" s="30">
        <v>-2</v>
      </c>
      <c r="K16" s="30">
        <v>-0.5</v>
      </c>
      <c r="L16" s="30">
        <v>-0.5</v>
      </c>
      <c r="M16" s="30">
        <v>-0.5</v>
      </c>
      <c r="N16" s="30"/>
      <c r="O16" s="30"/>
      <c r="P16" s="8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AVERAGE(-0.5,7/6)</f>
        <v>0.33333333333333337</v>
      </c>
      <c r="AB16" s="30"/>
      <c r="AC16" s="30"/>
      <c r="AD16" s="30"/>
      <c r="AE16" s="30"/>
      <c r="AF16" s="30"/>
      <c r="AG16" s="30"/>
      <c r="AH16" s="30">
        <f>4/3</f>
        <v>1.3333333333333333</v>
      </c>
    </row>
    <row r="17" spans="1:34">
      <c r="A17" s="26" t="s">
        <v>131</v>
      </c>
      <c r="B17" s="28" t="s">
        <v>132</v>
      </c>
      <c r="C17" s="115" t="s">
        <v>1111</v>
      </c>
      <c r="D17" s="115" t="s">
        <v>1111</v>
      </c>
      <c r="E17" s="28"/>
      <c r="F17" s="28"/>
      <c r="G17" s="28" t="s">
        <v>180</v>
      </c>
      <c r="H17" s="28" t="s">
        <v>180</v>
      </c>
      <c r="I17" s="28" t="s">
        <v>180</v>
      </c>
      <c r="J17" s="28" t="s">
        <v>180</v>
      </c>
      <c r="K17" s="28" t="s">
        <v>180</v>
      </c>
      <c r="L17" s="28" t="s">
        <v>151</v>
      </c>
      <c r="M17" s="28" t="s">
        <v>180</v>
      </c>
      <c r="N17" s="28"/>
      <c r="O17" s="28"/>
      <c r="P17" s="80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/>
      <c r="AH17" s="28" t="s">
        <v>180</v>
      </c>
    </row>
    <row r="18" spans="1:34">
      <c r="A18" s="26" t="s">
        <v>133</v>
      </c>
      <c r="B18" s="30">
        <v>4</v>
      </c>
      <c r="C18" s="30">
        <f>AVERAGE(2,2,0.5)</f>
        <v>1.5</v>
      </c>
      <c r="D18" s="30">
        <f>AVERAGE(2,2,0.5)</f>
        <v>1.5</v>
      </c>
      <c r="E18" s="30"/>
      <c r="F18" s="30"/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3</v>
      </c>
      <c r="M18" s="30">
        <v>2</v>
      </c>
      <c r="N18" s="30"/>
      <c r="O18" s="30"/>
      <c r="P18" s="8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2</v>
      </c>
    </row>
    <row r="20" spans="1:34">
      <c r="A20" s="26" t="s">
        <v>117</v>
      </c>
      <c r="B20" s="28" t="s">
        <v>1055</v>
      </c>
      <c r="C20" s="80"/>
      <c r="D20" s="80"/>
      <c r="E20" s="28"/>
      <c r="F20" s="28"/>
      <c r="G20" s="80"/>
      <c r="H20" s="80"/>
      <c r="I20" s="80"/>
      <c r="J20" s="80"/>
      <c r="K20" s="80"/>
      <c r="L20" s="80"/>
      <c r="M20" s="80"/>
      <c r="N20" s="28"/>
      <c r="O20" s="28"/>
      <c r="P20" s="28" t="s">
        <v>1112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80"/>
    </row>
    <row r="21" spans="1:34">
      <c r="A21" s="26" t="s">
        <v>121</v>
      </c>
      <c r="B21" s="28" t="s">
        <v>269</v>
      </c>
      <c r="C21" s="81"/>
      <c r="D21" s="81"/>
      <c r="E21" s="29"/>
      <c r="F21" s="29"/>
      <c r="G21" s="81"/>
      <c r="H21" s="81"/>
      <c r="I21" s="81"/>
      <c r="J21" s="81"/>
      <c r="K21" s="81"/>
      <c r="L21" s="81"/>
      <c r="M21" s="81"/>
      <c r="N21" s="29"/>
      <c r="O21" s="29"/>
      <c r="P21" s="28" t="s">
        <v>269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29"/>
      <c r="AC21" s="29"/>
      <c r="AD21" s="29"/>
      <c r="AE21" s="29"/>
      <c r="AF21" s="29"/>
      <c r="AG21" s="29"/>
      <c r="AH21" s="81"/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80"/>
      <c r="D23" s="80"/>
      <c r="E23" s="28"/>
      <c r="F23" s="28"/>
      <c r="G23" s="80"/>
      <c r="H23" s="80"/>
      <c r="I23" s="80"/>
      <c r="J23" s="80"/>
      <c r="K23" s="80"/>
      <c r="L23" s="80"/>
      <c r="M23" s="80"/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80"/>
    </row>
    <row r="24" spans="1:34">
      <c r="A24" s="26" t="s">
        <v>125</v>
      </c>
      <c r="B24" s="28" t="s">
        <v>124</v>
      </c>
      <c r="C24" s="80"/>
      <c r="D24" s="80"/>
      <c r="E24" s="28"/>
      <c r="F24" s="28"/>
      <c r="G24" s="80"/>
      <c r="H24" s="80"/>
      <c r="I24" s="80"/>
      <c r="J24" s="80"/>
      <c r="K24" s="80"/>
      <c r="L24" s="80"/>
      <c r="M24" s="80"/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80"/>
    </row>
    <row r="25" spans="1:34">
      <c r="A25" s="26" t="s">
        <v>126</v>
      </c>
      <c r="B25" s="28" t="s">
        <v>127</v>
      </c>
      <c r="C25" s="80"/>
      <c r="D25" s="80"/>
      <c r="E25" s="28"/>
      <c r="F25" s="28"/>
      <c r="G25" s="80"/>
      <c r="H25" s="80"/>
      <c r="I25" s="80"/>
      <c r="J25" s="80"/>
      <c r="K25" s="80"/>
      <c r="L25" s="80"/>
      <c r="M25" s="80"/>
      <c r="N25" s="28"/>
      <c r="O25" s="28"/>
      <c r="P25" s="28" t="s">
        <v>127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80"/>
    </row>
    <row r="26" spans="1:34">
      <c r="A26" s="26" t="s">
        <v>128</v>
      </c>
      <c r="B26" s="28" t="s">
        <v>127</v>
      </c>
      <c r="C26" s="80"/>
      <c r="D26" s="80"/>
      <c r="E26" s="28"/>
      <c r="F26" s="28"/>
      <c r="G26" s="80"/>
      <c r="H26" s="80"/>
      <c r="I26" s="80"/>
      <c r="J26" s="80"/>
      <c r="K26" s="80"/>
      <c r="L26" s="80"/>
      <c r="M26" s="80"/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80"/>
    </row>
    <row r="27" spans="1:34">
      <c r="A27" s="26" t="s">
        <v>129</v>
      </c>
      <c r="B27" s="28" t="s">
        <v>150</v>
      </c>
      <c r="C27" s="80"/>
      <c r="D27" s="80"/>
      <c r="E27" s="28"/>
      <c r="F27" s="28"/>
      <c r="G27" s="80"/>
      <c r="H27" s="80"/>
      <c r="I27" s="80"/>
      <c r="J27" s="80"/>
      <c r="K27" s="80"/>
      <c r="L27" s="80"/>
      <c r="M27" s="80"/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80"/>
    </row>
    <row r="28" spans="1:34">
      <c r="A28" s="26" t="s">
        <v>130</v>
      </c>
      <c r="B28" s="30">
        <v>-2</v>
      </c>
      <c r="C28" s="82"/>
      <c r="D28" s="82"/>
      <c r="E28" s="30"/>
      <c r="F28" s="30"/>
      <c r="G28" s="82"/>
      <c r="H28" s="82"/>
      <c r="I28" s="82"/>
      <c r="J28" s="82"/>
      <c r="K28" s="82"/>
      <c r="L28" s="82"/>
      <c r="M28" s="82"/>
      <c r="N28" s="30"/>
      <c r="O28" s="30"/>
      <c r="P28" s="30">
        <v>-2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82"/>
    </row>
    <row r="29" spans="1:34">
      <c r="A29" s="26" t="s">
        <v>131</v>
      </c>
      <c r="B29" s="28" t="s">
        <v>280</v>
      </c>
      <c r="C29" s="80"/>
      <c r="D29" s="80"/>
      <c r="E29" s="28"/>
      <c r="F29" s="28"/>
      <c r="G29" s="80"/>
      <c r="H29" s="80"/>
      <c r="I29" s="80"/>
      <c r="J29" s="80"/>
      <c r="K29" s="80"/>
      <c r="L29" s="80"/>
      <c r="M29" s="80"/>
      <c r="N29" s="28"/>
      <c r="O29" s="28"/>
      <c r="P29" s="28" t="s">
        <v>280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80"/>
    </row>
    <row r="30" spans="1:34">
      <c r="A30" s="26" t="s">
        <v>133</v>
      </c>
      <c r="B30" s="30">
        <v>0.5</v>
      </c>
      <c r="C30" s="82"/>
      <c r="D30" s="82"/>
      <c r="E30" s="30"/>
      <c r="F30" s="30"/>
      <c r="G30" s="82"/>
      <c r="H30" s="82"/>
      <c r="I30" s="82"/>
      <c r="J30" s="82"/>
      <c r="K30" s="82"/>
      <c r="L30" s="82"/>
      <c r="M30" s="82"/>
      <c r="N30" s="30"/>
      <c r="O30" s="30"/>
      <c r="P30" s="30">
        <v>0.5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82"/>
    </row>
    <row r="32" spans="1:34">
      <c r="A32" s="31" t="s">
        <v>134</v>
      </c>
    </row>
    <row r="33" spans="1:2">
      <c r="A33" s="26" t="s">
        <v>1113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1E37-8FA1-4FF8-BDD1-6258D2589C2E}">
  <dimension ref="A1:AH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80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1114</v>
      </c>
      <c r="C4" s="203"/>
      <c r="D4" s="203"/>
      <c r="F4" s="204" t="s">
        <v>1115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1028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199</v>
      </c>
      <c r="C8" s="28" t="s">
        <v>1116</v>
      </c>
      <c r="D8" s="28" t="s">
        <v>1116</v>
      </c>
      <c r="E8" s="28"/>
      <c r="F8" s="86"/>
      <c r="G8" s="28" t="s">
        <v>200</v>
      </c>
      <c r="H8" s="28" t="s">
        <v>200</v>
      </c>
      <c r="I8" s="28" t="s">
        <v>200</v>
      </c>
      <c r="J8" s="28"/>
      <c r="K8" s="28" t="s">
        <v>1116</v>
      </c>
      <c r="L8" s="28" t="s">
        <v>1116</v>
      </c>
      <c r="M8" s="28" t="s">
        <v>1116</v>
      </c>
      <c r="N8" s="28"/>
      <c r="O8" s="28"/>
      <c r="P8" s="28" t="s">
        <v>1117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1118</v>
      </c>
      <c r="AB8" s="28"/>
      <c r="AC8" s="28"/>
      <c r="AD8" s="28"/>
      <c r="AE8" s="28"/>
      <c r="AF8" s="28"/>
      <c r="AG8" s="28"/>
      <c r="AH8" s="28" t="s">
        <v>1119</v>
      </c>
    </row>
    <row r="9" spans="1:34">
      <c r="A9" s="26" t="s">
        <v>121</v>
      </c>
      <c r="B9" s="28" t="s">
        <v>205</v>
      </c>
      <c r="C9" s="29" t="s">
        <v>206</v>
      </c>
      <c r="D9" s="29" t="s">
        <v>206</v>
      </c>
      <c r="E9" s="29"/>
      <c r="F9" s="91"/>
      <c r="G9" s="28" t="s">
        <v>208</v>
      </c>
      <c r="H9" s="28" t="s">
        <v>209</v>
      </c>
      <c r="I9" s="28" t="s">
        <v>206</v>
      </c>
      <c r="J9" s="29"/>
      <c r="K9" s="28" t="s">
        <v>210</v>
      </c>
      <c r="L9" s="28" t="s">
        <v>210</v>
      </c>
      <c r="M9" s="28" t="s">
        <v>210</v>
      </c>
      <c r="N9" s="29"/>
      <c r="O9" s="29"/>
      <c r="P9" s="29" t="s">
        <v>211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1120</v>
      </c>
      <c r="AB9" s="29"/>
      <c r="AC9" s="29"/>
      <c r="AD9" s="29"/>
      <c r="AE9" s="29"/>
      <c r="AF9" s="29"/>
      <c r="AG9" s="29"/>
      <c r="AH9" s="28" t="s">
        <v>148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8" t="s">
        <v>124</v>
      </c>
      <c r="D11" s="28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/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/>
      <c r="F13" s="28"/>
      <c r="G13" s="28" t="s">
        <v>127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28" t="s">
        <v>150</v>
      </c>
    </row>
    <row r="16" spans="1:34">
      <c r="A16" s="26" t="s">
        <v>130</v>
      </c>
      <c r="B16" s="30">
        <v>-3</v>
      </c>
      <c r="C16" s="30">
        <v>1</v>
      </c>
      <c r="D16" s="30">
        <v>1</v>
      </c>
      <c r="E16" s="30"/>
      <c r="F16" s="30"/>
      <c r="G16" s="30">
        <v>2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-0.5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/>
      <c r="AH17" s="28" t="s">
        <v>151</v>
      </c>
    </row>
    <row r="18" spans="1:34">
      <c r="A18" s="26" t="s">
        <v>133</v>
      </c>
      <c r="B18" s="30">
        <v>4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3</v>
      </c>
    </row>
    <row r="20" spans="1:34">
      <c r="A20" s="26" t="s">
        <v>117</v>
      </c>
      <c r="B20" s="28" t="s">
        <v>1055</v>
      </c>
      <c r="C20" s="80"/>
      <c r="D20" s="80"/>
      <c r="E20" s="28"/>
      <c r="F20" s="28"/>
      <c r="G20" s="80"/>
      <c r="H20" s="80"/>
      <c r="I20" s="80"/>
      <c r="J20" s="28"/>
      <c r="K20" s="80"/>
      <c r="L20" s="80"/>
      <c r="M20" s="80"/>
      <c r="N20" s="28"/>
      <c r="O20" s="28"/>
      <c r="P20" s="80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80"/>
    </row>
    <row r="21" spans="1:34">
      <c r="A21" s="26" t="s">
        <v>121</v>
      </c>
      <c r="B21" s="28" t="s">
        <v>269</v>
      </c>
      <c r="C21" s="81"/>
      <c r="D21" s="81"/>
      <c r="E21" s="29"/>
      <c r="F21" s="29"/>
      <c r="G21" s="81"/>
      <c r="H21" s="81"/>
      <c r="I21" s="81"/>
      <c r="J21" s="29"/>
      <c r="K21" s="81"/>
      <c r="L21" s="81"/>
      <c r="M21" s="81"/>
      <c r="N21" s="29"/>
      <c r="O21" s="29"/>
      <c r="P21" s="8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29"/>
      <c r="AC21" s="29"/>
      <c r="AD21" s="29"/>
      <c r="AE21" s="29"/>
      <c r="AF21" s="29"/>
      <c r="AG21" s="29"/>
      <c r="AH21" s="81"/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80"/>
      <c r="D23" s="80"/>
      <c r="E23" s="28"/>
      <c r="F23" s="28"/>
      <c r="G23" s="80"/>
      <c r="H23" s="80"/>
      <c r="I23" s="80"/>
      <c r="J23" s="28"/>
      <c r="K23" s="80"/>
      <c r="L23" s="80"/>
      <c r="M23" s="80"/>
      <c r="N23" s="28"/>
      <c r="O23" s="28"/>
      <c r="P23" s="80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80"/>
    </row>
    <row r="24" spans="1:34">
      <c r="A24" s="26" t="s">
        <v>125</v>
      </c>
      <c r="B24" s="28" t="s">
        <v>124</v>
      </c>
      <c r="C24" s="80"/>
      <c r="D24" s="80"/>
      <c r="E24" s="28"/>
      <c r="F24" s="28"/>
      <c r="G24" s="80"/>
      <c r="H24" s="80"/>
      <c r="I24" s="80"/>
      <c r="J24" s="28"/>
      <c r="K24" s="80"/>
      <c r="L24" s="80"/>
      <c r="M24" s="80"/>
      <c r="N24" s="28"/>
      <c r="O24" s="28"/>
      <c r="P24" s="80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80"/>
    </row>
    <row r="25" spans="1:34">
      <c r="A25" s="26" t="s">
        <v>126</v>
      </c>
      <c r="B25" s="28" t="s">
        <v>127</v>
      </c>
      <c r="C25" s="80"/>
      <c r="D25" s="80"/>
      <c r="E25" s="28"/>
      <c r="F25" s="28"/>
      <c r="G25" s="80"/>
      <c r="H25" s="80"/>
      <c r="I25" s="80"/>
      <c r="J25" s="28"/>
      <c r="K25" s="80"/>
      <c r="L25" s="80"/>
      <c r="M25" s="80"/>
      <c r="N25" s="28"/>
      <c r="O25" s="28"/>
      <c r="P25" s="80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80"/>
    </row>
    <row r="26" spans="1:34">
      <c r="A26" s="26" t="s">
        <v>128</v>
      </c>
      <c r="B26" s="28" t="s">
        <v>127</v>
      </c>
      <c r="C26" s="80"/>
      <c r="D26" s="80"/>
      <c r="E26" s="28"/>
      <c r="F26" s="28"/>
      <c r="G26" s="80"/>
      <c r="H26" s="80"/>
      <c r="I26" s="80"/>
      <c r="J26" s="28"/>
      <c r="K26" s="80"/>
      <c r="L26" s="80"/>
      <c r="M26" s="80"/>
      <c r="N26" s="28"/>
      <c r="O26" s="28"/>
      <c r="P26" s="80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80"/>
    </row>
    <row r="27" spans="1:34">
      <c r="A27" s="26" t="s">
        <v>129</v>
      </c>
      <c r="B27" s="28" t="s">
        <v>150</v>
      </c>
      <c r="C27" s="80"/>
      <c r="D27" s="80"/>
      <c r="E27" s="28"/>
      <c r="F27" s="28"/>
      <c r="G27" s="80"/>
      <c r="H27" s="80"/>
      <c r="I27" s="80"/>
      <c r="J27" s="28"/>
      <c r="K27" s="80"/>
      <c r="L27" s="80"/>
      <c r="M27" s="80"/>
      <c r="N27" s="28"/>
      <c r="O27" s="28"/>
      <c r="P27" s="80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80"/>
    </row>
    <row r="28" spans="1:34">
      <c r="A28" s="26" t="s">
        <v>130</v>
      </c>
      <c r="B28" s="30">
        <v>-2</v>
      </c>
      <c r="C28" s="82"/>
      <c r="D28" s="82"/>
      <c r="E28" s="30"/>
      <c r="F28" s="30"/>
      <c r="G28" s="82"/>
      <c r="H28" s="82"/>
      <c r="I28" s="82"/>
      <c r="J28" s="30"/>
      <c r="K28" s="82"/>
      <c r="L28" s="82"/>
      <c r="M28" s="82"/>
      <c r="N28" s="30"/>
      <c r="O28" s="30"/>
      <c r="P28" s="82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82"/>
    </row>
    <row r="29" spans="1:34">
      <c r="A29" s="26" t="s">
        <v>131</v>
      </c>
      <c r="B29" s="28" t="s">
        <v>280</v>
      </c>
      <c r="C29" s="80"/>
      <c r="D29" s="80"/>
      <c r="E29" s="28"/>
      <c r="F29" s="28"/>
      <c r="G29" s="80"/>
      <c r="H29" s="80"/>
      <c r="I29" s="80"/>
      <c r="J29" s="28"/>
      <c r="K29" s="80"/>
      <c r="L29" s="80"/>
      <c r="M29" s="80"/>
      <c r="N29" s="28"/>
      <c r="O29" s="28"/>
      <c r="P29" s="80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80"/>
    </row>
    <row r="30" spans="1:34">
      <c r="A30" s="26" t="s">
        <v>133</v>
      </c>
      <c r="B30" s="30">
        <v>0.5</v>
      </c>
      <c r="C30" s="82"/>
      <c r="D30" s="82"/>
      <c r="E30" s="30"/>
      <c r="F30" s="30"/>
      <c r="G30" s="82"/>
      <c r="H30" s="82"/>
      <c r="I30" s="82"/>
      <c r="J30" s="30"/>
      <c r="K30" s="82"/>
      <c r="L30" s="82"/>
      <c r="M30" s="82"/>
      <c r="N30" s="30"/>
      <c r="O30" s="30"/>
      <c r="P30" s="8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82"/>
    </row>
    <row r="32" spans="1:34">
      <c r="A32" s="31" t="s">
        <v>134</v>
      </c>
    </row>
    <row r="33" spans="1:2">
      <c r="A33" s="26" t="s">
        <v>1121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747F-B94B-476B-AE56-75869F90A2DB}">
  <dimension ref="A1:AH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81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1114</v>
      </c>
      <c r="C4" s="203"/>
      <c r="D4" s="203"/>
      <c r="F4" s="204" t="s">
        <v>1122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1039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199</v>
      </c>
      <c r="C8" s="28" t="s">
        <v>1116</v>
      </c>
      <c r="D8" s="28" t="s">
        <v>1116</v>
      </c>
      <c r="E8" s="28"/>
      <c r="F8" s="28"/>
      <c r="G8" s="28" t="s">
        <v>200</v>
      </c>
      <c r="H8" s="28" t="s">
        <v>200</v>
      </c>
      <c r="I8" s="28" t="s">
        <v>200</v>
      </c>
      <c r="J8" s="28"/>
      <c r="K8" s="28" t="s">
        <v>1116</v>
      </c>
      <c r="L8" s="28" t="s">
        <v>1116</v>
      </c>
      <c r="M8" s="28" t="s">
        <v>1116</v>
      </c>
      <c r="N8" s="28"/>
      <c r="O8" s="28"/>
      <c r="P8" s="28" t="s">
        <v>1117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1118</v>
      </c>
      <c r="AB8" s="28"/>
      <c r="AC8" s="28"/>
      <c r="AD8" s="28"/>
      <c r="AE8" s="28"/>
      <c r="AF8" s="28"/>
      <c r="AG8" s="28"/>
      <c r="AH8" s="28" t="s">
        <v>145</v>
      </c>
    </row>
    <row r="9" spans="1:34">
      <c r="A9" s="26" t="s">
        <v>121</v>
      </c>
      <c r="B9" s="28" t="s">
        <v>205</v>
      </c>
      <c r="C9" s="29" t="s">
        <v>206</v>
      </c>
      <c r="D9" s="29" t="s">
        <v>206</v>
      </c>
      <c r="E9" s="29"/>
      <c r="F9" s="29"/>
      <c r="G9" s="28" t="s">
        <v>208</v>
      </c>
      <c r="H9" s="28" t="s">
        <v>209</v>
      </c>
      <c r="I9" s="28" t="s">
        <v>206</v>
      </c>
      <c r="J9" s="29"/>
      <c r="K9" s="28" t="s">
        <v>210</v>
      </c>
      <c r="L9" s="28" t="s">
        <v>210</v>
      </c>
      <c r="M9" s="28" t="s">
        <v>210</v>
      </c>
      <c r="N9" s="29"/>
      <c r="O9" s="29"/>
      <c r="P9" s="29" t="s">
        <v>211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1120</v>
      </c>
      <c r="AB9" s="29"/>
      <c r="AC9" s="29"/>
      <c r="AD9" s="29"/>
      <c r="AE9" s="29"/>
      <c r="AF9" s="29"/>
      <c r="AG9" s="29"/>
      <c r="AH9" s="28" t="s">
        <v>147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8" t="s">
        <v>124</v>
      </c>
      <c r="D11" s="28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/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/>
      <c r="F13" s="28"/>
      <c r="G13" s="28" t="s">
        <v>127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28" t="s">
        <v>149</v>
      </c>
    </row>
    <row r="16" spans="1:34">
      <c r="A16" s="26" t="s">
        <v>130</v>
      </c>
      <c r="B16" s="30">
        <v>-3</v>
      </c>
      <c r="C16" s="30">
        <v>1</v>
      </c>
      <c r="D16" s="30">
        <v>1</v>
      </c>
      <c r="E16" s="30"/>
      <c r="F16" s="30"/>
      <c r="G16" s="30">
        <v>2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f>4/3</f>
        <v>1.3333333333333333</v>
      </c>
    </row>
    <row r="17" spans="1:34">
      <c r="A17" s="26" t="s">
        <v>131</v>
      </c>
      <c r="B17" s="28" t="s">
        <v>132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/>
      <c r="AH17" s="28" t="s">
        <v>151</v>
      </c>
    </row>
    <row r="18" spans="1:34">
      <c r="A18" s="26" t="s">
        <v>133</v>
      </c>
      <c r="B18" s="30">
        <v>4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3</v>
      </c>
    </row>
    <row r="20" spans="1:34">
      <c r="A20" s="26" t="s">
        <v>117</v>
      </c>
      <c r="B20" s="28" t="s">
        <v>1055</v>
      </c>
      <c r="C20" s="80"/>
      <c r="D20" s="80"/>
      <c r="E20" s="28"/>
      <c r="F20" s="28"/>
      <c r="G20" s="80"/>
      <c r="H20" s="80"/>
      <c r="I20" s="80"/>
      <c r="J20" s="28"/>
      <c r="K20" s="80"/>
      <c r="L20" s="80"/>
      <c r="M20" s="80"/>
      <c r="N20" s="28"/>
      <c r="O20" s="28"/>
      <c r="P20" s="80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80"/>
    </row>
    <row r="21" spans="1:34">
      <c r="A21" s="26" t="s">
        <v>121</v>
      </c>
      <c r="B21" s="28" t="s">
        <v>269</v>
      </c>
      <c r="C21" s="81"/>
      <c r="D21" s="81"/>
      <c r="E21" s="29"/>
      <c r="F21" s="29"/>
      <c r="G21" s="81"/>
      <c r="H21" s="81"/>
      <c r="I21" s="81"/>
      <c r="J21" s="29"/>
      <c r="K21" s="81"/>
      <c r="L21" s="81"/>
      <c r="M21" s="81"/>
      <c r="N21" s="29"/>
      <c r="O21" s="29"/>
      <c r="P21" s="8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29"/>
      <c r="AC21" s="29"/>
      <c r="AD21" s="29"/>
      <c r="AE21" s="29"/>
      <c r="AF21" s="29"/>
      <c r="AG21" s="29"/>
      <c r="AH21" s="81"/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80"/>
      <c r="D23" s="80"/>
      <c r="E23" s="28"/>
      <c r="F23" s="28"/>
      <c r="G23" s="80"/>
      <c r="H23" s="80"/>
      <c r="I23" s="80"/>
      <c r="J23" s="28"/>
      <c r="K23" s="80"/>
      <c r="L23" s="80"/>
      <c r="M23" s="80"/>
      <c r="N23" s="28"/>
      <c r="O23" s="28"/>
      <c r="P23" s="80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80"/>
    </row>
    <row r="24" spans="1:34">
      <c r="A24" s="26" t="s">
        <v>125</v>
      </c>
      <c r="B24" s="28" t="s">
        <v>124</v>
      </c>
      <c r="C24" s="80"/>
      <c r="D24" s="80"/>
      <c r="E24" s="28"/>
      <c r="F24" s="28"/>
      <c r="G24" s="80"/>
      <c r="H24" s="80"/>
      <c r="I24" s="80"/>
      <c r="J24" s="28"/>
      <c r="K24" s="80"/>
      <c r="L24" s="80"/>
      <c r="M24" s="80"/>
      <c r="N24" s="28"/>
      <c r="O24" s="28"/>
      <c r="P24" s="80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80"/>
    </row>
    <row r="25" spans="1:34">
      <c r="A25" s="26" t="s">
        <v>126</v>
      </c>
      <c r="B25" s="28" t="s">
        <v>127</v>
      </c>
      <c r="C25" s="80"/>
      <c r="D25" s="80"/>
      <c r="E25" s="28"/>
      <c r="F25" s="28"/>
      <c r="G25" s="80"/>
      <c r="H25" s="80"/>
      <c r="I25" s="80"/>
      <c r="J25" s="28"/>
      <c r="K25" s="80"/>
      <c r="L25" s="80"/>
      <c r="M25" s="80"/>
      <c r="N25" s="28"/>
      <c r="O25" s="28"/>
      <c r="P25" s="80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80"/>
    </row>
    <row r="26" spans="1:34">
      <c r="A26" s="26" t="s">
        <v>128</v>
      </c>
      <c r="B26" s="28" t="s">
        <v>127</v>
      </c>
      <c r="C26" s="80"/>
      <c r="D26" s="80"/>
      <c r="E26" s="28"/>
      <c r="F26" s="28"/>
      <c r="G26" s="80"/>
      <c r="H26" s="80"/>
      <c r="I26" s="80"/>
      <c r="J26" s="28"/>
      <c r="K26" s="80"/>
      <c r="L26" s="80"/>
      <c r="M26" s="80"/>
      <c r="N26" s="28"/>
      <c r="O26" s="28"/>
      <c r="P26" s="80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80"/>
    </row>
    <row r="27" spans="1:34">
      <c r="A27" s="26" t="s">
        <v>129</v>
      </c>
      <c r="B27" s="28" t="s">
        <v>150</v>
      </c>
      <c r="C27" s="80"/>
      <c r="D27" s="80"/>
      <c r="E27" s="28"/>
      <c r="F27" s="28"/>
      <c r="G27" s="80"/>
      <c r="H27" s="80"/>
      <c r="I27" s="80"/>
      <c r="J27" s="28"/>
      <c r="K27" s="80"/>
      <c r="L27" s="80"/>
      <c r="M27" s="80"/>
      <c r="N27" s="28"/>
      <c r="O27" s="28"/>
      <c r="P27" s="80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80"/>
    </row>
    <row r="28" spans="1:34">
      <c r="A28" s="26" t="s">
        <v>130</v>
      </c>
      <c r="B28" s="30">
        <v>-2</v>
      </c>
      <c r="C28" s="82"/>
      <c r="D28" s="82"/>
      <c r="E28" s="30"/>
      <c r="F28" s="30"/>
      <c r="G28" s="82"/>
      <c r="H28" s="82"/>
      <c r="I28" s="82"/>
      <c r="J28" s="30"/>
      <c r="K28" s="82"/>
      <c r="L28" s="82"/>
      <c r="M28" s="82"/>
      <c r="N28" s="30"/>
      <c r="O28" s="30"/>
      <c r="P28" s="82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82"/>
    </row>
    <row r="29" spans="1:34">
      <c r="A29" s="26" t="s">
        <v>131</v>
      </c>
      <c r="B29" s="28" t="s">
        <v>280</v>
      </c>
      <c r="C29" s="80"/>
      <c r="D29" s="80"/>
      <c r="E29" s="28"/>
      <c r="F29" s="28"/>
      <c r="G29" s="80"/>
      <c r="H29" s="80"/>
      <c r="I29" s="80"/>
      <c r="J29" s="28"/>
      <c r="K29" s="80"/>
      <c r="L29" s="80"/>
      <c r="M29" s="80"/>
      <c r="N29" s="28"/>
      <c r="O29" s="28"/>
      <c r="P29" s="80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80"/>
    </row>
    <row r="30" spans="1:34">
      <c r="A30" s="26" t="s">
        <v>133</v>
      </c>
      <c r="B30" s="30">
        <v>0.5</v>
      </c>
      <c r="C30" s="82"/>
      <c r="D30" s="82"/>
      <c r="E30" s="30"/>
      <c r="F30" s="30"/>
      <c r="G30" s="82"/>
      <c r="H30" s="82"/>
      <c r="I30" s="82"/>
      <c r="J30" s="30"/>
      <c r="K30" s="82"/>
      <c r="L30" s="82"/>
      <c r="M30" s="82"/>
      <c r="N30" s="30"/>
      <c r="O30" s="30"/>
      <c r="P30" s="8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82"/>
    </row>
    <row r="32" spans="1:34">
      <c r="A32" s="31" t="s">
        <v>134</v>
      </c>
    </row>
    <row r="33" spans="1:2">
      <c r="A33" s="26" t="s">
        <v>1123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AFEF-76A6-470D-8DEF-816784CA7765}">
  <dimension ref="A1:AM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7" width="5.7109375" style="26" customWidth="1"/>
    <col min="58" max="16384" width="9.140625" style="26"/>
  </cols>
  <sheetData>
    <row r="1" spans="1:39">
      <c r="A1" s="25" t="s">
        <v>74</v>
      </c>
      <c r="D1" s="25" t="s">
        <v>840</v>
      </c>
      <c r="I1" s="25" t="s">
        <v>1047</v>
      </c>
    </row>
    <row r="3" spans="1:39" ht="17.45">
      <c r="A3" s="25" t="s">
        <v>77</v>
      </c>
      <c r="B3" s="203">
        <v>82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9" ht="17.45">
      <c r="A4" s="25" t="s">
        <v>79</v>
      </c>
      <c r="B4" s="203" t="s">
        <v>1124</v>
      </c>
      <c r="C4" s="203"/>
      <c r="D4" s="203"/>
      <c r="F4" s="204" t="s">
        <v>1125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9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9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72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58" t="s">
        <v>85</v>
      </c>
      <c r="AK7" s="58" t="s">
        <v>86</v>
      </c>
      <c r="AL7" s="72" t="s">
        <v>109</v>
      </c>
      <c r="AM7" s="76" t="s">
        <v>116</v>
      </c>
    </row>
    <row r="8" spans="1:39">
      <c r="A8" s="26" t="s">
        <v>117</v>
      </c>
      <c r="B8" s="28" t="s">
        <v>262</v>
      </c>
      <c r="C8" s="80"/>
      <c r="D8" s="80"/>
      <c r="E8" s="80"/>
      <c r="F8" s="28"/>
      <c r="G8" s="28" t="s">
        <v>264</v>
      </c>
      <c r="H8" s="28" t="s">
        <v>264</v>
      </c>
      <c r="I8" s="28" t="s">
        <v>264</v>
      </c>
      <c r="J8" s="28"/>
      <c r="K8" s="28" t="s">
        <v>269</v>
      </c>
      <c r="L8" s="28" t="s">
        <v>269</v>
      </c>
      <c r="M8" s="28" t="s">
        <v>269</v>
      </c>
      <c r="N8" s="28"/>
      <c r="O8" s="28"/>
      <c r="P8" s="80"/>
      <c r="Q8" s="28"/>
      <c r="R8" s="28"/>
      <c r="S8" s="28"/>
      <c r="T8" s="28"/>
      <c r="U8" s="28"/>
      <c r="V8" s="28"/>
      <c r="W8" s="28"/>
      <c r="X8" s="28"/>
      <c r="Y8" s="28"/>
      <c r="Z8" s="28"/>
      <c r="AA8" s="94" t="s">
        <v>1107</v>
      </c>
      <c r="AB8" s="28"/>
      <c r="AC8" s="28"/>
      <c r="AD8" s="28"/>
      <c r="AE8" s="28"/>
      <c r="AF8" s="28"/>
      <c r="AG8" s="28"/>
      <c r="AH8" s="80"/>
      <c r="AJ8" s="28" t="s">
        <v>269</v>
      </c>
      <c r="AK8" s="28" t="s">
        <v>269</v>
      </c>
      <c r="AL8" s="28" t="s">
        <v>951</v>
      </c>
      <c r="AM8" s="28" t="s">
        <v>250</v>
      </c>
    </row>
    <row r="9" spans="1:39">
      <c r="A9" s="26" t="s">
        <v>121</v>
      </c>
      <c r="B9" s="28" t="s">
        <v>251</v>
      </c>
      <c r="C9" s="81"/>
      <c r="D9" s="81"/>
      <c r="E9" s="81"/>
      <c r="F9" s="29"/>
      <c r="G9" s="28" t="s">
        <v>953</v>
      </c>
      <c r="H9" s="28" t="s">
        <v>953</v>
      </c>
      <c r="I9" s="28" t="s">
        <v>953</v>
      </c>
      <c r="J9" s="29"/>
      <c r="K9" s="29" t="s">
        <v>271</v>
      </c>
      <c r="L9" s="29" t="s">
        <v>178</v>
      </c>
      <c r="M9" s="29" t="s">
        <v>271</v>
      </c>
      <c r="N9" s="29"/>
      <c r="O9" s="29"/>
      <c r="P9" s="81"/>
      <c r="Q9" s="29"/>
      <c r="R9" s="29"/>
      <c r="S9" s="29"/>
      <c r="T9" s="29"/>
      <c r="U9" s="29"/>
      <c r="V9" s="29"/>
      <c r="W9" s="29"/>
      <c r="X9" s="29"/>
      <c r="Y9" s="29"/>
      <c r="Z9" s="29"/>
      <c r="AA9" s="119" t="s">
        <v>1109</v>
      </c>
      <c r="AB9" s="29"/>
      <c r="AC9" s="29"/>
      <c r="AD9" s="29"/>
      <c r="AE9" s="29"/>
      <c r="AF9" s="29"/>
      <c r="AG9" s="29"/>
      <c r="AH9" s="81"/>
      <c r="AJ9" s="28" t="s">
        <v>271</v>
      </c>
      <c r="AK9" s="28" t="s">
        <v>271</v>
      </c>
      <c r="AL9" s="28" t="s">
        <v>1126</v>
      </c>
      <c r="AM9" s="28" t="s">
        <v>251</v>
      </c>
    </row>
    <row r="10" spans="1:39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9">
      <c r="A11" s="26" t="s">
        <v>123</v>
      </c>
      <c r="B11" s="29" t="s">
        <v>124</v>
      </c>
      <c r="C11" s="80"/>
      <c r="D11" s="80"/>
      <c r="E11" s="80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80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80"/>
      <c r="AJ11" s="29" t="s">
        <v>124</v>
      </c>
      <c r="AK11" s="29" t="s">
        <v>124</v>
      </c>
      <c r="AL11" s="29" t="s">
        <v>124</v>
      </c>
      <c r="AM11" s="29" t="s">
        <v>124</v>
      </c>
    </row>
    <row r="12" spans="1:39">
      <c r="A12" s="26" t="s">
        <v>125</v>
      </c>
      <c r="B12" s="29" t="s">
        <v>124</v>
      </c>
      <c r="C12" s="80"/>
      <c r="D12" s="80"/>
      <c r="E12" s="80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80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80"/>
      <c r="AJ12" s="28" t="s">
        <v>124</v>
      </c>
      <c r="AK12" s="28" t="s">
        <v>124</v>
      </c>
      <c r="AL12" s="29" t="s">
        <v>124</v>
      </c>
      <c r="AM12" s="29" t="s">
        <v>124</v>
      </c>
    </row>
    <row r="13" spans="1:39">
      <c r="A13" s="26" t="s">
        <v>126</v>
      </c>
      <c r="B13" s="28" t="s">
        <v>127</v>
      </c>
      <c r="C13" s="80"/>
      <c r="D13" s="80"/>
      <c r="E13" s="80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80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80"/>
      <c r="AJ13" s="28" t="s">
        <v>124</v>
      </c>
      <c r="AK13" s="28" t="s">
        <v>124</v>
      </c>
      <c r="AL13" s="28" t="s">
        <v>127</v>
      </c>
      <c r="AM13" s="28" t="s">
        <v>127</v>
      </c>
    </row>
    <row r="14" spans="1:39">
      <c r="A14" s="26" t="s">
        <v>128</v>
      </c>
      <c r="B14" s="28" t="s">
        <v>127</v>
      </c>
      <c r="C14" s="80"/>
      <c r="D14" s="80"/>
      <c r="E14" s="80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80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80"/>
      <c r="AJ14" s="28" t="s">
        <v>127</v>
      </c>
      <c r="AK14" s="28" t="s">
        <v>127</v>
      </c>
      <c r="AL14" s="28" t="s">
        <v>127</v>
      </c>
      <c r="AM14" s="28" t="s">
        <v>127</v>
      </c>
    </row>
    <row r="15" spans="1:39">
      <c r="A15" s="26" t="s">
        <v>129</v>
      </c>
      <c r="B15" s="28" t="s">
        <v>216</v>
      </c>
      <c r="C15" s="80"/>
      <c r="D15" s="80"/>
      <c r="E15" s="80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80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1110</v>
      </c>
      <c r="AB15" s="28"/>
      <c r="AC15" s="28"/>
      <c r="AD15" s="28"/>
      <c r="AE15" s="28"/>
      <c r="AF15" s="28"/>
      <c r="AG15" s="28"/>
      <c r="AH15" s="80"/>
      <c r="AJ15" s="28" t="s">
        <v>150</v>
      </c>
      <c r="AK15" s="28" t="s">
        <v>150</v>
      </c>
      <c r="AL15" s="28" t="s">
        <v>216</v>
      </c>
      <c r="AM15" s="28" t="s">
        <v>216</v>
      </c>
    </row>
    <row r="16" spans="1:39">
      <c r="A16" s="26" t="s">
        <v>130</v>
      </c>
      <c r="B16" s="30">
        <v>-3</v>
      </c>
      <c r="C16" s="82"/>
      <c r="D16" s="82"/>
      <c r="E16" s="82"/>
      <c r="F16" s="30"/>
      <c r="G16" s="30">
        <v>-2</v>
      </c>
      <c r="H16" s="30">
        <v>-2</v>
      </c>
      <c r="I16" s="30">
        <v>-2</v>
      </c>
      <c r="J16" s="30"/>
      <c r="K16" s="30">
        <v>-0.5</v>
      </c>
      <c r="L16" s="30">
        <v>-0.5</v>
      </c>
      <c r="M16" s="30">
        <v>-0.5</v>
      </c>
      <c r="N16" s="30"/>
      <c r="O16" s="30"/>
      <c r="P16" s="8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AVERAGE(-0.5,7/6)</f>
        <v>0.33333333333333337</v>
      </c>
      <c r="AB16" s="30"/>
      <c r="AC16" s="30"/>
      <c r="AD16" s="30"/>
      <c r="AE16" s="30"/>
      <c r="AF16" s="30"/>
      <c r="AG16" s="30"/>
      <c r="AH16" s="82"/>
      <c r="AJ16" s="30">
        <v>-0.5</v>
      </c>
      <c r="AK16" s="30">
        <v>-0.5</v>
      </c>
      <c r="AL16" s="30">
        <v>-3</v>
      </c>
      <c r="AM16" s="30">
        <v>-3</v>
      </c>
    </row>
    <row r="17" spans="1:39">
      <c r="A17" s="26" t="s">
        <v>131</v>
      </c>
      <c r="B17" s="28" t="s">
        <v>132</v>
      </c>
      <c r="C17" s="80"/>
      <c r="D17" s="80"/>
      <c r="E17" s="80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151</v>
      </c>
      <c r="M17" s="28" t="s">
        <v>180</v>
      </c>
      <c r="N17" s="28"/>
      <c r="O17" s="28"/>
      <c r="P17" s="80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/>
      <c r="AH17" s="80"/>
      <c r="AJ17" s="28" t="s">
        <v>180</v>
      </c>
      <c r="AK17" s="28" t="s">
        <v>180</v>
      </c>
      <c r="AL17" s="28" t="s">
        <v>1054</v>
      </c>
      <c r="AM17" s="28" t="s">
        <v>132</v>
      </c>
    </row>
    <row r="18" spans="1:39">
      <c r="A18" s="26" t="s">
        <v>133</v>
      </c>
      <c r="B18" s="30">
        <v>4</v>
      </c>
      <c r="C18" s="82"/>
      <c r="D18" s="82"/>
      <c r="E18" s="82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3</v>
      </c>
      <c r="M18" s="30">
        <v>2</v>
      </c>
      <c r="N18" s="30"/>
      <c r="O18" s="30"/>
      <c r="P18" s="8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82"/>
      <c r="AJ18" s="30">
        <v>2</v>
      </c>
      <c r="AK18" s="30">
        <v>2</v>
      </c>
      <c r="AL18" s="30">
        <v>5</v>
      </c>
      <c r="AM18" s="30">
        <v>4</v>
      </c>
    </row>
    <row r="20" spans="1:39">
      <c r="A20" s="26" t="s">
        <v>117</v>
      </c>
      <c r="B20" s="86" t="s">
        <v>1055</v>
      </c>
      <c r="C20" s="28" t="s">
        <v>502</v>
      </c>
      <c r="D20" s="28" t="s">
        <v>502</v>
      </c>
      <c r="E20" s="83"/>
      <c r="F20" s="28"/>
      <c r="G20" s="80"/>
      <c r="H20" s="80"/>
      <c r="I20" s="80"/>
      <c r="J20" s="28"/>
      <c r="K20" s="80"/>
      <c r="L20" s="80"/>
      <c r="M20" s="80"/>
      <c r="N20" s="28"/>
      <c r="O20" s="28"/>
      <c r="P20" s="28" t="s">
        <v>1112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28" t="s">
        <v>889</v>
      </c>
      <c r="AJ20" s="80"/>
      <c r="AK20" s="80"/>
      <c r="AL20" s="80"/>
      <c r="AM20" s="80"/>
    </row>
    <row r="21" spans="1:39">
      <c r="A21" s="26" t="s">
        <v>121</v>
      </c>
      <c r="B21" s="86" t="s">
        <v>269</v>
      </c>
      <c r="C21" s="28" t="s">
        <v>269</v>
      </c>
      <c r="D21" s="28" t="s">
        <v>269</v>
      </c>
      <c r="E21" s="28" t="s">
        <v>269</v>
      </c>
      <c r="F21" s="29"/>
      <c r="G21" s="81"/>
      <c r="H21" s="81"/>
      <c r="I21" s="81"/>
      <c r="J21" s="29"/>
      <c r="K21" s="81"/>
      <c r="L21" s="81"/>
      <c r="M21" s="81"/>
      <c r="N21" s="29"/>
      <c r="O21" s="29"/>
      <c r="P21" s="28" t="s">
        <v>269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29"/>
      <c r="AC21" s="29"/>
      <c r="AD21" s="29"/>
      <c r="AE21" s="29"/>
      <c r="AF21" s="29"/>
      <c r="AG21" s="29"/>
      <c r="AH21" s="28" t="s">
        <v>560</v>
      </c>
      <c r="AJ21" s="81"/>
      <c r="AK21" s="81"/>
      <c r="AL21" s="81"/>
      <c r="AM21" s="81"/>
    </row>
    <row r="22" spans="1:39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9">
      <c r="A23" s="26" t="s">
        <v>123</v>
      </c>
      <c r="B23" s="28" t="s">
        <v>124</v>
      </c>
      <c r="C23" s="29" t="s">
        <v>124</v>
      </c>
      <c r="D23" s="29" t="s">
        <v>124</v>
      </c>
      <c r="E23" s="29" t="s">
        <v>124</v>
      </c>
      <c r="F23" s="28"/>
      <c r="G23" s="80"/>
      <c r="H23" s="80"/>
      <c r="I23" s="80"/>
      <c r="J23" s="28"/>
      <c r="K23" s="80"/>
      <c r="L23" s="80"/>
      <c r="M23" s="80"/>
      <c r="N23" s="28"/>
      <c r="O23" s="28"/>
      <c r="P23" s="29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29" t="s">
        <v>215</v>
      </c>
      <c r="AJ23" s="80"/>
      <c r="AK23" s="80"/>
      <c r="AL23" s="80"/>
      <c r="AM23" s="80"/>
    </row>
    <row r="24" spans="1:39">
      <c r="A24" s="26" t="s">
        <v>125</v>
      </c>
      <c r="B24" s="28" t="s">
        <v>124</v>
      </c>
      <c r="C24" s="28" t="s">
        <v>124</v>
      </c>
      <c r="D24" s="28" t="s">
        <v>124</v>
      </c>
      <c r="E24" s="28" t="s">
        <v>124</v>
      </c>
      <c r="F24" s="28"/>
      <c r="G24" s="80"/>
      <c r="H24" s="80"/>
      <c r="I24" s="80"/>
      <c r="J24" s="28"/>
      <c r="K24" s="80"/>
      <c r="L24" s="80"/>
      <c r="M24" s="80"/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28" t="s">
        <v>124</v>
      </c>
      <c r="AJ24" s="80"/>
      <c r="AK24" s="80"/>
      <c r="AL24" s="80"/>
      <c r="AM24" s="80"/>
    </row>
    <row r="25" spans="1:39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/>
      <c r="G25" s="80"/>
      <c r="H25" s="80"/>
      <c r="I25" s="80"/>
      <c r="J25" s="28"/>
      <c r="K25" s="80"/>
      <c r="L25" s="80"/>
      <c r="M25" s="80"/>
      <c r="N25" s="28"/>
      <c r="O25" s="28"/>
      <c r="P25" s="28" t="s">
        <v>127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28" t="s">
        <v>127</v>
      </c>
      <c r="AJ25" s="80"/>
      <c r="AK25" s="80"/>
      <c r="AL25" s="80"/>
      <c r="AM25" s="80"/>
    </row>
    <row r="26" spans="1:39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/>
      <c r="G26" s="80"/>
      <c r="H26" s="80"/>
      <c r="I26" s="80"/>
      <c r="J26" s="28"/>
      <c r="K26" s="80"/>
      <c r="L26" s="80"/>
      <c r="M26" s="80"/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28" t="s">
        <v>127</v>
      </c>
      <c r="AJ26" s="80"/>
      <c r="AK26" s="80"/>
      <c r="AL26" s="80"/>
      <c r="AM26" s="80"/>
    </row>
    <row r="27" spans="1:39">
      <c r="A27" s="26" t="s">
        <v>129</v>
      </c>
      <c r="B27" s="28" t="s">
        <v>150</v>
      </c>
      <c r="C27" s="28" t="s">
        <v>150</v>
      </c>
      <c r="D27" s="28" t="s">
        <v>150</v>
      </c>
      <c r="E27" s="28" t="s">
        <v>150</v>
      </c>
      <c r="F27" s="28"/>
      <c r="G27" s="80"/>
      <c r="H27" s="80"/>
      <c r="I27" s="80"/>
      <c r="J27" s="28"/>
      <c r="K27" s="80"/>
      <c r="L27" s="80"/>
      <c r="M27" s="80"/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28" t="s">
        <v>150</v>
      </c>
      <c r="AJ27" s="80"/>
      <c r="AK27" s="80"/>
      <c r="AL27" s="80"/>
      <c r="AM27" s="80"/>
    </row>
    <row r="28" spans="1:39">
      <c r="A28" s="26" t="s">
        <v>130</v>
      </c>
      <c r="B28" s="30">
        <v>-2</v>
      </c>
      <c r="C28" s="30">
        <v>-2</v>
      </c>
      <c r="D28" s="30">
        <v>-2</v>
      </c>
      <c r="E28" s="30">
        <v>-2</v>
      </c>
      <c r="F28" s="30"/>
      <c r="G28" s="82"/>
      <c r="H28" s="82"/>
      <c r="I28" s="82"/>
      <c r="J28" s="30"/>
      <c r="K28" s="82"/>
      <c r="L28" s="82"/>
      <c r="M28" s="82"/>
      <c r="N28" s="30"/>
      <c r="O28" s="30"/>
      <c r="P28" s="30">
        <v>-2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30">
        <v>-2</v>
      </c>
      <c r="AJ28" s="82"/>
      <c r="AK28" s="82"/>
      <c r="AL28" s="82"/>
      <c r="AM28" s="82"/>
    </row>
    <row r="29" spans="1:39">
      <c r="A29" s="26" t="s">
        <v>131</v>
      </c>
      <c r="B29" s="28" t="s">
        <v>280</v>
      </c>
      <c r="C29" s="28" t="s">
        <v>280</v>
      </c>
      <c r="D29" s="28" t="s">
        <v>280</v>
      </c>
      <c r="E29" s="28" t="s">
        <v>280</v>
      </c>
      <c r="F29" s="28"/>
      <c r="G29" s="80"/>
      <c r="H29" s="80"/>
      <c r="I29" s="80"/>
      <c r="J29" s="28"/>
      <c r="K29" s="80"/>
      <c r="L29" s="80"/>
      <c r="M29" s="80"/>
      <c r="N29" s="28"/>
      <c r="O29" s="28"/>
      <c r="P29" s="28" t="s">
        <v>280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103" t="s">
        <v>935</v>
      </c>
      <c r="AJ29" s="80"/>
      <c r="AK29" s="80"/>
      <c r="AL29" s="80"/>
      <c r="AM29" s="80"/>
    </row>
    <row r="30" spans="1:39">
      <c r="A30" s="26" t="s">
        <v>133</v>
      </c>
      <c r="B30" s="30">
        <v>0.5</v>
      </c>
      <c r="C30" s="30">
        <v>0.5</v>
      </c>
      <c r="D30" s="30">
        <v>0.5</v>
      </c>
      <c r="E30" s="30">
        <v>0.5</v>
      </c>
      <c r="F30" s="30"/>
      <c r="G30" s="82"/>
      <c r="H30" s="82"/>
      <c r="I30" s="82"/>
      <c r="J30" s="30"/>
      <c r="K30" s="82"/>
      <c r="L30" s="82"/>
      <c r="M30" s="82"/>
      <c r="N30" s="30"/>
      <c r="O30" s="30"/>
      <c r="P30" s="30">
        <v>0.5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30">
        <f>AVERAGE(0,0.5)</f>
        <v>0.25</v>
      </c>
      <c r="AJ30" s="82"/>
      <c r="AK30" s="82"/>
      <c r="AL30" s="82"/>
      <c r="AM30" s="82"/>
    </row>
    <row r="31" spans="1:39">
      <c r="C31" s="217" t="s">
        <v>1127</v>
      </c>
      <c r="D31" s="217"/>
      <c r="AA31" s="78" t="s">
        <v>1127</v>
      </c>
      <c r="AJ31" s="134" t="s">
        <v>1128</v>
      </c>
    </row>
    <row r="32" spans="1:39">
      <c r="A32" s="31" t="s">
        <v>134</v>
      </c>
    </row>
    <row r="33" spans="1:2">
      <c r="A33" s="26" t="s">
        <v>1129</v>
      </c>
      <c r="B33" s="56"/>
    </row>
  </sheetData>
  <mergeCells count="6">
    <mergeCell ref="C31:D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6983-1382-4249-AA8C-5922A8AA84A1}">
  <dimension ref="A1:AL35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4" width="5.7109375" style="26" customWidth="1"/>
    <col min="55" max="16384" width="9.140625" style="26"/>
  </cols>
  <sheetData>
    <row r="1" spans="1:38">
      <c r="A1" s="25" t="s">
        <v>74</v>
      </c>
      <c r="D1" s="25" t="s">
        <v>840</v>
      </c>
      <c r="I1" s="25" t="s">
        <v>1047</v>
      </c>
    </row>
    <row r="3" spans="1:38" ht="17.45">
      <c r="A3" s="25" t="s">
        <v>77</v>
      </c>
      <c r="B3" s="203">
        <v>83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8" ht="17.45">
      <c r="A4" s="25" t="s">
        <v>79</v>
      </c>
      <c r="B4" s="203" t="s">
        <v>1130</v>
      </c>
      <c r="C4" s="203"/>
      <c r="D4" s="203"/>
      <c r="F4" s="204" t="s">
        <v>1131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8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8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64" t="s">
        <v>93</v>
      </c>
      <c r="AK7" s="64" t="s">
        <v>94</v>
      </c>
      <c r="AL7" s="64" t="s">
        <v>95</v>
      </c>
    </row>
    <row r="8" spans="1:38">
      <c r="A8" s="26" t="s">
        <v>117</v>
      </c>
      <c r="B8" s="28" t="s">
        <v>348</v>
      </c>
      <c r="C8" s="28" t="s">
        <v>889</v>
      </c>
      <c r="D8" s="28" t="s">
        <v>889</v>
      </c>
      <c r="E8" s="28" t="s">
        <v>502</v>
      </c>
      <c r="F8" s="28"/>
      <c r="G8" s="28" t="s">
        <v>119</v>
      </c>
      <c r="H8" s="28" t="s">
        <v>119</v>
      </c>
      <c r="I8" s="28" t="s">
        <v>119</v>
      </c>
      <c r="J8" s="28"/>
      <c r="K8" s="28" t="s">
        <v>1063</v>
      </c>
      <c r="L8" s="28" t="s">
        <v>1063</v>
      </c>
      <c r="M8" s="28" t="s">
        <v>1063</v>
      </c>
      <c r="N8" s="28"/>
      <c r="O8" s="28"/>
      <c r="P8" s="80"/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1064</v>
      </c>
      <c r="AB8" s="28"/>
      <c r="AC8" s="28"/>
      <c r="AD8" s="28"/>
      <c r="AE8" s="28"/>
      <c r="AF8" s="28"/>
      <c r="AG8" s="28"/>
      <c r="AH8" s="28" t="s">
        <v>502</v>
      </c>
      <c r="AJ8" s="28" t="s">
        <v>477</v>
      </c>
      <c r="AK8" s="28" t="s">
        <v>477</v>
      </c>
      <c r="AL8" s="28" t="s">
        <v>477</v>
      </c>
    </row>
    <row r="9" spans="1:38">
      <c r="A9" s="26" t="s">
        <v>121</v>
      </c>
      <c r="B9" s="28" t="s">
        <v>1132</v>
      </c>
      <c r="C9" s="28" t="s">
        <v>560</v>
      </c>
      <c r="D9" s="28" t="s">
        <v>560</v>
      </c>
      <c r="E9" s="28" t="s">
        <v>269</v>
      </c>
      <c r="F9" s="29"/>
      <c r="G9" s="28" t="s">
        <v>846</v>
      </c>
      <c r="H9" s="28" t="s">
        <v>846</v>
      </c>
      <c r="I9" s="28" t="s">
        <v>846</v>
      </c>
      <c r="J9" s="29"/>
      <c r="K9" s="28" t="s">
        <v>847</v>
      </c>
      <c r="L9" s="28" t="s">
        <v>858</v>
      </c>
      <c r="M9" s="28" t="s">
        <v>1065</v>
      </c>
      <c r="N9" s="29"/>
      <c r="O9" s="29"/>
      <c r="P9" s="80"/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1064</v>
      </c>
      <c r="AB9" s="29"/>
      <c r="AC9" s="29"/>
      <c r="AD9" s="29"/>
      <c r="AE9" s="29"/>
      <c r="AF9" s="29"/>
      <c r="AG9" s="29"/>
      <c r="AH9" s="28" t="s">
        <v>269</v>
      </c>
      <c r="AJ9" s="28" t="s">
        <v>350</v>
      </c>
      <c r="AK9" s="28" t="s">
        <v>350</v>
      </c>
      <c r="AL9" s="28" t="s">
        <v>350</v>
      </c>
    </row>
    <row r="10" spans="1:38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8">
      <c r="A11" s="26" t="s">
        <v>123</v>
      </c>
      <c r="B11" s="29" t="s">
        <v>124</v>
      </c>
      <c r="C11" s="29" t="s">
        <v>215</v>
      </c>
      <c r="D11" s="29" t="s">
        <v>215</v>
      </c>
      <c r="E11" s="29" t="s">
        <v>124</v>
      </c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8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  <c r="AJ11" s="28" t="s">
        <v>124</v>
      </c>
      <c r="AK11" s="28" t="s">
        <v>124</v>
      </c>
      <c r="AL11" s="28" t="s">
        <v>124</v>
      </c>
    </row>
    <row r="12" spans="1:38">
      <c r="A12" s="26" t="s">
        <v>125</v>
      </c>
      <c r="B12" s="29" t="s">
        <v>124</v>
      </c>
      <c r="C12" s="28" t="s">
        <v>124</v>
      </c>
      <c r="D12" s="28" t="s">
        <v>124</v>
      </c>
      <c r="E12" s="28" t="s">
        <v>124</v>
      </c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80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  <c r="AJ12" s="28" t="s">
        <v>124</v>
      </c>
      <c r="AK12" s="28" t="s">
        <v>124</v>
      </c>
      <c r="AL12" s="28" t="s">
        <v>124</v>
      </c>
    </row>
    <row r="13" spans="1:38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80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28" t="s">
        <v>127</v>
      </c>
      <c r="AK13" s="28" t="s">
        <v>127</v>
      </c>
      <c r="AL13" s="28" t="s">
        <v>127</v>
      </c>
    </row>
    <row r="14" spans="1:38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80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  <c r="AL14" s="28" t="s">
        <v>127</v>
      </c>
    </row>
    <row r="15" spans="1:38">
      <c r="A15" s="26" t="s">
        <v>129</v>
      </c>
      <c r="B15" s="103" t="s">
        <v>482</v>
      </c>
      <c r="C15" s="28" t="s">
        <v>150</v>
      </c>
      <c r="D15" s="28" t="s">
        <v>150</v>
      </c>
      <c r="E15" s="28" t="s">
        <v>150</v>
      </c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80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150</v>
      </c>
      <c r="AJ15" s="28" t="s">
        <v>352</v>
      </c>
      <c r="AK15" s="28" t="s">
        <v>352</v>
      </c>
      <c r="AL15" s="28" t="s">
        <v>352</v>
      </c>
    </row>
    <row r="16" spans="1:38">
      <c r="A16" s="26" t="s">
        <v>130</v>
      </c>
      <c r="B16" s="30">
        <f>AVERAGE(0,3)</f>
        <v>1.5</v>
      </c>
      <c r="C16" s="30">
        <v>-2</v>
      </c>
      <c r="D16" s="30">
        <v>-2</v>
      </c>
      <c r="E16" s="30">
        <v>-2</v>
      </c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f>AVERAGE(2.5,3)</f>
        <v>2.75</v>
      </c>
      <c r="M16" s="30">
        <f>AVERAGE(2.5,3)</f>
        <v>2.75</v>
      </c>
      <c r="N16" s="30"/>
      <c r="O16" s="30"/>
      <c r="P16" s="8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-2</v>
      </c>
      <c r="AJ16" s="30">
        <v>0</v>
      </c>
      <c r="AK16" s="30">
        <v>0</v>
      </c>
      <c r="AL16" s="30">
        <v>0</v>
      </c>
    </row>
    <row r="17" spans="1:38">
      <c r="A17" s="26" t="s">
        <v>131</v>
      </c>
      <c r="B17" s="28" t="s">
        <v>484</v>
      </c>
      <c r="C17" s="103" t="s">
        <v>483</v>
      </c>
      <c r="D17" s="103" t="s">
        <v>483</v>
      </c>
      <c r="E17" s="28" t="s">
        <v>280</v>
      </c>
      <c r="F17" s="28"/>
      <c r="G17" s="28" t="s">
        <v>280</v>
      </c>
      <c r="H17" s="28" t="s">
        <v>280</v>
      </c>
      <c r="I17" s="28" t="s">
        <v>280</v>
      </c>
      <c r="J17" s="28"/>
      <c r="K17" s="28" t="s">
        <v>850</v>
      </c>
      <c r="L17" s="28" t="s">
        <v>850</v>
      </c>
      <c r="M17" s="28" t="s">
        <v>180</v>
      </c>
      <c r="N17" s="28"/>
      <c r="O17" s="28"/>
      <c r="P17" s="80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280</v>
      </c>
      <c r="AJ17" s="28" t="s">
        <v>280</v>
      </c>
      <c r="AK17" s="28" t="s">
        <v>280</v>
      </c>
      <c r="AL17" s="28" t="s">
        <v>280</v>
      </c>
    </row>
    <row r="18" spans="1:38">
      <c r="A18" s="26" t="s">
        <v>133</v>
      </c>
      <c r="B18" s="30">
        <f>AVERAGE(0.5,2)</f>
        <v>1.25</v>
      </c>
      <c r="C18" s="30">
        <f>AVERAGE(0.5,0)</f>
        <v>0.25</v>
      </c>
      <c r="D18" s="30">
        <f>AVERAGE(0.5,0)</f>
        <v>0.25</v>
      </c>
      <c r="E18" s="30">
        <v>0.5</v>
      </c>
      <c r="F18" s="30"/>
      <c r="G18" s="30">
        <v>0.5</v>
      </c>
      <c r="H18" s="30">
        <v>0.5</v>
      </c>
      <c r="I18" s="30">
        <v>0.5</v>
      </c>
      <c r="J18" s="30"/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8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0.5</v>
      </c>
      <c r="AJ18" s="30">
        <v>0.5</v>
      </c>
      <c r="AK18" s="30">
        <v>0.5</v>
      </c>
      <c r="AL18" s="30">
        <v>0.5</v>
      </c>
    </row>
    <row r="20" spans="1:38">
      <c r="A20" s="26" t="s">
        <v>117</v>
      </c>
      <c r="B20" s="28" t="s">
        <v>1055</v>
      </c>
      <c r="C20" s="28" t="s">
        <v>1065</v>
      </c>
      <c r="D20" s="28" t="s">
        <v>349</v>
      </c>
      <c r="E20" s="28"/>
      <c r="F20" s="28"/>
      <c r="G20" s="28" t="s">
        <v>502</v>
      </c>
      <c r="H20" s="28" t="s">
        <v>502</v>
      </c>
      <c r="I20" s="28" t="s">
        <v>502</v>
      </c>
      <c r="J20" s="28"/>
      <c r="K20" s="28" t="s">
        <v>502</v>
      </c>
      <c r="L20" s="28" t="s">
        <v>502</v>
      </c>
      <c r="M20" s="28" t="s">
        <v>502</v>
      </c>
      <c r="N20" s="28"/>
      <c r="O20" s="28"/>
      <c r="P20" s="28" t="s">
        <v>1066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502</v>
      </c>
      <c r="AB20" s="28"/>
      <c r="AC20" s="28"/>
      <c r="AD20" s="28"/>
      <c r="AE20" s="28"/>
      <c r="AF20" s="28"/>
      <c r="AG20" s="28"/>
      <c r="AH20" s="28" t="s">
        <v>119</v>
      </c>
      <c r="AJ20" s="28" t="s">
        <v>269</v>
      </c>
      <c r="AK20" s="28" t="s">
        <v>269</v>
      </c>
      <c r="AL20" s="28" t="s">
        <v>269</v>
      </c>
    </row>
    <row r="21" spans="1:38">
      <c r="A21" s="26" t="s">
        <v>121</v>
      </c>
      <c r="B21" s="28" t="s">
        <v>269</v>
      </c>
      <c r="C21" s="28" t="s">
        <v>349</v>
      </c>
      <c r="D21" s="28" t="s">
        <v>349</v>
      </c>
      <c r="E21" s="29" t="s">
        <v>845</v>
      </c>
      <c r="F21" s="29"/>
      <c r="G21" s="28" t="s">
        <v>269</v>
      </c>
      <c r="H21" s="28" t="s">
        <v>269</v>
      </c>
      <c r="I21" s="28" t="s">
        <v>269</v>
      </c>
      <c r="J21" s="29"/>
      <c r="K21" s="28" t="s">
        <v>1056</v>
      </c>
      <c r="L21" s="28" t="s">
        <v>1056</v>
      </c>
      <c r="M21" s="28" t="s">
        <v>1056</v>
      </c>
      <c r="N21" s="29"/>
      <c r="O21" s="29"/>
      <c r="P21" s="28" t="s">
        <v>271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8" t="s">
        <v>269</v>
      </c>
      <c r="AB21" s="29"/>
      <c r="AC21" s="29"/>
      <c r="AD21" s="29"/>
      <c r="AE21" s="29"/>
      <c r="AF21" s="29"/>
      <c r="AG21" s="29"/>
      <c r="AH21" s="28" t="s">
        <v>119</v>
      </c>
      <c r="AJ21" s="29" t="s">
        <v>271</v>
      </c>
      <c r="AK21" s="29" t="s">
        <v>178</v>
      </c>
      <c r="AL21" s="29" t="s">
        <v>271</v>
      </c>
    </row>
    <row r="22" spans="1:38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8">
      <c r="A23" s="26" t="s">
        <v>123</v>
      </c>
      <c r="B23" s="28" t="s">
        <v>124</v>
      </c>
      <c r="C23" s="28" t="s">
        <v>124</v>
      </c>
      <c r="D23" s="28" t="s">
        <v>124</v>
      </c>
      <c r="E23" s="28"/>
      <c r="F23" s="28"/>
      <c r="G23" s="28" t="s">
        <v>124</v>
      </c>
      <c r="H23" s="28" t="s">
        <v>124</v>
      </c>
      <c r="I23" s="28" t="s">
        <v>124</v>
      </c>
      <c r="J23" s="28"/>
      <c r="K23" s="28" t="s">
        <v>235</v>
      </c>
      <c r="L23" s="28" t="s">
        <v>235</v>
      </c>
      <c r="M23" s="28" t="s">
        <v>235</v>
      </c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124</v>
      </c>
      <c r="AB23" s="28"/>
      <c r="AC23" s="29"/>
      <c r="AD23" s="28"/>
      <c r="AE23" s="29"/>
      <c r="AF23" s="28"/>
      <c r="AG23" s="28"/>
      <c r="AH23" s="28" t="s">
        <v>124</v>
      </c>
      <c r="AJ23" s="28" t="s">
        <v>124</v>
      </c>
      <c r="AK23" s="28" t="s">
        <v>124</v>
      </c>
      <c r="AL23" s="28" t="s">
        <v>124</v>
      </c>
    </row>
    <row r="24" spans="1:38">
      <c r="A24" s="26" t="s">
        <v>125</v>
      </c>
      <c r="B24" s="28" t="s">
        <v>124</v>
      </c>
      <c r="C24" s="28" t="s">
        <v>124</v>
      </c>
      <c r="D24" s="28" t="s">
        <v>124</v>
      </c>
      <c r="E24" s="28"/>
      <c r="F24" s="28"/>
      <c r="G24" s="28" t="s">
        <v>124</v>
      </c>
      <c r="H24" s="28" t="s">
        <v>124</v>
      </c>
      <c r="I24" s="28" t="s">
        <v>124</v>
      </c>
      <c r="J24" s="28"/>
      <c r="K24" s="28" t="s">
        <v>124</v>
      </c>
      <c r="L24" s="28" t="s">
        <v>124</v>
      </c>
      <c r="M24" s="28" t="s">
        <v>124</v>
      </c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124</v>
      </c>
      <c r="AB24" s="28"/>
      <c r="AC24" s="28"/>
      <c r="AD24" s="28"/>
      <c r="AE24" s="28"/>
      <c r="AF24" s="28"/>
      <c r="AG24" s="28"/>
      <c r="AH24" s="28" t="s">
        <v>124</v>
      </c>
      <c r="AJ24" s="28" t="s">
        <v>124</v>
      </c>
      <c r="AK24" s="28" t="s">
        <v>124</v>
      </c>
      <c r="AL24" s="28" t="s">
        <v>124</v>
      </c>
    </row>
    <row r="25" spans="1:38">
      <c r="A25" s="26" t="s">
        <v>126</v>
      </c>
      <c r="B25" s="28" t="s">
        <v>127</v>
      </c>
      <c r="C25" s="28" t="s">
        <v>127</v>
      </c>
      <c r="D25" s="28" t="s">
        <v>127</v>
      </c>
      <c r="E25" s="28"/>
      <c r="F25" s="28"/>
      <c r="G25" s="28" t="s">
        <v>127</v>
      </c>
      <c r="H25" s="28" t="s">
        <v>127</v>
      </c>
      <c r="I25" s="28" t="s">
        <v>127</v>
      </c>
      <c r="J25" s="28"/>
      <c r="K25" s="28" t="s">
        <v>127</v>
      </c>
      <c r="L25" s="28" t="s">
        <v>127</v>
      </c>
      <c r="M25" s="28" t="s">
        <v>127</v>
      </c>
      <c r="N25" s="28"/>
      <c r="O25" s="28"/>
      <c r="P25" s="28" t="s">
        <v>124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127</v>
      </c>
      <c r="AB25" s="28"/>
      <c r="AC25" s="28"/>
      <c r="AD25" s="28"/>
      <c r="AE25" s="28"/>
      <c r="AF25" s="28"/>
      <c r="AG25" s="28"/>
      <c r="AH25" s="28" t="s">
        <v>127</v>
      </c>
      <c r="AJ25" s="28" t="s">
        <v>124</v>
      </c>
      <c r="AK25" s="28" t="s">
        <v>124</v>
      </c>
      <c r="AL25" s="28" t="s">
        <v>124</v>
      </c>
    </row>
    <row r="26" spans="1:38">
      <c r="A26" s="26" t="s">
        <v>128</v>
      </c>
      <c r="B26" s="28" t="s">
        <v>127</v>
      </c>
      <c r="C26" s="28" t="s">
        <v>127</v>
      </c>
      <c r="D26" s="28" t="s">
        <v>127</v>
      </c>
      <c r="E26" s="28"/>
      <c r="F26" s="28"/>
      <c r="G26" s="28" t="s">
        <v>127</v>
      </c>
      <c r="H26" s="28" t="s">
        <v>127</v>
      </c>
      <c r="I26" s="28" t="s">
        <v>127</v>
      </c>
      <c r="J26" s="28"/>
      <c r="K26" s="28" t="s">
        <v>127</v>
      </c>
      <c r="L26" s="28" t="s">
        <v>127</v>
      </c>
      <c r="M26" s="28" t="s">
        <v>127</v>
      </c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127</v>
      </c>
      <c r="AB26" s="28"/>
      <c r="AC26" s="28"/>
      <c r="AD26" s="28"/>
      <c r="AE26" s="28"/>
      <c r="AF26" s="28"/>
      <c r="AG26" s="28"/>
      <c r="AH26" s="28" t="s">
        <v>127</v>
      </c>
      <c r="AJ26" s="28" t="s">
        <v>127</v>
      </c>
      <c r="AK26" s="28" t="s">
        <v>127</v>
      </c>
      <c r="AL26" s="28" t="s">
        <v>127</v>
      </c>
    </row>
    <row r="27" spans="1:38">
      <c r="A27" s="26" t="s">
        <v>129</v>
      </c>
      <c r="B27" s="28" t="s">
        <v>150</v>
      </c>
      <c r="C27" s="28" t="s">
        <v>118</v>
      </c>
      <c r="D27" s="28" t="s">
        <v>118</v>
      </c>
      <c r="E27" s="28"/>
      <c r="F27" s="28"/>
      <c r="G27" s="28" t="s">
        <v>150</v>
      </c>
      <c r="H27" s="28" t="s">
        <v>150</v>
      </c>
      <c r="I27" s="28" t="s">
        <v>150</v>
      </c>
      <c r="J27" s="28"/>
      <c r="K27" s="28" t="s">
        <v>150</v>
      </c>
      <c r="L27" s="28" t="s">
        <v>150</v>
      </c>
      <c r="M27" s="28" t="s">
        <v>150</v>
      </c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150</v>
      </c>
      <c r="AB27" s="28"/>
      <c r="AC27" s="28"/>
      <c r="AD27" s="28"/>
      <c r="AE27" s="28"/>
      <c r="AF27" s="28"/>
      <c r="AG27" s="28"/>
      <c r="AH27" s="28" t="s">
        <v>118</v>
      </c>
      <c r="AJ27" s="28" t="s">
        <v>150</v>
      </c>
      <c r="AK27" s="28" t="s">
        <v>150</v>
      </c>
      <c r="AL27" s="28" t="s">
        <v>150</v>
      </c>
    </row>
    <row r="28" spans="1:38">
      <c r="A28" s="26" t="s">
        <v>130</v>
      </c>
      <c r="B28" s="30">
        <v>-2</v>
      </c>
      <c r="C28" s="30">
        <f>AVERAGE(2.5,3)</f>
        <v>2.75</v>
      </c>
      <c r="D28" s="30">
        <v>2.5</v>
      </c>
      <c r="E28" s="30"/>
      <c r="F28" s="30"/>
      <c r="G28" s="30">
        <v>-2</v>
      </c>
      <c r="H28" s="30">
        <v>-2</v>
      </c>
      <c r="I28" s="30">
        <v>-2</v>
      </c>
      <c r="J28" s="30"/>
      <c r="K28" s="30">
        <v>-2</v>
      </c>
      <c r="L28" s="30">
        <v>-2</v>
      </c>
      <c r="M28" s="30">
        <v>-2</v>
      </c>
      <c r="N28" s="30"/>
      <c r="O28" s="30"/>
      <c r="P28" s="30">
        <v>-0.5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3</v>
      </c>
      <c r="AJ28" s="30">
        <v>-0.5</v>
      </c>
      <c r="AK28" s="30">
        <v>-0.5</v>
      </c>
      <c r="AL28" s="30">
        <v>-0.5</v>
      </c>
    </row>
    <row r="29" spans="1:38">
      <c r="A29" s="26" t="s">
        <v>131</v>
      </c>
      <c r="B29" s="28" t="s">
        <v>280</v>
      </c>
      <c r="C29" s="28" t="s">
        <v>180</v>
      </c>
      <c r="D29" s="28" t="s">
        <v>180</v>
      </c>
      <c r="E29" s="28"/>
      <c r="F29" s="28"/>
      <c r="G29" s="28" t="s">
        <v>280</v>
      </c>
      <c r="H29" s="28" t="s">
        <v>280</v>
      </c>
      <c r="I29" s="28" t="s">
        <v>280</v>
      </c>
      <c r="J29" s="28"/>
      <c r="K29" s="103" t="s">
        <v>935</v>
      </c>
      <c r="L29" s="103" t="s">
        <v>935</v>
      </c>
      <c r="M29" s="103" t="s">
        <v>935</v>
      </c>
      <c r="N29" s="28"/>
      <c r="O29" s="28"/>
      <c r="P29" s="28" t="s">
        <v>180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 t="s">
        <v>280</v>
      </c>
      <c r="AB29" s="28"/>
      <c r="AC29" s="28"/>
      <c r="AD29" s="28"/>
      <c r="AE29" s="28"/>
      <c r="AF29" s="28"/>
      <c r="AG29" s="28"/>
      <c r="AH29" s="28" t="s">
        <v>132</v>
      </c>
      <c r="AJ29" s="28" t="s">
        <v>180</v>
      </c>
      <c r="AK29" s="28" t="s">
        <v>151</v>
      </c>
      <c r="AL29" s="28" t="s">
        <v>180</v>
      </c>
    </row>
    <row r="30" spans="1:38">
      <c r="A30" s="26" t="s">
        <v>133</v>
      </c>
      <c r="B30" s="30">
        <v>0.5</v>
      </c>
      <c r="C30" s="30">
        <v>2</v>
      </c>
      <c r="D30" s="30">
        <v>2</v>
      </c>
      <c r="E30" s="30"/>
      <c r="F30" s="30"/>
      <c r="G30" s="30">
        <v>0.5</v>
      </c>
      <c r="H30" s="30">
        <v>0.5</v>
      </c>
      <c r="I30" s="30">
        <v>0.5</v>
      </c>
      <c r="J30" s="30"/>
      <c r="K30" s="30">
        <f>AVERAGE(0,0.5)</f>
        <v>0.25</v>
      </c>
      <c r="L30" s="30">
        <f>AVERAGE(0,0.5)</f>
        <v>0.25</v>
      </c>
      <c r="M30" s="30">
        <f>AVERAGE(0,0.5)</f>
        <v>0.25</v>
      </c>
      <c r="N30" s="30"/>
      <c r="O30" s="30"/>
      <c r="P30" s="30">
        <v>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>
        <v>0.5</v>
      </c>
      <c r="AB30" s="30"/>
      <c r="AC30" s="30"/>
      <c r="AD30" s="30"/>
      <c r="AE30" s="30"/>
      <c r="AF30" s="30"/>
      <c r="AG30" s="30"/>
      <c r="AH30" s="30">
        <v>4</v>
      </c>
      <c r="AJ30" s="30">
        <v>2</v>
      </c>
      <c r="AK30" s="30">
        <v>3</v>
      </c>
      <c r="AL30" s="30">
        <v>2</v>
      </c>
    </row>
    <row r="31" spans="1:38">
      <c r="K31" s="217" t="s">
        <v>1133</v>
      </c>
      <c r="L31" s="217"/>
      <c r="M31" s="217"/>
      <c r="AJ31" s="217" t="s">
        <v>1134</v>
      </c>
      <c r="AK31" s="217"/>
      <c r="AL31" s="217"/>
    </row>
    <row r="32" spans="1:38">
      <c r="A32" s="31" t="s">
        <v>134</v>
      </c>
    </row>
    <row r="33" spans="1:13">
      <c r="A33" s="26" t="s">
        <v>1135</v>
      </c>
      <c r="B33" s="56"/>
      <c r="C33" s="77"/>
      <c r="H33" s="77"/>
      <c r="M33" s="77"/>
    </row>
    <row r="34" spans="1:13" ht="39" customHeight="1">
      <c r="A34" s="242" t="s">
        <v>1136</v>
      </c>
      <c r="B34" s="242"/>
      <c r="C34" s="242"/>
      <c r="D34" s="242"/>
      <c r="E34" s="242"/>
      <c r="F34" s="242"/>
      <c r="G34" s="242"/>
    </row>
    <row r="35" spans="1:13">
      <c r="A35" s="26" t="s">
        <v>1137</v>
      </c>
      <c r="B35" s="56"/>
    </row>
  </sheetData>
  <mergeCells count="8">
    <mergeCell ref="A34:G34"/>
    <mergeCell ref="K31:M31"/>
    <mergeCell ref="AJ31:AL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6513-3D0F-43A0-8CA0-210C3E0111BD}">
  <dimension ref="A1:AH34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83.5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1138</v>
      </c>
      <c r="C4" s="203"/>
      <c r="D4" s="203"/>
      <c r="F4" s="204" t="s">
        <v>1139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180</v>
      </c>
      <c r="C8" s="28" t="s">
        <v>502</v>
      </c>
      <c r="D8" s="28" t="s">
        <v>502</v>
      </c>
      <c r="E8" s="28" t="s">
        <v>331</v>
      </c>
      <c r="F8" s="28"/>
      <c r="G8" s="28" t="s">
        <v>331</v>
      </c>
      <c r="H8" s="28" t="s">
        <v>331</v>
      </c>
      <c r="I8" s="28" t="s">
        <v>331</v>
      </c>
      <c r="J8" s="28"/>
      <c r="K8" s="28" t="s">
        <v>331</v>
      </c>
      <c r="L8" s="28" t="s">
        <v>331</v>
      </c>
      <c r="M8" s="28" t="s">
        <v>331</v>
      </c>
      <c r="N8" s="28"/>
      <c r="O8" s="28"/>
      <c r="P8" s="28" t="s">
        <v>287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1140</v>
      </c>
      <c r="AB8" s="28"/>
      <c r="AC8" s="28"/>
      <c r="AD8" s="28"/>
      <c r="AE8" s="28"/>
      <c r="AF8" s="28"/>
      <c r="AG8" s="28"/>
      <c r="AH8" s="28" t="s">
        <v>502</v>
      </c>
    </row>
    <row r="9" spans="1:34">
      <c r="A9" s="26" t="s">
        <v>121</v>
      </c>
      <c r="B9" s="29" t="s">
        <v>333</v>
      </c>
      <c r="C9" s="28" t="s">
        <v>269</v>
      </c>
      <c r="D9" s="28" t="s">
        <v>269</v>
      </c>
      <c r="E9" s="29" t="s">
        <v>331</v>
      </c>
      <c r="F9" s="29"/>
      <c r="G9" s="29" t="s">
        <v>331</v>
      </c>
      <c r="H9" s="29" t="s">
        <v>331</v>
      </c>
      <c r="I9" s="29" t="s">
        <v>331</v>
      </c>
      <c r="J9" s="29"/>
      <c r="K9" s="29" t="s">
        <v>331</v>
      </c>
      <c r="L9" s="29" t="s">
        <v>331</v>
      </c>
      <c r="M9" s="29" t="s">
        <v>331</v>
      </c>
      <c r="N9" s="29"/>
      <c r="O9" s="29"/>
      <c r="P9" s="28" t="s">
        <v>287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 t="s">
        <v>1140</v>
      </c>
      <c r="AB9" s="29"/>
      <c r="AC9" s="29"/>
      <c r="AD9" s="29"/>
      <c r="AE9" s="29"/>
      <c r="AF9" s="29"/>
      <c r="AG9" s="29"/>
      <c r="AH9" s="28" t="s">
        <v>269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9" t="s">
        <v>124</v>
      </c>
      <c r="D11" s="29" t="s">
        <v>124</v>
      </c>
      <c r="E11" s="29" t="s">
        <v>124</v>
      </c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8" t="s">
        <v>127</v>
      </c>
      <c r="C12" s="28" t="s">
        <v>124</v>
      </c>
      <c r="D12" s="28" t="s">
        <v>124</v>
      </c>
      <c r="E12" s="28" t="s">
        <v>127</v>
      </c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118</v>
      </c>
      <c r="C15" s="28" t="s">
        <v>150</v>
      </c>
      <c r="D15" s="28" t="s">
        <v>150</v>
      </c>
      <c r="E15" s="28" t="s">
        <v>118</v>
      </c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150</v>
      </c>
    </row>
    <row r="16" spans="1:34">
      <c r="A16" s="26" t="s">
        <v>130</v>
      </c>
      <c r="B16" s="30">
        <v>2.75</v>
      </c>
      <c r="C16" s="30">
        <v>-2</v>
      </c>
      <c r="D16" s="30">
        <v>-2</v>
      </c>
      <c r="E16" s="30">
        <v>2.5</v>
      </c>
      <c r="F16" s="30"/>
      <c r="G16" s="30">
        <v>2.5</v>
      </c>
      <c r="H16" s="30">
        <v>2.5</v>
      </c>
      <c r="I16" s="30">
        <v>2.5</v>
      </c>
      <c r="J16" s="30"/>
      <c r="K16" s="30">
        <v>2.5</v>
      </c>
      <c r="L16" s="30">
        <v>2.5</v>
      </c>
      <c r="M16" s="30">
        <v>2.5</v>
      </c>
      <c r="N16" s="30"/>
      <c r="O16" s="30"/>
      <c r="P16" s="30">
        <v>-2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v>-2</v>
      </c>
    </row>
    <row r="17" spans="1:34">
      <c r="A17" s="26" t="s">
        <v>131</v>
      </c>
      <c r="B17" s="28" t="s">
        <v>180</v>
      </c>
      <c r="C17" s="28" t="s">
        <v>280</v>
      </c>
      <c r="D17" s="28" t="s">
        <v>280</v>
      </c>
      <c r="E17" s="28" t="s">
        <v>180</v>
      </c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9" t="s">
        <v>287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1141</v>
      </c>
      <c r="AB17" s="28"/>
      <c r="AC17" s="28"/>
      <c r="AD17" s="28"/>
      <c r="AE17" s="28"/>
      <c r="AF17" s="28"/>
      <c r="AG17" s="28"/>
      <c r="AH17" s="28" t="s">
        <v>280</v>
      </c>
    </row>
    <row r="18" spans="1:34">
      <c r="A18" s="26" t="s">
        <v>133</v>
      </c>
      <c r="B18" s="30">
        <v>2</v>
      </c>
      <c r="C18" s="30">
        <v>0.5</v>
      </c>
      <c r="D18" s="30">
        <v>0.5</v>
      </c>
      <c r="E18" s="30">
        <v>2</v>
      </c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/>
      <c r="AC18" s="30"/>
      <c r="AD18" s="30"/>
      <c r="AE18" s="30"/>
      <c r="AF18" s="30"/>
      <c r="AG18" s="30"/>
      <c r="AH18" s="30">
        <v>0.5</v>
      </c>
    </row>
    <row r="20" spans="1:34">
      <c r="A20" s="26" t="s">
        <v>117</v>
      </c>
      <c r="B20" s="28" t="s">
        <v>1055</v>
      </c>
      <c r="C20" s="28" t="s">
        <v>331</v>
      </c>
      <c r="D20" s="28" t="s">
        <v>331</v>
      </c>
      <c r="E20" s="28" t="s">
        <v>502</v>
      </c>
      <c r="F20" s="28"/>
      <c r="G20" s="28" t="s">
        <v>502</v>
      </c>
      <c r="H20" s="28" t="s">
        <v>502</v>
      </c>
      <c r="I20" s="28" t="s">
        <v>502</v>
      </c>
      <c r="J20" s="28"/>
      <c r="K20" s="28" t="s">
        <v>502</v>
      </c>
      <c r="L20" s="28" t="s">
        <v>502</v>
      </c>
      <c r="M20" s="28" t="s">
        <v>502</v>
      </c>
      <c r="N20" s="28"/>
      <c r="O20" s="28"/>
      <c r="P20" s="28" t="s">
        <v>331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502</v>
      </c>
      <c r="AB20" s="28"/>
      <c r="AC20" s="28"/>
      <c r="AD20" s="28"/>
      <c r="AE20" s="28"/>
      <c r="AF20" s="28"/>
      <c r="AG20" s="28"/>
      <c r="AH20" s="28" t="s">
        <v>331</v>
      </c>
    </row>
    <row r="21" spans="1:34">
      <c r="A21" s="26" t="s">
        <v>121</v>
      </c>
      <c r="B21" s="28" t="s">
        <v>269</v>
      </c>
      <c r="C21" s="29" t="s">
        <v>331</v>
      </c>
      <c r="D21" s="29" t="s">
        <v>331</v>
      </c>
      <c r="E21" s="28" t="s">
        <v>269</v>
      </c>
      <c r="F21" s="29"/>
      <c r="G21" s="28" t="s">
        <v>269</v>
      </c>
      <c r="H21" s="28" t="s">
        <v>269</v>
      </c>
      <c r="I21" s="28" t="s">
        <v>269</v>
      </c>
      <c r="J21" s="29"/>
      <c r="K21" s="28" t="s">
        <v>1056</v>
      </c>
      <c r="L21" s="28" t="s">
        <v>1056</v>
      </c>
      <c r="M21" s="28" t="s">
        <v>1056</v>
      </c>
      <c r="N21" s="29"/>
      <c r="O21" s="29"/>
      <c r="P21" s="29" t="s">
        <v>331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8" t="s">
        <v>269</v>
      </c>
      <c r="AB21" s="29"/>
      <c r="AC21" s="29"/>
      <c r="AD21" s="29"/>
      <c r="AE21" s="29"/>
      <c r="AF21" s="29"/>
      <c r="AG21" s="29"/>
      <c r="AH21" s="29" t="s">
        <v>331</v>
      </c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29" t="s">
        <v>124</v>
      </c>
      <c r="D23" s="29" t="s">
        <v>124</v>
      </c>
      <c r="E23" s="29" t="s">
        <v>124</v>
      </c>
      <c r="F23" s="28"/>
      <c r="G23" s="29" t="s">
        <v>124</v>
      </c>
      <c r="H23" s="29" t="s">
        <v>124</v>
      </c>
      <c r="I23" s="29" t="s">
        <v>124</v>
      </c>
      <c r="J23" s="28"/>
      <c r="K23" s="28" t="s">
        <v>235</v>
      </c>
      <c r="L23" s="28" t="s">
        <v>235</v>
      </c>
      <c r="M23" s="28" t="s">
        <v>235</v>
      </c>
      <c r="N23" s="28"/>
      <c r="O23" s="28"/>
      <c r="P23" s="29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 t="s">
        <v>124</v>
      </c>
      <c r="AB23" s="28"/>
      <c r="AC23" s="29"/>
      <c r="AD23" s="28"/>
      <c r="AE23" s="29"/>
      <c r="AF23" s="28"/>
      <c r="AG23" s="28"/>
      <c r="AH23" s="29" t="s">
        <v>124</v>
      </c>
    </row>
    <row r="24" spans="1:34">
      <c r="A24" s="26" t="s">
        <v>125</v>
      </c>
      <c r="B24" s="28" t="s">
        <v>124</v>
      </c>
      <c r="C24" s="28" t="s">
        <v>127</v>
      </c>
      <c r="D24" s="28" t="s">
        <v>127</v>
      </c>
      <c r="E24" s="28" t="s">
        <v>124</v>
      </c>
      <c r="F24" s="28"/>
      <c r="G24" s="28" t="s">
        <v>124</v>
      </c>
      <c r="H24" s="28" t="s">
        <v>124</v>
      </c>
      <c r="I24" s="28" t="s">
        <v>124</v>
      </c>
      <c r="J24" s="28"/>
      <c r="K24" s="28" t="s">
        <v>124</v>
      </c>
      <c r="L24" s="28" t="s">
        <v>124</v>
      </c>
      <c r="M24" s="28" t="s">
        <v>124</v>
      </c>
      <c r="N24" s="28"/>
      <c r="O24" s="28"/>
      <c r="P24" s="28" t="s">
        <v>127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124</v>
      </c>
      <c r="AB24" s="28"/>
      <c r="AC24" s="28"/>
      <c r="AD24" s="28"/>
      <c r="AE24" s="28"/>
      <c r="AF24" s="28"/>
      <c r="AG24" s="28"/>
      <c r="AH24" s="28" t="s">
        <v>127</v>
      </c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 t="s">
        <v>127</v>
      </c>
      <c r="F25" s="28"/>
      <c r="G25" s="28" t="s">
        <v>127</v>
      </c>
      <c r="H25" s="28" t="s">
        <v>127</v>
      </c>
      <c r="I25" s="28" t="s">
        <v>127</v>
      </c>
      <c r="J25" s="28"/>
      <c r="K25" s="28" t="s">
        <v>127</v>
      </c>
      <c r="L25" s="28" t="s">
        <v>127</v>
      </c>
      <c r="M25" s="28" t="s">
        <v>127</v>
      </c>
      <c r="N25" s="28"/>
      <c r="O25" s="28"/>
      <c r="P25" s="28" t="s">
        <v>127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127</v>
      </c>
      <c r="AB25" s="28"/>
      <c r="AC25" s="28"/>
      <c r="AD25" s="28"/>
      <c r="AE25" s="28"/>
      <c r="AF25" s="28"/>
      <c r="AG25" s="28"/>
      <c r="AH25" s="28" t="s">
        <v>127</v>
      </c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 t="s">
        <v>127</v>
      </c>
      <c r="F26" s="28"/>
      <c r="G26" s="28" t="s">
        <v>127</v>
      </c>
      <c r="H26" s="28" t="s">
        <v>127</v>
      </c>
      <c r="I26" s="28" t="s">
        <v>127</v>
      </c>
      <c r="J26" s="28"/>
      <c r="K26" s="28" t="s">
        <v>127</v>
      </c>
      <c r="L26" s="28" t="s">
        <v>127</v>
      </c>
      <c r="M26" s="28" t="s">
        <v>127</v>
      </c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127</v>
      </c>
      <c r="AB26" s="28"/>
      <c r="AC26" s="28"/>
      <c r="AD26" s="28"/>
      <c r="AE26" s="28"/>
      <c r="AF26" s="28"/>
      <c r="AG26" s="28"/>
      <c r="AH26" s="28" t="s">
        <v>127</v>
      </c>
    </row>
    <row r="27" spans="1:34">
      <c r="A27" s="26" t="s">
        <v>129</v>
      </c>
      <c r="B27" s="28" t="s">
        <v>150</v>
      </c>
      <c r="C27" s="28" t="s">
        <v>118</v>
      </c>
      <c r="D27" s="28" t="s">
        <v>118</v>
      </c>
      <c r="E27" s="28" t="s">
        <v>150</v>
      </c>
      <c r="F27" s="28"/>
      <c r="G27" s="28" t="s">
        <v>150</v>
      </c>
      <c r="H27" s="28" t="s">
        <v>150</v>
      </c>
      <c r="I27" s="28" t="s">
        <v>150</v>
      </c>
      <c r="J27" s="28"/>
      <c r="K27" s="28" t="s">
        <v>150</v>
      </c>
      <c r="L27" s="28" t="s">
        <v>150</v>
      </c>
      <c r="M27" s="28" t="s">
        <v>150</v>
      </c>
      <c r="N27" s="28"/>
      <c r="O27" s="28"/>
      <c r="P27" s="28" t="s">
        <v>118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150</v>
      </c>
      <c r="AB27" s="28"/>
      <c r="AC27" s="28"/>
      <c r="AD27" s="28"/>
      <c r="AE27" s="28"/>
      <c r="AF27" s="28"/>
      <c r="AG27" s="28"/>
      <c r="AH27" s="28" t="s">
        <v>118</v>
      </c>
    </row>
    <row r="28" spans="1:34">
      <c r="A28" s="26" t="s">
        <v>130</v>
      </c>
      <c r="B28" s="30">
        <v>-2</v>
      </c>
      <c r="C28" s="30">
        <v>2.5</v>
      </c>
      <c r="D28" s="30">
        <v>2.5</v>
      </c>
      <c r="E28" s="30">
        <v>-2</v>
      </c>
      <c r="F28" s="30"/>
      <c r="G28" s="30">
        <v>-2</v>
      </c>
      <c r="H28" s="30">
        <v>-2</v>
      </c>
      <c r="I28" s="30">
        <v>-2</v>
      </c>
      <c r="J28" s="30"/>
      <c r="K28" s="30">
        <v>-2</v>
      </c>
      <c r="L28" s="30">
        <v>-2</v>
      </c>
      <c r="M28" s="30">
        <v>-2</v>
      </c>
      <c r="N28" s="30"/>
      <c r="O28" s="30"/>
      <c r="P28" s="30">
        <v>2.5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2.5</v>
      </c>
    </row>
    <row r="29" spans="1:34">
      <c r="A29" s="26" t="s">
        <v>131</v>
      </c>
      <c r="B29" s="28" t="s">
        <v>280</v>
      </c>
      <c r="C29" s="28" t="s">
        <v>180</v>
      </c>
      <c r="D29" s="28" t="s">
        <v>180</v>
      </c>
      <c r="E29" s="28" t="s">
        <v>280</v>
      </c>
      <c r="F29" s="28"/>
      <c r="G29" s="28" t="s">
        <v>280</v>
      </c>
      <c r="H29" s="28" t="s">
        <v>280</v>
      </c>
      <c r="I29" s="28" t="s">
        <v>280</v>
      </c>
      <c r="J29" s="28"/>
      <c r="K29" s="103" t="s">
        <v>935</v>
      </c>
      <c r="L29" s="103" t="s">
        <v>935</v>
      </c>
      <c r="M29" s="103" t="s">
        <v>935</v>
      </c>
      <c r="N29" s="28"/>
      <c r="O29" s="28"/>
      <c r="P29" s="28" t="s">
        <v>180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 t="s">
        <v>280</v>
      </c>
      <c r="AB29" s="28"/>
      <c r="AC29" s="28"/>
      <c r="AD29" s="28"/>
      <c r="AE29" s="28"/>
      <c r="AF29" s="28"/>
      <c r="AG29" s="28"/>
      <c r="AH29" s="28" t="s">
        <v>180</v>
      </c>
    </row>
    <row r="30" spans="1:34">
      <c r="A30" s="26" t="s">
        <v>133</v>
      </c>
      <c r="B30" s="30">
        <v>0.5</v>
      </c>
      <c r="C30" s="30">
        <v>2</v>
      </c>
      <c r="D30" s="30">
        <v>2</v>
      </c>
      <c r="E30" s="30">
        <v>0.5</v>
      </c>
      <c r="F30" s="30"/>
      <c r="G30" s="30">
        <v>0.5</v>
      </c>
      <c r="H30" s="30">
        <v>0.5</v>
      </c>
      <c r="I30" s="30">
        <v>0.5</v>
      </c>
      <c r="J30" s="30"/>
      <c r="K30" s="30">
        <f>AVERAGE(0,0.5)</f>
        <v>0.25</v>
      </c>
      <c r="L30" s="30">
        <f>AVERAGE(0,0.5)</f>
        <v>0.25</v>
      </c>
      <c r="M30" s="30">
        <f>AVERAGE(0,0.5)</f>
        <v>0.25</v>
      </c>
      <c r="N30" s="30"/>
      <c r="O30" s="30"/>
      <c r="P30" s="30">
        <v>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>
        <v>0.5</v>
      </c>
      <c r="AB30" s="30"/>
      <c r="AC30" s="30"/>
      <c r="AD30" s="30"/>
      <c r="AE30" s="30"/>
      <c r="AF30" s="30"/>
      <c r="AG30" s="30"/>
      <c r="AH30" s="30">
        <v>2</v>
      </c>
    </row>
    <row r="32" spans="1:34">
      <c r="A32" s="31" t="s">
        <v>134</v>
      </c>
    </row>
    <row r="33" spans="1:13">
      <c r="A33" s="26" t="s">
        <v>1142</v>
      </c>
      <c r="B33" s="56" t="s">
        <v>1143</v>
      </c>
      <c r="C33" s="77"/>
      <c r="H33" s="77"/>
      <c r="M33" s="77"/>
    </row>
    <row r="34" spans="1:13">
      <c r="A34" s="122" t="s">
        <v>1144</v>
      </c>
      <c r="B34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4DCB-74B8-463A-B66E-C816815AE039}">
  <dimension ref="A1:AK35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16" width="5.7109375" style="26" customWidth="1"/>
    <col min="17" max="21" width="5.7109375" style="26" hidden="1" customWidth="1"/>
    <col min="22" max="58" width="5.7109375" style="26" customWidth="1"/>
    <col min="59" max="16384" width="9.140625" style="26"/>
  </cols>
  <sheetData>
    <row r="1" spans="1:37">
      <c r="A1" s="25" t="s">
        <v>74</v>
      </c>
      <c r="D1" s="25" t="s">
        <v>840</v>
      </c>
      <c r="I1" s="25" t="s">
        <v>1047</v>
      </c>
    </row>
    <row r="3" spans="1:37" ht="17.45">
      <c r="A3" s="25" t="s">
        <v>77</v>
      </c>
      <c r="B3" s="203">
        <v>84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7.45">
      <c r="A4" s="25" t="s">
        <v>79</v>
      </c>
      <c r="B4" s="203" t="s">
        <v>1145</v>
      </c>
      <c r="C4" s="203"/>
      <c r="D4" s="203"/>
      <c r="F4" s="204" t="s">
        <v>1146</v>
      </c>
      <c r="G4" s="205"/>
      <c r="H4" s="205"/>
      <c r="I4" s="205"/>
      <c r="J4" s="205"/>
      <c r="K4" s="205"/>
      <c r="L4" s="205"/>
      <c r="M4" s="205"/>
      <c r="N4" s="205"/>
      <c r="O4" s="205"/>
      <c r="P4" s="206"/>
    </row>
    <row r="5" spans="1:37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8"/>
      <c r="P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76" t="s">
        <v>116</v>
      </c>
      <c r="AJ7" s="58" t="s">
        <v>85</v>
      </c>
      <c r="AK7" s="58" t="s">
        <v>86</v>
      </c>
    </row>
    <row r="8" spans="1:37">
      <c r="A8" s="26" t="s">
        <v>117</v>
      </c>
      <c r="B8" s="28" t="s">
        <v>362</v>
      </c>
      <c r="C8" s="28" t="s">
        <v>502</v>
      </c>
      <c r="D8" s="28" t="s">
        <v>502</v>
      </c>
      <c r="E8" s="28"/>
      <c r="F8" s="28"/>
      <c r="G8" s="28" t="s">
        <v>287</v>
      </c>
      <c r="H8" s="28" t="s">
        <v>287</v>
      </c>
      <c r="I8" s="28" t="s">
        <v>287</v>
      </c>
      <c r="J8" s="28"/>
      <c r="K8" s="28" t="s">
        <v>287</v>
      </c>
      <c r="L8" s="28" t="s">
        <v>287</v>
      </c>
      <c r="M8" s="28" t="s">
        <v>287</v>
      </c>
      <c r="N8" s="28"/>
      <c r="O8" s="28"/>
      <c r="P8" s="28" t="s">
        <v>287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1147</v>
      </c>
      <c r="AB8" s="28"/>
      <c r="AC8" s="28" t="s">
        <v>206</v>
      </c>
      <c r="AD8" s="28" t="s">
        <v>206</v>
      </c>
      <c r="AE8" s="28" t="s">
        <v>206</v>
      </c>
      <c r="AF8" s="28"/>
      <c r="AG8" s="28"/>
      <c r="AH8" s="28" t="s">
        <v>363</v>
      </c>
      <c r="AJ8" s="28" t="s">
        <v>287</v>
      </c>
      <c r="AK8" s="28" t="s">
        <v>287</v>
      </c>
    </row>
    <row r="9" spans="1:37">
      <c r="A9" s="26" t="s">
        <v>121</v>
      </c>
      <c r="B9" s="28" t="s">
        <v>210</v>
      </c>
      <c r="C9" s="28" t="s">
        <v>269</v>
      </c>
      <c r="D9" s="28" t="s">
        <v>269</v>
      </c>
      <c r="E9" s="29"/>
      <c r="F9" s="29"/>
      <c r="G9" s="28" t="s">
        <v>287</v>
      </c>
      <c r="H9" s="28" t="s">
        <v>287</v>
      </c>
      <c r="I9" s="28" t="s">
        <v>287</v>
      </c>
      <c r="J9" s="29"/>
      <c r="K9" s="28" t="s">
        <v>287</v>
      </c>
      <c r="L9" s="28" t="s">
        <v>287</v>
      </c>
      <c r="M9" s="28" t="s">
        <v>287</v>
      </c>
      <c r="N9" s="29"/>
      <c r="O9" s="29"/>
      <c r="P9" s="28" t="s">
        <v>287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121" t="s">
        <v>1148</v>
      </c>
      <c r="AB9" s="28" t="s">
        <v>231</v>
      </c>
      <c r="AC9" s="29"/>
      <c r="AD9" s="29"/>
      <c r="AE9" s="29"/>
      <c r="AF9" s="29"/>
      <c r="AG9" s="29"/>
      <c r="AH9" s="28" t="s">
        <v>231</v>
      </c>
      <c r="AJ9" s="28" t="s">
        <v>287</v>
      </c>
      <c r="AK9" s="28" t="s">
        <v>287</v>
      </c>
    </row>
    <row r="10" spans="1:37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7">
      <c r="A11" s="26" t="s">
        <v>123</v>
      </c>
      <c r="B11" s="28" t="s">
        <v>124</v>
      </c>
      <c r="C11" s="29" t="s">
        <v>124</v>
      </c>
      <c r="D11" s="29" t="s">
        <v>124</v>
      </c>
      <c r="E11" s="28"/>
      <c r="F11" s="28"/>
      <c r="G11" s="29" t="s">
        <v>127</v>
      </c>
      <c r="H11" s="29" t="s">
        <v>127</v>
      </c>
      <c r="I11" s="29" t="s">
        <v>127</v>
      </c>
      <c r="J11" s="28"/>
      <c r="K11" s="29" t="s">
        <v>127</v>
      </c>
      <c r="L11" s="29" t="s">
        <v>127</v>
      </c>
      <c r="M11" s="29" t="s">
        <v>127</v>
      </c>
      <c r="N11" s="28"/>
      <c r="O11" s="28"/>
      <c r="P11" s="29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 t="s">
        <v>124</v>
      </c>
      <c r="AC11" s="28" t="s">
        <v>124</v>
      </c>
      <c r="AD11" s="28" t="s">
        <v>124</v>
      </c>
      <c r="AE11" s="28" t="s">
        <v>124</v>
      </c>
      <c r="AF11" s="28"/>
      <c r="AG11" s="28"/>
      <c r="AH11" s="28" t="s">
        <v>124</v>
      </c>
      <c r="AJ11" s="29" t="s">
        <v>127</v>
      </c>
      <c r="AK11" s="29" t="s">
        <v>127</v>
      </c>
    </row>
    <row r="12" spans="1:37">
      <c r="A12" s="26" t="s">
        <v>125</v>
      </c>
      <c r="B12" s="28" t="s">
        <v>127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235</v>
      </c>
      <c r="AB12" s="28" t="s">
        <v>127</v>
      </c>
      <c r="AC12" s="28" t="s">
        <v>127</v>
      </c>
      <c r="AD12" s="28" t="s">
        <v>127</v>
      </c>
      <c r="AE12" s="28" t="s">
        <v>127</v>
      </c>
      <c r="AF12" s="28"/>
      <c r="AG12" s="28"/>
      <c r="AH12" s="28" t="s">
        <v>127</v>
      </c>
      <c r="AJ12" s="28" t="s">
        <v>124</v>
      </c>
      <c r="AK12" s="28" t="s">
        <v>124</v>
      </c>
    </row>
    <row r="13" spans="1:37">
      <c r="A13" s="26" t="s">
        <v>126</v>
      </c>
      <c r="B13" s="28" t="s">
        <v>124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 t="s">
        <v>124</v>
      </c>
      <c r="AC13" s="28" t="s">
        <v>124</v>
      </c>
      <c r="AD13" s="28" t="s">
        <v>124</v>
      </c>
      <c r="AE13" s="28" t="s">
        <v>124</v>
      </c>
      <c r="AF13" s="28"/>
      <c r="AG13" s="28"/>
      <c r="AH13" s="28" t="s">
        <v>124</v>
      </c>
      <c r="AJ13" s="28" t="s">
        <v>127</v>
      </c>
      <c r="AK13" s="28" t="s">
        <v>127</v>
      </c>
    </row>
    <row r="14" spans="1:37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 t="s">
        <v>127</v>
      </c>
      <c r="AC14" s="28" t="s">
        <v>127</v>
      </c>
      <c r="AD14" s="28" t="s">
        <v>127</v>
      </c>
      <c r="AE14" s="28" t="s">
        <v>127</v>
      </c>
      <c r="AF14" s="28"/>
      <c r="AG14" s="28"/>
      <c r="AH14" s="28" t="s">
        <v>127</v>
      </c>
      <c r="AJ14" s="28" t="s">
        <v>127</v>
      </c>
      <c r="AK14" s="28" t="s">
        <v>127</v>
      </c>
    </row>
    <row r="15" spans="1:37">
      <c r="A15" s="26" t="s">
        <v>129</v>
      </c>
      <c r="B15" s="28" t="s">
        <v>149</v>
      </c>
      <c r="C15" s="28" t="s">
        <v>150</v>
      </c>
      <c r="D15" s="28" t="s">
        <v>150</v>
      </c>
      <c r="E15" s="28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 t="s">
        <v>150</v>
      </c>
      <c r="AC15" s="28" t="s">
        <v>149</v>
      </c>
      <c r="AD15" s="28" t="s">
        <v>149</v>
      </c>
      <c r="AE15" s="28" t="s">
        <v>149</v>
      </c>
      <c r="AF15" s="28"/>
      <c r="AG15" s="28"/>
      <c r="AH15" s="28" t="s">
        <v>150</v>
      </c>
      <c r="AJ15" s="28" t="s">
        <v>150</v>
      </c>
      <c r="AK15" s="28" t="s">
        <v>150</v>
      </c>
    </row>
    <row r="16" spans="1:37">
      <c r="A16" s="26" t="s">
        <v>130</v>
      </c>
      <c r="B16" s="30">
        <v>0.5</v>
      </c>
      <c r="C16" s="30">
        <v>-2</v>
      </c>
      <c r="D16" s="30">
        <v>-2</v>
      </c>
      <c r="E16" s="30"/>
      <c r="F16" s="30"/>
      <c r="G16" s="30">
        <v>-2</v>
      </c>
      <c r="H16" s="30">
        <v>-2</v>
      </c>
      <c r="I16" s="30">
        <v>-2</v>
      </c>
      <c r="J16" s="30"/>
      <c r="K16" s="30">
        <v>-2</v>
      </c>
      <c r="L16" s="30">
        <v>-2</v>
      </c>
      <c r="M16" s="30">
        <v>-2</v>
      </c>
      <c r="N16" s="30"/>
      <c r="O16" s="30"/>
      <c r="P16" s="30">
        <v>-2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>
        <v>-0.5</v>
      </c>
      <c r="AC16" s="30"/>
      <c r="AD16" s="30"/>
      <c r="AE16" s="30"/>
      <c r="AF16" s="30"/>
      <c r="AG16" s="30"/>
      <c r="AH16" s="30">
        <v>-0.5</v>
      </c>
      <c r="AJ16" s="30">
        <v>-2</v>
      </c>
      <c r="AK16" s="30">
        <v>-2</v>
      </c>
    </row>
    <row r="17" spans="1:37">
      <c r="A17" s="26" t="s">
        <v>131</v>
      </c>
      <c r="B17" s="28" t="s">
        <v>180</v>
      </c>
      <c r="C17" s="28" t="s">
        <v>280</v>
      </c>
      <c r="D17" s="28" t="s">
        <v>280</v>
      </c>
      <c r="E17" s="28"/>
      <c r="F17" s="28"/>
      <c r="G17" s="29" t="s">
        <v>287</v>
      </c>
      <c r="H17" s="29" t="s">
        <v>287</v>
      </c>
      <c r="I17" s="29" t="s">
        <v>287</v>
      </c>
      <c r="J17" s="28"/>
      <c r="K17" s="29" t="s">
        <v>287</v>
      </c>
      <c r="L17" s="29" t="s">
        <v>287</v>
      </c>
      <c r="M17" s="29" t="s">
        <v>287</v>
      </c>
      <c r="N17" s="28"/>
      <c r="O17" s="28"/>
      <c r="P17" s="29" t="s">
        <v>287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151</v>
      </c>
      <c r="AB17" s="28" t="s">
        <v>180</v>
      </c>
      <c r="AC17" s="28" t="s">
        <v>180</v>
      </c>
      <c r="AD17" s="28" t="s">
        <v>180</v>
      </c>
      <c r="AE17" s="28" t="s">
        <v>180</v>
      </c>
      <c r="AF17" s="28"/>
      <c r="AG17" s="28"/>
      <c r="AH17" s="28" t="s">
        <v>180</v>
      </c>
      <c r="AJ17" s="29" t="s">
        <v>287</v>
      </c>
      <c r="AK17" s="29" t="s">
        <v>287</v>
      </c>
    </row>
    <row r="18" spans="1:37">
      <c r="A18" s="26" t="s">
        <v>133</v>
      </c>
      <c r="B18" s="30">
        <v>2</v>
      </c>
      <c r="C18" s="30">
        <v>0.5</v>
      </c>
      <c r="D18" s="30">
        <v>0.5</v>
      </c>
      <c r="E18" s="30"/>
      <c r="F18" s="30"/>
      <c r="G18" s="30">
        <v>0</v>
      </c>
      <c r="H18" s="30">
        <v>0</v>
      </c>
      <c r="I18" s="30">
        <v>0</v>
      </c>
      <c r="J18" s="30"/>
      <c r="K18" s="30">
        <v>0</v>
      </c>
      <c r="L18" s="30">
        <v>0</v>
      </c>
      <c r="M18" s="30">
        <v>0</v>
      </c>
      <c r="N18" s="30"/>
      <c r="O18" s="30"/>
      <c r="P18" s="30">
        <v>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</v>
      </c>
      <c r="AB18" s="30">
        <v>2</v>
      </c>
      <c r="AC18" s="30">
        <v>2</v>
      </c>
      <c r="AD18" s="30">
        <v>2</v>
      </c>
      <c r="AE18" s="30">
        <v>2</v>
      </c>
      <c r="AF18" s="30"/>
      <c r="AG18" s="30"/>
      <c r="AH18" s="30">
        <v>2</v>
      </c>
      <c r="AJ18" s="30">
        <v>0</v>
      </c>
      <c r="AK18" s="30">
        <v>0</v>
      </c>
    </row>
    <row r="20" spans="1:37">
      <c r="A20" s="26" t="s">
        <v>117</v>
      </c>
      <c r="B20" s="28" t="s">
        <v>1055</v>
      </c>
      <c r="C20" s="28" t="s">
        <v>269</v>
      </c>
      <c r="D20" s="28" t="s">
        <v>269</v>
      </c>
      <c r="E20" s="28"/>
      <c r="F20" s="28"/>
      <c r="G20" s="28" t="s">
        <v>1149</v>
      </c>
      <c r="H20" s="28" t="s">
        <v>1149</v>
      </c>
      <c r="I20" s="28" t="s">
        <v>1149</v>
      </c>
      <c r="J20" s="28"/>
      <c r="K20" s="28" t="s">
        <v>206</v>
      </c>
      <c r="L20" s="28" t="s">
        <v>206</v>
      </c>
      <c r="M20" s="28" t="s">
        <v>206</v>
      </c>
      <c r="N20" s="28"/>
      <c r="O20" s="28"/>
      <c r="P20" s="28" t="s">
        <v>206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80"/>
      <c r="AC20" s="80"/>
      <c r="AD20" s="80"/>
      <c r="AE20" s="80"/>
      <c r="AF20" s="28"/>
      <c r="AG20" s="28"/>
      <c r="AH20" s="80"/>
      <c r="AJ20" s="28" t="s">
        <v>1149</v>
      </c>
      <c r="AK20" s="28" t="s">
        <v>1149</v>
      </c>
    </row>
    <row r="21" spans="1:37">
      <c r="A21" s="26" t="s">
        <v>121</v>
      </c>
      <c r="B21" s="28" t="s">
        <v>269</v>
      </c>
      <c r="C21" s="28" t="s">
        <v>271</v>
      </c>
      <c r="D21" s="28" t="s">
        <v>271</v>
      </c>
      <c r="E21" s="29"/>
      <c r="F21" s="29"/>
      <c r="G21" s="28" t="s">
        <v>214</v>
      </c>
      <c r="H21" s="28" t="s">
        <v>209</v>
      </c>
      <c r="I21" s="28" t="s">
        <v>206</v>
      </c>
      <c r="J21" s="29"/>
      <c r="K21" s="29" t="s">
        <v>1005</v>
      </c>
      <c r="L21" s="29" t="s">
        <v>1005</v>
      </c>
      <c r="M21" s="29" t="s">
        <v>1005</v>
      </c>
      <c r="N21" s="29"/>
      <c r="O21" s="29"/>
      <c r="P21" s="29" t="s">
        <v>177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81"/>
      <c r="AC21" s="81"/>
      <c r="AD21" s="81"/>
      <c r="AE21" s="81"/>
      <c r="AF21" s="29"/>
      <c r="AG21" s="29"/>
      <c r="AH21" s="81"/>
      <c r="AJ21" s="29" t="s">
        <v>1004</v>
      </c>
      <c r="AK21" s="29" t="s">
        <v>173</v>
      </c>
    </row>
    <row r="22" spans="1:37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7">
      <c r="A23" s="26" t="s">
        <v>123</v>
      </c>
      <c r="B23" s="28" t="s">
        <v>124</v>
      </c>
      <c r="C23" s="28" t="s">
        <v>124</v>
      </c>
      <c r="D23" s="28" t="s">
        <v>124</v>
      </c>
      <c r="E23" s="28"/>
      <c r="F23" s="28"/>
      <c r="G23" s="28" t="s">
        <v>124</v>
      </c>
      <c r="H23" s="28" t="s">
        <v>124</v>
      </c>
      <c r="I23" s="28" t="s">
        <v>124</v>
      </c>
      <c r="J23" s="28"/>
      <c r="K23" s="29" t="s">
        <v>124</v>
      </c>
      <c r="L23" s="29" t="s">
        <v>124</v>
      </c>
      <c r="M23" s="29" t="s">
        <v>124</v>
      </c>
      <c r="N23" s="28"/>
      <c r="O23" s="28"/>
      <c r="P23" s="29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80"/>
      <c r="AC23" s="80"/>
      <c r="AD23" s="80"/>
      <c r="AE23" s="80"/>
      <c r="AF23" s="28"/>
      <c r="AG23" s="28"/>
      <c r="AH23" s="80"/>
      <c r="AJ23" s="29" t="s">
        <v>124</v>
      </c>
      <c r="AK23" s="29" t="s">
        <v>124</v>
      </c>
    </row>
    <row r="24" spans="1:37">
      <c r="A24" s="26" t="s">
        <v>125</v>
      </c>
      <c r="B24" s="28" t="s">
        <v>124</v>
      </c>
      <c r="C24" s="28" t="s">
        <v>124</v>
      </c>
      <c r="D24" s="28" t="s">
        <v>124</v>
      </c>
      <c r="E24" s="28"/>
      <c r="F24" s="28"/>
      <c r="G24" s="29" t="s">
        <v>127</v>
      </c>
      <c r="H24" s="29" t="s">
        <v>127</v>
      </c>
      <c r="I24" s="29" t="s">
        <v>127</v>
      </c>
      <c r="J24" s="28"/>
      <c r="K24" s="28" t="s">
        <v>124</v>
      </c>
      <c r="L24" s="28" t="s">
        <v>124</v>
      </c>
      <c r="M24" s="28" t="s">
        <v>124</v>
      </c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80"/>
      <c r="AC24" s="80"/>
      <c r="AD24" s="80"/>
      <c r="AE24" s="80"/>
      <c r="AF24" s="28"/>
      <c r="AG24" s="28"/>
      <c r="AH24" s="80"/>
      <c r="AJ24" s="29" t="s">
        <v>124</v>
      </c>
      <c r="AK24" s="29" t="s">
        <v>124</v>
      </c>
    </row>
    <row r="25" spans="1:37">
      <c r="A25" s="26" t="s">
        <v>126</v>
      </c>
      <c r="B25" s="28" t="s">
        <v>127</v>
      </c>
      <c r="C25" s="28" t="s">
        <v>124</v>
      </c>
      <c r="D25" s="28" t="s">
        <v>124</v>
      </c>
      <c r="E25" s="28"/>
      <c r="F25" s="28"/>
      <c r="G25" s="28" t="s">
        <v>215</v>
      </c>
      <c r="H25" s="28" t="s">
        <v>124</v>
      </c>
      <c r="I25" s="28" t="s">
        <v>124</v>
      </c>
      <c r="J25" s="28"/>
      <c r="K25" s="28" t="s">
        <v>124</v>
      </c>
      <c r="L25" s="28" t="s">
        <v>124</v>
      </c>
      <c r="M25" s="28" t="s">
        <v>124</v>
      </c>
      <c r="N25" s="28"/>
      <c r="O25" s="28"/>
      <c r="P25" s="28" t="s">
        <v>124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80"/>
      <c r="AC25" s="80"/>
      <c r="AD25" s="80"/>
      <c r="AE25" s="80"/>
      <c r="AF25" s="28"/>
      <c r="AG25" s="28"/>
      <c r="AH25" s="80"/>
      <c r="AJ25" s="28" t="s">
        <v>124</v>
      </c>
      <c r="AK25" s="28" t="s">
        <v>124</v>
      </c>
    </row>
    <row r="26" spans="1:37">
      <c r="A26" s="26" t="s">
        <v>128</v>
      </c>
      <c r="B26" s="28" t="s">
        <v>127</v>
      </c>
      <c r="C26" s="28" t="s">
        <v>127</v>
      </c>
      <c r="D26" s="28" t="s">
        <v>127</v>
      </c>
      <c r="E26" s="28"/>
      <c r="F26" s="28"/>
      <c r="G26" s="28" t="s">
        <v>127</v>
      </c>
      <c r="H26" s="28" t="s">
        <v>127</v>
      </c>
      <c r="I26" s="28" t="s">
        <v>127</v>
      </c>
      <c r="J26" s="28"/>
      <c r="K26" s="28" t="s">
        <v>127</v>
      </c>
      <c r="L26" s="28" t="s">
        <v>127</v>
      </c>
      <c r="M26" s="28" t="s">
        <v>127</v>
      </c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80"/>
      <c r="AC26" s="80"/>
      <c r="AD26" s="80"/>
      <c r="AE26" s="80"/>
      <c r="AF26" s="28"/>
      <c r="AG26" s="28"/>
      <c r="AH26" s="80"/>
      <c r="AJ26" s="28" t="s">
        <v>127</v>
      </c>
      <c r="AK26" s="28" t="s">
        <v>127</v>
      </c>
    </row>
    <row r="27" spans="1:37">
      <c r="A27" s="26" t="s">
        <v>129</v>
      </c>
      <c r="B27" s="28" t="s">
        <v>150</v>
      </c>
      <c r="C27" s="28" t="s">
        <v>150</v>
      </c>
      <c r="D27" s="28" t="s">
        <v>150</v>
      </c>
      <c r="E27" s="28"/>
      <c r="F27" s="28"/>
      <c r="G27" s="28" t="s">
        <v>149</v>
      </c>
      <c r="H27" s="28" t="s">
        <v>149</v>
      </c>
      <c r="I27" s="28" t="s">
        <v>149</v>
      </c>
      <c r="J27" s="28"/>
      <c r="K27" s="28" t="s">
        <v>149</v>
      </c>
      <c r="L27" s="28" t="s">
        <v>149</v>
      </c>
      <c r="M27" s="28" t="s">
        <v>149</v>
      </c>
      <c r="N27" s="28"/>
      <c r="O27" s="28"/>
      <c r="P27" s="28" t="s">
        <v>149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80"/>
      <c r="AC27" s="80"/>
      <c r="AD27" s="80"/>
      <c r="AE27" s="80"/>
      <c r="AF27" s="28"/>
      <c r="AG27" s="28"/>
      <c r="AH27" s="80"/>
      <c r="AJ27" s="28" t="s">
        <v>149</v>
      </c>
      <c r="AK27" s="28" t="s">
        <v>149</v>
      </c>
    </row>
    <row r="28" spans="1:37">
      <c r="A28" s="26" t="s">
        <v>130</v>
      </c>
      <c r="B28" s="30">
        <v>-2</v>
      </c>
      <c r="C28" s="30">
        <v>-0.5</v>
      </c>
      <c r="D28" s="30">
        <v>-0.5</v>
      </c>
      <c r="E28" s="30"/>
      <c r="F28" s="30"/>
      <c r="G28" s="30">
        <f>AVERAGE(0.5,2)</f>
        <v>1.25</v>
      </c>
      <c r="H28" s="30">
        <f>5/3</f>
        <v>1.6666666666666667</v>
      </c>
      <c r="I28" s="30">
        <v>1</v>
      </c>
      <c r="J28" s="30"/>
      <c r="K28" s="30">
        <v>0.5</v>
      </c>
      <c r="L28" s="30">
        <v>0.5</v>
      </c>
      <c r="M28" s="30">
        <v>0.5</v>
      </c>
      <c r="N28" s="30"/>
      <c r="O28" s="30"/>
      <c r="P28" s="30">
        <f>4/3</f>
        <v>1.3333333333333333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82"/>
      <c r="AC28" s="82"/>
      <c r="AD28" s="82"/>
      <c r="AE28" s="82"/>
      <c r="AF28" s="30"/>
      <c r="AG28" s="30"/>
      <c r="AH28" s="82"/>
      <c r="AJ28" s="30">
        <v>0.875</v>
      </c>
      <c r="AK28" s="30">
        <v>1</v>
      </c>
    </row>
    <row r="29" spans="1:37">
      <c r="A29" s="26" t="s">
        <v>131</v>
      </c>
      <c r="B29" s="28" t="s">
        <v>280</v>
      </c>
      <c r="C29" s="28" t="s">
        <v>180</v>
      </c>
      <c r="D29" s="28" t="s">
        <v>180</v>
      </c>
      <c r="E29" s="28"/>
      <c r="F29" s="28"/>
      <c r="G29" s="28" t="s">
        <v>180</v>
      </c>
      <c r="H29" s="28" t="s">
        <v>180</v>
      </c>
      <c r="I29" s="28" t="s">
        <v>180</v>
      </c>
      <c r="J29" s="28"/>
      <c r="K29" s="28" t="s">
        <v>180</v>
      </c>
      <c r="L29" s="28" t="s">
        <v>180</v>
      </c>
      <c r="M29" s="28" t="s">
        <v>180</v>
      </c>
      <c r="N29" s="28"/>
      <c r="O29" s="28"/>
      <c r="P29" s="28" t="s">
        <v>180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80"/>
      <c r="AC29" s="80"/>
      <c r="AD29" s="80"/>
      <c r="AE29" s="80"/>
      <c r="AF29" s="28"/>
      <c r="AG29" s="28"/>
      <c r="AH29" s="80"/>
      <c r="AJ29" s="28" t="s">
        <v>180</v>
      </c>
      <c r="AK29" s="28" t="s">
        <v>180</v>
      </c>
    </row>
    <row r="30" spans="1:37">
      <c r="A30" s="26" t="s">
        <v>133</v>
      </c>
      <c r="B30" s="30">
        <v>0.5</v>
      </c>
      <c r="C30" s="30">
        <v>2</v>
      </c>
      <c r="D30" s="30">
        <v>2</v>
      </c>
      <c r="E30" s="30"/>
      <c r="F30" s="30"/>
      <c r="G30" s="30">
        <v>2</v>
      </c>
      <c r="H30" s="30">
        <v>2</v>
      </c>
      <c r="I30" s="30">
        <v>2</v>
      </c>
      <c r="J30" s="30"/>
      <c r="K30" s="30">
        <v>2</v>
      </c>
      <c r="L30" s="30">
        <v>2</v>
      </c>
      <c r="M30" s="30">
        <v>2</v>
      </c>
      <c r="N30" s="30"/>
      <c r="O30" s="30"/>
      <c r="P30" s="30">
        <v>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82"/>
      <c r="AC30" s="82"/>
      <c r="AD30" s="82"/>
      <c r="AE30" s="82"/>
      <c r="AF30" s="30"/>
      <c r="AG30" s="30"/>
      <c r="AH30" s="82"/>
      <c r="AJ30" s="30">
        <v>2</v>
      </c>
      <c r="AK30" s="30">
        <v>2</v>
      </c>
    </row>
    <row r="31" spans="1:37">
      <c r="AJ31" s="235" t="s">
        <v>1150</v>
      </c>
      <c r="AK31" s="235"/>
    </row>
    <row r="32" spans="1:37">
      <c r="A32" s="31" t="s">
        <v>134</v>
      </c>
    </row>
    <row r="33" spans="1:2">
      <c r="A33" s="26" t="s">
        <v>1151</v>
      </c>
      <c r="B33" s="56"/>
    </row>
    <row r="34" spans="1:2">
      <c r="A34" s="26" t="s">
        <v>1152</v>
      </c>
      <c r="B34" s="56"/>
    </row>
    <row r="35" spans="1:2">
      <c r="A35" s="120" t="s">
        <v>1153</v>
      </c>
    </row>
  </sheetData>
  <mergeCells count="6">
    <mergeCell ref="AJ31:AK31"/>
    <mergeCell ref="B3:D3"/>
    <mergeCell ref="B4:D4"/>
    <mergeCell ref="B5:D5"/>
    <mergeCell ref="F4:P5"/>
    <mergeCell ref="F3:O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1F18-3C36-4145-8C64-F4DC77334E70}">
  <dimension ref="A1:AH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85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1154</v>
      </c>
      <c r="C4" s="203"/>
      <c r="D4" s="203"/>
      <c r="F4" s="204" t="s">
        <v>1155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324</v>
      </c>
      <c r="C8" s="28" t="s">
        <v>889</v>
      </c>
      <c r="D8" s="28" t="s">
        <v>889</v>
      </c>
      <c r="E8" s="28"/>
      <c r="F8" s="28"/>
      <c r="G8" s="28" t="s">
        <v>325</v>
      </c>
      <c r="H8" s="28" t="s">
        <v>325</v>
      </c>
      <c r="I8" s="28" t="s">
        <v>325</v>
      </c>
      <c r="J8" s="28"/>
      <c r="K8" s="28" t="s">
        <v>325</v>
      </c>
      <c r="L8" s="28" t="s">
        <v>325</v>
      </c>
      <c r="M8" s="28" t="s">
        <v>325</v>
      </c>
      <c r="N8" s="28"/>
      <c r="O8" s="28"/>
      <c r="P8" s="28" t="s">
        <v>313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1156</v>
      </c>
      <c r="AB8" s="28"/>
      <c r="AC8" s="28"/>
      <c r="AD8" s="28"/>
      <c r="AE8" s="28"/>
      <c r="AF8" s="28"/>
      <c r="AG8" s="28"/>
      <c r="AH8" s="28" t="s">
        <v>502</v>
      </c>
    </row>
    <row r="9" spans="1:34">
      <c r="A9" s="26" t="s">
        <v>121</v>
      </c>
      <c r="B9" s="28" t="s">
        <v>325</v>
      </c>
      <c r="C9" s="28" t="s">
        <v>560</v>
      </c>
      <c r="D9" s="28" t="s">
        <v>560</v>
      </c>
      <c r="E9" s="29"/>
      <c r="F9" s="29"/>
      <c r="G9" s="28" t="s">
        <v>325</v>
      </c>
      <c r="H9" s="28" t="s">
        <v>325</v>
      </c>
      <c r="I9" s="28" t="s">
        <v>325</v>
      </c>
      <c r="J9" s="29"/>
      <c r="K9" s="28" t="s">
        <v>325</v>
      </c>
      <c r="L9" s="28" t="s">
        <v>325</v>
      </c>
      <c r="M9" s="28" t="s">
        <v>325</v>
      </c>
      <c r="N9" s="29"/>
      <c r="O9" s="29"/>
      <c r="P9" s="29" t="s">
        <v>988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 t="s">
        <v>1156</v>
      </c>
      <c r="AB9" s="29"/>
      <c r="AC9" s="29"/>
      <c r="AD9" s="29"/>
      <c r="AE9" s="29"/>
      <c r="AF9" s="29"/>
      <c r="AG9" s="29"/>
      <c r="AH9" s="28" t="s">
        <v>269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9" t="s">
        <v>215</v>
      </c>
      <c r="D11" s="29" t="s">
        <v>215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8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9" t="s">
        <v>124</v>
      </c>
      <c r="C12" s="28" t="s">
        <v>124</v>
      </c>
      <c r="D12" s="28" t="s">
        <v>124</v>
      </c>
      <c r="E12" s="28"/>
      <c r="F12" s="28"/>
      <c r="G12" s="29" t="s">
        <v>124</v>
      </c>
      <c r="H12" s="29" t="s">
        <v>124</v>
      </c>
      <c r="I12" s="29" t="s">
        <v>124</v>
      </c>
      <c r="J12" s="28"/>
      <c r="K12" s="29" t="s">
        <v>124</v>
      </c>
      <c r="L12" s="29" t="s">
        <v>124</v>
      </c>
      <c r="M12" s="29" t="s">
        <v>124</v>
      </c>
      <c r="N12" s="28"/>
      <c r="O12" s="28"/>
      <c r="P12" s="29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124</v>
      </c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118</v>
      </c>
      <c r="C15" s="28" t="s">
        <v>150</v>
      </c>
      <c r="D15" s="28" t="s">
        <v>150</v>
      </c>
      <c r="E15" s="28"/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87" t="s">
        <v>989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150</v>
      </c>
    </row>
    <row r="16" spans="1:34">
      <c r="A16" s="26" t="s">
        <v>130</v>
      </c>
      <c r="B16" s="30">
        <v>3</v>
      </c>
      <c r="C16" s="30">
        <v>-2</v>
      </c>
      <c r="D16" s="30">
        <v>-2</v>
      </c>
      <c r="E16" s="30"/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v>3</v>
      </c>
      <c r="M16" s="30">
        <v>3</v>
      </c>
      <c r="N16" s="30"/>
      <c r="O16" s="30"/>
      <c r="P16" s="30">
        <f t="shared" ref="P16" si="0">-8/3</f>
        <v>-2.6666666666666665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-2</v>
      </c>
    </row>
    <row r="17" spans="1:34">
      <c r="A17" s="26" t="s">
        <v>131</v>
      </c>
      <c r="B17" s="28" t="s">
        <v>312</v>
      </c>
      <c r="C17" s="103" t="s">
        <v>483</v>
      </c>
      <c r="D17" s="103" t="s">
        <v>483</v>
      </c>
      <c r="E17" s="28"/>
      <c r="F17" s="28"/>
      <c r="G17" s="28" t="s">
        <v>312</v>
      </c>
      <c r="H17" s="28" t="s">
        <v>312</v>
      </c>
      <c r="I17" s="28" t="s">
        <v>312</v>
      </c>
      <c r="J17" s="28"/>
      <c r="K17" s="28" t="s">
        <v>312</v>
      </c>
      <c r="L17" s="28" t="s">
        <v>312</v>
      </c>
      <c r="M17" s="28" t="s">
        <v>312</v>
      </c>
      <c r="N17" s="28"/>
      <c r="O17" s="28"/>
      <c r="P17" s="28" t="s">
        <v>990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1157</v>
      </c>
      <c r="AB17" s="28"/>
      <c r="AC17" s="28"/>
      <c r="AD17" s="28"/>
      <c r="AE17" s="28"/>
      <c r="AF17" s="28"/>
      <c r="AG17" s="28"/>
      <c r="AH17" s="28" t="s">
        <v>280</v>
      </c>
    </row>
    <row r="18" spans="1:34">
      <c r="A18" s="26" t="s">
        <v>133</v>
      </c>
      <c r="B18" s="30">
        <v>1.5</v>
      </c>
      <c r="C18" s="30">
        <f>AVERAGE(0.5,0)</f>
        <v>0.25</v>
      </c>
      <c r="D18" s="30">
        <f>AVERAGE(0.5,0)</f>
        <v>0.25</v>
      </c>
      <c r="E18" s="30"/>
      <c r="F18" s="30"/>
      <c r="G18" s="30">
        <v>1.5</v>
      </c>
      <c r="H18" s="30">
        <v>1.5</v>
      </c>
      <c r="I18" s="30">
        <v>1.5</v>
      </c>
      <c r="J18" s="30"/>
      <c r="K18" s="30">
        <v>1.5</v>
      </c>
      <c r="L18" s="30">
        <v>1.5</v>
      </c>
      <c r="M18" s="30">
        <v>1.5</v>
      </c>
      <c r="N18" s="30"/>
      <c r="O18" s="30"/>
      <c r="P18" s="30">
        <f>AVERAGE(1.5,0)</f>
        <v>0.75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1.5*5/4</f>
        <v>1.875</v>
      </c>
      <c r="AB18" s="30"/>
      <c r="AC18" s="30"/>
      <c r="AD18" s="30"/>
      <c r="AE18" s="30"/>
      <c r="AF18" s="30"/>
      <c r="AG18" s="30"/>
      <c r="AH18" s="30">
        <v>0.5</v>
      </c>
    </row>
    <row r="20" spans="1:34">
      <c r="A20" s="26" t="s">
        <v>117</v>
      </c>
      <c r="B20" s="28" t="s">
        <v>1055</v>
      </c>
      <c r="C20" s="28" t="s">
        <v>325</v>
      </c>
      <c r="D20" s="28" t="s">
        <v>325</v>
      </c>
      <c r="E20" s="28"/>
      <c r="F20" s="28"/>
      <c r="G20" s="28" t="s">
        <v>502</v>
      </c>
      <c r="H20" s="28" t="s">
        <v>502</v>
      </c>
      <c r="I20" s="28" t="s">
        <v>502</v>
      </c>
      <c r="J20" s="28"/>
      <c r="K20" s="28" t="s">
        <v>502</v>
      </c>
      <c r="L20" s="28" t="s">
        <v>502</v>
      </c>
      <c r="M20" s="28" t="s">
        <v>502</v>
      </c>
      <c r="N20" s="28"/>
      <c r="O20" s="28"/>
      <c r="P20" s="28" t="s">
        <v>1066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502</v>
      </c>
      <c r="AB20" s="28"/>
      <c r="AC20" s="28"/>
      <c r="AD20" s="28"/>
      <c r="AE20" s="28"/>
      <c r="AF20" s="28"/>
      <c r="AG20" s="28"/>
      <c r="AH20" s="28" t="s">
        <v>325</v>
      </c>
    </row>
    <row r="21" spans="1:34">
      <c r="A21" s="26" t="s">
        <v>121</v>
      </c>
      <c r="B21" s="28" t="s">
        <v>269</v>
      </c>
      <c r="C21" s="28" t="s">
        <v>325</v>
      </c>
      <c r="D21" s="28" t="s">
        <v>325</v>
      </c>
      <c r="E21" s="29"/>
      <c r="F21" s="29"/>
      <c r="G21" s="28" t="s">
        <v>269</v>
      </c>
      <c r="H21" s="28" t="s">
        <v>269</v>
      </c>
      <c r="I21" s="28" t="s">
        <v>269</v>
      </c>
      <c r="J21" s="29"/>
      <c r="K21" s="28" t="s">
        <v>1056</v>
      </c>
      <c r="L21" s="28" t="s">
        <v>1056</v>
      </c>
      <c r="M21" s="28" t="s">
        <v>1056</v>
      </c>
      <c r="N21" s="29"/>
      <c r="O21" s="29"/>
      <c r="P21" s="28" t="s">
        <v>271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8" t="s">
        <v>269</v>
      </c>
      <c r="AB21" s="29"/>
      <c r="AC21" s="29"/>
      <c r="AD21" s="29"/>
      <c r="AE21" s="29"/>
      <c r="AF21" s="29"/>
      <c r="AG21" s="29"/>
      <c r="AH21" s="28" t="s">
        <v>325</v>
      </c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29" t="s">
        <v>124</v>
      </c>
      <c r="D23" s="29" t="s">
        <v>124</v>
      </c>
      <c r="E23" s="28"/>
      <c r="F23" s="28"/>
      <c r="G23" s="28" t="s">
        <v>124</v>
      </c>
      <c r="H23" s="28" t="s">
        <v>124</v>
      </c>
      <c r="I23" s="28" t="s">
        <v>124</v>
      </c>
      <c r="J23" s="28"/>
      <c r="K23" s="28" t="s">
        <v>235</v>
      </c>
      <c r="L23" s="28" t="s">
        <v>235</v>
      </c>
      <c r="M23" s="28" t="s">
        <v>235</v>
      </c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124</v>
      </c>
      <c r="AB23" s="28"/>
      <c r="AC23" s="29"/>
      <c r="AD23" s="28"/>
      <c r="AE23" s="29"/>
      <c r="AF23" s="28"/>
      <c r="AG23" s="28"/>
      <c r="AH23" s="29" t="s">
        <v>124</v>
      </c>
    </row>
    <row r="24" spans="1:34">
      <c r="A24" s="26" t="s">
        <v>125</v>
      </c>
      <c r="B24" s="28" t="s">
        <v>124</v>
      </c>
      <c r="C24" s="29" t="s">
        <v>124</v>
      </c>
      <c r="D24" s="29" t="s">
        <v>124</v>
      </c>
      <c r="E24" s="28"/>
      <c r="F24" s="28"/>
      <c r="G24" s="28" t="s">
        <v>124</v>
      </c>
      <c r="H24" s="28" t="s">
        <v>124</v>
      </c>
      <c r="I24" s="28" t="s">
        <v>124</v>
      </c>
      <c r="J24" s="28"/>
      <c r="K24" s="28" t="s">
        <v>124</v>
      </c>
      <c r="L24" s="28" t="s">
        <v>124</v>
      </c>
      <c r="M24" s="28" t="s">
        <v>124</v>
      </c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124</v>
      </c>
      <c r="AB24" s="28"/>
      <c r="AC24" s="28"/>
      <c r="AD24" s="28"/>
      <c r="AE24" s="28"/>
      <c r="AF24" s="28"/>
      <c r="AG24" s="28"/>
      <c r="AH24" s="29" t="s">
        <v>124</v>
      </c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/>
      <c r="F25" s="28"/>
      <c r="G25" s="28" t="s">
        <v>127</v>
      </c>
      <c r="H25" s="28" t="s">
        <v>127</v>
      </c>
      <c r="I25" s="28" t="s">
        <v>127</v>
      </c>
      <c r="J25" s="28"/>
      <c r="K25" s="28" t="s">
        <v>127</v>
      </c>
      <c r="L25" s="28" t="s">
        <v>127</v>
      </c>
      <c r="M25" s="28" t="s">
        <v>127</v>
      </c>
      <c r="N25" s="28"/>
      <c r="O25" s="28"/>
      <c r="P25" s="28" t="s">
        <v>124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127</v>
      </c>
      <c r="AB25" s="28"/>
      <c r="AC25" s="28"/>
      <c r="AD25" s="28"/>
      <c r="AE25" s="28"/>
      <c r="AF25" s="28"/>
      <c r="AG25" s="28"/>
      <c r="AH25" s="28" t="s">
        <v>127</v>
      </c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/>
      <c r="F26" s="28"/>
      <c r="G26" s="28" t="s">
        <v>127</v>
      </c>
      <c r="H26" s="28" t="s">
        <v>127</v>
      </c>
      <c r="I26" s="28" t="s">
        <v>127</v>
      </c>
      <c r="J26" s="28"/>
      <c r="K26" s="28" t="s">
        <v>127</v>
      </c>
      <c r="L26" s="28" t="s">
        <v>127</v>
      </c>
      <c r="M26" s="28" t="s">
        <v>127</v>
      </c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127</v>
      </c>
      <c r="AB26" s="28"/>
      <c r="AC26" s="28"/>
      <c r="AD26" s="28"/>
      <c r="AE26" s="28"/>
      <c r="AF26" s="28"/>
      <c r="AG26" s="28"/>
      <c r="AH26" s="28" t="s">
        <v>127</v>
      </c>
    </row>
    <row r="27" spans="1:34">
      <c r="A27" s="26" t="s">
        <v>129</v>
      </c>
      <c r="B27" s="28" t="s">
        <v>150</v>
      </c>
      <c r="C27" s="28" t="s">
        <v>118</v>
      </c>
      <c r="D27" s="28" t="s">
        <v>118</v>
      </c>
      <c r="E27" s="28"/>
      <c r="F27" s="28"/>
      <c r="G27" s="28" t="s">
        <v>150</v>
      </c>
      <c r="H27" s="28" t="s">
        <v>150</v>
      </c>
      <c r="I27" s="28" t="s">
        <v>150</v>
      </c>
      <c r="J27" s="28"/>
      <c r="K27" s="28" t="s">
        <v>150</v>
      </c>
      <c r="L27" s="28" t="s">
        <v>150</v>
      </c>
      <c r="M27" s="28" t="s">
        <v>150</v>
      </c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150</v>
      </c>
      <c r="AB27" s="28"/>
      <c r="AC27" s="28"/>
      <c r="AD27" s="28"/>
      <c r="AE27" s="28"/>
      <c r="AF27" s="28"/>
      <c r="AG27" s="28"/>
      <c r="AH27" s="28" t="s">
        <v>118</v>
      </c>
    </row>
    <row r="28" spans="1:34">
      <c r="A28" s="26" t="s">
        <v>130</v>
      </c>
      <c r="B28" s="30">
        <v>-2</v>
      </c>
      <c r="C28" s="30">
        <v>3</v>
      </c>
      <c r="D28" s="30">
        <v>3</v>
      </c>
      <c r="E28" s="30"/>
      <c r="F28" s="30"/>
      <c r="G28" s="30">
        <v>-2</v>
      </c>
      <c r="H28" s="30">
        <v>-2</v>
      </c>
      <c r="I28" s="30">
        <v>-2</v>
      </c>
      <c r="J28" s="30"/>
      <c r="K28" s="30">
        <v>-2</v>
      </c>
      <c r="L28" s="30">
        <v>-2</v>
      </c>
      <c r="M28" s="30">
        <v>-2</v>
      </c>
      <c r="N28" s="30"/>
      <c r="O28" s="30"/>
      <c r="P28" s="30">
        <v>-0.5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3</v>
      </c>
    </row>
    <row r="29" spans="1:34">
      <c r="A29" s="26" t="s">
        <v>131</v>
      </c>
      <c r="B29" s="28" t="s">
        <v>280</v>
      </c>
      <c r="C29" s="28" t="s">
        <v>312</v>
      </c>
      <c r="D29" s="28" t="s">
        <v>312</v>
      </c>
      <c r="E29" s="28"/>
      <c r="F29" s="28"/>
      <c r="G29" s="28" t="s">
        <v>280</v>
      </c>
      <c r="H29" s="28" t="s">
        <v>280</v>
      </c>
      <c r="I29" s="28" t="s">
        <v>280</v>
      </c>
      <c r="J29" s="28"/>
      <c r="K29" s="103" t="s">
        <v>935</v>
      </c>
      <c r="L29" s="103" t="s">
        <v>935</v>
      </c>
      <c r="M29" s="103" t="s">
        <v>935</v>
      </c>
      <c r="N29" s="28"/>
      <c r="O29" s="28"/>
      <c r="P29" s="28" t="s">
        <v>180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 t="s">
        <v>280</v>
      </c>
      <c r="AB29" s="28"/>
      <c r="AC29" s="28"/>
      <c r="AD29" s="28"/>
      <c r="AE29" s="28"/>
      <c r="AF29" s="28"/>
      <c r="AG29" s="28"/>
      <c r="AH29" s="28" t="s">
        <v>312</v>
      </c>
    </row>
    <row r="30" spans="1:34">
      <c r="A30" s="26" t="s">
        <v>133</v>
      </c>
      <c r="B30" s="30">
        <v>0.5</v>
      </c>
      <c r="C30" s="30">
        <v>1.5</v>
      </c>
      <c r="D30" s="30">
        <v>1.5</v>
      </c>
      <c r="E30" s="30"/>
      <c r="F30" s="30"/>
      <c r="G30" s="30">
        <v>0.5</v>
      </c>
      <c r="H30" s="30">
        <v>0.5</v>
      </c>
      <c r="I30" s="30">
        <v>0.5</v>
      </c>
      <c r="J30" s="30"/>
      <c r="K30" s="30">
        <f>AVERAGE(0,0.5)</f>
        <v>0.25</v>
      </c>
      <c r="L30" s="30">
        <f>AVERAGE(0,0.5)</f>
        <v>0.25</v>
      </c>
      <c r="M30" s="30">
        <f>AVERAGE(0,0.5)</f>
        <v>0.25</v>
      </c>
      <c r="N30" s="30"/>
      <c r="O30" s="30"/>
      <c r="P30" s="30">
        <v>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>
        <v>0.5</v>
      </c>
      <c r="AB30" s="30"/>
      <c r="AC30" s="30"/>
      <c r="AD30" s="30"/>
      <c r="AE30" s="30"/>
      <c r="AF30" s="30"/>
      <c r="AG30" s="30"/>
      <c r="AH30" s="30">
        <v>1.5</v>
      </c>
    </row>
    <row r="32" spans="1:34">
      <c r="A32" s="31" t="s">
        <v>134</v>
      </c>
    </row>
    <row r="33" spans="1:2">
      <c r="A33" s="26" t="s">
        <v>1158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F166-0714-4486-B33A-3715212098B9}">
  <dimension ref="A1:AJ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6">
      <c r="A1" s="25" t="s">
        <v>74</v>
      </c>
      <c r="D1" s="25" t="s">
        <v>840</v>
      </c>
      <c r="I1" s="25" t="s">
        <v>1047</v>
      </c>
    </row>
    <row r="3" spans="1:36" ht="17.45">
      <c r="A3" s="25" t="s">
        <v>77</v>
      </c>
      <c r="B3" s="203">
        <v>86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7.45">
      <c r="A4" s="25" t="s">
        <v>79</v>
      </c>
      <c r="B4" s="203" t="s">
        <v>1159</v>
      </c>
      <c r="C4" s="203"/>
      <c r="D4" s="203"/>
      <c r="F4" s="204" t="s">
        <v>1160</v>
      </c>
      <c r="G4" s="205"/>
      <c r="H4" s="205"/>
      <c r="I4" s="205"/>
      <c r="J4" s="205"/>
      <c r="K4" s="205"/>
      <c r="L4" s="205"/>
      <c r="M4" s="205"/>
      <c r="N4" s="205"/>
      <c r="O4" s="205"/>
      <c r="P4" s="206"/>
    </row>
    <row r="5" spans="1:36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8"/>
      <c r="P5" s="209"/>
    </row>
    <row r="7" spans="1:36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76" t="s">
        <v>115</v>
      </c>
      <c r="AH7" s="76" t="s">
        <v>116</v>
      </c>
      <c r="AJ7" s="67" t="s">
        <v>98</v>
      </c>
    </row>
    <row r="8" spans="1:36">
      <c r="A8" s="26" t="s">
        <v>117</v>
      </c>
      <c r="B8" s="28" t="s">
        <v>312</v>
      </c>
      <c r="C8" s="83" t="s">
        <v>1161</v>
      </c>
      <c r="D8" s="83" t="s">
        <v>287</v>
      </c>
      <c r="E8" s="28"/>
      <c r="F8" s="28"/>
      <c r="G8" s="28" t="s">
        <v>1162</v>
      </c>
      <c r="H8" s="28" t="s">
        <v>1162</v>
      </c>
      <c r="I8" s="28" t="s">
        <v>1162</v>
      </c>
      <c r="J8" s="28"/>
      <c r="K8" s="28" t="s">
        <v>1163</v>
      </c>
      <c r="L8" s="28" t="s">
        <v>1163</v>
      </c>
      <c r="M8" s="28" t="s">
        <v>1163</v>
      </c>
      <c r="N8" s="28"/>
      <c r="O8" s="28"/>
      <c r="P8" s="28" t="s">
        <v>1164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1164</v>
      </c>
      <c r="AB8" s="28"/>
      <c r="AC8" s="28"/>
      <c r="AD8" s="28"/>
      <c r="AE8" s="28"/>
      <c r="AF8" s="28"/>
      <c r="AG8" s="28" t="s">
        <v>1165</v>
      </c>
      <c r="AH8" s="80"/>
      <c r="AJ8" s="28" t="s">
        <v>313</v>
      </c>
    </row>
    <row r="9" spans="1:36">
      <c r="A9" s="26" t="s">
        <v>121</v>
      </c>
      <c r="B9" s="29" t="s">
        <v>313</v>
      </c>
      <c r="C9" s="28" t="s">
        <v>1166</v>
      </c>
      <c r="D9" s="29" t="s">
        <v>988</v>
      </c>
      <c r="E9" s="29"/>
      <c r="F9" s="29"/>
      <c r="G9" s="103" t="s">
        <v>1167</v>
      </c>
      <c r="H9" s="103" t="s">
        <v>1167</v>
      </c>
      <c r="I9" s="103" t="s">
        <v>1167</v>
      </c>
      <c r="J9" s="29"/>
      <c r="K9" s="103" t="s">
        <v>1167</v>
      </c>
      <c r="L9" s="103" t="s">
        <v>1167</v>
      </c>
      <c r="M9" s="103" t="s">
        <v>1167</v>
      </c>
      <c r="N9" s="29"/>
      <c r="O9" s="29"/>
      <c r="P9" s="28" t="s">
        <v>1166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123" t="s">
        <v>1168</v>
      </c>
      <c r="AB9" s="29"/>
      <c r="AC9" s="29"/>
      <c r="AD9" s="29"/>
      <c r="AE9" s="29"/>
      <c r="AF9" s="29"/>
      <c r="AG9" s="28" t="s">
        <v>1166</v>
      </c>
      <c r="AH9" s="81"/>
      <c r="AJ9" s="29" t="s">
        <v>988</v>
      </c>
    </row>
    <row r="10" spans="1:36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6">
      <c r="A11" s="26" t="s">
        <v>123</v>
      </c>
      <c r="B11" s="29" t="s">
        <v>124</v>
      </c>
      <c r="C11" s="28" t="s">
        <v>124</v>
      </c>
      <c r="D11" s="28" t="s">
        <v>127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 t="s">
        <v>124</v>
      </c>
      <c r="AH11" s="80"/>
      <c r="AJ11" s="28" t="s">
        <v>127</v>
      </c>
    </row>
    <row r="12" spans="1:36">
      <c r="A12" s="26" t="s">
        <v>125</v>
      </c>
      <c r="B12" s="29" t="s">
        <v>124</v>
      </c>
      <c r="C12" s="28" t="s">
        <v>124</v>
      </c>
      <c r="D12" s="29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 t="s">
        <v>124</v>
      </c>
      <c r="AH12" s="80"/>
      <c r="AJ12" s="29" t="s">
        <v>124</v>
      </c>
    </row>
    <row r="13" spans="1:36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 t="s">
        <v>127</v>
      </c>
      <c r="AH13" s="80"/>
      <c r="AJ13" s="28" t="s">
        <v>127</v>
      </c>
    </row>
    <row r="14" spans="1:36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 t="s">
        <v>127</v>
      </c>
      <c r="AH14" s="80"/>
      <c r="AJ14" s="28" t="s">
        <v>127</v>
      </c>
    </row>
    <row r="15" spans="1:36">
      <c r="A15" s="26" t="s">
        <v>129</v>
      </c>
      <c r="B15" s="28" t="s">
        <v>149</v>
      </c>
      <c r="C15" s="28" t="s">
        <v>150</v>
      </c>
      <c r="D15" s="87" t="s">
        <v>989</v>
      </c>
      <c r="E15" s="28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 t="s">
        <v>150</v>
      </c>
      <c r="AH15" s="80"/>
      <c r="AJ15" s="87" t="s">
        <v>989</v>
      </c>
    </row>
    <row r="16" spans="1:36">
      <c r="A16" s="26" t="s">
        <v>130</v>
      </c>
      <c r="B16" s="30">
        <v>1</v>
      </c>
      <c r="C16" s="30">
        <v>-2</v>
      </c>
      <c r="D16" s="30">
        <f t="shared" ref="D16" si="0">-8/3</f>
        <v>-2.6666666666666665</v>
      </c>
      <c r="E16" s="30"/>
      <c r="F16" s="30"/>
      <c r="G16" s="30">
        <f t="shared" ref="G16:I16" si="1">AVERAGE(0,-2)</f>
        <v>-1</v>
      </c>
      <c r="H16" s="30">
        <f t="shared" si="1"/>
        <v>-1</v>
      </c>
      <c r="I16" s="30">
        <f t="shared" si="1"/>
        <v>-1</v>
      </c>
      <c r="J16" s="30"/>
      <c r="K16" s="30">
        <f>AVERAGE(0,-2)</f>
        <v>-1</v>
      </c>
      <c r="L16" s="30">
        <f t="shared" ref="L16:M16" si="2">AVERAGE(0,-2)</f>
        <v>-1</v>
      </c>
      <c r="M16" s="30">
        <f t="shared" si="2"/>
        <v>-1</v>
      </c>
      <c r="N16" s="30"/>
      <c r="O16" s="30"/>
      <c r="P16" s="30">
        <v>-2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AVERAGE(0,-2)</f>
        <v>-1</v>
      </c>
      <c r="AB16" s="30"/>
      <c r="AC16" s="30"/>
      <c r="AD16" s="30"/>
      <c r="AE16" s="30"/>
      <c r="AF16" s="30"/>
      <c r="AG16" s="30">
        <v>-2</v>
      </c>
      <c r="AH16" s="82"/>
      <c r="AJ16" s="30">
        <f t="shared" ref="AJ16" si="3">-8/3</f>
        <v>-2.6666666666666665</v>
      </c>
    </row>
    <row r="17" spans="1:36">
      <c r="A17" s="26" t="s">
        <v>131</v>
      </c>
      <c r="B17" s="28" t="s">
        <v>312</v>
      </c>
      <c r="C17" s="28" t="s">
        <v>312</v>
      </c>
      <c r="D17" s="28" t="s">
        <v>990</v>
      </c>
      <c r="E17" s="28"/>
      <c r="F17" s="28"/>
      <c r="G17" s="28" t="s">
        <v>312</v>
      </c>
      <c r="H17" s="28" t="s">
        <v>312</v>
      </c>
      <c r="I17" s="28" t="s">
        <v>312</v>
      </c>
      <c r="J17" s="28"/>
      <c r="K17" s="28" t="s">
        <v>312</v>
      </c>
      <c r="L17" s="28" t="s">
        <v>312</v>
      </c>
      <c r="M17" s="28" t="s">
        <v>312</v>
      </c>
      <c r="N17" s="28"/>
      <c r="O17" s="28"/>
      <c r="P17" s="28" t="s">
        <v>312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1157</v>
      </c>
      <c r="AB17" s="28"/>
      <c r="AC17" s="28"/>
      <c r="AD17" s="28"/>
      <c r="AE17" s="28"/>
      <c r="AF17" s="28"/>
      <c r="AG17" s="28" t="s">
        <v>312</v>
      </c>
      <c r="AH17" s="80"/>
      <c r="AJ17" s="28" t="s">
        <v>990</v>
      </c>
    </row>
    <row r="18" spans="1:36">
      <c r="A18" s="26" t="s">
        <v>133</v>
      </c>
      <c r="B18" s="30">
        <v>1.5</v>
      </c>
      <c r="C18" s="30">
        <v>1.5</v>
      </c>
      <c r="D18" s="30">
        <f>AVERAGE(1.5,0)</f>
        <v>0.75</v>
      </c>
      <c r="E18" s="30"/>
      <c r="F18" s="30"/>
      <c r="G18" s="30">
        <v>1.5</v>
      </c>
      <c r="H18" s="30">
        <v>1.5</v>
      </c>
      <c r="I18" s="30">
        <v>1.5</v>
      </c>
      <c r="J18" s="30"/>
      <c r="K18" s="30">
        <v>1.5</v>
      </c>
      <c r="L18" s="30">
        <v>1.5</v>
      </c>
      <c r="M18" s="30">
        <v>1.5</v>
      </c>
      <c r="N18" s="30"/>
      <c r="O18" s="30"/>
      <c r="P18" s="30">
        <v>1.5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1.5*5/4</f>
        <v>1.875</v>
      </c>
      <c r="AB18" s="30"/>
      <c r="AC18" s="30"/>
      <c r="AD18" s="30"/>
      <c r="AE18" s="30"/>
      <c r="AF18" s="30"/>
      <c r="AG18" s="30">
        <v>1.5</v>
      </c>
      <c r="AH18" s="82"/>
      <c r="AJ18" s="30">
        <f>AVERAGE(1.5,0)</f>
        <v>0.75</v>
      </c>
    </row>
    <row r="20" spans="1:36">
      <c r="A20" s="26" t="s">
        <v>117</v>
      </c>
      <c r="B20" s="28" t="s">
        <v>1055</v>
      </c>
      <c r="C20" s="80"/>
      <c r="D20" s="28" t="s">
        <v>1161</v>
      </c>
      <c r="E20" s="28"/>
      <c r="F20" s="28"/>
      <c r="G20" s="80"/>
      <c r="H20" s="80"/>
      <c r="I20" s="80"/>
      <c r="J20" s="28"/>
      <c r="K20" s="80"/>
      <c r="L20" s="80"/>
      <c r="M20" s="80"/>
      <c r="N20" s="28"/>
      <c r="O20" s="28"/>
      <c r="P20" s="80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80"/>
      <c r="AH20" s="28" t="s">
        <v>889</v>
      </c>
      <c r="AJ20" s="28" t="s">
        <v>1066</v>
      </c>
    </row>
    <row r="21" spans="1:36">
      <c r="A21" s="26" t="s">
        <v>121</v>
      </c>
      <c r="B21" s="28" t="s">
        <v>269</v>
      </c>
      <c r="C21" s="81"/>
      <c r="D21" s="29" t="s">
        <v>1169</v>
      </c>
      <c r="E21" s="29"/>
      <c r="F21" s="29"/>
      <c r="G21" s="81"/>
      <c r="H21" s="81"/>
      <c r="I21" s="81"/>
      <c r="J21" s="29"/>
      <c r="K21" s="81"/>
      <c r="L21" s="81"/>
      <c r="M21" s="81"/>
      <c r="N21" s="29"/>
      <c r="O21" s="29"/>
      <c r="P21" s="8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1"/>
      <c r="AB21" s="29"/>
      <c r="AC21" s="29"/>
      <c r="AD21" s="29"/>
      <c r="AE21" s="29"/>
      <c r="AF21" s="29"/>
      <c r="AG21" s="81"/>
      <c r="AH21" s="28" t="s">
        <v>560</v>
      </c>
      <c r="AJ21" s="28" t="s">
        <v>271</v>
      </c>
    </row>
    <row r="22" spans="1:36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6">
      <c r="A23" s="26" t="s">
        <v>123</v>
      </c>
      <c r="B23" s="28" t="s">
        <v>124</v>
      </c>
      <c r="C23" s="80"/>
      <c r="D23" s="28" t="s">
        <v>124</v>
      </c>
      <c r="E23" s="28"/>
      <c r="F23" s="28"/>
      <c r="G23" s="80"/>
      <c r="H23" s="80"/>
      <c r="I23" s="80"/>
      <c r="J23" s="28"/>
      <c r="K23" s="80"/>
      <c r="L23" s="80"/>
      <c r="M23" s="80"/>
      <c r="N23" s="28"/>
      <c r="O23" s="28"/>
      <c r="P23" s="80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80"/>
      <c r="AH23" s="29" t="s">
        <v>215</v>
      </c>
      <c r="AJ23" s="28" t="s">
        <v>124</v>
      </c>
    </row>
    <row r="24" spans="1:36">
      <c r="A24" s="26" t="s">
        <v>125</v>
      </c>
      <c r="B24" s="28" t="s">
        <v>124</v>
      </c>
      <c r="C24" s="80"/>
      <c r="D24" s="28" t="s">
        <v>124</v>
      </c>
      <c r="E24" s="28"/>
      <c r="F24" s="28"/>
      <c r="G24" s="80"/>
      <c r="H24" s="80"/>
      <c r="I24" s="80"/>
      <c r="J24" s="28"/>
      <c r="K24" s="80"/>
      <c r="L24" s="80"/>
      <c r="M24" s="80"/>
      <c r="N24" s="28"/>
      <c r="O24" s="28"/>
      <c r="P24" s="80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80"/>
      <c r="AH24" s="28" t="s">
        <v>124</v>
      </c>
      <c r="AJ24" s="28" t="s">
        <v>124</v>
      </c>
    </row>
    <row r="25" spans="1:36">
      <c r="A25" s="26" t="s">
        <v>126</v>
      </c>
      <c r="B25" s="28" t="s">
        <v>127</v>
      </c>
      <c r="C25" s="80"/>
      <c r="D25" s="28" t="s">
        <v>127</v>
      </c>
      <c r="E25" s="28"/>
      <c r="F25" s="28"/>
      <c r="G25" s="80"/>
      <c r="H25" s="80"/>
      <c r="I25" s="80"/>
      <c r="J25" s="28"/>
      <c r="K25" s="80"/>
      <c r="L25" s="80"/>
      <c r="M25" s="80"/>
      <c r="N25" s="28"/>
      <c r="O25" s="28"/>
      <c r="P25" s="80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80"/>
      <c r="AH25" s="28" t="s">
        <v>127</v>
      </c>
      <c r="AJ25" s="28" t="s">
        <v>124</v>
      </c>
    </row>
    <row r="26" spans="1:36">
      <c r="A26" s="26" t="s">
        <v>128</v>
      </c>
      <c r="B26" s="28" t="s">
        <v>127</v>
      </c>
      <c r="C26" s="80"/>
      <c r="D26" s="28" t="s">
        <v>127</v>
      </c>
      <c r="E26" s="28"/>
      <c r="F26" s="28"/>
      <c r="G26" s="80"/>
      <c r="H26" s="80"/>
      <c r="I26" s="80"/>
      <c r="J26" s="28"/>
      <c r="K26" s="80"/>
      <c r="L26" s="80"/>
      <c r="M26" s="80"/>
      <c r="N26" s="28"/>
      <c r="O26" s="28"/>
      <c r="P26" s="80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80"/>
      <c r="AH26" s="28" t="s">
        <v>127</v>
      </c>
      <c r="AJ26" s="28" t="s">
        <v>127</v>
      </c>
    </row>
    <row r="27" spans="1:36">
      <c r="A27" s="26" t="s">
        <v>129</v>
      </c>
      <c r="B27" s="28" t="s">
        <v>150</v>
      </c>
      <c r="C27" s="80"/>
      <c r="D27" s="28" t="s">
        <v>150</v>
      </c>
      <c r="E27" s="28"/>
      <c r="F27" s="28"/>
      <c r="G27" s="80"/>
      <c r="H27" s="80"/>
      <c r="I27" s="80"/>
      <c r="J27" s="28"/>
      <c r="K27" s="80"/>
      <c r="L27" s="80"/>
      <c r="M27" s="80"/>
      <c r="N27" s="28"/>
      <c r="O27" s="28"/>
      <c r="P27" s="80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80"/>
      <c r="AH27" s="28" t="s">
        <v>150</v>
      </c>
      <c r="AJ27" s="28" t="s">
        <v>150</v>
      </c>
    </row>
    <row r="28" spans="1:36">
      <c r="A28" s="26" t="s">
        <v>130</v>
      </c>
      <c r="B28" s="30">
        <v>-2</v>
      </c>
      <c r="C28" s="82"/>
      <c r="D28" s="30">
        <v>-2</v>
      </c>
      <c r="E28" s="30"/>
      <c r="F28" s="30"/>
      <c r="G28" s="82"/>
      <c r="H28" s="82"/>
      <c r="I28" s="82"/>
      <c r="J28" s="30"/>
      <c r="K28" s="82"/>
      <c r="L28" s="82"/>
      <c r="M28" s="82"/>
      <c r="N28" s="30"/>
      <c r="O28" s="30"/>
      <c r="P28" s="82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82"/>
      <c r="AH28" s="30">
        <v>-2</v>
      </c>
      <c r="AJ28" s="30">
        <v>-0.5</v>
      </c>
    </row>
    <row r="29" spans="1:36">
      <c r="A29" s="26" t="s">
        <v>131</v>
      </c>
      <c r="B29" s="28" t="s">
        <v>280</v>
      </c>
      <c r="C29" s="80"/>
      <c r="D29" s="28" t="s">
        <v>1170</v>
      </c>
      <c r="E29" s="28"/>
      <c r="F29" s="28"/>
      <c r="G29" s="80"/>
      <c r="H29" s="80"/>
      <c r="I29" s="80"/>
      <c r="J29" s="28"/>
      <c r="K29" s="80"/>
      <c r="L29" s="80"/>
      <c r="M29" s="80"/>
      <c r="N29" s="28"/>
      <c r="O29" s="28"/>
      <c r="P29" s="80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80"/>
      <c r="AH29" s="103" t="s">
        <v>483</v>
      </c>
      <c r="AJ29" s="28" t="s">
        <v>180</v>
      </c>
    </row>
    <row r="30" spans="1:36">
      <c r="A30" s="26" t="s">
        <v>133</v>
      </c>
      <c r="B30" s="30">
        <v>0.5</v>
      </c>
      <c r="C30" s="82"/>
      <c r="D30" s="30">
        <f>AVERAGE(0.5,1.5)</f>
        <v>1</v>
      </c>
      <c r="E30" s="30"/>
      <c r="F30" s="30"/>
      <c r="G30" s="82"/>
      <c r="H30" s="82"/>
      <c r="I30" s="82"/>
      <c r="J30" s="30"/>
      <c r="K30" s="82"/>
      <c r="L30" s="82"/>
      <c r="M30" s="82"/>
      <c r="N30" s="30"/>
      <c r="O30" s="30"/>
      <c r="P30" s="8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82"/>
      <c r="AH30" s="30">
        <f>AVERAGE(0.5,0)</f>
        <v>0.25</v>
      </c>
      <c r="AJ30" s="30">
        <v>2</v>
      </c>
    </row>
    <row r="31" spans="1:36">
      <c r="P31" s="78" t="s">
        <v>1171</v>
      </c>
      <c r="AJ31" s="78" t="s">
        <v>1172</v>
      </c>
    </row>
    <row r="32" spans="1:36">
      <c r="A32" s="31" t="s">
        <v>134</v>
      </c>
    </row>
    <row r="33" spans="1:2">
      <c r="A33" s="26" t="s">
        <v>1173</v>
      </c>
      <c r="B33" s="56" t="s">
        <v>1174</v>
      </c>
    </row>
  </sheetData>
  <mergeCells count="5">
    <mergeCell ref="B3:D3"/>
    <mergeCell ref="B4:D4"/>
    <mergeCell ref="B5:D5"/>
    <mergeCell ref="F4:P5"/>
    <mergeCell ref="F3:O3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826D-21F9-4B8E-BDCE-5C5DBA231A76}">
  <dimension ref="A1:AH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87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1175</v>
      </c>
      <c r="C4" s="203"/>
      <c r="D4" s="203"/>
      <c r="F4" s="204" t="s">
        <v>1176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394</v>
      </c>
      <c r="C8" s="28" t="s">
        <v>502</v>
      </c>
      <c r="D8" s="28" t="s">
        <v>502</v>
      </c>
      <c r="E8" s="28"/>
      <c r="F8" s="28"/>
      <c r="G8" s="28" t="s">
        <v>287</v>
      </c>
      <c r="H8" s="28" t="s">
        <v>287</v>
      </c>
      <c r="I8" s="28" t="s">
        <v>287</v>
      </c>
      <c r="J8" s="28"/>
      <c r="K8" s="28" t="s">
        <v>287</v>
      </c>
      <c r="L8" s="28" t="s">
        <v>287</v>
      </c>
      <c r="M8" s="28" t="s">
        <v>287</v>
      </c>
      <c r="N8" s="28"/>
      <c r="O8" s="28"/>
      <c r="P8" s="28" t="s">
        <v>287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80"/>
      <c r="AB8" s="28"/>
      <c r="AC8" s="28"/>
      <c r="AD8" s="28"/>
      <c r="AE8" s="28"/>
      <c r="AF8" s="28"/>
      <c r="AG8" s="28"/>
      <c r="AH8" s="28" t="s">
        <v>395</v>
      </c>
    </row>
    <row r="9" spans="1:34">
      <c r="A9" s="26" t="s">
        <v>121</v>
      </c>
      <c r="B9" s="28" t="s">
        <v>507</v>
      </c>
      <c r="C9" s="28" t="s">
        <v>269</v>
      </c>
      <c r="D9" s="28" t="s">
        <v>269</v>
      </c>
      <c r="E9" s="28"/>
      <c r="F9" s="28"/>
      <c r="G9" s="28" t="s">
        <v>287</v>
      </c>
      <c r="H9" s="28" t="s">
        <v>287</v>
      </c>
      <c r="I9" s="28" t="s">
        <v>287</v>
      </c>
      <c r="J9" s="29"/>
      <c r="K9" s="28" t="s">
        <v>287</v>
      </c>
      <c r="L9" s="28" t="s">
        <v>287</v>
      </c>
      <c r="M9" s="28" t="s">
        <v>287</v>
      </c>
      <c r="N9" s="29"/>
      <c r="O9" s="29"/>
      <c r="P9" s="28" t="s">
        <v>287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80"/>
      <c r="AB9" s="28"/>
      <c r="AC9" s="28"/>
      <c r="AD9" s="28"/>
      <c r="AE9" s="28"/>
      <c r="AF9" s="29"/>
      <c r="AG9" s="29"/>
      <c r="AH9" s="28" t="s">
        <v>507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9" t="s">
        <v>127</v>
      </c>
      <c r="H11" s="29" t="s">
        <v>127</v>
      </c>
      <c r="I11" s="29" t="s">
        <v>127</v>
      </c>
      <c r="J11" s="28"/>
      <c r="K11" s="29" t="s">
        <v>127</v>
      </c>
      <c r="L11" s="29" t="s">
        <v>127</v>
      </c>
      <c r="M11" s="29" t="s">
        <v>127</v>
      </c>
      <c r="N11" s="28"/>
      <c r="O11" s="28"/>
      <c r="P11" s="29" t="s">
        <v>127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80"/>
      <c r="AB11" s="28"/>
      <c r="AC11" s="28"/>
      <c r="AD11" s="28"/>
      <c r="AE11" s="28"/>
      <c r="AF11" s="28"/>
      <c r="AG11" s="28"/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80"/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9"/>
      <c r="F13" s="29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81"/>
      <c r="AB13" s="29"/>
      <c r="AC13" s="29"/>
      <c r="AD13" s="29"/>
      <c r="AE13" s="29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80"/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149</v>
      </c>
      <c r="C15" s="28" t="s">
        <v>150</v>
      </c>
      <c r="D15" s="28" t="s">
        <v>150</v>
      </c>
      <c r="E15" s="28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80"/>
      <c r="AB15" s="28"/>
      <c r="AC15" s="28"/>
      <c r="AD15" s="28"/>
      <c r="AE15" s="28"/>
      <c r="AF15" s="28"/>
      <c r="AG15" s="28"/>
      <c r="AH15" s="28" t="s">
        <v>149</v>
      </c>
    </row>
    <row r="16" spans="1:34">
      <c r="A16" s="26" t="s">
        <v>130</v>
      </c>
      <c r="B16" s="30">
        <v>0.75</v>
      </c>
      <c r="C16" s="30">
        <v>-2</v>
      </c>
      <c r="D16" s="30">
        <v>-2</v>
      </c>
      <c r="E16" s="30"/>
      <c r="F16" s="30"/>
      <c r="G16" s="30">
        <v>-2</v>
      </c>
      <c r="H16" s="30">
        <v>-2</v>
      </c>
      <c r="I16" s="30">
        <v>-2</v>
      </c>
      <c r="J16" s="30"/>
      <c r="K16" s="30">
        <v>-2</v>
      </c>
      <c r="L16" s="30">
        <v>-2</v>
      </c>
      <c r="M16" s="30">
        <v>-2</v>
      </c>
      <c r="N16" s="30"/>
      <c r="O16" s="30"/>
      <c r="P16" s="30">
        <v>-2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82"/>
      <c r="AB16" s="30"/>
      <c r="AC16" s="30"/>
      <c r="AD16" s="30"/>
      <c r="AE16" s="30"/>
      <c r="AF16" s="30"/>
      <c r="AG16" s="30"/>
      <c r="AH16" s="30">
        <v>0.75</v>
      </c>
    </row>
    <row r="17" spans="1:34">
      <c r="A17" s="26" t="s">
        <v>131</v>
      </c>
      <c r="B17" s="28" t="s">
        <v>409</v>
      </c>
      <c r="C17" s="28" t="s">
        <v>280</v>
      </c>
      <c r="D17" s="28" t="s">
        <v>280</v>
      </c>
      <c r="E17" s="28"/>
      <c r="F17" s="28"/>
      <c r="G17" s="29" t="s">
        <v>287</v>
      </c>
      <c r="H17" s="29" t="s">
        <v>287</v>
      </c>
      <c r="I17" s="29" t="s">
        <v>287</v>
      </c>
      <c r="J17" s="28"/>
      <c r="K17" s="29" t="s">
        <v>287</v>
      </c>
      <c r="L17" s="29" t="s">
        <v>287</v>
      </c>
      <c r="M17" s="29" t="s">
        <v>287</v>
      </c>
      <c r="N17" s="28"/>
      <c r="O17" s="28"/>
      <c r="P17" s="29" t="s">
        <v>287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80"/>
      <c r="AB17" s="28"/>
      <c r="AC17" s="28"/>
      <c r="AD17" s="28"/>
      <c r="AE17" s="28"/>
      <c r="AF17" s="28"/>
      <c r="AG17" s="28"/>
      <c r="AH17" s="28" t="s">
        <v>409</v>
      </c>
    </row>
    <row r="18" spans="1:34">
      <c r="A18" s="26" t="s">
        <v>133</v>
      </c>
      <c r="B18" s="30">
        <v>0.875</v>
      </c>
      <c r="C18" s="30">
        <v>0.5</v>
      </c>
      <c r="D18" s="30">
        <v>0.5</v>
      </c>
      <c r="E18" s="30"/>
      <c r="F18" s="30"/>
      <c r="G18" s="30">
        <v>0</v>
      </c>
      <c r="H18" s="30">
        <v>0</v>
      </c>
      <c r="I18" s="30">
        <v>0</v>
      </c>
      <c r="J18" s="30"/>
      <c r="K18" s="30">
        <v>0</v>
      </c>
      <c r="L18" s="30">
        <v>0</v>
      </c>
      <c r="M18" s="30">
        <v>0</v>
      </c>
      <c r="N18" s="30"/>
      <c r="O18" s="30"/>
      <c r="P18" s="30">
        <v>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82"/>
      <c r="AB18" s="30"/>
      <c r="AC18" s="30"/>
      <c r="AD18" s="30"/>
      <c r="AE18" s="30"/>
      <c r="AF18" s="30"/>
      <c r="AG18" s="30"/>
      <c r="AH18" s="30">
        <v>0.875</v>
      </c>
    </row>
    <row r="20" spans="1:34">
      <c r="A20" s="26" t="s">
        <v>117</v>
      </c>
      <c r="B20" s="28" t="s">
        <v>1055</v>
      </c>
      <c r="C20" s="28" t="s">
        <v>395</v>
      </c>
      <c r="D20" s="28" t="s">
        <v>395</v>
      </c>
      <c r="E20" s="28"/>
      <c r="F20" s="28"/>
      <c r="G20" s="28" t="s">
        <v>395</v>
      </c>
      <c r="H20" s="28" t="s">
        <v>395</v>
      </c>
      <c r="I20" s="28" t="s">
        <v>395</v>
      </c>
      <c r="J20" s="28"/>
      <c r="K20" s="28" t="s">
        <v>395</v>
      </c>
      <c r="L20" s="28" t="s">
        <v>395</v>
      </c>
      <c r="M20" s="28" t="s">
        <v>395</v>
      </c>
      <c r="N20" s="28"/>
      <c r="O20" s="28"/>
      <c r="P20" s="28" t="s">
        <v>395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502</v>
      </c>
      <c r="AB20" s="28" t="s">
        <v>395</v>
      </c>
      <c r="AC20" s="28" t="s">
        <v>395</v>
      </c>
      <c r="AD20" s="28" t="s">
        <v>395</v>
      </c>
      <c r="AE20" s="28" t="s">
        <v>395</v>
      </c>
      <c r="AF20" s="28"/>
      <c r="AG20" s="28"/>
      <c r="AH20" s="80"/>
    </row>
    <row r="21" spans="1:34">
      <c r="A21" s="26" t="s">
        <v>121</v>
      </c>
      <c r="B21" s="28" t="s">
        <v>269</v>
      </c>
      <c r="C21" s="28" t="s">
        <v>507</v>
      </c>
      <c r="D21" s="28" t="s">
        <v>507</v>
      </c>
      <c r="E21" s="28"/>
      <c r="F21" s="28"/>
      <c r="G21" s="28" t="s">
        <v>507</v>
      </c>
      <c r="H21" s="28" t="s">
        <v>507</v>
      </c>
      <c r="I21" s="28" t="s">
        <v>507</v>
      </c>
      <c r="J21" s="29"/>
      <c r="K21" s="28" t="s">
        <v>507</v>
      </c>
      <c r="L21" s="28" t="s">
        <v>507</v>
      </c>
      <c r="M21" s="28" t="s">
        <v>507</v>
      </c>
      <c r="N21" s="29"/>
      <c r="O21" s="29"/>
      <c r="P21" s="115" t="s">
        <v>400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8" t="s">
        <v>269</v>
      </c>
      <c r="AB21" s="28"/>
      <c r="AC21" s="28"/>
      <c r="AD21" s="28"/>
      <c r="AE21" s="28"/>
      <c r="AF21" s="29"/>
      <c r="AG21" s="29"/>
      <c r="AH21" s="80"/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28" t="s">
        <v>124</v>
      </c>
      <c r="D23" s="28" t="s">
        <v>124</v>
      </c>
      <c r="E23" s="28"/>
      <c r="F23" s="28"/>
      <c r="G23" s="28" t="s">
        <v>124</v>
      </c>
      <c r="H23" s="28" t="s">
        <v>124</v>
      </c>
      <c r="I23" s="28" t="s">
        <v>124</v>
      </c>
      <c r="J23" s="28"/>
      <c r="K23" s="28" t="s">
        <v>124</v>
      </c>
      <c r="L23" s="28" t="s">
        <v>124</v>
      </c>
      <c r="M23" s="28" t="s">
        <v>124</v>
      </c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124</v>
      </c>
      <c r="AB23" s="28" t="s">
        <v>124</v>
      </c>
      <c r="AC23" s="28" t="s">
        <v>124</v>
      </c>
      <c r="AD23" s="28" t="s">
        <v>124</v>
      </c>
      <c r="AE23" s="28" t="s">
        <v>124</v>
      </c>
      <c r="AF23" s="28"/>
      <c r="AG23" s="28"/>
      <c r="AH23" s="80"/>
    </row>
    <row r="24" spans="1:34">
      <c r="A24" s="26" t="s">
        <v>125</v>
      </c>
      <c r="B24" s="28" t="s">
        <v>124</v>
      </c>
      <c r="C24" s="28" t="s">
        <v>124</v>
      </c>
      <c r="D24" s="28" t="s">
        <v>124</v>
      </c>
      <c r="E24" s="28"/>
      <c r="F24" s="28"/>
      <c r="G24" s="28" t="s">
        <v>124</v>
      </c>
      <c r="H24" s="28" t="s">
        <v>124</v>
      </c>
      <c r="I24" s="28" t="s">
        <v>124</v>
      </c>
      <c r="J24" s="28"/>
      <c r="K24" s="28" t="s">
        <v>124</v>
      </c>
      <c r="L24" s="28" t="s">
        <v>124</v>
      </c>
      <c r="M24" s="28" t="s">
        <v>124</v>
      </c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124</v>
      </c>
      <c r="AB24" s="28" t="s">
        <v>124</v>
      </c>
      <c r="AC24" s="28" t="s">
        <v>124</v>
      </c>
      <c r="AD24" s="28" t="s">
        <v>124</v>
      </c>
      <c r="AE24" s="28" t="s">
        <v>124</v>
      </c>
      <c r="AF24" s="28"/>
      <c r="AG24" s="28"/>
      <c r="AH24" s="80"/>
    </row>
    <row r="25" spans="1:34">
      <c r="A25" s="26" t="s">
        <v>126</v>
      </c>
      <c r="B25" s="28" t="s">
        <v>127</v>
      </c>
      <c r="C25" s="28" t="s">
        <v>127</v>
      </c>
      <c r="D25" s="28" t="s">
        <v>127</v>
      </c>
      <c r="E25" s="28"/>
      <c r="F25" s="28"/>
      <c r="G25" s="28" t="s">
        <v>127</v>
      </c>
      <c r="H25" s="28" t="s">
        <v>127</v>
      </c>
      <c r="I25" s="28" t="s">
        <v>127</v>
      </c>
      <c r="J25" s="28"/>
      <c r="K25" s="28" t="s">
        <v>127</v>
      </c>
      <c r="L25" s="28" t="s">
        <v>127</v>
      </c>
      <c r="M25" s="28" t="s">
        <v>127</v>
      </c>
      <c r="N25" s="28"/>
      <c r="O25" s="28"/>
      <c r="P25" s="28" t="s">
        <v>127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127</v>
      </c>
      <c r="AB25" s="28" t="s">
        <v>127</v>
      </c>
      <c r="AC25" s="28" t="s">
        <v>127</v>
      </c>
      <c r="AD25" s="28" t="s">
        <v>127</v>
      </c>
      <c r="AE25" s="28" t="s">
        <v>127</v>
      </c>
      <c r="AF25" s="28"/>
      <c r="AG25" s="28"/>
      <c r="AH25" s="80"/>
    </row>
    <row r="26" spans="1:34">
      <c r="A26" s="26" t="s">
        <v>128</v>
      </c>
      <c r="B26" s="28" t="s">
        <v>127</v>
      </c>
      <c r="C26" s="28" t="s">
        <v>127</v>
      </c>
      <c r="D26" s="28" t="s">
        <v>127</v>
      </c>
      <c r="E26" s="28"/>
      <c r="F26" s="28"/>
      <c r="G26" s="28" t="s">
        <v>127</v>
      </c>
      <c r="H26" s="28" t="s">
        <v>127</v>
      </c>
      <c r="I26" s="28" t="s">
        <v>127</v>
      </c>
      <c r="J26" s="28"/>
      <c r="K26" s="28" t="s">
        <v>127</v>
      </c>
      <c r="L26" s="28" t="s">
        <v>127</v>
      </c>
      <c r="M26" s="28" t="s">
        <v>127</v>
      </c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127</v>
      </c>
      <c r="AB26" s="28" t="s">
        <v>127</v>
      </c>
      <c r="AC26" s="28" t="s">
        <v>127</v>
      </c>
      <c r="AD26" s="28" t="s">
        <v>127</v>
      </c>
      <c r="AE26" s="28" t="s">
        <v>127</v>
      </c>
      <c r="AF26" s="28"/>
      <c r="AG26" s="28"/>
      <c r="AH26" s="80"/>
    </row>
    <row r="27" spans="1:34">
      <c r="A27" s="26" t="s">
        <v>129</v>
      </c>
      <c r="B27" s="28" t="s">
        <v>150</v>
      </c>
      <c r="C27" s="28" t="s">
        <v>149</v>
      </c>
      <c r="D27" s="28" t="s">
        <v>149</v>
      </c>
      <c r="E27" s="28"/>
      <c r="F27" s="28"/>
      <c r="G27" s="28" t="s">
        <v>149</v>
      </c>
      <c r="H27" s="28" t="s">
        <v>149</v>
      </c>
      <c r="I27" s="28" t="s">
        <v>149</v>
      </c>
      <c r="J27" s="28"/>
      <c r="K27" s="28" t="s">
        <v>149</v>
      </c>
      <c r="L27" s="28" t="s">
        <v>149</v>
      </c>
      <c r="M27" s="28" t="s">
        <v>149</v>
      </c>
      <c r="N27" s="28"/>
      <c r="O27" s="28"/>
      <c r="P27" s="28" t="s">
        <v>408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150</v>
      </c>
      <c r="AB27" s="28" t="s">
        <v>149</v>
      </c>
      <c r="AC27" s="28" t="s">
        <v>149</v>
      </c>
      <c r="AD27" s="28" t="s">
        <v>149</v>
      </c>
      <c r="AE27" s="28" t="s">
        <v>149</v>
      </c>
      <c r="AF27" s="28"/>
      <c r="AG27" s="28"/>
      <c r="AH27" s="80"/>
    </row>
    <row r="28" spans="1:34">
      <c r="A28" s="26" t="s">
        <v>130</v>
      </c>
      <c r="B28" s="30">
        <v>-2</v>
      </c>
      <c r="C28" s="30">
        <v>0.75</v>
      </c>
      <c r="D28" s="30">
        <v>0.75</v>
      </c>
      <c r="E28" s="30"/>
      <c r="F28" s="30"/>
      <c r="G28" s="30">
        <v>0.75</v>
      </c>
      <c r="H28" s="30">
        <v>0.75</v>
      </c>
      <c r="I28" s="30">
        <v>0.75</v>
      </c>
      <c r="J28" s="30"/>
      <c r="K28" s="30">
        <v>0.75</v>
      </c>
      <c r="L28" s="30">
        <v>0.75</v>
      </c>
      <c r="M28" s="30">
        <v>0.75</v>
      </c>
      <c r="N28" s="30"/>
      <c r="O28" s="30"/>
      <c r="P28" s="30">
        <v>-4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82"/>
    </row>
    <row r="29" spans="1:34">
      <c r="A29" s="26" t="s">
        <v>131</v>
      </c>
      <c r="B29" s="28" t="s">
        <v>280</v>
      </c>
      <c r="C29" s="28" t="s">
        <v>409</v>
      </c>
      <c r="D29" s="28" t="s">
        <v>409</v>
      </c>
      <c r="E29" s="28"/>
      <c r="F29" s="28"/>
      <c r="G29" s="28" t="s">
        <v>409</v>
      </c>
      <c r="H29" s="28" t="s">
        <v>409</v>
      </c>
      <c r="I29" s="28" t="s">
        <v>409</v>
      </c>
      <c r="J29" s="28"/>
      <c r="K29" s="28" t="s">
        <v>409</v>
      </c>
      <c r="L29" s="28" t="s">
        <v>409</v>
      </c>
      <c r="M29" s="28" t="s">
        <v>409</v>
      </c>
      <c r="N29" s="28"/>
      <c r="O29" s="28"/>
      <c r="P29" s="115" t="s">
        <v>411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 t="s">
        <v>280</v>
      </c>
      <c r="AB29" s="28" t="s">
        <v>409</v>
      </c>
      <c r="AC29" s="28" t="s">
        <v>409</v>
      </c>
      <c r="AD29" s="28" t="s">
        <v>409</v>
      </c>
      <c r="AE29" s="28" t="s">
        <v>409</v>
      </c>
      <c r="AF29" s="28"/>
      <c r="AG29" s="28"/>
      <c r="AH29" s="80"/>
    </row>
    <row r="30" spans="1:34">
      <c r="A30" s="26" t="s">
        <v>133</v>
      </c>
      <c r="B30" s="30">
        <v>0.5</v>
      </c>
      <c r="C30" s="30">
        <v>0.875</v>
      </c>
      <c r="D30" s="30">
        <v>0.875</v>
      </c>
      <c r="E30" s="30"/>
      <c r="F30" s="30"/>
      <c r="G30" s="30">
        <v>0.875</v>
      </c>
      <c r="H30" s="30">
        <v>0.875</v>
      </c>
      <c r="I30" s="30">
        <v>0.875</v>
      </c>
      <c r="J30" s="30"/>
      <c r="K30" s="30">
        <v>0.875</v>
      </c>
      <c r="L30" s="30">
        <v>0.875</v>
      </c>
      <c r="M30" s="30">
        <v>0.875</v>
      </c>
      <c r="N30" s="30"/>
      <c r="O30" s="30"/>
      <c r="P30" s="30">
        <v>1.75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>
        <v>0.5</v>
      </c>
      <c r="AB30" s="30">
        <v>0.875</v>
      </c>
      <c r="AC30" s="30">
        <v>0.875</v>
      </c>
      <c r="AD30" s="30">
        <v>0.875</v>
      </c>
      <c r="AE30" s="30">
        <v>0.875</v>
      </c>
      <c r="AF30" s="30"/>
      <c r="AG30" s="30"/>
      <c r="AH30" s="82"/>
    </row>
    <row r="32" spans="1:34">
      <c r="A32" s="31" t="s">
        <v>134</v>
      </c>
    </row>
    <row r="33" spans="1:2">
      <c r="A33" s="26" t="s">
        <v>1177</v>
      </c>
      <c r="B33" s="56" t="s">
        <v>1178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6C23-103F-4EDD-A317-76202A9D364D}">
  <dimension ref="A1:AH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88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1179</v>
      </c>
      <c r="C4" s="203"/>
      <c r="D4" s="203"/>
      <c r="F4" s="204" t="s">
        <v>1180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1150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409</v>
      </c>
      <c r="C8" s="28" t="s">
        <v>1181</v>
      </c>
      <c r="D8" s="28" t="s">
        <v>1181</v>
      </c>
      <c r="E8" s="28"/>
      <c r="F8" s="28"/>
      <c r="G8" s="29" t="s">
        <v>269</v>
      </c>
      <c r="H8" s="29" t="s">
        <v>269</v>
      </c>
      <c r="I8" s="29" t="s">
        <v>269</v>
      </c>
      <c r="J8" s="28"/>
      <c r="K8" s="28" t="s">
        <v>422</v>
      </c>
      <c r="L8" s="28" t="s">
        <v>422</v>
      </c>
      <c r="M8" s="28" t="s">
        <v>422</v>
      </c>
      <c r="N8" s="28"/>
      <c r="O8" s="28"/>
      <c r="P8" s="80"/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1182</v>
      </c>
      <c r="AB8" s="28"/>
      <c r="AC8" s="28"/>
      <c r="AD8" s="28"/>
      <c r="AE8" s="28"/>
      <c r="AF8" s="28"/>
      <c r="AG8" s="28"/>
      <c r="AH8" s="80"/>
    </row>
    <row r="9" spans="1:34">
      <c r="A9" s="26" t="s">
        <v>121</v>
      </c>
      <c r="B9" s="28" t="s">
        <v>419</v>
      </c>
      <c r="C9" s="28" t="s">
        <v>1183</v>
      </c>
      <c r="D9" s="28" t="s">
        <v>1183</v>
      </c>
      <c r="E9" s="28"/>
      <c r="F9" s="28"/>
      <c r="G9" s="29" t="s">
        <v>263</v>
      </c>
      <c r="H9" s="28" t="s">
        <v>341</v>
      </c>
      <c r="I9" s="28" t="s">
        <v>341</v>
      </c>
      <c r="J9" s="29"/>
      <c r="K9" s="28" t="s">
        <v>1183</v>
      </c>
      <c r="L9" s="28" t="s">
        <v>1183</v>
      </c>
      <c r="M9" s="28" t="s">
        <v>269</v>
      </c>
      <c r="N9" s="29"/>
      <c r="O9" s="29"/>
      <c r="P9" s="80"/>
      <c r="Q9" s="29"/>
      <c r="R9" s="29"/>
      <c r="S9" s="29"/>
      <c r="T9" s="29"/>
      <c r="U9" s="29"/>
      <c r="V9" s="29"/>
      <c r="W9" s="29"/>
      <c r="X9" s="29"/>
      <c r="Y9" s="29"/>
      <c r="Z9" s="29"/>
      <c r="AA9" s="124" t="s">
        <v>1184</v>
      </c>
      <c r="AB9" s="29"/>
      <c r="AC9" s="29"/>
      <c r="AD9" s="29"/>
      <c r="AE9" s="29"/>
      <c r="AF9" s="29"/>
      <c r="AG9" s="29"/>
      <c r="AH9" s="80"/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80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80"/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127</v>
      </c>
      <c r="H12" s="29" t="s">
        <v>124</v>
      </c>
      <c r="I12" s="29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80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80"/>
    </row>
    <row r="13" spans="1:34">
      <c r="A13" s="26" t="s">
        <v>126</v>
      </c>
      <c r="B13" s="28" t="s">
        <v>127</v>
      </c>
      <c r="C13" s="29" t="s">
        <v>127</v>
      </c>
      <c r="D13" s="29" t="s">
        <v>127</v>
      </c>
      <c r="E13" s="29"/>
      <c r="F13" s="29"/>
      <c r="G13" s="28" t="s">
        <v>127</v>
      </c>
      <c r="H13" s="28" t="s">
        <v>127</v>
      </c>
      <c r="I13" s="28" t="s">
        <v>127</v>
      </c>
      <c r="J13" s="28"/>
      <c r="K13" s="29" t="s">
        <v>127</v>
      </c>
      <c r="L13" s="29" t="s">
        <v>127</v>
      </c>
      <c r="M13" s="28" t="s">
        <v>127</v>
      </c>
      <c r="N13" s="28"/>
      <c r="O13" s="28"/>
      <c r="P13" s="80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 t="s">
        <v>127</v>
      </c>
      <c r="AB13" s="28"/>
      <c r="AC13" s="28"/>
      <c r="AD13" s="28"/>
      <c r="AE13" s="28"/>
      <c r="AF13" s="28"/>
      <c r="AG13" s="28"/>
      <c r="AH13" s="80"/>
    </row>
    <row r="14" spans="1:34">
      <c r="A14" s="26" t="s">
        <v>128</v>
      </c>
      <c r="B14" s="28" t="s">
        <v>124</v>
      </c>
      <c r="C14" s="28" t="s">
        <v>124</v>
      </c>
      <c r="D14" s="28" t="s">
        <v>124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124</v>
      </c>
      <c r="L14" s="28" t="s">
        <v>124</v>
      </c>
      <c r="M14" s="28" t="s">
        <v>127</v>
      </c>
      <c r="N14" s="28"/>
      <c r="O14" s="28"/>
      <c r="P14" s="80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124</v>
      </c>
      <c r="AB14" s="28"/>
      <c r="AC14" s="28"/>
      <c r="AD14" s="28"/>
      <c r="AE14" s="28"/>
      <c r="AF14" s="28"/>
      <c r="AG14" s="28"/>
      <c r="AH14" s="80"/>
    </row>
    <row r="15" spans="1:34">
      <c r="A15" s="26" t="s">
        <v>129</v>
      </c>
      <c r="B15" s="28" t="s">
        <v>149</v>
      </c>
      <c r="C15" s="28" t="s">
        <v>150</v>
      </c>
      <c r="D15" s="28" t="s">
        <v>150</v>
      </c>
      <c r="E15" s="28"/>
      <c r="F15" s="28"/>
      <c r="G15" s="28" t="s">
        <v>216</v>
      </c>
      <c r="H15" s="28" t="s">
        <v>343</v>
      </c>
      <c r="I15" s="28" t="s">
        <v>343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80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80"/>
    </row>
    <row r="16" spans="1:34">
      <c r="A16" s="26" t="s">
        <v>130</v>
      </c>
      <c r="B16" s="30">
        <v>0.75</v>
      </c>
      <c r="C16" s="30">
        <v>0</v>
      </c>
      <c r="D16" s="30">
        <v>0</v>
      </c>
      <c r="E16" s="30"/>
      <c r="F16" s="30"/>
      <c r="G16" s="30">
        <v>-3</v>
      </c>
      <c r="H16" s="30">
        <v>-6</v>
      </c>
      <c r="I16" s="30">
        <v>-6</v>
      </c>
      <c r="J16" s="30"/>
      <c r="K16" s="30">
        <v>0</v>
      </c>
      <c r="L16" s="30">
        <v>0</v>
      </c>
      <c r="M16" s="30">
        <v>-2</v>
      </c>
      <c r="N16" s="30"/>
      <c r="O16" s="30"/>
      <c r="P16" s="8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0</v>
      </c>
      <c r="AB16" s="30"/>
      <c r="AC16" s="30"/>
      <c r="AD16" s="30"/>
      <c r="AE16" s="30"/>
      <c r="AF16" s="30"/>
      <c r="AG16" s="30"/>
      <c r="AH16" s="82"/>
    </row>
    <row r="17" spans="1:34">
      <c r="A17" s="26" t="s">
        <v>131</v>
      </c>
      <c r="B17" s="28" t="s">
        <v>435</v>
      </c>
      <c r="C17" s="28" t="s">
        <v>435</v>
      </c>
      <c r="D17" s="28" t="s">
        <v>435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435</v>
      </c>
      <c r="L17" s="28" t="s">
        <v>435</v>
      </c>
      <c r="M17" s="28" t="s">
        <v>280</v>
      </c>
      <c r="N17" s="28"/>
      <c r="O17" s="28"/>
      <c r="P17" s="80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124" t="s">
        <v>1185</v>
      </c>
      <c r="AB17" s="28"/>
      <c r="AC17" s="28"/>
      <c r="AD17" s="28"/>
      <c r="AE17" s="28"/>
      <c r="AF17" s="28"/>
      <c r="AG17" s="28"/>
      <c r="AH17" s="80"/>
    </row>
    <row r="18" spans="1:34">
      <c r="A18" s="26" t="s">
        <v>133</v>
      </c>
      <c r="B18" s="30">
        <v>0.75</v>
      </c>
      <c r="C18" s="30">
        <v>0.75</v>
      </c>
      <c r="D18" s="30">
        <v>0.75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0.75</v>
      </c>
      <c r="L18" s="30">
        <v>0.75</v>
      </c>
      <c r="M18" s="30">
        <v>0.5</v>
      </c>
      <c r="N18" s="30"/>
      <c r="O18" s="30"/>
      <c r="P18" s="8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0.75*5/4</f>
        <v>0.9375</v>
      </c>
      <c r="AB18" s="30"/>
      <c r="AC18" s="30"/>
      <c r="AD18" s="30"/>
      <c r="AE18" s="30"/>
      <c r="AF18" s="30"/>
      <c r="AG18" s="30"/>
      <c r="AH18" s="82"/>
    </row>
    <row r="20" spans="1:34">
      <c r="A20" s="26" t="s">
        <v>117</v>
      </c>
      <c r="B20" s="28" t="s">
        <v>1055</v>
      </c>
      <c r="C20" s="80"/>
      <c r="D20" s="80"/>
      <c r="E20" s="28"/>
      <c r="F20" s="28"/>
      <c r="G20" s="80"/>
      <c r="H20" s="80"/>
      <c r="I20" s="80"/>
      <c r="J20" s="28"/>
      <c r="K20" s="125"/>
      <c r="L20" s="125"/>
      <c r="M20" s="125"/>
      <c r="N20" s="28"/>
      <c r="O20" s="28"/>
      <c r="P20" s="28" t="s">
        <v>422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28" t="s">
        <v>889</v>
      </c>
    </row>
    <row r="21" spans="1:34">
      <c r="A21" s="26" t="s">
        <v>121</v>
      </c>
      <c r="B21" s="28" t="s">
        <v>269</v>
      </c>
      <c r="C21" s="80"/>
      <c r="D21" s="80"/>
      <c r="E21" s="28"/>
      <c r="F21" s="28"/>
      <c r="G21" s="80"/>
      <c r="H21" s="80"/>
      <c r="I21" s="80"/>
      <c r="J21" s="29"/>
      <c r="K21" s="125"/>
      <c r="L21" s="125"/>
      <c r="M21" s="125"/>
      <c r="N21" s="29"/>
      <c r="O21" s="29"/>
      <c r="P21" s="28" t="s">
        <v>269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0"/>
      <c r="AB21" s="29"/>
      <c r="AC21" s="29"/>
      <c r="AD21" s="29"/>
      <c r="AE21" s="29"/>
      <c r="AF21" s="29"/>
      <c r="AG21" s="29"/>
      <c r="AH21" s="28" t="s">
        <v>560</v>
      </c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80"/>
      <c r="D23" s="80"/>
      <c r="E23" s="28"/>
      <c r="F23" s="28"/>
      <c r="G23" s="80"/>
      <c r="H23" s="80"/>
      <c r="I23" s="80"/>
      <c r="J23" s="28"/>
      <c r="K23" s="125"/>
      <c r="L23" s="125"/>
      <c r="M23" s="125"/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29" t="s">
        <v>215</v>
      </c>
    </row>
    <row r="24" spans="1:34">
      <c r="A24" s="26" t="s">
        <v>125</v>
      </c>
      <c r="B24" s="28" t="s">
        <v>124</v>
      </c>
      <c r="C24" s="80"/>
      <c r="D24" s="80"/>
      <c r="E24" s="28"/>
      <c r="F24" s="28"/>
      <c r="G24" s="80"/>
      <c r="H24" s="80"/>
      <c r="I24" s="80"/>
      <c r="J24" s="28"/>
      <c r="K24" s="125"/>
      <c r="L24" s="125"/>
      <c r="M24" s="125"/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28" t="s">
        <v>124</v>
      </c>
    </row>
    <row r="25" spans="1:34">
      <c r="A25" s="26" t="s">
        <v>126</v>
      </c>
      <c r="B25" s="28" t="s">
        <v>127</v>
      </c>
      <c r="C25" s="80"/>
      <c r="D25" s="80"/>
      <c r="E25" s="28"/>
      <c r="F25" s="28"/>
      <c r="G25" s="80"/>
      <c r="H25" s="80"/>
      <c r="I25" s="80"/>
      <c r="J25" s="28"/>
      <c r="K25" s="125"/>
      <c r="L25" s="125"/>
      <c r="M25" s="125"/>
      <c r="N25" s="28"/>
      <c r="O25" s="28"/>
      <c r="P25" s="28" t="s">
        <v>127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28" t="s">
        <v>127</v>
      </c>
    </row>
    <row r="26" spans="1:34">
      <c r="A26" s="26" t="s">
        <v>128</v>
      </c>
      <c r="B26" s="28" t="s">
        <v>127</v>
      </c>
      <c r="C26" s="80"/>
      <c r="D26" s="80"/>
      <c r="E26" s="28"/>
      <c r="F26" s="28"/>
      <c r="G26" s="80"/>
      <c r="H26" s="80"/>
      <c r="I26" s="80"/>
      <c r="J26" s="28"/>
      <c r="K26" s="125"/>
      <c r="L26" s="125"/>
      <c r="M26" s="125"/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28" t="s">
        <v>127</v>
      </c>
    </row>
    <row r="27" spans="1:34">
      <c r="A27" s="26" t="s">
        <v>129</v>
      </c>
      <c r="B27" s="28" t="s">
        <v>150</v>
      </c>
      <c r="C27" s="80"/>
      <c r="D27" s="80"/>
      <c r="E27" s="28"/>
      <c r="F27" s="28"/>
      <c r="G27" s="80"/>
      <c r="H27" s="80"/>
      <c r="I27" s="80"/>
      <c r="J27" s="28"/>
      <c r="K27" s="125"/>
      <c r="L27" s="125"/>
      <c r="M27" s="125"/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28" t="s">
        <v>150</v>
      </c>
    </row>
    <row r="28" spans="1:34">
      <c r="A28" s="26" t="s">
        <v>130</v>
      </c>
      <c r="B28" s="30">
        <v>-2</v>
      </c>
      <c r="C28" s="82"/>
      <c r="D28" s="82"/>
      <c r="E28" s="30"/>
      <c r="F28" s="30"/>
      <c r="G28" s="82"/>
      <c r="H28" s="82"/>
      <c r="I28" s="82"/>
      <c r="J28" s="30"/>
      <c r="K28" s="127"/>
      <c r="L28" s="127"/>
      <c r="M28" s="127"/>
      <c r="N28" s="30"/>
      <c r="O28" s="30"/>
      <c r="P28" s="30">
        <v>-2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30">
        <v>-2</v>
      </c>
    </row>
    <row r="29" spans="1:34">
      <c r="A29" s="26" t="s">
        <v>131</v>
      </c>
      <c r="B29" s="28" t="s">
        <v>280</v>
      </c>
      <c r="C29" s="80"/>
      <c r="D29" s="80"/>
      <c r="E29" s="28"/>
      <c r="F29" s="28"/>
      <c r="G29" s="80"/>
      <c r="H29" s="80"/>
      <c r="I29" s="80"/>
      <c r="J29" s="28"/>
      <c r="K29" s="125"/>
      <c r="L29" s="125"/>
      <c r="M29" s="125"/>
      <c r="N29" s="28"/>
      <c r="O29" s="28"/>
      <c r="P29" s="28" t="s">
        <v>280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103" t="s">
        <v>483</v>
      </c>
    </row>
    <row r="30" spans="1:34">
      <c r="A30" s="26" t="s">
        <v>133</v>
      </c>
      <c r="B30" s="30">
        <v>0.5</v>
      </c>
      <c r="C30" s="82"/>
      <c r="D30" s="82"/>
      <c r="E30" s="30"/>
      <c r="F30" s="30"/>
      <c r="G30" s="82"/>
      <c r="H30" s="82"/>
      <c r="I30" s="82"/>
      <c r="J30" s="30"/>
      <c r="K30" s="127"/>
      <c r="L30" s="127"/>
      <c r="M30" s="127"/>
      <c r="N30" s="30"/>
      <c r="O30" s="30"/>
      <c r="P30" s="30">
        <v>0.5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30">
        <f>AVERAGE(0.5,0)</f>
        <v>0.25</v>
      </c>
    </row>
    <row r="32" spans="1:34">
      <c r="A32" s="31" t="s">
        <v>134</v>
      </c>
    </row>
    <row r="33" spans="1:2">
      <c r="A33" s="26" t="s">
        <v>1186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500E-EE5D-4C13-B408-B37285C0DF46}">
  <dimension ref="A1:AH3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1047</v>
      </c>
    </row>
    <row r="3" spans="1:34" ht="17.45">
      <c r="A3" s="25" t="s">
        <v>77</v>
      </c>
      <c r="B3" s="203">
        <v>89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1179</v>
      </c>
      <c r="C4" s="203"/>
      <c r="D4" s="203"/>
      <c r="F4" s="204" t="s">
        <v>1187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1188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409</v>
      </c>
      <c r="C8" s="28" t="s">
        <v>1181</v>
      </c>
      <c r="D8" s="28" t="s">
        <v>1181</v>
      </c>
      <c r="E8" s="28"/>
      <c r="F8" s="28"/>
      <c r="G8" s="29" t="s">
        <v>269</v>
      </c>
      <c r="H8" s="29" t="s">
        <v>269</v>
      </c>
      <c r="I8" s="29" t="s">
        <v>269</v>
      </c>
      <c r="J8" s="28"/>
      <c r="K8" s="28" t="s">
        <v>422</v>
      </c>
      <c r="L8" s="28" t="s">
        <v>422</v>
      </c>
      <c r="M8" s="28" t="s">
        <v>422</v>
      </c>
      <c r="N8" s="28"/>
      <c r="O8" s="28"/>
      <c r="P8" s="80"/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1182</v>
      </c>
      <c r="AB8" s="28"/>
      <c r="AC8" s="28"/>
      <c r="AD8" s="28"/>
      <c r="AE8" s="28"/>
      <c r="AF8" s="28"/>
      <c r="AG8" s="28"/>
      <c r="AH8" s="125"/>
    </row>
    <row r="9" spans="1:34">
      <c r="A9" s="26" t="s">
        <v>121</v>
      </c>
      <c r="B9" s="28" t="s">
        <v>419</v>
      </c>
      <c r="C9" s="28" t="s">
        <v>1183</v>
      </c>
      <c r="D9" s="28" t="s">
        <v>1183</v>
      </c>
      <c r="E9" s="28"/>
      <c r="F9" s="28"/>
      <c r="G9" s="29" t="s">
        <v>263</v>
      </c>
      <c r="H9" s="28" t="s">
        <v>341</v>
      </c>
      <c r="I9" s="28" t="s">
        <v>341</v>
      </c>
      <c r="J9" s="29"/>
      <c r="K9" s="28" t="s">
        <v>1183</v>
      </c>
      <c r="L9" s="28" t="s">
        <v>1183</v>
      </c>
      <c r="M9" s="28" t="s">
        <v>269</v>
      </c>
      <c r="N9" s="29"/>
      <c r="O9" s="29"/>
      <c r="P9" s="80"/>
      <c r="Q9" s="29"/>
      <c r="R9" s="29"/>
      <c r="S9" s="29"/>
      <c r="T9" s="29"/>
      <c r="U9" s="29"/>
      <c r="V9" s="29"/>
      <c r="W9" s="29"/>
      <c r="X9" s="29"/>
      <c r="Y9" s="29"/>
      <c r="Z9" s="29"/>
      <c r="AA9" s="124" t="s">
        <v>1184</v>
      </c>
      <c r="AB9" s="29"/>
      <c r="AC9" s="29"/>
      <c r="AD9" s="29"/>
      <c r="AE9" s="29"/>
      <c r="AF9" s="29"/>
      <c r="AG9" s="29"/>
      <c r="AH9" s="125"/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80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125"/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127</v>
      </c>
      <c r="H12" s="29" t="s">
        <v>124</v>
      </c>
      <c r="I12" s="29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80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125"/>
    </row>
    <row r="13" spans="1:34">
      <c r="A13" s="26" t="s">
        <v>126</v>
      </c>
      <c r="B13" s="28" t="s">
        <v>127</v>
      </c>
      <c r="C13" s="29" t="s">
        <v>127</v>
      </c>
      <c r="D13" s="29" t="s">
        <v>127</v>
      </c>
      <c r="E13" s="29"/>
      <c r="F13" s="29"/>
      <c r="G13" s="28" t="s">
        <v>127</v>
      </c>
      <c r="H13" s="28" t="s">
        <v>127</v>
      </c>
      <c r="I13" s="28" t="s">
        <v>127</v>
      </c>
      <c r="J13" s="28"/>
      <c r="K13" s="29" t="s">
        <v>127</v>
      </c>
      <c r="L13" s="29" t="s">
        <v>127</v>
      </c>
      <c r="M13" s="28" t="s">
        <v>127</v>
      </c>
      <c r="N13" s="28"/>
      <c r="O13" s="28"/>
      <c r="P13" s="80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 t="s">
        <v>127</v>
      </c>
      <c r="AB13" s="28"/>
      <c r="AC13" s="28"/>
      <c r="AD13" s="28"/>
      <c r="AE13" s="28"/>
      <c r="AF13" s="28"/>
      <c r="AG13" s="28"/>
      <c r="AH13" s="126"/>
    </row>
    <row r="14" spans="1:34">
      <c r="A14" s="26" t="s">
        <v>128</v>
      </c>
      <c r="B14" s="28" t="s">
        <v>124</v>
      </c>
      <c r="C14" s="28" t="s">
        <v>124</v>
      </c>
      <c r="D14" s="28" t="s">
        <v>124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124</v>
      </c>
      <c r="L14" s="28" t="s">
        <v>124</v>
      </c>
      <c r="M14" s="28" t="s">
        <v>127</v>
      </c>
      <c r="N14" s="28"/>
      <c r="O14" s="28"/>
      <c r="P14" s="80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124</v>
      </c>
      <c r="AB14" s="28"/>
      <c r="AC14" s="28"/>
      <c r="AD14" s="28"/>
      <c r="AE14" s="28"/>
      <c r="AF14" s="28"/>
      <c r="AG14" s="28"/>
      <c r="AH14" s="125"/>
    </row>
    <row r="15" spans="1:34">
      <c r="A15" s="26" t="s">
        <v>129</v>
      </c>
      <c r="B15" s="28" t="s">
        <v>149</v>
      </c>
      <c r="C15" s="28" t="s">
        <v>150</v>
      </c>
      <c r="D15" s="28" t="s">
        <v>150</v>
      </c>
      <c r="E15" s="28"/>
      <c r="F15" s="28"/>
      <c r="G15" s="28" t="s">
        <v>216</v>
      </c>
      <c r="H15" s="28" t="s">
        <v>343</v>
      </c>
      <c r="I15" s="28" t="s">
        <v>343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80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125"/>
    </row>
    <row r="16" spans="1:34">
      <c r="A16" s="26" t="s">
        <v>130</v>
      </c>
      <c r="B16" s="30">
        <v>0.75</v>
      </c>
      <c r="C16" s="30">
        <v>0</v>
      </c>
      <c r="D16" s="30">
        <v>0</v>
      </c>
      <c r="E16" s="30"/>
      <c r="F16" s="30"/>
      <c r="G16" s="30">
        <v>-3</v>
      </c>
      <c r="H16" s="30">
        <v>-6</v>
      </c>
      <c r="I16" s="30">
        <v>-6</v>
      </c>
      <c r="J16" s="30"/>
      <c r="K16" s="30">
        <v>0</v>
      </c>
      <c r="L16" s="30">
        <v>0</v>
      </c>
      <c r="M16" s="30">
        <v>-2</v>
      </c>
      <c r="N16" s="30"/>
      <c r="O16" s="30"/>
      <c r="P16" s="8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0</v>
      </c>
      <c r="AB16" s="30"/>
      <c r="AC16" s="30"/>
      <c r="AD16" s="30"/>
      <c r="AE16" s="30"/>
      <c r="AF16" s="30"/>
      <c r="AG16" s="30"/>
      <c r="AH16" s="127"/>
    </row>
    <row r="17" spans="1:34">
      <c r="A17" s="26" t="s">
        <v>131</v>
      </c>
      <c r="B17" s="28" t="s">
        <v>435</v>
      </c>
      <c r="C17" s="28" t="s">
        <v>435</v>
      </c>
      <c r="D17" s="28" t="s">
        <v>435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435</v>
      </c>
      <c r="L17" s="28" t="s">
        <v>435</v>
      </c>
      <c r="M17" s="28" t="s">
        <v>280</v>
      </c>
      <c r="N17" s="28"/>
      <c r="O17" s="28"/>
      <c r="P17" s="80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124" t="s">
        <v>1185</v>
      </c>
      <c r="AB17" s="28"/>
      <c r="AC17" s="28"/>
      <c r="AD17" s="28"/>
      <c r="AE17" s="28"/>
      <c r="AF17" s="28"/>
      <c r="AG17" s="28"/>
      <c r="AH17" s="125"/>
    </row>
    <row r="18" spans="1:34">
      <c r="A18" s="26" t="s">
        <v>133</v>
      </c>
      <c r="B18" s="30">
        <v>0.75</v>
      </c>
      <c r="C18" s="30">
        <v>0.75</v>
      </c>
      <c r="D18" s="30">
        <v>0.75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0.75</v>
      </c>
      <c r="L18" s="30">
        <v>0.75</v>
      </c>
      <c r="M18" s="30">
        <v>0.5</v>
      </c>
      <c r="N18" s="30"/>
      <c r="O18" s="30"/>
      <c r="P18" s="8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0.75*5/4</f>
        <v>0.9375</v>
      </c>
      <c r="AB18" s="30"/>
      <c r="AC18" s="30"/>
      <c r="AD18" s="30"/>
      <c r="AE18" s="30"/>
      <c r="AF18" s="30"/>
      <c r="AG18" s="30"/>
      <c r="AH18" s="127"/>
    </row>
    <row r="20" spans="1:34">
      <c r="A20" s="26" t="s">
        <v>117</v>
      </c>
      <c r="B20" s="28" t="s">
        <v>1055</v>
      </c>
      <c r="C20" s="80"/>
      <c r="D20" s="80"/>
      <c r="E20" s="28"/>
      <c r="F20" s="28"/>
      <c r="G20" s="80"/>
      <c r="H20" s="80"/>
      <c r="I20" s="80"/>
      <c r="J20" s="28"/>
      <c r="K20" s="125"/>
      <c r="L20" s="125"/>
      <c r="M20" s="125"/>
      <c r="N20" s="28"/>
      <c r="O20" s="28"/>
      <c r="P20" s="28" t="s">
        <v>422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80"/>
      <c r="AB20" s="28"/>
      <c r="AC20" s="28"/>
      <c r="AD20" s="28"/>
      <c r="AE20" s="28"/>
      <c r="AF20" s="28"/>
      <c r="AG20" s="28"/>
      <c r="AH20" s="28" t="s">
        <v>502</v>
      </c>
    </row>
    <row r="21" spans="1:34">
      <c r="A21" s="26" t="s">
        <v>121</v>
      </c>
      <c r="B21" s="28" t="s">
        <v>269</v>
      </c>
      <c r="C21" s="80"/>
      <c r="D21" s="80"/>
      <c r="E21" s="28"/>
      <c r="F21" s="28"/>
      <c r="G21" s="80"/>
      <c r="H21" s="80"/>
      <c r="I21" s="80"/>
      <c r="J21" s="29"/>
      <c r="K21" s="125"/>
      <c r="L21" s="125"/>
      <c r="M21" s="125"/>
      <c r="N21" s="29"/>
      <c r="O21" s="29"/>
      <c r="P21" s="28" t="s">
        <v>269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80"/>
      <c r="AB21" s="29"/>
      <c r="AC21" s="29"/>
      <c r="AD21" s="29"/>
      <c r="AE21" s="29"/>
      <c r="AF21" s="29"/>
      <c r="AG21" s="29"/>
      <c r="AH21" s="28" t="s">
        <v>269</v>
      </c>
    </row>
    <row r="22" spans="1:34">
      <c r="A22" s="140" t="s">
        <v>122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</row>
    <row r="23" spans="1:34">
      <c r="A23" s="26" t="s">
        <v>123</v>
      </c>
      <c r="B23" s="28" t="s">
        <v>124</v>
      </c>
      <c r="C23" s="80"/>
      <c r="D23" s="80"/>
      <c r="E23" s="28"/>
      <c r="F23" s="28"/>
      <c r="G23" s="80"/>
      <c r="H23" s="80"/>
      <c r="I23" s="80"/>
      <c r="J23" s="28"/>
      <c r="K23" s="125"/>
      <c r="L23" s="125"/>
      <c r="M23" s="125"/>
      <c r="N23" s="28"/>
      <c r="O23" s="28"/>
      <c r="P23" s="28" t="s">
        <v>124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80"/>
      <c r="AB23" s="28"/>
      <c r="AC23" s="29"/>
      <c r="AD23" s="28"/>
      <c r="AE23" s="29"/>
      <c r="AF23" s="28"/>
      <c r="AG23" s="28"/>
      <c r="AH23" s="28" t="s">
        <v>124</v>
      </c>
    </row>
    <row r="24" spans="1:34">
      <c r="A24" s="26" t="s">
        <v>125</v>
      </c>
      <c r="B24" s="28" t="s">
        <v>124</v>
      </c>
      <c r="C24" s="80"/>
      <c r="D24" s="80"/>
      <c r="E24" s="28"/>
      <c r="F24" s="28"/>
      <c r="G24" s="80"/>
      <c r="H24" s="80"/>
      <c r="I24" s="80"/>
      <c r="J24" s="28"/>
      <c r="K24" s="125"/>
      <c r="L24" s="125"/>
      <c r="M24" s="125"/>
      <c r="N24" s="28"/>
      <c r="O24" s="28"/>
      <c r="P24" s="28" t="s">
        <v>124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80"/>
      <c r="AB24" s="28"/>
      <c r="AC24" s="28"/>
      <c r="AD24" s="28"/>
      <c r="AE24" s="28"/>
      <c r="AF24" s="28"/>
      <c r="AG24" s="28"/>
      <c r="AH24" s="28" t="s">
        <v>124</v>
      </c>
    </row>
    <row r="25" spans="1:34">
      <c r="A25" s="26" t="s">
        <v>126</v>
      </c>
      <c r="B25" s="28" t="s">
        <v>127</v>
      </c>
      <c r="C25" s="80"/>
      <c r="D25" s="80"/>
      <c r="E25" s="28"/>
      <c r="F25" s="28"/>
      <c r="G25" s="80"/>
      <c r="H25" s="80"/>
      <c r="I25" s="80"/>
      <c r="J25" s="28"/>
      <c r="K25" s="125"/>
      <c r="L25" s="125"/>
      <c r="M25" s="125"/>
      <c r="N25" s="28"/>
      <c r="O25" s="28"/>
      <c r="P25" s="28" t="s">
        <v>127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80"/>
      <c r="AB25" s="28"/>
      <c r="AC25" s="28"/>
      <c r="AD25" s="28"/>
      <c r="AE25" s="28"/>
      <c r="AF25" s="28"/>
      <c r="AG25" s="28"/>
      <c r="AH25" s="28" t="s">
        <v>127</v>
      </c>
    </row>
    <row r="26" spans="1:34">
      <c r="A26" s="26" t="s">
        <v>128</v>
      </c>
      <c r="B26" s="28" t="s">
        <v>127</v>
      </c>
      <c r="C26" s="80"/>
      <c r="D26" s="80"/>
      <c r="E26" s="28"/>
      <c r="F26" s="28"/>
      <c r="G26" s="80"/>
      <c r="H26" s="80"/>
      <c r="I26" s="80"/>
      <c r="J26" s="28"/>
      <c r="K26" s="125"/>
      <c r="L26" s="125"/>
      <c r="M26" s="125"/>
      <c r="N26" s="28"/>
      <c r="O26" s="28"/>
      <c r="P26" s="28" t="s">
        <v>127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80"/>
      <c r="AB26" s="28"/>
      <c r="AC26" s="28"/>
      <c r="AD26" s="28"/>
      <c r="AE26" s="28"/>
      <c r="AF26" s="28"/>
      <c r="AG26" s="28"/>
      <c r="AH26" s="28" t="s">
        <v>127</v>
      </c>
    </row>
    <row r="27" spans="1:34">
      <c r="A27" s="26" t="s">
        <v>129</v>
      </c>
      <c r="B27" s="28" t="s">
        <v>150</v>
      </c>
      <c r="C27" s="80"/>
      <c r="D27" s="80"/>
      <c r="E27" s="28"/>
      <c r="F27" s="28"/>
      <c r="G27" s="80"/>
      <c r="H27" s="80"/>
      <c r="I27" s="80"/>
      <c r="J27" s="28"/>
      <c r="K27" s="125"/>
      <c r="L27" s="125"/>
      <c r="M27" s="125"/>
      <c r="N27" s="28"/>
      <c r="O27" s="28"/>
      <c r="P27" s="28" t="s">
        <v>150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80"/>
      <c r="AB27" s="28"/>
      <c r="AC27" s="28"/>
      <c r="AD27" s="28"/>
      <c r="AE27" s="28"/>
      <c r="AF27" s="28"/>
      <c r="AG27" s="28"/>
      <c r="AH27" s="28" t="s">
        <v>150</v>
      </c>
    </row>
    <row r="28" spans="1:34">
      <c r="A28" s="26" t="s">
        <v>130</v>
      </c>
      <c r="B28" s="30">
        <v>-2</v>
      </c>
      <c r="C28" s="82"/>
      <c r="D28" s="82"/>
      <c r="E28" s="30"/>
      <c r="F28" s="30"/>
      <c r="G28" s="82"/>
      <c r="H28" s="82"/>
      <c r="I28" s="82"/>
      <c r="J28" s="30"/>
      <c r="K28" s="127"/>
      <c r="L28" s="127"/>
      <c r="M28" s="127"/>
      <c r="N28" s="30"/>
      <c r="O28" s="30"/>
      <c r="P28" s="30">
        <v>-2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82"/>
      <c r="AB28" s="30"/>
      <c r="AC28" s="30"/>
      <c r="AD28" s="30"/>
      <c r="AE28" s="30"/>
      <c r="AF28" s="30"/>
      <c r="AG28" s="30"/>
      <c r="AH28" s="30">
        <v>-2</v>
      </c>
    </row>
    <row r="29" spans="1:34">
      <c r="A29" s="26" t="s">
        <v>131</v>
      </c>
      <c r="B29" s="28" t="s">
        <v>280</v>
      </c>
      <c r="C29" s="80"/>
      <c r="D29" s="80"/>
      <c r="E29" s="28"/>
      <c r="F29" s="28"/>
      <c r="G29" s="80"/>
      <c r="H29" s="80"/>
      <c r="I29" s="80"/>
      <c r="J29" s="28"/>
      <c r="K29" s="125"/>
      <c r="L29" s="125"/>
      <c r="M29" s="125"/>
      <c r="N29" s="28"/>
      <c r="O29" s="28"/>
      <c r="P29" s="28" t="s">
        <v>280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80"/>
      <c r="AB29" s="28"/>
      <c r="AC29" s="28"/>
      <c r="AD29" s="28"/>
      <c r="AE29" s="28"/>
      <c r="AF29" s="28"/>
      <c r="AG29" s="28"/>
      <c r="AH29" s="28" t="s">
        <v>280</v>
      </c>
    </row>
    <row r="30" spans="1:34">
      <c r="A30" s="26" t="s">
        <v>133</v>
      </c>
      <c r="B30" s="30">
        <v>0.5</v>
      </c>
      <c r="C30" s="82"/>
      <c r="D30" s="82"/>
      <c r="E30" s="30"/>
      <c r="F30" s="30"/>
      <c r="G30" s="82"/>
      <c r="H30" s="82"/>
      <c r="I30" s="82"/>
      <c r="J30" s="30"/>
      <c r="K30" s="127"/>
      <c r="L30" s="127"/>
      <c r="M30" s="127"/>
      <c r="N30" s="30"/>
      <c r="O30" s="30"/>
      <c r="P30" s="30">
        <v>0.5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82"/>
      <c r="AB30" s="30"/>
      <c r="AC30" s="30"/>
      <c r="AD30" s="30"/>
      <c r="AE30" s="30"/>
      <c r="AF30" s="30"/>
      <c r="AG30" s="30"/>
      <c r="AH30" s="30">
        <v>0.5</v>
      </c>
    </row>
    <row r="32" spans="1:34">
      <c r="A32" s="31" t="s">
        <v>134</v>
      </c>
    </row>
    <row r="33" spans="1:2">
      <c r="A33" s="26" t="s">
        <v>1189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ED13-2D05-47E1-92DE-B8DF445824F2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1191</v>
      </c>
      <c r="C4" s="203"/>
      <c r="D4" s="203"/>
      <c r="F4" s="204" t="s">
        <v>1192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1054</v>
      </c>
      <c r="C8" s="28" t="s">
        <v>498</v>
      </c>
      <c r="D8" s="28" t="s">
        <v>498</v>
      </c>
      <c r="E8" s="28" t="s">
        <v>498</v>
      </c>
      <c r="F8" s="28" t="s">
        <v>498</v>
      </c>
      <c r="G8" s="28" t="s">
        <v>498</v>
      </c>
      <c r="H8" s="28" t="s">
        <v>498</v>
      </c>
      <c r="I8" s="28" t="s">
        <v>498</v>
      </c>
      <c r="J8" s="28" t="s">
        <v>498</v>
      </c>
      <c r="K8" s="28" t="s">
        <v>498</v>
      </c>
      <c r="L8" s="28" t="s">
        <v>498</v>
      </c>
      <c r="M8" s="28" t="s">
        <v>498</v>
      </c>
      <c r="N8" s="28" t="s">
        <v>498</v>
      </c>
      <c r="O8" s="28" t="s">
        <v>498</v>
      </c>
      <c r="P8" s="28" t="s">
        <v>498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1052</v>
      </c>
      <c r="AB8" s="28"/>
      <c r="AC8" s="28"/>
      <c r="AD8" s="28"/>
      <c r="AE8" s="28"/>
      <c r="AF8" s="28"/>
      <c r="AG8" s="28"/>
      <c r="AH8" s="28" t="s">
        <v>498</v>
      </c>
    </row>
    <row r="9" spans="1:34">
      <c r="A9" s="26" t="s">
        <v>121</v>
      </c>
      <c r="B9" s="28" t="s">
        <v>1052</v>
      </c>
      <c r="C9" s="28" t="s">
        <v>498</v>
      </c>
      <c r="D9" s="28" t="s">
        <v>498</v>
      </c>
      <c r="E9" s="28"/>
      <c r="F9" s="28"/>
      <c r="G9" s="28" t="s">
        <v>498</v>
      </c>
      <c r="H9" s="28" t="s">
        <v>498</v>
      </c>
      <c r="I9" s="28" t="s">
        <v>498</v>
      </c>
      <c r="J9" s="29"/>
      <c r="K9" s="28" t="s">
        <v>498</v>
      </c>
      <c r="L9" s="28" t="s">
        <v>498</v>
      </c>
      <c r="M9" s="28" t="s">
        <v>498</v>
      </c>
      <c r="N9" s="29"/>
      <c r="O9" s="29"/>
      <c r="P9" s="28" t="s">
        <v>498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1052</v>
      </c>
      <c r="AB9" s="29"/>
      <c r="AC9" s="29"/>
      <c r="AD9" s="29"/>
      <c r="AE9" s="29"/>
      <c r="AF9" s="29"/>
      <c r="AG9" s="29"/>
      <c r="AH9" s="28" t="s">
        <v>498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/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/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/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v>3</v>
      </c>
      <c r="M16" s="30">
        <v>3</v>
      </c>
      <c r="N16" s="30"/>
      <c r="O16" s="30"/>
      <c r="P16" s="30">
        <v>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3</v>
      </c>
    </row>
    <row r="17" spans="1:34">
      <c r="A17" s="26" t="s">
        <v>131</v>
      </c>
      <c r="B17" s="28" t="s">
        <v>1054</v>
      </c>
      <c r="C17" s="28" t="s">
        <v>132</v>
      </c>
      <c r="D17" s="28" t="s">
        <v>132</v>
      </c>
      <c r="E17" s="28"/>
      <c r="F17" s="28"/>
      <c r="G17" s="28" t="s">
        <v>132</v>
      </c>
      <c r="H17" s="28" t="s">
        <v>132</v>
      </c>
      <c r="I17" s="28" t="s">
        <v>132</v>
      </c>
      <c r="J17" s="28"/>
      <c r="K17" s="28" t="s">
        <v>132</v>
      </c>
      <c r="L17" s="28" t="s">
        <v>132</v>
      </c>
      <c r="M17" s="28" t="s">
        <v>132</v>
      </c>
      <c r="N17" s="28"/>
      <c r="O17" s="28"/>
      <c r="P17" s="28" t="s">
        <v>132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5</v>
      </c>
      <c r="C18" s="30">
        <v>4</v>
      </c>
      <c r="D18" s="30">
        <v>4</v>
      </c>
      <c r="E18" s="30"/>
      <c r="F18" s="30"/>
      <c r="G18" s="30">
        <v>4</v>
      </c>
      <c r="H18" s="30">
        <v>4</v>
      </c>
      <c r="I18" s="30">
        <v>4</v>
      </c>
      <c r="J18" s="30"/>
      <c r="K18" s="30">
        <v>4</v>
      </c>
      <c r="L18" s="30">
        <v>4</v>
      </c>
      <c r="M18" s="30">
        <v>4</v>
      </c>
      <c r="N18" s="30"/>
      <c r="O18" s="30"/>
      <c r="P18" s="30">
        <v>4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6" t="s">
        <v>1193</v>
      </c>
      <c r="B21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585C-1ED7-4A97-88D4-4BBCAB7A3A92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1195</v>
      </c>
      <c r="C4" s="203"/>
      <c r="D4" s="203"/>
      <c r="F4" s="204" t="s">
        <v>1196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1197</v>
      </c>
      <c r="C8" s="29" t="s">
        <v>119</v>
      </c>
      <c r="D8" s="29" t="s">
        <v>119</v>
      </c>
      <c r="E8" s="29"/>
      <c r="F8" s="29"/>
      <c r="G8" s="29" t="s">
        <v>119</v>
      </c>
      <c r="H8" s="29" t="s">
        <v>119</v>
      </c>
      <c r="I8" s="29" t="s">
        <v>119</v>
      </c>
      <c r="J8" s="28"/>
      <c r="K8" s="29" t="s">
        <v>119</v>
      </c>
      <c r="L8" s="29" t="s">
        <v>119</v>
      </c>
      <c r="M8" s="29" t="s">
        <v>119</v>
      </c>
      <c r="N8" s="28"/>
      <c r="O8" s="28"/>
      <c r="P8" s="29" t="s">
        <v>119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1198</v>
      </c>
      <c r="AB8" s="28"/>
      <c r="AC8" s="28"/>
      <c r="AD8" s="28"/>
      <c r="AE8" s="28"/>
      <c r="AF8" s="28"/>
      <c r="AG8" s="28"/>
      <c r="AH8" s="29" t="s">
        <v>119</v>
      </c>
    </row>
    <row r="9" spans="1:34">
      <c r="A9" s="26" t="s">
        <v>121</v>
      </c>
      <c r="B9" s="28" t="s">
        <v>1064</v>
      </c>
      <c r="C9" s="28" t="s">
        <v>845</v>
      </c>
      <c r="D9" s="28" t="s">
        <v>119</v>
      </c>
      <c r="E9" s="29"/>
      <c r="F9" s="29"/>
      <c r="G9" s="28" t="s">
        <v>846</v>
      </c>
      <c r="H9" s="28" t="s">
        <v>846</v>
      </c>
      <c r="I9" s="28" t="s">
        <v>846</v>
      </c>
      <c r="J9" s="29"/>
      <c r="K9" s="28" t="s">
        <v>847</v>
      </c>
      <c r="L9" s="29" t="s">
        <v>848</v>
      </c>
      <c r="M9" s="28" t="s">
        <v>849</v>
      </c>
      <c r="N9" s="29"/>
      <c r="O9" s="29"/>
      <c r="P9" s="28" t="s">
        <v>119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1198</v>
      </c>
      <c r="AB9" s="29"/>
      <c r="AC9" s="29"/>
      <c r="AD9" s="29"/>
      <c r="AE9" s="29"/>
      <c r="AF9" s="29"/>
      <c r="AG9" s="29"/>
      <c r="AH9" s="28" t="s">
        <v>119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9" t="s">
        <v>124</v>
      </c>
      <c r="D11" s="29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29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/>
      <c r="AH11" s="29" t="s">
        <v>124</v>
      </c>
    </row>
    <row r="12" spans="1:34">
      <c r="A12" s="26" t="s">
        <v>125</v>
      </c>
      <c r="B12" s="28" t="s">
        <v>124</v>
      </c>
      <c r="C12" s="29" t="s">
        <v>124</v>
      </c>
      <c r="D12" s="29" t="s">
        <v>124</v>
      </c>
      <c r="E12" s="28"/>
      <c r="F12" s="28"/>
      <c r="G12" s="29" t="s">
        <v>124</v>
      </c>
      <c r="H12" s="29" t="s">
        <v>124</v>
      </c>
      <c r="I12" s="29" t="s">
        <v>124</v>
      </c>
      <c r="J12" s="28"/>
      <c r="K12" s="29" t="s">
        <v>124</v>
      </c>
      <c r="L12" s="29" t="s">
        <v>124</v>
      </c>
      <c r="M12" s="29" t="s">
        <v>124</v>
      </c>
      <c r="N12" s="28"/>
      <c r="O12" s="28"/>
      <c r="P12" s="29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124</v>
      </c>
      <c r="AB12" s="28"/>
      <c r="AC12" s="28"/>
      <c r="AD12" s="28"/>
      <c r="AE12" s="28"/>
      <c r="AF12" s="28"/>
      <c r="AG12" s="28"/>
      <c r="AH12" s="29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/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/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v>3</v>
      </c>
      <c r="M16" s="30">
        <v>3</v>
      </c>
      <c r="N16" s="30"/>
      <c r="O16" s="30"/>
      <c r="P16" s="30">
        <v>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3</v>
      </c>
    </row>
    <row r="17" spans="1:34">
      <c r="A17" s="26" t="s">
        <v>131</v>
      </c>
      <c r="B17" s="28" t="s">
        <v>1054</v>
      </c>
      <c r="C17" s="28" t="s">
        <v>180</v>
      </c>
      <c r="D17" s="28" t="s">
        <v>132</v>
      </c>
      <c r="E17" s="28"/>
      <c r="F17" s="28"/>
      <c r="G17" s="28" t="s">
        <v>280</v>
      </c>
      <c r="H17" s="28" t="s">
        <v>280</v>
      </c>
      <c r="I17" s="28" t="s">
        <v>280</v>
      </c>
      <c r="J17" s="28"/>
      <c r="K17" s="28" t="s">
        <v>850</v>
      </c>
      <c r="L17" s="28" t="s">
        <v>304</v>
      </c>
      <c r="M17" s="28" t="s">
        <v>353</v>
      </c>
      <c r="N17" s="28"/>
      <c r="O17" s="28"/>
      <c r="P17" s="28" t="s">
        <v>132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1199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5</v>
      </c>
      <c r="C18" s="30">
        <v>2</v>
      </c>
      <c r="D18" s="30">
        <v>4</v>
      </c>
      <c r="E18" s="30"/>
      <c r="F18" s="30"/>
      <c r="G18" s="30">
        <v>0.5</v>
      </c>
      <c r="H18" s="30">
        <v>0.5</v>
      </c>
      <c r="I18" s="30">
        <v>0.5</v>
      </c>
      <c r="J18" s="30"/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4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AVERAGE(5,4)</f>
        <v>4.5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6" t="s">
        <v>1200</v>
      </c>
      <c r="B21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6CC0-9210-4677-B488-EB174CFE8D38}">
  <dimension ref="A1:AK22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7">
      <c r="A1" s="25" t="s">
        <v>74</v>
      </c>
      <c r="D1" s="25" t="s">
        <v>840</v>
      </c>
      <c r="I1" s="25" t="s">
        <v>1190</v>
      </c>
    </row>
    <row r="3" spans="1:37" ht="17.45">
      <c r="A3" s="25" t="s">
        <v>77</v>
      </c>
      <c r="B3" s="203">
        <v>92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1201</v>
      </c>
      <c r="C4" s="203"/>
      <c r="D4" s="203"/>
      <c r="F4" s="204" t="s">
        <v>1202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7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32" t="s">
        <v>86</v>
      </c>
      <c r="AK7" s="53" t="s">
        <v>116</v>
      </c>
    </row>
    <row r="8" spans="1:37">
      <c r="A8" s="26" t="s">
        <v>117</v>
      </c>
      <c r="B8" s="29" t="s">
        <v>1203</v>
      </c>
      <c r="C8" s="29" t="s">
        <v>143</v>
      </c>
      <c r="D8" s="29" t="s">
        <v>143</v>
      </c>
      <c r="E8" s="29" t="s">
        <v>143</v>
      </c>
      <c r="F8" s="29" t="s">
        <v>143</v>
      </c>
      <c r="G8" s="29" t="s">
        <v>143</v>
      </c>
      <c r="H8" s="29" t="s">
        <v>143</v>
      </c>
      <c r="I8" s="29" t="s">
        <v>143</v>
      </c>
      <c r="J8" s="29" t="s">
        <v>143</v>
      </c>
      <c r="K8" s="29" t="s">
        <v>143</v>
      </c>
      <c r="L8" s="29" t="s">
        <v>143</v>
      </c>
      <c r="M8" s="29" t="s">
        <v>143</v>
      </c>
      <c r="N8" s="29" t="s">
        <v>143</v>
      </c>
      <c r="O8" s="29" t="s">
        <v>143</v>
      </c>
      <c r="P8" s="29" t="s">
        <v>143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1204</v>
      </c>
      <c r="AB8" s="28"/>
      <c r="AC8" s="28"/>
      <c r="AD8" s="28"/>
      <c r="AE8" s="28"/>
      <c r="AF8" s="28"/>
      <c r="AG8" s="28"/>
      <c r="AH8" s="29" t="s">
        <v>143</v>
      </c>
      <c r="AJ8" s="29" t="s">
        <v>143</v>
      </c>
      <c r="AK8" s="28" t="s">
        <v>145</v>
      </c>
    </row>
    <row r="9" spans="1:37">
      <c r="A9" s="26" t="s">
        <v>121</v>
      </c>
      <c r="B9" s="29" t="s">
        <v>1205</v>
      </c>
      <c r="C9" s="29" t="s">
        <v>146</v>
      </c>
      <c r="D9" s="29" t="s">
        <v>146</v>
      </c>
      <c r="E9" s="29"/>
      <c r="F9" s="29"/>
      <c r="G9" s="29" t="s">
        <v>146</v>
      </c>
      <c r="H9" s="29" t="s">
        <v>146</v>
      </c>
      <c r="I9" s="29" t="s">
        <v>146</v>
      </c>
      <c r="J9" s="29"/>
      <c r="K9" s="29" t="s">
        <v>146</v>
      </c>
      <c r="L9" s="29" t="s">
        <v>146</v>
      </c>
      <c r="M9" s="29" t="s">
        <v>146</v>
      </c>
      <c r="N9" s="29"/>
      <c r="O9" s="29"/>
      <c r="P9" s="29" t="s">
        <v>146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 t="s">
        <v>1205</v>
      </c>
      <c r="AB9" s="29"/>
      <c r="AC9" s="29"/>
      <c r="AD9" s="29"/>
      <c r="AE9" s="29"/>
      <c r="AF9" s="29"/>
      <c r="AG9" s="29"/>
      <c r="AH9" s="29" t="s">
        <v>146</v>
      </c>
      <c r="AJ9" s="28" t="s">
        <v>148</v>
      </c>
      <c r="AK9" s="28" t="s">
        <v>1099</v>
      </c>
    </row>
    <row r="10" spans="1:37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7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  <c r="AJ11" s="29" t="s">
        <v>124</v>
      </c>
      <c r="AK11" s="28" t="s">
        <v>124</v>
      </c>
    </row>
    <row r="12" spans="1:37">
      <c r="A12" s="26" t="s">
        <v>125</v>
      </c>
      <c r="B12" s="28" t="s">
        <v>127</v>
      </c>
      <c r="C12" s="28" t="s">
        <v>127</v>
      </c>
      <c r="D12" s="28" t="s">
        <v>127</v>
      </c>
      <c r="E12" s="28"/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  <c r="AJ12" s="28" t="s">
        <v>127</v>
      </c>
      <c r="AK12" s="28" t="s">
        <v>127</v>
      </c>
    </row>
    <row r="13" spans="1:37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  <c r="AJ13" s="28" t="s">
        <v>124</v>
      </c>
      <c r="AK13" s="28" t="s">
        <v>124</v>
      </c>
    </row>
    <row r="14" spans="1:37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  <c r="AJ14" s="28" t="s">
        <v>127</v>
      </c>
      <c r="AK14" s="28" t="s">
        <v>127</v>
      </c>
    </row>
    <row r="15" spans="1:37">
      <c r="A15" s="26" t="s">
        <v>129</v>
      </c>
      <c r="B15" s="28" t="s">
        <v>149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  <c r="AJ15" s="28" t="s">
        <v>150</v>
      </c>
      <c r="AK15" s="28" t="s">
        <v>149</v>
      </c>
    </row>
    <row r="16" spans="1:37">
      <c r="A16" s="26" t="s">
        <v>130</v>
      </c>
      <c r="B16" s="30">
        <f>5/3</f>
        <v>1.6666666666666667</v>
      </c>
      <c r="C16" s="30">
        <f t="shared" ref="C16:D16" si="0">5/3</f>
        <v>1.6666666666666667</v>
      </c>
      <c r="D16" s="30">
        <f t="shared" si="0"/>
        <v>1.6666666666666667</v>
      </c>
      <c r="E16" s="30"/>
      <c r="F16" s="30"/>
      <c r="G16" s="30">
        <f t="shared" ref="G16:I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/>
      <c r="K16" s="30">
        <f t="shared" ref="K16:M16" si="2">5/3</f>
        <v>1.6666666666666667</v>
      </c>
      <c r="L16" s="30">
        <f t="shared" si="2"/>
        <v>1.6666666666666667</v>
      </c>
      <c r="M16" s="30">
        <f t="shared" si="2"/>
        <v>1.6666666666666667</v>
      </c>
      <c r="N16" s="30"/>
      <c r="O16" s="30"/>
      <c r="P16" s="30">
        <f>5/3</f>
        <v>1.6666666666666667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  <c r="AJ16" s="30">
        <v>-0.5</v>
      </c>
      <c r="AK16" s="30">
        <v>1</v>
      </c>
    </row>
    <row r="17" spans="1:37">
      <c r="A17" s="26" t="s">
        <v>131</v>
      </c>
      <c r="B17" s="28" t="s">
        <v>1054</v>
      </c>
      <c r="C17" s="28" t="s">
        <v>132</v>
      </c>
      <c r="D17" s="28" t="s">
        <v>132</v>
      </c>
      <c r="E17" s="28"/>
      <c r="F17" s="28"/>
      <c r="G17" s="28" t="s">
        <v>132</v>
      </c>
      <c r="H17" s="28" t="s">
        <v>132</v>
      </c>
      <c r="I17" s="28" t="s">
        <v>132</v>
      </c>
      <c r="J17" s="28"/>
      <c r="K17" s="28" t="s">
        <v>132</v>
      </c>
      <c r="L17" s="28" t="s">
        <v>132</v>
      </c>
      <c r="M17" s="28" t="s">
        <v>132</v>
      </c>
      <c r="N17" s="28"/>
      <c r="O17" s="28"/>
      <c r="P17" s="28" t="s">
        <v>132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132</v>
      </c>
      <c r="AJ17" s="28" t="s">
        <v>151</v>
      </c>
      <c r="AK17" s="28" t="s">
        <v>151</v>
      </c>
    </row>
    <row r="18" spans="1:37">
      <c r="A18" s="26" t="s">
        <v>133</v>
      </c>
      <c r="B18" s="30">
        <v>5</v>
      </c>
      <c r="C18" s="30">
        <v>4</v>
      </c>
      <c r="D18" s="30">
        <v>4</v>
      </c>
      <c r="E18" s="30"/>
      <c r="F18" s="30"/>
      <c r="G18" s="30">
        <v>4</v>
      </c>
      <c r="H18" s="30">
        <v>4</v>
      </c>
      <c r="I18" s="30">
        <v>4</v>
      </c>
      <c r="J18" s="30"/>
      <c r="K18" s="30">
        <v>4</v>
      </c>
      <c r="L18" s="30">
        <v>4</v>
      </c>
      <c r="M18" s="30">
        <v>4</v>
      </c>
      <c r="N18" s="30"/>
      <c r="O18" s="30"/>
      <c r="P18" s="30">
        <v>4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  <c r="AJ18" s="30">
        <v>3</v>
      </c>
      <c r="AK18" s="30">
        <v>3</v>
      </c>
    </row>
    <row r="19" spans="1:37">
      <c r="D19" s="78" t="s">
        <v>1206</v>
      </c>
      <c r="AJ19" s="217" t="s">
        <v>1207</v>
      </c>
      <c r="AK19" s="217"/>
    </row>
    <row r="20" spans="1:37">
      <c r="A20" s="31" t="s">
        <v>134</v>
      </c>
    </row>
    <row r="21" spans="1:37">
      <c r="A21" s="1" t="s">
        <v>1208</v>
      </c>
      <c r="B21" s="56" t="s">
        <v>1194</v>
      </c>
    </row>
    <row r="22" spans="1:37">
      <c r="A22" s="26" t="s">
        <v>1209</v>
      </c>
    </row>
  </sheetData>
  <mergeCells count="6">
    <mergeCell ref="AJ19:AK19"/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A8B3-D712-4DA0-8D1D-B2CFAAACBBED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1210</v>
      </c>
      <c r="C4" s="203"/>
      <c r="D4" s="203"/>
      <c r="F4" s="204" t="s">
        <v>1211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6" t="s">
        <v>1212</v>
      </c>
      <c r="C8" s="29" t="s">
        <v>171</v>
      </c>
      <c r="D8" s="29" t="s">
        <v>171</v>
      </c>
      <c r="E8" s="29"/>
      <c r="F8" s="29"/>
      <c r="G8" s="29" t="s">
        <v>171</v>
      </c>
      <c r="H8" s="29" t="s">
        <v>171</v>
      </c>
      <c r="I8" s="29" t="s">
        <v>171</v>
      </c>
      <c r="J8" s="28"/>
      <c r="K8" s="29" t="s">
        <v>171</v>
      </c>
      <c r="L8" s="29" t="s">
        <v>171</v>
      </c>
      <c r="M8" s="29" t="s">
        <v>171</v>
      </c>
      <c r="N8" s="28"/>
      <c r="O8" s="28"/>
      <c r="P8" s="29" t="s">
        <v>171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9" t="s">
        <v>1213</v>
      </c>
      <c r="AB8" s="28"/>
      <c r="AC8" s="28"/>
      <c r="AD8" s="28"/>
      <c r="AE8" s="28"/>
      <c r="AF8" s="28"/>
      <c r="AG8" s="28"/>
      <c r="AH8" s="29" t="s">
        <v>171</v>
      </c>
    </row>
    <row r="9" spans="1:34">
      <c r="A9" s="26" t="s">
        <v>121</v>
      </c>
      <c r="B9" s="29" t="s">
        <v>1214</v>
      </c>
      <c r="C9" s="86" t="s">
        <v>865</v>
      </c>
      <c r="D9" s="28" t="s">
        <v>174</v>
      </c>
      <c r="E9" s="29"/>
      <c r="F9" s="29"/>
      <c r="G9" s="28" t="s">
        <v>866</v>
      </c>
      <c r="H9" s="28" t="s">
        <v>866</v>
      </c>
      <c r="I9" s="28" t="s">
        <v>866</v>
      </c>
      <c r="J9" s="29"/>
      <c r="K9" s="29" t="s">
        <v>867</v>
      </c>
      <c r="L9" s="29" t="s">
        <v>868</v>
      </c>
      <c r="M9" s="29" t="s">
        <v>869</v>
      </c>
      <c r="N9" s="29"/>
      <c r="O9" s="29"/>
      <c r="P9" s="29" t="s">
        <v>174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 t="s">
        <v>1214</v>
      </c>
      <c r="AB9" s="29"/>
      <c r="AC9" s="29"/>
      <c r="AD9" s="29"/>
      <c r="AE9" s="29"/>
      <c r="AF9" s="29"/>
      <c r="AG9" s="29"/>
      <c r="AH9" s="29" t="s">
        <v>174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91" t="s">
        <v>124</v>
      </c>
      <c r="D11" s="29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91" t="s">
        <v>124</v>
      </c>
      <c r="L11" s="91" t="s">
        <v>124</v>
      </c>
      <c r="M11" s="91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124</v>
      </c>
      <c r="C12" s="86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86" t="s">
        <v>124</v>
      </c>
      <c r="L12" s="86" t="s">
        <v>124</v>
      </c>
      <c r="M12" s="86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86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86" t="s">
        <v>127</v>
      </c>
      <c r="L13" s="86" t="s">
        <v>127</v>
      </c>
      <c r="M13" s="86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86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86" t="s">
        <v>127</v>
      </c>
      <c r="L14" s="86" t="s">
        <v>127</v>
      </c>
      <c r="M14" s="86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149</v>
      </c>
      <c r="C15" s="86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86" t="s">
        <v>149</v>
      </c>
      <c r="L15" s="86" t="s">
        <v>149</v>
      </c>
      <c r="M15" s="86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/>
      <c r="AH15" s="28" t="s">
        <v>149</v>
      </c>
    </row>
    <row r="16" spans="1:34">
      <c r="A16" s="26" t="s">
        <v>130</v>
      </c>
      <c r="B16" s="30">
        <f>5/3</f>
        <v>1.6666666666666667</v>
      </c>
      <c r="C16" s="92">
        <v>2</v>
      </c>
      <c r="D16" s="30">
        <f>5/3</f>
        <v>1.6666666666666667</v>
      </c>
      <c r="E16" s="30"/>
      <c r="F16" s="30"/>
      <c r="G16" s="30">
        <f>11/6</f>
        <v>1.8333333333333333</v>
      </c>
      <c r="H16" s="30">
        <f>11/6</f>
        <v>1.8333333333333333</v>
      </c>
      <c r="I16" s="30">
        <f>11/6</f>
        <v>1.8333333333333333</v>
      </c>
      <c r="J16" s="30"/>
      <c r="K16" s="30">
        <f>AVERAGE(2,11/6)</f>
        <v>1.9166666666666665</v>
      </c>
      <c r="L16" s="30">
        <f>AVERAGE(5/3,11/6)</f>
        <v>1.75</v>
      </c>
      <c r="M16" s="30">
        <f>AVERAGE(5/3,2)</f>
        <v>1.8333333333333335</v>
      </c>
      <c r="N16" s="30"/>
      <c r="O16" s="30"/>
      <c r="P16" s="30">
        <f>5/3</f>
        <v>1.6666666666666667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</row>
    <row r="17" spans="1:34">
      <c r="A17" s="26" t="s">
        <v>131</v>
      </c>
      <c r="B17" s="28" t="s">
        <v>1054</v>
      </c>
      <c r="C17" s="86" t="s">
        <v>180</v>
      </c>
      <c r="D17" s="28" t="s">
        <v>132</v>
      </c>
      <c r="E17" s="28"/>
      <c r="F17" s="28"/>
      <c r="G17" s="28" t="s">
        <v>280</v>
      </c>
      <c r="H17" s="28" t="s">
        <v>280</v>
      </c>
      <c r="I17" s="28" t="s">
        <v>280</v>
      </c>
      <c r="J17" s="28"/>
      <c r="K17" s="28" t="s">
        <v>850</v>
      </c>
      <c r="L17" s="28" t="s">
        <v>304</v>
      </c>
      <c r="M17" s="28" t="s">
        <v>353</v>
      </c>
      <c r="N17" s="28"/>
      <c r="O17" s="28"/>
      <c r="P17" s="28" t="s">
        <v>132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5</v>
      </c>
      <c r="C18" s="92">
        <v>2</v>
      </c>
      <c r="D18" s="30">
        <v>4</v>
      </c>
      <c r="E18" s="30"/>
      <c r="F18" s="30"/>
      <c r="G18" s="30">
        <v>0.5</v>
      </c>
      <c r="H18" s="30">
        <v>0.5</v>
      </c>
      <c r="I18" s="30">
        <v>0.5</v>
      </c>
      <c r="J18" s="30"/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4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6" t="s">
        <v>1215</v>
      </c>
      <c r="B21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F0D5-E0D4-40B8-9E23-A519AA81068C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1216</v>
      </c>
      <c r="C4" s="203"/>
      <c r="D4" s="203"/>
      <c r="F4" s="204" t="s">
        <v>1217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916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91" t="s">
        <v>1218</v>
      </c>
      <c r="C8" s="28" t="s">
        <v>200</v>
      </c>
      <c r="D8" s="28" t="s">
        <v>200</v>
      </c>
      <c r="E8" s="28" t="s">
        <v>200</v>
      </c>
      <c r="F8" s="28" t="s">
        <v>200</v>
      </c>
      <c r="G8" s="28" t="s">
        <v>200</v>
      </c>
      <c r="H8" s="28" t="s">
        <v>200</v>
      </c>
      <c r="I8" s="28" t="s">
        <v>200</v>
      </c>
      <c r="J8" s="28" t="s">
        <v>200</v>
      </c>
      <c r="K8" s="28" t="s">
        <v>200</v>
      </c>
      <c r="L8" s="28" t="s">
        <v>200</v>
      </c>
      <c r="M8" s="28" t="s">
        <v>200</v>
      </c>
      <c r="N8" s="28" t="s">
        <v>200</v>
      </c>
      <c r="O8" s="28" t="s">
        <v>200</v>
      </c>
      <c r="P8" s="28" t="s">
        <v>200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1219</v>
      </c>
      <c r="AB8" s="28"/>
      <c r="AC8" s="28"/>
      <c r="AD8" s="28"/>
      <c r="AE8" s="28"/>
      <c r="AF8" s="28"/>
      <c r="AG8" s="28"/>
      <c r="AH8" s="28" t="s">
        <v>200</v>
      </c>
    </row>
    <row r="9" spans="1:34">
      <c r="A9" s="26" t="s">
        <v>121</v>
      </c>
      <c r="B9" s="91" t="s">
        <v>1220</v>
      </c>
      <c r="C9" s="28" t="s">
        <v>205</v>
      </c>
      <c r="D9" s="28" t="s">
        <v>205</v>
      </c>
      <c r="E9" s="28" t="s">
        <v>205</v>
      </c>
      <c r="F9" s="28"/>
      <c r="G9" s="28" t="s">
        <v>205</v>
      </c>
      <c r="H9" s="28" t="s">
        <v>205</v>
      </c>
      <c r="I9" s="28" t="s">
        <v>205</v>
      </c>
      <c r="J9" s="29"/>
      <c r="K9" s="28" t="s">
        <v>205</v>
      </c>
      <c r="L9" s="28" t="s">
        <v>205</v>
      </c>
      <c r="M9" s="28" t="s">
        <v>205</v>
      </c>
      <c r="N9" s="29"/>
      <c r="O9" s="29"/>
      <c r="P9" s="28" t="s">
        <v>205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1220</v>
      </c>
      <c r="AB9" s="29"/>
      <c r="AC9" s="29"/>
      <c r="AD9" s="29"/>
      <c r="AE9" s="29"/>
      <c r="AF9" s="29"/>
      <c r="AG9" s="29"/>
      <c r="AH9" s="28" t="s">
        <v>205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86" t="s">
        <v>124</v>
      </c>
      <c r="C11" s="28" t="s">
        <v>124</v>
      </c>
      <c r="D11" s="28" t="s">
        <v>124</v>
      </c>
      <c r="E11" s="28" t="s">
        <v>124</v>
      </c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86" t="s">
        <v>127</v>
      </c>
      <c r="C12" s="28" t="s">
        <v>127</v>
      </c>
      <c r="D12" s="28" t="s">
        <v>127</v>
      </c>
      <c r="E12" s="28" t="s">
        <v>127</v>
      </c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86" t="s">
        <v>127</v>
      </c>
      <c r="C13" s="28" t="s">
        <v>127</v>
      </c>
      <c r="D13" s="28" t="s">
        <v>127</v>
      </c>
      <c r="E13" s="28" t="s">
        <v>127</v>
      </c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86" t="s">
        <v>127</v>
      </c>
      <c r="C14" s="28" t="s">
        <v>127</v>
      </c>
      <c r="D14" s="28" t="s">
        <v>127</v>
      </c>
      <c r="E14" s="28" t="s">
        <v>127</v>
      </c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86" t="s">
        <v>216</v>
      </c>
      <c r="C15" s="28" t="s">
        <v>216</v>
      </c>
      <c r="D15" s="28" t="s">
        <v>216</v>
      </c>
      <c r="E15" s="28" t="s">
        <v>216</v>
      </c>
      <c r="F15" s="28"/>
      <c r="G15" s="28" t="s">
        <v>216</v>
      </c>
      <c r="H15" s="28" t="s">
        <v>216</v>
      </c>
      <c r="I15" s="28" t="s">
        <v>216</v>
      </c>
      <c r="J15" s="28"/>
      <c r="K15" s="28" t="s">
        <v>216</v>
      </c>
      <c r="L15" s="28" t="s">
        <v>216</v>
      </c>
      <c r="M15" s="28" t="s">
        <v>216</v>
      </c>
      <c r="N15" s="28"/>
      <c r="O15" s="28"/>
      <c r="P15" s="28" t="s">
        <v>216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216</v>
      </c>
      <c r="AB15" s="28"/>
      <c r="AC15" s="28"/>
      <c r="AD15" s="28"/>
      <c r="AE15" s="28"/>
      <c r="AF15" s="28"/>
      <c r="AG15" s="28"/>
      <c r="AH15" s="28" t="s">
        <v>216</v>
      </c>
    </row>
    <row r="16" spans="1:34">
      <c r="A16" s="26" t="s">
        <v>130</v>
      </c>
      <c r="B16" s="92">
        <v>-3</v>
      </c>
      <c r="C16" s="30">
        <v>-3</v>
      </c>
      <c r="D16" s="30">
        <v>-3</v>
      </c>
      <c r="E16" s="30">
        <v>-3</v>
      </c>
      <c r="F16" s="30"/>
      <c r="G16" s="30">
        <v>-3</v>
      </c>
      <c r="H16" s="30">
        <v>-3</v>
      </c>
      <c r="I16" s="30">
        <v>-3</v>
      </c>
      <c r="J16" s="30"/>
      <c r="K16" s="30">
        <v>-3</v>
      </c>
      <c r="L16" s="30">
        <v>-3</v>
      </c>
      <c r="M16" s="30">
        <v>-3</v>
      </c>
      <c r="N16" s="30"/>
      <c r="O16" s="30"/>
      <c r="P16" s="30">
        <v>-3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>
      <c r="A17" s="26" t="s">
        <v>131</v>
      </c>
      <c r="B17" s="86" t="s">
        <v>1054</v>
      </c>
      <c r="C17" s="28" t="s">
        <v>132</v>
      </c>
      <c r="D17" s="28" t="s">
        <v>132</v>
      </c>
      <c r="E17" s="28" t="s">
        <v>132</v>
      </c>
      <c r="F17" s="28"/>
      <c r="G17" s="28" t="s">
        <v>132</v>
      </c>
      <c r="H17" s="28" t="s">
        <v>132</v>
      </c>
      <c r="I17" s="28" t="s">
        <v>132</v>
      </c>
      <c r="J17" s="28"/>
      <c r="K17" s="28" t="s">
        <v>132</v>
      </c>
      <c r="L17" s="28" t="s">
        <v>132</v>
      </c>
      <c r="M17" s="28" t="s">
        <v>132</v>
      </c>
      <c r="N17" s="28"/>
      <c r="O17" s="28"/>
      <c r="P17" s="28" t="s">
        <v>132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92">
        <v>5</v>
      </c>
      <c r="C18" s="30">
        <v>4</v>
      </c>
      <c r="D18" s="30">
        <v>4</v>
      </c>
      <c r="E18" s="30">
        <v>4</v>
      </c>
      <c r="F18" s="30"/>
      <c r="G18" s="30">
        <v>4</v>
      </c>
      <c r="H18" s="30">
        <v>4</v>
      </c>
      <c r="I18" s="30">
        <v>4</v>
      </c>
      <c r="J18" s="30"/>
      <c r="K18" s="30">
        <v>4</v>
      </c>
      <c r="L18" s="30">
        <v>4</v>
      </c>
      <c r="M18" s="30">
        <v>4</v>
      </c>
      <c r="N18" s="30"/>
      <c r="O18" s="30"/>
      <c r="P18" s="30">
        <v>4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6" t="s">
        <v>1221</v>
      </c>
      <c r="B21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9341-1E85-4671-A4E6-C8232616DAC7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95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1216</v>
      </c>
      <c r="C4" s="203"/>
      <c r="D4" s="203"/>
      <c r="F4" s="204" t="s">
        <v>1222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932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1218</v>
      </c>
      <c r="C8" s="28" t="s">
        <v>200</v>
      </c>
      <c r="D8" s="28" t="s">
        <v>200</v>
      </c>
      <c r="E8" s="28" t="s">
        <v>200</v>
      </c>
      <c r="F8" s="28" t="s">
        <v>200</v>
      </c>
      <c r="G8" s="28" t="s">
        <v>200</v>
      </c>
      <c r="H8" s="28" t="s">
        <v>200</v>
      </c>
      <c r="I8" s="28" t="s">
        <v>200</v>
      </c>
      <c r="J8" s="28" t="s">
        <v>200</v>
      </c>
      <c r="K8" s="28" t="s">
        <v>200</v>
      </c>
      <c r="L8" s="28" t="s">
        <v>200</v>
      </c>
      <c r="M8" s="28" t="s">
        <v>200</v>
      </c>
      <c r="N8" s="28"/>
      <c r="O8" s="28" t="s">
        <v>200</v>
      </c>
      <c r="P8" s="28" t="s">
        <v>203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1219</v>
      </c>
      <c r="AB8" s="28"/>
      <c r="AC8" s="28"/>
      <c r="AD8" s="28"/>
      <c r="AE8" s="28"/>
      <c r="AF8" s="28"/>
      <c r="AG8" s="28"/>
      <c r="AH8" s="28" t="s">
        <v>200</v>
      </c>
    </row>
    <row r="9" spans="1:34">
      <c r="A9" s="26" t="s">
        <v>121</v>
      </c>
      <c r="B9" s="29" t="s">
        <v>1220</v>
      </c>
      <c r="C9" s="28" t="s">
        <v>205</v>
      </c>
      <c r="D9" s="28" t="s">
        <v>205</v>
      </c>
      <c r="E9" s="28" t="s">
        <v>205</v>
      </c>
      <c r="F9" s="28"/>
      <c r="G9" s="28" t="s">
        <v>205</v>
      </c>
      <c r="H9" s="28" t="s">
        <v>205</v>
      </c>
      <c r="I9" s="28" t="s">
        <v>205</v>
      </c>
      <c r="J9" s="29"/>
      <c r="K9" s="28" t="s">
        <v>205</v>
      </c>
      <c r="L9" s="28" t="s">
        <v>205</v>
      </c>
      <c r="M9" s="28" t="s">
        <v>233</v>
      </c>
      <c r="N9" s="29"/>
      <c r="O9" s="29"/>
      <c r="P9" s="28" t="s">
        <v>231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1220</v>
      </c>
      <c r="AB9" s="29"/>
      <c r="AC9" s="29"/>
      <c r="AD9" s="29"/>
      <c r="AE9" s="29"/>
      <c r="AF9" s="29"/>
      <c r="AG9" s="29"/>
      <c r="AH9" s="28" t="s">
        <v>205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216</v>
      </c>
      <c r="D15" s="28" t="s">
        <v>216</v>
      </c>
      <c r="E15" s="28" t="s">
        <v>216</v>
      </c>
      <c r="F15" s="28"/>
      <c r="G15" s="28" t="s">
        <v>216</v>
      </c>
      <c r="H15" s="28" t="s">
        <v>216</v>
      </c>
      <c r="I15" s="28" t="s">
        <v>216</v>
      </c>
      <c r="J15" s="28"/>
      <c r="K15" s="28" t="s">
        <v>216</v>
      </c>
      <c r="L15" s="28" t="s">
        <v>216</v>
      </c>
      <c r="M15" s="28" t="s">
        <v>238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216</v>
      </c>
      <c r="AB15" s="28"/>
      <c r="AC15" s="28"/>
      <c r="AD15" s="28"/>
      <c r="AE15" s="28"/>
      <c r="AF15" s="28"/>
      <c r="AG15" s="28"/>
      <c r="AH15" s="28" t="s">
        <v>216</v>
      </c>
    </row>
    <row r="16" spans="1:34">
      <c r="A16" s="26" t="s">
        <v>130</v>
      </c>
      <c r="B16" s="30">
        <v>-3</v>
      </c>
      <c r="C16" s="30">
        <v>-3</v>
      </c>
      <c r="D16" s="30">
        <v>-3</v>
      </c>
      <c r="E16" s="30">
        <v>-3</v>
      </c>
      <c r="F16" s="30"/>
      <c r="G16" s="30">
        <v>-3</v>
      </c>
      <c r="H16" s="30">
        <v>-3</v>
      </c>
      <c r="I16" s="30">
        <v>-3</v>
      </c>
      <c r="J16" s="30"/>
      <c r="K16" s="30">
        <v>-3</v>
      </c>
      <c r="L16" s="30">
        <v>-3</v>
      </c>
      <c r="M16" s="30">
        <f>AVERAGE(-3,-2)</f>
        <v>-2.5</v>
      </c>
      <c r="N16" s="30"/>
      <c r="O16" s="30"/>
      <c r="P16" s="30">
        <v>-0.5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>
      <c r="A17" s="26" t="s">
        <v>131</v>
      </c>
      <c r="B17" s="28" t="s">
        <v>1054</v>
      </c>
      <c r="C17" s="28" t="s">
        <v>132</v>
      </c>
      <c r="D17" s="28" t="s">
        <v>132</v>
      </c>
      <c r="E17" s="28" t="s">
        <v>132</v>
      </c>
      <c r="F17" s="28"/>
      <c r="G17" s="28" t="s">
        <v>132</v>
      </c>
      <c r="H17" s="28" t="s">
        <v>132</v>
      </c>
      <c r="I17" s="28" t="s">
        <v>132</v>
      </c>
      <c r="J17" s="28"/>
      <c r="K17" s="28" t="s">
        <v>132</v>
      </c>
      <c r="L17" s="28" t="s">
        <v>132</v>
      </c>
      <c r="M17" s="28" t="s">
        <v>132</v>
      </c>
      <c r="N17" s="28"/>
      <c r="O17" s="28"/>
      <c r="P17" s="29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1054</v>
      </c>
      <c r="AB17" s="28"/>
      <c r="AC17" s="28"/>
      <c r="AD17" s="28"/>
      <c r="AE17" s="28"/>
      <c r="AF17" s="28"/>
      <c r="AG17" s="28"/>
      <c r="AH17" s="28" t="s">
        <v>132</v>
      </c>
    </row>
    <row r="18" spans="1:34">
      <c r="A18" s="26" t="s">
        <v>133</v>
      </c>
      <c r="B18" s="30">
        <v>5</v>
      </c>
      <c r="C18" s="30">
        <v>4</v>
      </c>
      <c r="D18" s="30">
        <v>4</v>
      </c>
      <c r="E18" s="30">
        <v>4</v>
      </c>
      <c r="F18" s="30"/>
      <c r="G18" s="30">
        <v>4</v>
      </c>
      <c r="H18" s="30">
        <v>4</v>
      </c>
      <c r="I18" s="30">
        <v>4</v>
      </c>
      <c r="J18" s="30"/>
      <c r="K18" s="30">
        <v>4</v>
      </c>
      <c r="L18" s="30">
        <v>4</v>
      </c>
      <c r="M18" s="30">
        <v>4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</row>
    <row r="20" spans="1:34">
      <c r="A20" s="31" t="s">
        <v>134</v>
      </c>
    </row>
    <row r="21" spans="1:34">
      <c r="A21" s="26" t="s">
        <v>1223</v>
      </c>
      <c r="B21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0F80-19C0-4C1A-B7A4-09A1473792BD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96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1216</v>
      </c>
      <c r="C4" s="203"/>
      <c r="D4" s="203"/>
      <c r="F4" s="204" t="s">
        <v>1224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864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9" t="s">
        <v>1218</v>
      </c>
      <c r="C8" s="28" t="s">
        <v>200</v>
      </c>
      <c r="D8" s="28" t="s">
        <v>200</v>
      </c>
      <c r="E8" s="29"/>
      <c r="F8" s="29"/>
      <c r="G8" s="28" t="s">
        <v>1225</v>
      </c>
      <c r="H8" s="28" t="s">
        <v>1225</v>
      </c>
      <c r="I8" s="28" t="s">
        <v>1225</v>
      </c>
      <c r="J8" s="28"/>
      <c r="K8" s="130" t="s">
        <v>1226</v>
      </c>
      <c r="L8" s="130" t="s">
        <v>1226</v>
      </c>
      <c r="M8" s="130" t="s">
        <v>1226</v>
      </c>
      <c r="N8" s="28"/>
      <c r="O8" s="28"/>
      <c r="P8" s="29" t="s">
        <v>1227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1219</v>
      </c>
      <c r="AB8" s="28"/>
      <c r="AC8" s="28"/>
      <c r="AD8" s="28"/>
      <c r="AE8" s="28"/>
      <c r="AF8" s="28"/>
      <c r="AG8" s="86" t="s">
        <v>144</v>
      </c>
      <c r="AH8" s="28" t="s">
        <v>200</v>
      </c>
    </row>
    <row r="9" spans="1:34">
      <c r="A9" s="26" t="s">
        <v>121</v>
      </c>
      <c r="B9" s="29" t="s">
        <v>1220</v>
      </c>
      <c r="C9" s="115" t="s">
        <v>1228</v>
      </c>
      <c r="D9" s="115" t="s">
        <v>206</v>
      </c>
      <c r="E9" s="29"/>
      <c r="F9" s="29"/>
      <c r="G9" s="28" t="s">
        <v>208</v>
      </c>
      <c r="H9" s="28" t="s">
        <v>209</v>
      </c>
      <c r="I9" s="28" t="s">
        <v>206</v>
      </c>
      <c r="J9" s="29"/>
      <c r="K9" s="129" t="s">
        <v>1229</v>
      </c>
      <c r="L9" s="129" t="s">
        <v>1229</v>
      </c>
      <c r="M9" s="129" t="s">
        <v>1229</v>
      </c>
      <c r="N9" s="29"/>
      <c r="O9" s="29"/>
      <c r="P9" s="28" t="s">
        <v>211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1120</v>
      </c>
      <c r="AB9" s="29"/>
      <c r="AC9" s="29"/>
      <c r="AD9" s="29"/>
      <c r="AE9" s="29"/>
      <c r="AF9" s="29"/>
      <c r="AG9" s="91" t="s">
        <v>147</v>
      </c>
      <c r="AH9" s="28" t="s">
        <v>148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/>
      <c r="F12" s="28"/>
      <c r="G12" s="29" t="s">
        <v>127</v>
      </c>
      <c r="H12" s="28" t="s">
        <v>127</v>
      </c>
      <c r="I12" s="28" t="s">
        <v>127</v>
      </c>
      <c r="J12" s="28"/>
      <c r="K12" s="28" t="s">
        <v>235</v>
      </c>
      <c r="L12" s="28" t="s">
        <v>235</v>
      </c>
      <c r="M12" s="28" t="s">
        <v>235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 t="s">
        <v>127</v>
      </c>
      <c r="AH12" s="28" t="s">
        <v>127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/>
      <c r="F13" s="28"/>
      <c r="G13" s="28" t="s">
        <v>127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 t="s">
        <v>124</v>
      </c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 t="s">
        <v>127</v>
      </c>
      <c r="AH14" s="28" t="s">
        <v>127</v>
      </c>
    </row>
    <row r="15" spans="1:34">
      <c r="A15" s="26" t="s">
        <v>129</v>
      </c>
      <c r="B15" s="28" t="s">
        <v>216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 t="s">
        <v>149</v>
      </c>
      <c r="AH15" s="28" t="s">
        <v>150</v>
      </c>
    </row>
    <row r="16" spans="1:34">
      <c r="A16" s="26" t="s">
        <v>130</v>
      </c>
      <c r="B16" s="30">
        <v>-3</v>
      </c>
      <c r="C16" s="30">
        <f>13/12</f>
        <v>1.0833333333333333</v>
      </c>
      <c r="D16" s="30">
        <v>1</v>
      </c>
      <c r="E16" s="30"/>
      <c r="F16" s="30"/>
      <c r="G16" s="30">
        <v>2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>
        <f>4/3</f>
        <v>1.3333333333333333</v>
      </c>
      <c r="AH16" s="30">
        <v>-0.5</v>
      </c>
    </row>
    <row r="17" spans="1:34">
      <c r="A17" s="26" t="s">
        <v>131</v>
      </c>
      <c r="B17" s="28" t="s">
        <v>1054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115" t="s">
        <v>1230</v>
      </c>
      <c r="L17" s="115" t="s">
        <v>1230</v>
      </c>
      <c r="M17" s="115" t="s">
        <v>1230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957</v>
      </c>
      <c r="AB17" s="28"/>
      <c r="AC17" s="28"/>
      <c r="AD17" s="28"/>
      <c r="AE17" s="28"/>
      <c r="AF17" s="28"/>
      <c r="AG17" s="28" t="s">
        <v>151</v>
      </c>
      <c r="AH17" s="28" t="s">
        <v>151</v>
      </c>
    </row>
    <row r="18" spans="1:34">
      <c r="A18" s="26" t="s">
        <v>133</v>
      </c>
      <c r="B18" s="30">
        <v>5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f>AVERAGE(2,2,2,3)</f>
        <v>2.25</v>
      </c>
      <c r="L18" s="30">
        <f t="shared" ref="L18:M18" si="0">AVERAGE(2,2,2,3)</f>
        <v>2.25</v>
      </c>
      <c r="M18" s="30">
        <f t="shared" si="0"/>
        <v>2.25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>
        <v>3</v>
      </c>
      <c r="AH18" s="30">
        <v>3</v>
      </c>
    </row>
    <row r="20" spans="1:34">
      <c r="A20" s="31" t="s">
        <v>134</v>
      </c>
    </row>
    <row r="21" spans="1:34">
      <c r="A21" s="26" t="s">
        <v>1231</v>
      </c>
      <c r="B21" s="56" t="s">
        <v>1232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54D5-BCF0-4AC5-B035-959B24224757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97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1233</v>
      </c>
      <c r="C4" s="203"/>
      <c r="D4" s="203"/>
      <c r="F4" s="204" t="s">
        <v>1234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1235</v>
      </c>
      <c r="C8" s="29" t="s">
        <v>250</v>
      </c>
      <c r="D8" s="29" t="s">
        <v>250</v>
      </c>
      <c r="E8" s="29" t="s">
        <v>250</v>
      </c>
      <c r="F8" s="29" t="s">
        <v>250</v>
      </c>
      <c r="G8" s="29" t="s">
        <v>250</v>
      </c>
      <c r="H8" s="29" t="s">
        <v>250</v>
      </c>
      <c r="I8" s="29" t="s">
        <v>250</v>
      </c>
      <c r="J8" s="28"/>
      <c r="K8" s="28" t="s">
        <v>250</v>
      </c>
      <c r="L8" s="28" t="s">
        <v>250</v>
      </c>
      <c r="M8" s="28" t="s">
        <v>250</v>
      </c>
      <c r="N8" s="28"/>
      <c r="O8" s="28"/>
      <c r="P8" s="28" t="s">
        <v>250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1236</v>
      </c>
      <c r="AB8" s="28"/>
      <c r="AC8" s="28"/>
      <c r="AD8" s="28"/>
      <c r="AE8" s="28"/>
      <c r="AF8" s="28"/>
      <c r="AG8" s="28"/>
      <c r="AH8" s="28" t="s">
        <v>250</v>
      </c>
    </row>
    <row r="9" spans="1:34">
      <c r="A9" s="26" t="s">
        <v>121</v>
      </c>
      <c r="B9" s="28" t="s">
        <v>1126</v>
      </c>
      <c r="C9" s="28" t="s">
        <v>271</v>
      </c>
      <c r="D9" s="28" t="s">
        <v>271</v>
      </c>
      <c r="E9" s="29"/>
      <c r="F9" s="29"/>
      <c r="G9" s="28" t="s">
        <v>263</v>
      </c>
      <c r="H9" s="28" t="s">
        <v>341</v>
      </c>
      <c r="I9" s="28" t="s">
        <v>341</v>
      </c>
      <c r="J9" s="29"/>
      <c r="K9" s="28" t="s">
        <v>271</v>
      </c>
      <c r="L9" s="28" t="s">
        <v>178</v>
      </c>
      <c r="M9" s="28" t="s">
        <v>271</v>
      </c>
      <c r="N9" s="29"/>
      <c r="O9" s="29"/>
      <c r="P9" s="28" t="s">
        <v>271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103" t="s">
        <v>1237</v>
      </c>
      <c r="AB9" s="29"/>
      <c r="AC9" s="29"/>
      <c r="AD9" s="29"/>
      <c r="AE9" s="29"/>
      <c r="AF9" s="29"/>
      <c r="AG9" s="29"/>
      <c r="AH9" s="28" t="s">
        <v>178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9" t="s">
        <v>124</v>
      </c>
      <c r="I11" s="29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29" t="s">
        <v>124</v>
      </c>
      <c r="C12" s="28" t="s">
        <v>124</v>
      </c>
      <c r="D12" s="28" t="s">
        <v>124</v>
      </c>
      <c r="E12" s="28"/>
      <c r="F12" s="28"/>
      <c r="G12" s="28" t="s">
        <v>127</v>
      </c>
      <c r="H12" s="29" t="s">
        <v>124</v>
      </c>
      <c r="I12" s="29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/>
      <c r="AH12" s="28" t="s">
        <v>124</v>
      </c>
    </row>
    <row r="13" spans="1:34">
      <c r="A13" s="26" t="s">
        <v>126</v>
      </c>
      <c r="B13" s="28" t="s">
        <v>127</v>
      </c>
      <c r="C13" s="28" t="s">
        <v>124</v>
      </c>
      <c r="D13" s="28" t="s">
        <v>124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/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28" t="s">
        <v>216</v>
      </c>
      <c r="C15" s="28" t="s">
        <v>150</v>
      </c>
      <c r="D15" s="28" t="s">
        <v>150</v>
      </c>
      <c r="E15" s="28"/>
      <c r="F15" s="28"/>
      <c r="G15" s="28" t="s">
        <v>216</v>
      </c>
      <c r="H15" s="28" t="s">
        <v>343</v>
      </c>
      <c r="I15" s="28" t="s">
        <v>343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28" t="s">
        <v>150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/>
      <c r="AH15" s="28" t="s">
        <v>150</v>
      </c>
    </row>
    <row r="16" spans="1:34">
      <c r="A16" s="26" t="s">
        <v>130</v>
      </c>
      <c r="B16" s="30">
        <v>-3</v>
      </c>
      <c r="C16" s="30">
        <v>-0.5</v>
      </c>
      <c r="D16" s="30">
        <v>-0.5</v>
      </c>
      <c r="E16" s="30"/>
      <c r="F16" s="30"/>
      <c r="G16" s="30">
        <v>-3</v>
      </c>
      <c r="H16" s="30">
        <v>-6</v>
      </c>
      <c r="I16" s="30">
        <v>-6</v>
      </c>
      <c r="J16" s="30"/>
      <c r="K16" s="30">
        <v>-0.5</v>
      </c>
      <c r="L16" s="30">
        <v>-0.5</v>
      </c>
      <c r="M16" s="30">
        <v>-0.5</v>
      </c>
      <c r="N16" s="30"/>
      <c r="O16" s="30"/>
      <c r="P16" s="30">
        <v>-0.5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-0.5</v>
      </c>
    </row>
    <row r="17" spans="1:34">
      <c r="A17" s="26" t="s">
        <v>131</v>
      </c>
      <c r="B17" s="28" t="s">
        <v>1054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151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103" t="s">
        <v>1238</v>
      </c>
      <c r="AB17" s="28"/>
      <c r="AC17" s="28"/>
      <c r="AD17" s="28"/>
      <c r="AE17" s="28"/>
      <c r="AF17" s="28"/>
      <c r="AG17" s="28"/>
      <c r="AH17" s="28" t="s">
        <v>151</v>
      </c>
    </row>
    <row r="18" spans="1:34">
      <c r="A18" s="26" t="s">
        <v>133</v>
      </c>
      <c r="B18" s="30">
        <v>5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3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AVERAGE(3,3.75)</f>
        <v>3.375</v>
      </c>
      <c r="AB18" s="30"/>
      <c r="AC18" s="30"/>
      <c r="AD18" s="30"/>
      <c r="AE18" s="30"/>
      <c r="AF18" s="30"/>
      <c r="AG18" s="30"/>
      <c r="AH18" s="30">
        <v>3</v>
      </c>
    </row>
    <row r="20" spans="1:34">
      <c r="A20" s="31" t="s">
        <v>134</v>
      </c>
    </row>
    <row r="21" spans="1:34">
      <c r="A21" s="26" t="s">
        <v>1239</v>
      </c>
      <c r="B21" s="56" t="s">
        <v>1240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23B4-061E-4F35-B3E1-29C02E7859A7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98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1241</v>
      </c>
      <c r="C4" s="203"/>
      <c r="D4" s="203"/>
      <c r="F4" s="204" t="s">
        <v>1242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1243</v>
      </c>
      <c r="C8" s="28" t="s">
        <v>325</v>
      </c>
      <c r="D8" s="28" t="s">
        <v>325</v>
      </c>
      <c r="E8" s="28" t="s">
        <v>325</v>
      </c>
      <c r="F8" s="29" t="s">
        <v>325</v>
      </c>
      <c r="G8" s="28" t="s">
        <v>325</v>
      </c>
      <c r="H8" s="28" t="s">
        <v>325</v>
      </c>
      <c r="I8" s="28" t="s">
        <v>325</v>
      </c>
      <c r="J8" s="28" t="s">
        <v>325</v>
      </c>
      <c r="K8" s="28" t="s">
        <v>325</v>
      </c>
      <c r="L8" s="28" t="s">
        <v>325</v>
      </c>
      <c r="M8" s="28" t="s">
        <v>325</v>
      </c>
      <c r="N8" s="28" t="s">
        <v>325</v>
      </c>
      <c r="O8" s="28"/>
      <c r="P8" s="28" t="s">
        <v>325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1156</v>
      </c>
      <c r="AB8" s="28"/>
      <c r="AC8" s="28"/>
      <c r="AD8" s="28"/>
      <c r="AE8" s="28"/>
      <c r="AF8" s="28"/>
      <c r="AG8" s="28" t="s">
        <v>325</v>
      </c>
      <c r="AH8" s="28" t="s">
        <v>325</v>
      </c>
    </row>
    <row r="9" spans="1:34">
      <c r="A9" s="26" t="s">
        <v>121</v>
      </c>
      <c r="B9" s="28" t="s">
        <v>1156</v>
      </c>
      <c r="C9" s="28" t="s">
        <v>325</v>
      </c>
      <c r="D9" s="28" t="s">
        <v>325</v>
      </c>
      <c r="E9" s="28" t="s">
        <v>325</v>
      </c>
      <c r="F9" s="29"/>
      <c r="G9" s="28" t="s">
        <v>325</v>
      </c>
      <c r="H9" s="28" t="s">
        <v>325</v>
      </c>
      <c r="I9" s="28" t="s">
        <v>325</v>
      </c>
      <c r="J9" s="29"/>
      <c r="K9" s="28" t="s">
        <v>325</v>
      </c>
      <c r="L9" s="28" t="s">
        <v>325</v>
      </c>
      <c r="M9" s="28" t="s">
        <v>325</v>
      </c>
      <c r="N9" s="28" t="s">
        <v>325</v>
      </c>
      <c r="O9" s="29"/>
      <c r="P9" s="28" t="s">
        <v>325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1156</v>
      </c>
      <c r="AB9" s="29"/>
      <c r="AC9" s="29"/>
      <c r="AD9" s="29"/>
      <c r="AE9" s="29"/>
      <c r="AF9" s="29"/>
      <c r="AG9" s="28" t="s">
        <v>325</v>
      </c>
      <c r="AH9" s="28" t="s">
        <v>325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9" t="s">
        <v>124</v>
      </c>
      <c r="C11" s="28" t="s">
        <v>124</v>
      </c>
      <c r="D11" s="28" t="s">
        <v>124</v>
      </c>
      <c r="E11" s="28" t="s">
        <v>124</v>
      </c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 t="s">
        <v>124</v>
      </c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8" t="s">
        <v>124</v>
      </c>
      <c r="AH11" s="28" t="s">
        <v>124</v>
      </c>
    </row>
    <row r="12" spans="1:34">
      <c r="A12" s="26" t="s">
        <v>125</v>
      </c>
      <c r="B12" s="29" t="s">
        <v>124</v>
      </c>
      <c r="C12" s="28" t="s">
        <v>124</v>
      </c>
      <c r="D12" s="28" t="s">
        <v>124</v>
      </c>
      <c r="E12" s="28" t="s">
        <v>124</v>
      </c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 t="s">
        <v>124</v>
      </c>
      <c r="O12" s="28"/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124</v>
      </c>
      <c r="AB12" s="28"/>
      <c r="AC12" s="28"/>
      <c r="AD12" s="28"/>
      <c r="AE12" s="28"/>
      <c r="AF12" s="28"/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 t="s">
        <v>127</v>
      </c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 t="s">
        <v>127</v>
      </c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 t="s">
        <v>127</v>
      </c>
      <c r="AH14" s="28" t="s">
        <v>127</v>
      </c>
    </row>
    <row r="15" spans="1:34">
      <c r="A15" s="26" t="s">
        <v>129</v>
      </c>
      <c r="B15" s="28" t="s">
        <v>118</v>
      </c>
      <c r="C15" s="28" t="s">
        <v>118</v>
      </c>
      <c r="D15" s="28" t="s">
        <v>118</v>
      </c>
      <c r="E15" s="28" t="s">
        <v>118</v>
      </c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 t="s">
        <v>118</v>
      </c>
      <c r="O15" s="28"/>
      <c r="P15" s="28" t="s">
        <v>118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 t="s">
        <v>118</v>
      </c>
      <c r="AH15" s="28" t="s">
        <v>118</v>
      </c>
    </row>
    <row r="16" spans="1:34">
      <c r="A16" s="26" t="s">
        <v>130</v>
      </c>
      <c r="B16" s="30">
        <v>3</v>
      </c>
      <c r="C16" s="30">
        <v>3</v>
      </c>
      <c r="D16" s="30">
        <v>3</v>
      </c>
      <c r="E16" s="30">
        <v>3</v>
      </c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v>3</v>
      </c>
      <c r="M16" s="30">
        <v>3</v>
      </c>
      <c r="N16" s="30">
        <v>3</v>
      </c>
      <c r="O16" s="30"/>
      <c r="P16" s="30">
        <v>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>
        <v>3</v>
      </c>
      <c r="AH16" s="30">
        <v>3</v>
      </c>
    </row>
    <row r="17" spans="1:34">
      <c r="A17" s="26" t="s">
        <v>131</v>
      </c>
      <c r="B17" s="28" t="s">
        <v>1157</v>
      </c>
      <c r="C17" s="28" t="s">
        <v>312</v>
      </c>
      <c r="D17" s="28" t="s">
        <v>312</v>
      </c>
      <c r="E17" s="28" t="s">
        <v>312</v>
      </c>
      <c r="F17" s="28"/>
      <c r="G17" s="28" t="s">
        <v>312</v>
      </c>
      <c r="H17" s="28" t="s">
        <v>312</v>
      </c>
      <c r="I17" s="28" t="s">
        <v>312</v>
      </c>
      <c r="J17" s="28"/>
      <c r="K17" s="28" t="s">
        <v>312</v>
      </c>
      <c r="L17" s="28" t="s">
        <v>312</v>
      </c>
      <c r="M17" s="28" t="s">
        <v>312</v>
      </c>
      <c r="N17" s="28" t="s">
        <v>312</v>
      </c>
      <c r="O17" s="28"/>
      <c r="P17" s="28" t="s">
        <v>312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1157</v>
      </c>
      <c r="AB17" s="28"/>
      <c r="AC17" s="28"/>
      <c r="AD17" s="28"/>
      <c r="AE17" s="28"/>
      <c r="AF17" s="28"/>
      <c r="AG17" s="28" t="s">
        <v>312</v>
      </c>
      <c r="AH17" s="28" t="s">
        <v>312</v>
      </c>
    </row>
    <row r="18" spans="1:34">
      <c r="A18" s="26" t="s">
        <v>133</v>
      </c>
      <c r="B18" s="30">
        <v>1.875</v>
      </c>
      <c r="C18" s="30">
        <v>1.5</v>
      </c>
      <c r="D18" s="30">
        <v>1.5</v>
      </c>
      <c r="E18" s="30">
        <v>1.5</v>
      </c>
      <c r="F18" s="30"/>
      <c r="G18" s="30">
        <v>1.5</v>
      </c>
      <c r="H18" s="30">
        <v>1.5</v>
      </c>
      <c r="I18" s="30">
        <v>1.5</v>
      </c>
      <c r="J18" s="30"/>
      <c r="K18" s="30">
        <v>1.5</v>
      </c>
      <c r="L18" s="30">
        <v>1.5</v>
      </c>
      <c r="M18" s="30">
        <v>1.5</v>
      </c>
      <c r="N18" s="30">
        <v>1.5</v>
      </c>
      <c r="O18" s="30"/>
      <c r="P18" s="30">
        <v>1.5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1.875</v>
      </c>
      <c r="AB18" s="30"/>
      <c r="AC18" s="30"/>
      <c r="AD18" s="30"/>
      <c r="AE18" s="30"/>
      <c r="AF18" s="30"/>
      <c r="AG18" s="30">
        <v>1.5</v>
      </c>
      <c r="AH18" s="30">
        <v>1.5</v>
      </c>
    </row>
    <row r="20" spans="1:34">
      <c r="A20" s="31" t="s">
        <v>134</v>
      </c>
    </row>
    <row r="21" spans="1:34">
      <c r="A21" s="26" t="s">
        <v>1244</v>
      </c>
      <c r="B21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015E-B904-412A-8385-9E4D2DC01670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99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1245</v>
      </c>
      <c r="C4" s="203"/>
      <c r="D4" s="203"/>
      <c r="F4" s="204" t="s">
        <v>1246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1157</v>
      </c>
      <c r="C8" s="28" t="s">
        <v>313</v>
      </c>
      <c r="D8" s="28" t="s">
        <v>313</v>
      </c>
      <c r="E8" s="28" t="s">
        <v>313</v>
      </c>
      <c r="F8" s="28" t="s">
        <v>1162</v>
      </c>
      <c r="G8" s="28" t="s">
        <v>1162</v>
      </c>
      <c r="H8" s="28" t="s">
        <v>1162</v>
      </c>
      <c r="I8" s="28" t="s">
        <v>1162</v>
      </c>
      <c r="J8" s="29"/>
      <c r="K8" s="28" t="s">
        <v>1163</v>
      </c>
      <c r="L8" s="28" t="s">
        <v>1163</v>
      </c>
      <c r="M8" s="28" t="s">
        <v>1163</v>
      </c>
      <c r="N8" s="28" t="s">
        <v>313</v>
      </c>
      <c r="O8" s="28" t="s">
        <v>313</v>
      </c>
      <c r="P8" s="28" t="s">
        <v>1247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1247</v>
      </c>
      <c r="AB8" s="28"/>
      <c r="AC8" s="28" t="s">
        <v>1247</v>
      </c>
      <c r="AD8" s="28"/>
      <c r="AE8" s="28" t="s">
        <v>1247</v>
      </c>
      <c r="AF8" s="28"/>
      <c r="AG8" s="28" t="s">
        <v>313</v>
      </c>
      <c r="AH8" s="28" t="s">
        <v>313</v>
      </c>
    </row>
    <row r="9" spans="1:34">
      <c r="A9" s="26" t="s">
        <v>121</v>
      </c>
      <c r="B9" s="28" t="s">
        <v>1247</v>
      </c>
      <c r="C9" s="28" t="s">
        <v>313</v>
      </c>
      <c r="D9" s="28" t="s">
        <v>313</v>
      </c>
      <c r="E9" s="28" t="s">
        <v>313</v>
      </c>
      <c r="F9" s="103" t="s">
        <v>1167</v>
      </c>
      <c r="G9" s="103" t="s">
        <v>1167</v>
      </c>
      <c r="H9" s="103" t="s">
        <v>1167</v>
      </c>
      <c r="I9" s="103" t="s">
        <v>1167</v>
      </c>
      <c r="J9" s="103" t="s">
        <v>1167</v>
      </c>
      <c r="K9" s="103" t="s">
        <v>1167</v>
      </c>
      <c r="L9" s="103" t="s">
        <v>1167</v>
      </c>
      <c r="M9" s="103" t="s">
        <v>1167</v>
      </c>
      <c r="N9" s="28" t="s">
        <v>313</v>
      </c>
      <c r="O9" s="28" t="s">
        <v>313</v>
      </c>
      <c r="P9" s="28" t="s">
        <v>313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1247</v>
      </c>
      <c r="AB9" s="29"/>
      <c r="AC9" s="29"/>
      <c r="AD9" s="29"/>
      <c r="AE9" s="29"/>
      <c r="AF9" s="29"/>
      <c r="AG9" s="28" t="s">
        <v>313</v>
      </c>
      <c r="AH9" s="28" t="s">
        <v>313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 t="s">
        <v>124</v>
      </c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124</v>
      </c>
      <c r="AB12" s="28"/>
      <c r="AC12" s="28"/>
      <c r="AD12" s="28"/>
      <c r="AE12" s="28"/>
      <c r="AF12" s="28"/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 t="s">
        <v>149</v>
      </c>
      <c r="F15" s="28" t="s">
        <v>150</v>
      </c>
      <c r="G15" s="28" t="s">
        <v>150</v>
      </c>
      <c r="H15" s="28" t="s">
        <v>150</v>
      </c>
      <c r="I15" s="28" t="s">
        <v>150</v>
      </c>
      <c r="J15" s="28" t="s">
        <v>150</v>
      </c>
      <c r="K15" s="28" t="s">
        <v>150</v>
      </c>
      <c r="L15" s="28" t="s">
        <v>150</v>
      </c>
      <c r="M15" s="28" t="s">
        <v>150</v>
      </c>
      <c r="N15" s="28" t="s">
        <v>149</v>
      </c>
      <c r="O15" s="28" t="s">
        <v>149</v>
      </c>
      <c r="P15" s="28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 t="s">
        <v>149</v>
      </c>
      <c r="AH15" s="28" t="s">
        <v>149</v>
      </c>
    </row>
    <row r="16" spans="1:34">
      <c r="A16" s="26" t="s">
        <v>130</v>
      </c>
      <c r="B16" s="30">
        <v>1</v>
      </c>
      <c r="C16" s="30">
        <v>1</v>
      </c>
      <c r="D16" s="30">
        <v>1</v>
      </c>
      <c r="E16" s="30">
        <v>1</v>
      </c>
      <c r="F16" s="30">
        <f t="shared" ref="F16:M16" si="0">AVERAGE(0,-2)</f>
        <v>-1</v>
      </c>
      <c r="G16" s="30">
        <f t="shared" si="0"/>
        <v>-1</v>
      </c>
      <c r="H16" s="30">
        <f t="shared" si="0"/>
        <v>-1</v>
      </c>
      <c r="I16" s="30">
        <f t="shared" si="0"/>
        <v>-1</v>
      </c>
      <c r="J16" s="30">
        <f t="shared" si="0"/>
        <v>-1</v>
      </c>
      <c r="K16" s="30">
        <f t="shared" si="0"/>
        <v>-1</v>
      </c>
      <c r="L16" s="30">
        <f t="shared" si="0"/>
        <v>-1</v>
      </c>
      <c r="M16" s="30">
        <f t="shared" si="0"/>
        <v>-1</v>
      </c>
      <c r="N16" s="30">
        <v>1</v>
      </c>
      <c r="O16" s="30">
        <v>1</v>
      </c>
      <c r="P16" s="30">
        <v>1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30"/>
      <c r="AF16" s="30"/>
      <c r="AG16" s="30">
        <v>1</v>
      </c>
      <c r="AH16" s="30">
        <v>1</v>
      </c>
    </row>
    <row r="17" spans="1:34">
      <c r="A17" s="26" t="s">
        <v>131</v>
      </c>
      <c r="B17" s="28" t="s">
        <v>1157</v>
      </c>
      <c r="C17" s="28" t="s">
        <v>312</v>
      </c>
      <c r="D17" s="28" t="s">
        <v>312</v>
      </c>
      <c r="E17" s="28" t="s">
        <v>312</v>
      </c>
      <c r="F17" s="28" t="s">
        <v>312</v>
      </c>
      <c r="G17" s="28" t="s">
        <v>312</v>
      </c>
      <c r="H17" s="28" t="s">
        <v>312</v>
      </c>
      <c r="I17" s="28" t="s">
        <v>312</v>
      </c>
      <c r="J17" s="28" t="s">
        <v>312</v>
      </c>
      <c r="K17" s="28" t="s">
        <v>312</v>
      </c>
      <c r="L17" s="28" t="s">
        <v>312</v>
      </c>
      <c r="M17" s="28" t="s">
        <v>312</v>
      </c>
      <c r="N17" s="28" t="s">
        <v>312</v>
      </c>
      <c r="O17" s="28" t="s">
        <v>312</v>
      </c>
      <c r="P17" s="28" t="s">
        <v>312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1157</v>
      </c>
      <c r="AB17" s="28"/>
      <c r="AC17" s="28"/>
      <c r="AD17" s="28"/>
      <c r="AE17" s="28"/>
      <c r="AF17" s="28"/>
      <c r="AG17" s="28" t="s">
        <v>312</v>
      </c>
      <c r="AH17" s="28" t="s">
        <v>312</v>
      </c>
    </row>
    <row r="18" spans="1:34">
      <c r="A18" s="26" t="s">
        <v>133</v>
      </c>
      <c r="B18" s="30">
        <v>1.875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1.875</v>
      </c>
      <c r="AB18" s="30"/>
      <c r="AC18" s="30"/>
      <c r="AD18" s="30"/>
      <c r="AE18" s="30"/>
      <c r="AF18" s="30"/>
      <c r="AG18" s="30">
        <v>1.5</v>
      </c>
      <c r="AH18" s="30">
        <v>1.5</v>
      </c>
    </row>
    <row r="20" spans="1:34">
      <c r="A20" s="31" t="s">
        <v>134</v>
      </c>
    </row>
    <row r="21" spans="1:34">
      <c r="A21" s="26" t="s">
        <v>1248</v>
      </c>
      <c r="B21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B84D-D072-49C6-9781-472612F28637}">
  <dimension ref="A1:AH21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100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1249</v>
      </c>
      <c r="C4" s="203"/>
      <c r="D4" s="203"/>
      <c r="F4" s="204" t="s">
        <v>1250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86" t="s">
        <v>1141</v>
      </c>
      <c r="C8" s="28" t="s">
        <v>331</v>
      </c>
      <c r="D8" s="28" t="s">
        <v>331</v>
      </c>
      <c r="E8" s="28" t="s">
        <v>331</v>
      </c>
      <c r="F8" s="28"/>
      <c r="G8" s="28" t="s">
        <v>331</v>
      </c>
      <c r="H8" s="28" t="s">
        <v>331</v>
      </c>
      <c r="I8" s="28" t="s">
        <v>331</v>
      </c>
      <c r="J8" s="28"/>
      <c r="K8" s="28" t="s">
        <v>331</v>
      </c>
      <c r="L8" s="28" t="s">
        <v>331</v>
      </c>
      <c r="M8" s="28" t="s">
        <v>331</v>
      </c>
      <c r="N8" s="28"/>
      <c r="O8" s="28"/>
      <c r="P8" s="28" t="s">
        <v>1140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1140</v>
      </c>
      <c r="AB8" s="28"/>
      <c r="AC8" s="28"/>
      <c r="AD8" s="28"/>
      <c r="AE8" s="28"/>
      <c r="AF8" s="28"/>
      <c r="AG8" s="28"/>
      <c r="AH8" s="28" t="s">
        <v>331</v>
      </c>
    </row>
    <row r="9" spans="1:34">
      <c r="A9" s="26" t="s">
        <v>121</v>
      </c>
      <c r="B9" s="86" t="s">
        <v>1140</v>
      </c>
      <c r="C9" s="28" t="s">
        <v>331</v>
      </c>
      <c r="D9" s="28" t="s">
        <v>331</v>
      </c>
      <c r="E9" s="28" t="s">
        <v>331</v>
      </c>
      <c r="F9" s="28"/>
      <c r="G9" s="28" t="s">
        <v>331</v>
      </c>
      <c r="H9" s="28" t="s">
        <v>331</v>
      </c>
      <c r="I9" s="28" t="s">
        <v>331</v>
      </c>
      <c r="J9" s="29"/>
      <c r="K9" s="28" t="s">
        <v>331</v>
      </c>
      <c r="L9" s="28" t="s">
        <v>331</v>
      </c>
      <c r="M9" s="28" t="s">
        <v>331</v>
      </c>
      <c r="N9" s="29"/>
      <c r="O9" s="29"/>
      <c r="P9" s="28" t="s">
        <v>331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1140</v>
      </c>
      <c r="AB9" s="29"/>
      <c r="AC9" s="29"/>
      <c r="AD9" s="29"/>
      <c r="AE9" s="29"/>
      <c r="AF9" s="29"/>
      <c r="AG9" s="29"/>
      <c r="AH9" s="28" t="s">
        <v>331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91" t="s">
        <v>124</v>
      </c>
      <c r="C11" s="28" t="s">
        <v>124</v>
      </c>
      <c r="D11" s="28" t="s">
        <v>124</v>
      </c>
      <c r="E11" s="28" t="s">
        <v>124</v>
      </c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28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/>
      <c r="AH11" s="28" t="s">
        <v>124</v>
      </c>
    </row>
    <row r="12" spans="1:34">
      <c r="A12" s="26" t="s">
        <v>125</v>
      </c>
      <c r="B12" s="86" t="s">
        <v>127</v>
      </c>
      <c r="C12" s="28" t="s">
        <v>127</v>
      </c>
      <c r="D12" s="28" t="s">
        <v>127</v>
      </c>
      <c r="E12" s="28" t="s">
        <v>127</v>
      </c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/>
      <c r="AH12" s="28" t="s">
        <v>127</v>
      </c>
    </row>
    <row r="13" spans="1:34">
      <c r="A13" s="26" t="s">
        <v>126</v>
      </c>
      <c r="B13" s="86" t="s">
        <v>127</v>
      </c>
      <c r="C13" s="28" t="s">
        <v>127</v>
      </c>
      <c r="D13" s="28" t="s">
        <v>127</v>
      </c>
      <c r="E13" s="28" t="s">
        <v>127</v>
      </c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28" t="s">
        <v>127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127</v>
      </c>
      <c r="AB13" s="28"/>
      <c r="AC13" s="28"/>
      <c r="AD13" s="28"/>
      <c r="AE13" s="28"/>
      <c r="AF13" s="28"/>
      <c r="AG13" s="28"/>
      <c r="AH13" s="28" t="s">
        <v>127</v>
      </c>
    </row>
    <row r="14" spans="1:34">
      <c r="A14" s="26" t="s">
        <v>128</v>
      </c>
      <c r="B14" s="86" t="s">
        <v>127</v>
      </c>
      <c r="C14" s="28" t="s">
        <v>127</v>
      </c>
      <c r="D14" s="28" t="s">
        <v>127</v>
      </c>
      <c r="E14" s="28" t="s">
        <v>127</v>
      </c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28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/>
      <c r="AH14" s="28" t="s">
        <v>127</v>
      </c>
    </row>
    <row r="15" spans="1:34">
      <c r="A15" s="26" t="s">
        <v>129</v>
      </c>
      <c r="B15" s="86" t="s">
        <v>118</v>
      </c>
      <c r="C15" s="28" t="s">
        <v>118</v>
      </c>
      <c r="D15" s="28" t="s">
        <v>118</v>
      </c>
      <c r="E15" s="28" t="s">
        <v>118</v>
      </c>
      <c r="F15" s="28"/>
      <c r="G15" s="28" t="s">
        <v>118</v>
      </c>
      <c r="H15" s="28" t="s">
        <v>118</v>
      </c>
      <c r="I15" s="28" t="s">
        <v>118</v>
      </c>
      <c r="J15" s="28"/>
      <c r="K15" s="28" t="s">
        <v>118</v>
      </c>
      <c r="L15" s="28" t="s">
        <v>118</v>
      </c>
      <c r="M15" s="28" t="s">
        <v>118</v>
      </c>
      <c r="N15" s="28"/>
      <c r="O15" s="28"/>
      <c r="P15" s="28" t="s">
        <v>118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118</v>
      </c>
      <c r="AB15" s="28"/>
      <c r="AC15" s="28"/>
      <c r="AD15" s="28"/>
      <c r="AE15" s="28"/>
      <c r="AF15" s="28"/>
      <c r="AG15" s="28"/>
      <c r="AH15" s="28" t="s">
        <v>118</v>
      </c>
    </row>
    <row r="16" spans="1:34">
      <c r="A16" s="26" t="s">
        <v>130</v>
      </c>
      <c r="B16" s="92">
        <v>2.5</v>
      </c>
      <c r="C16" s="30">
        <v>2.5</v>
      </c>
      <c r="D16" s="30">
        <v>2.5</v>
      </c>
      <c r="E16" s="30">
        <v>2.5</v>
      </c>
      <c r="F16" s="30"/>
      <c r="G16" s="30">
        <v>2.5</v>
      </c>
      <c r="H16" s="30">
        <v>2.5</v>
      </c>
      <c r="I16" s="30">
        <v>2.5</v>
      </c>
      <c r="J16" s="30"/>
      <c r="K16" s="30">
        <v>2.5</v>
      </c>
      <c r="L16" s="30">
        <v>2.5</v>
      </c>
      <c r="M16" s="30">
        <v>2.5</v>
      </c>
      <c r="N16" s="30"/>
      <c r="O16" s="30"/>
      <c r="P16" s="30">
        <v>2.5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v>2.5</v>
      </c>
    </row>
    <row r="17" spans="1:34">
      <c r="A17" s="26" t="s">
        <v>131</v>
      </c>
      <c r="B17" s="86" t="s">
        <v>1141</v>
      </c>
      <c r="C17" s="28" t="s">
        <v>180</v>
      </c>
      <c r="D17" s="28" t="s">
        <v>180</v>
      </c>
      <c r="E17" s="28" t="s">
        <v>180</v>
      </c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1141</v>
      </c>
      <c r="AB17" s="28"/>
      <c r="AC17" s="28"/>
      <c r="AD17" s="28"/>
      <c r="AE17" s="28"/>
      <c r="AF17" s="28"/>
      <c r="AG17" s="28"/>
      <c r="AH17" s="28" t="s">
        <v>180</v>
      </c>
    </row>
    <row r="18" spans="1:34">
      <c r="A18" s="26" t="s">
        <v>133</v>
      </c>
      <c r="B18" s="92">
        <v>2.5</v>
      </c>
      <c r="C18" s="30">
        <v>2</v>
      </c>
      <c r="D18" s="30">
        <v>2</v>
      </c>
      <c r="E18" s="30">
        <v>2</v>
      </c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/>
      <c r="AC18" s="30"/>
      <c r="AD18" s="30"/>
      <c r="AE18" s="30"/>
      <c r="AF18" s="30"/>
      <c r="AG18" s="30"/>
      <c r="AH18" s="30">
        <v>2</v>
      </c>
    </row>
    <row r="20" spans="1:34">
      <c r="A20" s="31" t="s">
        <v>134</v>
      </c>
    </row>
    <row r="21" spans="1:34">
      <c r="A21" s="26" t="s">
        <v>1251</v>
      </c>
      <c r="B21" s="56" t="s">
        <v>1252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0C39-9F68-4167-AE10-C7793E0696FA}">
  <dimension ref="A1:AW22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64" width="5.7109375" style="26" customWidth="1"/>
    <col min="65" max="16384" width="9.140625" style="26"/>
  </cols>
  <sheetData>
    <row r="1" spans="1:49">
      <c r="A1" s="25" t="s">
        <v>74</v>
      </c>
      <c r="D1" s="25" t="s">
        <v>840</v>
      </c>
      <c r="I1" s="25" t="s">
        <v>1190</v>
      </c>
    </row>
    <row r="3" spans="1:49" ht="17.45">
      <c r="A3" s="25" t="s">
        <v>77</v>
      </c>
      <c r="B3" s="203">
        <v>101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49" ht="17.45">
      <c r="A4" s="25" t="s">
        <v>79</v>
      </c>
      <c r="B4" s="203" t="s">
        <v>1253</v>
      </c>
      <c r="C4" s="203"/>
      <c r="D4" s="203"/>
      <c r="F4" s="204" t="s">
        <v>1254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49" ht="17.45">
      <c r="A5" s="25" t="s">
        <v>82</v>
      </c>
      <c r="B5" s="203" t="s">
        <v>864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49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32" t="s">
        <v>85</v>
      </c>
      <c r="AK7" s="32" t="s">
        <v>86</v>
      </c>
      <c r="AL7" s="33" t="s">
        <v>87</v>
      </c>
      <c r="AM7" s="34" t="s">
        <v>88</v>
      </c>
      <c r="AN7" s="35" t="s">
        <v>89</v>
      </c>
      <c r="AO7" s="35" t="s">
        <v>90</v>
      </c>
      <c r="AP7" s="36" t="s">
        <v>91</v>
      </c>
      <c r="AQ7" s="39" t="s">
        <v>93</v>
      </c>
      <c r="AR7" s="39" t="s">
        <v>94</v>
      </c>
      <c r="AS7" s="39" t="s">
        <v>95</v>
      </c>
      <c r="AT7" s="40" t="s">
        <v>97</v>
      </c>
      <c r="AU7" s="48" t="s">
        <v>109</v>
      </c>
      <c r="AV7" s="53" t="s">
        <v>115</v>
      </c>
      <c r="AW7" s="53" t="s">
        <v>116</v>
      </c>
    </row>
    <row r="8" spans="1:49">
      <c r="A8" s="26" t="s">
        <v>117</v>
      </c>
      <c r="B8" s="28" t="s">
        <v>1255</v>
      </c>
      <c r="C8" s="28" t="s">
        <v>263</v>
      </c>
      <c r="D8" s="28" t="s">
        <v>263</v>
      </c>
      <c r="E8" s="29" t="s">
        <v>263</v>
      </c>
      <c r="F8" s="29" t="s">
        <v>263</v>
      </c>
      <c r="G8" s="28" t="s">
        <v>269</v>
      </c>
      <c r="H8" s="28" t="s">
        <v>269</v>
      </c>
      <c r="I8" s="28" t="s">
        <v>269</v>
      </c>
      <c r="J8" s="29" t="s">
        <v>263</v>
      </c>
      <c r="K8" s="28" t="s">
        <v>1256</v>
      </c>
      <c r="L8" s="28" t="s">
        <v>1256</v>
      </c>
      <c r="M8" s="28" t="s">
        <v>1256</v>
      </c>
      <c r="N8" s="28" t="s">
        <v>1257</v>
      </c>
      <c r="O8" s="28" t="s">
        <v>1258</v>
      </c>
      <c r="P8" s="29" t="s">
        <v>1257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1259</v>
      </c>
      <c r="AB8" s="28"/>
      <c r="AC8" s="28" t="s">
        <v>1257</v>
      </c>
      <c r="AD8" s="28"/>
      <c r="AE8" s="28"/>
      <c r="AF8" s="28" t="s">
        <v>206</v>
      </c>
      <c r="AG8" s="28" t="s">
        <v>1258</v>
      </c>
      <c r="AH8" s="28" t="s">
        <v>363</v>
      </c>
      <c r="AJ8" s="28" t="s">
        <v>1257</v>
      </c>
      <c r="AK8" s="28" t="s">
        <v>1257</v>
      </c>
      <c r="AL8" s="29" t="s">
        <v>206</v>
      </c>
      <c r="AM8" s="29" t="s">
        <v>206</v>
      </c>
      <c r="AN8" s="29" t="s">
        <v>206</v>
      </c>
      <c r="AO8" s="29" t="s">
        <v>206</v>
      </c>
      <c r="AP8" s="29" t="s">
        <v>206</v>
      </c>
      <c r="AQ8" s="28" t="s">
        <v>1257</v>
      </c>
      <c r="AR8" s="28" t="s">
        <v>1257</v>
      </c>
      <c r="AS8" s="28" t="s">
        <v>1257</v>
      </c>
      <c r="AT8" s="28"/>
      <c r="AU8" s="28" t="s">
        <v>1257</v>
      </c>
      <c r="AV8" s="28" t="s">
        <v>1260</v>
      </c>
      <c r="AW8" s="28" t="s">
        <v>1261</v>
      </c>
    </row>
    <row r="9" spans="1:49">
      <c r="A9" s="26" t="s">
        <v>121</v>
      </c>
      <c r="B9" s="28" t="s">
        <v>1262</v>
      </c>
      <c r="C9" s="28" t="s">
        <v>231</v>
      </c>
      <c r="D9" s="28" t="s">
        <v>231</v>
      </c>
      <c r="E9" s="28" t="s">
        <v>231</v>
      </c>
      <c r="F9" s="29"/>
      <c r="G9" s="28" t="s">
        <v>263</v>
      </c>
      <c r="H9" s="28" t="s">
        <v>341</v>
      </c>
      <c r="I9" s="28" t="s">
        <v>341</v>
      </c>
      <c r="J9" s="29"/>
      <c r="K9" s="29" t="s">
        <v>1263</v>
      </c>
      <c r="L9" s="29" t="s">
        <v>1263</v>
      </c>
      <c r="M9" s="29" t="s">
        <v>1263</v>
      </c>
      <c r="N9" s="28"/>
      <c r="O9" s="28"/>
      <c r="P9" s="85" t="s">
        <v>211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1264</v>
      </c>
      <c r="AB9" s="29"/>
      <c r="AC9" s="29"/>
      <c r="AD9" s="29"/>
      <c r="AE9" s="29"/>
      <c r="AF9" s="29"/>
      <c r="AG9" s="28" t="s">
        <v>231</v>
      </c>
      <c r="AH9" s="28" t="s">
        <v>231</v>
      </c>
      <c r="AJ9" s="28" t="s">
        <v>1265</v>
      </c>
      <c r="AK9" s="29" t="s">
        <v>206</v>
      </c>
      <c r="AL9" s="29"/>
      <c r="AM9" s="29"/>
      <c r="AN9" s="28" t="s">
        <v>210</v>
      </c>
      <c r="AO9" s="29" t="s">
        <v>209</v>
      </c>
      <c r="AP9" s="29" t="s">
        <v>206</v>
      </c>
      <c r="AQ9" s="28" t="s">
        <v>210</v>
      </c>
      <c r="AR9" s="28" t="s">
        <v>210</v>
      </c>
      <c r="AS9" s="28" t="s">
        <v>210</v>
      </c>
      <c r="AT9" s="28"/>
      <c r="AU9" s="94" t="s">
        <v>1266</v>
      </c>
      <c r="AV9" s="28" t="s">
        <v>1267</v>
      </c>
      <c r="AW9" s="28" t="s">
        <v>1267</v>
      </c>
    </row>
    <row r="10" spans="1:49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49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/>
      <c r="G11" s="28" t="s">
        <v>124</v>
      </c>
      <c r="H11" s="29" t="s">
        <v>124</v>
      </c>
      <c r="I11" s="29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83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124</v>
      </c>
      <c r="AB11" s="28"/>
      <c r="AC11" s="29"/>
      <c r="AD11" s="28"/>
      <c r="AE11" s="29"/>
      <c r="AF11" s="28"/>
      <c r="AG11" s="29" t="s">
        <v>124</v>
      </c>
      <c r="AH11" s="29" t="s">
        <v>124</v>
      </c>
      <c r="AJ11" s="28" t="s">
        <v>124</v>
      </c>
      <c r="AK11" s="29" t="s">
        <v>124</v>
      </c>
      <c r="AL11" s="28"/>
      <c r="AM11" s="28"/>
      <c r="AN11" s="29" t="s">
        <v>124</v>
      </c>
      <c r="AO11" s="29" t="s">
        <v>124</v>
      </c>
      <c r="AP11" s="29" t="s">
        <v>124</v>
      </c>
      <c r="AQ11" s="29" t="s">
        <v>124</v>
      </c>
      <c r="AR11" s="29" t="s">
        <v>124</v>
      </c>
      <c r="AS11" s="29" t="s">
        <v>124</v>
      </c>
      <c r="AT11" s="28"/>
      <c r="AU11" s="28" t="s">
        <v>124</v>
      </c>
      <c r="AV11" s="29" t="s">
        <v>124</v>
      </c>
      <c r="AW11" s="29" t="s">
        <v>124</v>
      </c>
    </row>
    <row r="12" spans="1:49">
      <c r="A12" s="26" t="s">
        <v>125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/>
      <c r="G12" s="28" t="s">
        <v>127</v>
      </c>
      <c r="H12" s="29" t="s">
        <v>124</v>
      </c>
      <c r="I12" s="29" t="s">
        <v>124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85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127</v>
      </c>
      <c r="AB12" s="28"/>
      <c r="AC12" s="28"/>
      <c r="AD12" s="28"/>
      <c r="AE12" s="28"/>
      <c r="AF12" s="28"/>
      <c r="AG12" s="29" t="s">
        <v>127</v>
      </c>
      <c r="AH12" s="29" t="s">
        <v>127</v>
      </c>
      <c r="AJ12" s="28" t="s">
        <v>127</v>
      </c>
      <c r="AK12" s="28" t="s">
        <v>127</v>
      </c>
      <c r="AL12" s="28"/>
      <c r="AM12" s="28"/>
      <c r="AN12" s="28" t="s">
        <v>127</v>
      </c>
      <c r="AO12" s="28" t="s">
        <v>127</v>
      </c>
      <c r="AP12" s="28" t="s">
        <v>127</v>
      </c>
      <c r="AQ12" s="28" t="s">
        <v>127</v>
      </c>
      <c r="AR12" s="28" t="s">
        <v>127</v>
      </c>
      <c r="AS12" s="28" t="s">
        <v>127</v>
      </c>
      <c r="AT12" s="28"/>
      <c r="AU12" s="28" t="s">
        <v>127</v>
      </c>
      <c r="AV12" s="29" t="s">
        <v>127</v>
      </c>
      <c r="AW12" s="29" t="s">
        <v>127</v>
      </c>
    </row>
    <row r="13" spans="1:49">
      <c r="A13" s="26" t="s">
        <v>126</v>
      </c>
      <c r="B13" s="28" t="s">
        <v>124</v>
      </c>
      <c r="C13" s="28" t="s">
        <v>124</v>
      </c>
      <c r="D13" s="28" t="s">
        <v>124</v>
      </c>
      <c r="E13" s="28" t="s">
        <v>124</v>
      </c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83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 t="s">
        <v>124</v>
      </c>
      <c r="AH13" s="28" t="s">
        <v>124</v>
      </c>
      <c r="AJ13" s="28" t="s">
        <v>124</v>
      </c>
      <c r="AK13" s="28" t="s">
        <v>124</v>
      </c>
      <c r="AL13" s="28"/>
      <c r="AM13" s="28"/>
      <c r="AN13" s="28" t="s">
        <v>124</v>
      </c>
      <c r="AO13" s="28" t="s">
        <v>124</v>
      </c>
      <c r="AP13" s="28" t="s">
        <v>124</v>
      </c>
      <c r="AQ13" s="28" t="s">
        <v>124</v>
      </c>
      <c r="AR13" s="28" t="s">
        <v>124</v>
      </c>
      <c r="AS13" s="28" t="s">
        <v>124</v>
      </c>
      <c r="AT13" s="28"/>
      <c r="AU13" s="28" t="s">
        <v>124</v>
      </c>
      <c r="AV13" s="28" t="s">
        <v>124</v>
      </c>
      <c r="AW13" s="28" t="s">
        <v>124</v>
      </c>
    </row>
    <row r="14" spans="1:49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83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 t="s">
        <v>127</v>
      </c>
      <c r="AH14" s="28" t="s">
        <v>127</v>
      </c>
      <c r="AJ14" s="28" t="s">
        <v>127</v>
      </c>
      <c r="AK14" s="28" t="s">
        <v>127</v>
      </c>
      <c r="AL14" s="28"/>
      <c r="AM14" s="28"/>
      <c r="AN14" s="28" t="s">
        <v>127</v>
      </c>
      <c r="AO14" s="28" t="s">
        <v>127</v>
      </c>
      <c r="AP14" s="28" t="s">
        <v>127</v>
      </c>
      <c r="AQ14" s="28" t="s">
        <v>127</v>
      </c>
      <c r="AR14" s="28" t="s">
        <v>127</v>
      </c>
      <c r="AS14" s="28" t="s">
        <v>127</v>
      </c>
      <c r="AT14" s="28"/>
      <c r="AU14" s="28" t="s">
        <v>127</v>
      </c>
      <c r="AV14" s="28" t="s">
        <v>127</v>
      </c>
      <c r="AW14" s="28" t="s">
        <v>127</v>
      </c>
    </row>
    <row r="15" spans="1:49">
      <c r="A15" s="26" t="s">
        <v>129</v>
      </c>
      <c r="B15" s="28" t="s">
        <v>149</v>
      </c>
      <c r="C15" s="28" t="s">
        <v>150</v>
      </c>
      <c r="D15" s="28" t="s">
        <v>150</v>
      </c>
      <c r="E15" s="28" t="s">
        <v>150</v>
      </c>
      <c r="F15" s="28"/>
      <c r="G15" s="28" t="s">
        <v>216</v>
      </c>
      <c r="H15" s="28" t="s">
        <v>343</v>
      </c>
      <c r="I15" s="28" t="s">
        <v>343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83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150</v>
      </c>
      <c r="AB15" s="28"/>
      <c r="AC15" s="28"/>
      <c r="AD15" s="28"/>
      <c r="AE15" s="28"/>
      <c r="AF15" s="28"/>
      <c r="AG15" s="28" t="s">
        <v>150</v>
      </c>
      <c r="AH15" s="28" t="s">
        <v>150</v>
      </c>
      <c r="AJ15" s="28" t="s">
        <v>149</v>
      </c>
      <c r="AK15" s="28" t="s">
        <v>149</v>
      </c>
      <c r="AL15" s="28"/>
      <c r="AM15" s="28"/>
      <c r="AN15" s="28" t="s">
        <v>149</v>
      </c>
      <c r="AO15" s="28" t="s">
        <v>149</v>
      </c>
      <c r="AP15" s="28" t="s">
        <v>149</v>
      </c>
      <c r="AQ15" s="28" t="s">
        <v>149</v>
      </c>
      <c r="AR15" s="28" t="s">
        <v>149</v>
      </c>
      <c r="AS15" s="28" t="s">
        <v>149</v>
      </c>
      <c r="AT15" s="28"/>
      <c r="AU15" s="28" t="s">
        <v>149</v>
      </c>
      <c r="AV15" s="28" t="s">
        <v>217</v>
      </c>
      <c r="AW15" s="28" t="s">
        <v>217</v>
      </c>
    </row>
    <row r="16" spans="1:49">
      <c r="A16" s="26" t="s">
        <v>130</v>
      </c>
      <c r="B16" s="30">
        <v>0.5</v>
      </c>
      <c r="C16" s="30">
        <v>-0.5</v>
      </c>
      <c r="D16" s="30">
        <v>-0.5</v>
      </c>
      <c r="E16" s="30">
        <v>-0.5</v>
      </c>
      <c r="F16" s="30"/>
      <c r="G16" s="30">
        <v>-3</v>
      </c>
      <c r="H16" s="30">
        <v>-6</v>
      </c>
      <c r="I16" s="30">
        <v>-6</v>
      </c>
      <c r="J16" s="30"/>
      <c r="K16" s="30">
        <v>-0.25</v>
      </c>
      <c r="L16" s="30">
        <v>-0.25</v>
      </c>
      <c r="M16" s="30">
        <v>-0.25</v>
      </c>
      <c r="N16" s="30"/>
      <c r="O16" s="30"/>
      <c r="P16" s="88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>
        <v>-0.5</v>
      </c>
      <c r="AH16" s="30">
        <v>-0.5</v>
      </c>
      <c r="AJ16" s="30">
        <v>0.875</v>
      </c>
      <c r="AK16" s="30">
        <v>1</v>
      </c>
      <c r="AL16" s="30"/>
      <c r="AM16" s="30"/>
      <c r="AN16" s="30">
        <v>0.5</v>
      </c>
      <c r="AO16" s="30">
        <f>5/3</f>
        <v>1.6666666666666667</v>
      </c>
      <c r="AP16" s="30">
        <v>1</v>
      </c>
      <c r="AQ16" s="30">
        <v>0.5</v>
      </c>
      <c r="AR16" s="30">
        <v>0.5</v>
      </c>
      <c r="AS16" s="30">
        <v>0.5</v>
      </c>
      <c r="AT16" s="30"/>
      <c r="AU16" s="30">
        <f>7/6</f>
        <v>1.1666666666666667</v>
      </c>
      <c r="AV16" s="30">
        <f>AVERAGE(-0.5,4/3)</f>
        <v>0.41666666666666663</v>
      </c>
      <c r="AW16" s="30">
        <f>AVERAGE(-0.5,4/3)</f>
        <v>0.41666666666666663</v>
      </c>
    </row>
    <row r="17" spans="1:49">
      <c r="A17" s="26" t="s">
        <v>131</v>
      </c>
      <c r="B17" s="28" t="s">
        <v>1141</v>
      </c>
      <c r="C17" s="28" t="s">
        <v>180</v>
      </c>
      <c r="D17" s="28" t="s">
        <v>180</v>
      </c>
      <c r="E17" s="28" t="s">
        <v>180</v>
      </c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1141</v>
      </c>
      <c r="AB17" s="28"/>
      <c r="AC17" s="28"/>
      <c r="AD17" s="28"/>
      <c r="AE17" s="28"/>
      <c r="AF17" s="28"/>
      <c r="AG17" s="28" t="s">
        <v>180</v>
      </c>
      <c r="AH17" s="28" t="s">
        <v>180</v>
      </c>
      <c r="AJ17" s="28" t="s">
        <v>180</v>
      </c>
      <c r="AK17" s="28" t="s">
        <v>180</v>
      </c>
      <c r="AL17" s="28"/>
      <c r="AM17" s="28"/>
      <c r="AN17" s="28" t="s">
        <v>180</v>
      </c>
      <c r="AO17" s="28" t="s">
        <v>180</v>
      </c>
      <c r="AP17" s="28" t="s">
        <v>180</v>
      </c>
      <c r="AQ17" s="28" t="s">
        <v>180</v>
      </c>
      <c r="AR17" s="28" t="s">
        <v>180</v>
      </c>
      <c r="AS17" s="28" t="s">
        <v>180</v>
      </c>
      <c r="AT17" s="28"/>
      <c r="AU17" s="28" t="s">
        <v>1141</v>
      </c>
      <c r="AV17" s="28" t="s">
        <v>180</v>
      </c>
      <c r="AW17" s="28" t="s">
        <v>180</v>
      </c>
    </row>
    <row r="18" spans="1:49">
      <c r="A18" s="26" t="s">
        <v>133</v>
      </c>
      <c r="B18" s="30">
        <v>2.5</v>
      </c>
      <c r="C18" s="30">
        <v>2</v>
      </c>
      <c r="D18" s="30">
        <v>2</v>
      </c>
      <c r="E18" s="30">
        <v>2</v>
      </c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/>
      <c r="AC18" s="30"/>
      <c r="AD18" s="30"/>
      <c r="AE18" s="30"/>
      <c r="AF18" s="30"/>
      <c r="AG18" s="30">
        <v>2</v>
      </c>
      <c r="AH18" s="30">
        <v>2</v>
      </c>
      <c r="AJ18" s="30">
        <v>2</v>
      </c>
      <c r="AK18" s="30">
        <v>2</v>
      </c>
      <c r="AL18" s="30"/>
      <c r="AM18" s="30"/>
      <c r="AN18" s="30">
        <v>2</v>
      </c>
      <c r="AO18" s="30">
        <v>2</v>
      </c>
      <c r="AP18" s="30">
        <v>2</v>
      </c>
      <c r="AQ18" s="30">
        <v>2</v>
      </c>
      <c r="AR18" s="30">
        <v>2</v>
      </c>
      <c r="AS18" s="30">
        <v>2</v>
      </c>
      <c r="AT18" s="30"/>
      <c r="AU18" s="30">
        <v>2.5</v>
      </c>
      <c r="AV18" s="30">
        <v>2</v>
      </c>
      <c r="AW18" s="30">
        <v>2</v>
      </c>
    </row>
    <row r="19" spans="1:49">
      <c r="C19" s="78" t="s">
        <v>1268</v>
      </c>
      <c r="AJ19" s="78" t="s">
        <v>1269</v>
      </c>
    </row>
    <row r="20" spans="1:49">
      <c r="A20" s="31" t="s">
        <v>134</v>
      </c>
    </row>
    <row r="21" spans="1:49">
      <c r="A21" s="26" t="s">
        <v>1270</v>
      </c>
      <c r="B21" s="56" t="s">
        <v>1271</v>
      </c>
    </row>
    <row r="22" spans="1:49">
      <c r="A22" s="26" t="s">
        <v>1272</v>
      </c>
      <c r="B22" s="56" t="s">
        <v>1194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2BF8-9928-49E9-8F51-C8ADC4649CDD}">
  <dimension ref="A1:AH22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102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1253</v>
      </c>
      <c r="C4" s="203"/>
      <c r="D4" s="203"/>
      <c r="F4" s="204" t="s">
        <v>1273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885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1255</v>
      </c>
      <c r="C8" s="28" t="s">
        <v>1257</v>
      </c>
      <c r="D8" s="28" t="s">
        <v>1257</v>
      </c>
      <c r="E8" s="29" t="s">
        <v>206</v>
      </c>
      <c r="F8" s="29" t="s">
        <v>206</v>
      </c>
      <c r="G8" s="29" t="s">
        <v>206</v>
      </c>
      <c r="H8" s="29" t="s">
        <v>206</v>
      </c>
      <c r="I8" s="29" t="s">
        <v>206</v>
      </c>
      <c r="J8" s="28"/>
      <c r="K8" s="28" t="s">
        <v>1257</v>
      </c>
      <c r="L8" s="28" t="s">
        <v>1257</v>
      </c>
      <c r="M8" s="28" t="s">
        <v>1257</v>
      </c>
      <c r="N8" s="28" t="s">
        <v>1257</v>
      </c>
      <c r="O8" s="28" t="s">
        <v>1257</v>
      </c>
      <c r="P8" s="83" t="s">
        <v>1257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1257</v>
      </c>
      <c r="AB8" s="28"/>
      <c r="AC8" s="28"/>
      <c r="AD8" s="28"/>
      <c r="AE8" s="28" t="s">
        <v>1257</v>
      </c>
      <c r="AF8" s="28" t="s">
        <v>206</v>
      </c>
      <c r="AG8" s="28" t="s">
        <v>206</v>
      </c>
      <c r="AH8" s="28" t="s">
        <v>206</v>
      </c>
    </row>
    <row r="9" spans="1:34">
      <c r="A9" s="26" t="s">
        <v>121</v>
      </c>
      <c r="B9" s="28" t="s">
        <v>1262</v>
      </c>
      <c r="C9" s="28" t="s">
        <v>1265</v>
      </c>
      <c r="D9" s="29" t="s">
        <v>206</v>
      </c>
      <c r="E9" s="29"/>
      <c r="F9" s="29"/>
      <c r="G9" s="28" t="s">
        <v>210</v>
      </c>
      <c r="H9" s="29" t="s">
        <v>209</v>
      </c>
      <c r="I9" s="29" t="s">
        <v>206</v>
      </c>
      <c r="J9" s="29"/>
      <c r="K9" s="28" t="s">
        <v>210</v>
      </c>
      <c r="L9" s="28" t="s">
        <v>210</v>
      </c>
      <c r="M9" s="28" t="s">
        <v>210</v>
      </c>
      <c r="N9" s="29"/>
      <c r="O9" s="29"/>
      <c r="P9" s="85" t="s">
        <v>211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94" t="s">
        <v>1266</v>
      </c>
      <c r="AB9" s="29"/>
      <c r="AC9" s="29"/>
      <c r="AD9" s="29"/>
      <c r="AE9" s="29"/>
      <c r="AF9" s="29"/>
      <c r="AG9" s="28" t="s">
        <v>211</v>
      </c>
      <c r="AH9" s="28" t="s">
        <v>211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123</v>
      </c>
      <c r="B11" s="28" t="s">
        <v>124</v>
      </c>
      <c r="C11" s="28" t="s">
        <v>124</v>
      </c>
      <c r="D11" s="29" t="s">
        <v>124</v>
      </c>
      <c r="E11" s="28"/>
      <c r="F11" s="28"/>
      <c r="G11" s="29" t="s">
        <v>124</v>
      </c>
      <c r="H11" s="29" t="s">
        <v>124</v>
      </c>
      <c r="I11" s="29" t="s">
        <v>124</v>
      </c>
      <c r="J11" s="28"/>
      <c r="K11" s="29" t="s">
        <v>124</v>
      </c>
      <c r="L11" s="29" t="s">
        <v>124</v>
      </c>
      <c r="M11" s="29" t="s">
        <v>124</v>
      </c>
      <c r="N11" s="28"/>
      <c r="O11" s="28"/>
      <c r="P11" s="83" t="s">
        <v>124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124</v>
      </c>
      <c r="AB11" s="28"/>
      <c r="AC11" s="29"/>
      <c r="AD11" s="28"/>
      <c r="AE11" s="29"/>
      <c r="AF11" s="28"/>
      <c r="AG11" s="28" t="s">
        <v>124</v>
      </c>
      <c r="AH11" s="28" t="s">
        <v>124</v>
      </c>
    </row>
    <row r="12" spans="1:34">
      <c r="A12" s="26" t="s">
        <v>125</v>
      </c>
      <c r="B12" s="28" t="s">
        <v>127</v>
      </c>
      <c r="C12" s="28" t="s">
        <v>127</v>
      </c>
      <c r="D12" s="28" t="s">
        <v>127</v>
      </c>
      <c r="E12" s="28"/>
      <c r="F12" s="28"/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85" t="s">
        <v>127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 t="s">
        <v>127</v>
      </c>
      <c r="AH12" s="28" t="s">
        <v>127</v>
      </c>
    </row>
    <row r="13" spans="1:34">
      <c r="A13" s="26" t="s">
        <v>126</v>
      </c>
      <c r="B13" s="28" t="s">
        <v>124</v>
      </c>
      <c r="C13" s="28" t="s">
        <v>124</v>
      </c>
      <c r="D13" s="28" t="s">
        <v>124</v>
      </c>
      <c r="E13" s="28"/>
      <c r="F13" s="28"/>
      <c r="G13" s="28" t="s">
        <v>124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83" t="s">
        <v>124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 t="s">
        <v>124</v>
      </c>
      <c r="AH13" s="28" t="s">
        <v>124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/>
      <c r="F14" s="28"/>
      <c r="G14" s="28" t="s">
        <v>127</v>
      </c>
      <c r="H14" s="28" t="s">
        <v>127</v>
      </c>
      <c r="I14" s="28" t="s">
        <v>127</v>
      </c>
      <c r="J14" s="28"/>
      <c r="K14" s="28" t="s">
        <v>127</v>
      </c>
      <c r="L14" s="28" t="s">
        <v>127</v>
      </c>
      <c r="M14" s="28" t="s">
        <v>127</v>
      </c>
      <c r="N14" s="28"/>
      <c r="O14" s="28"/>
      <c r="P14" s="83" t="s">
        <v>127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127</v>
      </c>
      <c r="AB14" s="28"/>
      <c r="AC14" s="28"/>
      <c r="AD14" s="28"/>
      <c r="AE14" s="28"/>
      <c r="AF14" s="28"/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28" t="s">
        <v>149</v>
      </c>
      <c r="D15" s="28" t="s">
        <v>149</v>
      </c>
      <c r="E15" s="28"/>
      <c r="F15" s="28"/>
      <c r="G15" s="28" t="s">
        <v>149</v>
      </c>
      <c r="H15" s="28" t="s">
        <v>149</v>
      </c>
      <c r="I15" s="28" t="s">
        <v>149</v>
      </c>
      <c r="J15" s="28"/>
      <c r="K15" s="28" t="s">
        <v>149</v>
      </c>
      <c r="L15" s="28" t="s">
        <v>149</v>
      </c>
      <c r="M15" s="28" t="s">
        <v>149</v>
      </c>
      <c r="N15" s="28"/>
      <c r="O15" s="28"/>
      <c r="P15" s="83" t="s">
        <v>149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149</v>
      </c>
      <c r="AB15" s="28"/>
      <c r="AC15" s="28"/>
      <c r="AD15" s="28"/>
      <c r="AE15" s="28"/>
      <c r="AF15" s="28"/>
      <c r="AG15" s="28" t="s">
        <v>149</v>
      </c>
      <c r="AH15" s="28" t="s">
        <v>149</v>
      </c>
    </row>
    <row r="16" spans="1:34">
      <c r="A16" s="26" t="s">
        <v>130</v>
      </c>
      <c r="B16" s="30">
        <v>0.5</v>
      </c>
      <c r="C16" s="30">
        <v>0.875</v>
      </c>
      <c r="D16" s="30">
        <v>1</v>
      </c>
      <c r="E16" s="30"/>
      <c r="F16" s="30"/>
      <c r="G16" s="30">
        <v>0.5</v>
      </c>
      <c r="H16" s="30">
        <f>5/3</f>
        <v>1.6666666666666667</v>
      </c>
      <c r="I16" s="30">
        <v>1</v>
      </c>
      <c r="J16" s="30"/>
      <c r="K16" s="30">
        <v>0.5</v>
      </c>
      <c r="L16" s="30">
        <v>0.5</v>
      </c>
      <c r="M16" s="30">
        <v>0.5</v>
      </c>
      <c r="N16" s="30"/>
      <c r="O16" s="30"/>
      <c r="P16" s="88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f>7/6</f>
        <v>1.1666666666666667</v>
      </c>
      <c r="AB16" s="30"/>
      <c r="AC16" s="30"/>
      <c r="AD16" s="30"/>
      <c r="AE16" s="30"/>
      <c r="AF16" s="30"/>
      <c r="AG16" s="30">
        <f>4/3</f>
        <v>1.3333333333333333</v>
      </c>
      <c r="AH16" s="30">
        <f>4/3</f>
        <v>1.3333333333333333</v>
      </c>
    </row>
    <row r="17" spans="1:34">
      <c r="A17" s="26" t="s">
        <v>131</v>
      </c>
      <c r="B17" s="28" t="s">
        <v>1054</v>
      </c>
      <c r="C17" s="28" t="s">
        <v>180</v>
      </c>
      <c r="D17" s="28" t="s">
        <v>180</v>
      </c>
      <c r="E17" s="28"/>
      <c r="F17" s="28"/>
      <c r="G17" s="28" t="s">
        <v>180</v>
      </c>
      <c r="H17" s="28" t="s">
        <v>180</v>
      </c>
      <c r="I17" s="28" t="s">
        <v>180</v>
      </c>
      <c r="J17" s="28"/>
      <c r="K17" s="28" t="s">
        <v>180</v>
      </c>
      <c r="L17" s="28" t="s">
        <v>180</v>
      </c>
      <c r="M17" s="28" t="s">
        <v>180</v>
      </c>
      <c r="N17" s="28"/>
      <c r="O17" s="28"/>
      <c r="P17" s="28" t="s">
        <v>180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1141</v>
      </c>
      <c r="AB17" s="28"/>
      <c r="AC17" s="28"/>
      <c r="AD17" s="28"/>
      <c r="AE17" s="28"/>
      <c r="AF17" s="28"/>
      <c r="AG17" s="28" t="s">
        <v>180</v>
      </c>
      <c r="AH17" s="28" t="s">
        <v>180</v>
      </c>
    </row>
    <row r="18" spans="1:34">
      <c r="A18" s="26" t="s">
        <v>133</v>
      </c>
      <c r="B18" s="30">
        <v>5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/>
      <c r="AC18" s="30"/>
      <c r="AD18" s="30"/>
      <c r="AE18" s="30"/>
      <c r="AF18" s="30"/>
      <c r="AG18" s="30">
        <v>2</v>
      </c>
      <c r="AH18" s="30">
        <v>2</v>
      </c>
    </row>
    <row r="20" spans="1:34">
      <c r="A20" s="31" t="s">
        <v>134</v>
      </c>
    </row>
    <row r="21" spans="1:34">
      <c r="A21" s="26" t="s">
        <v>1274</v>
      </c>
      <c r="B21" s="56" t="s">
        <v>1194</v>
      </c>
    </row>
    <row r="22" spans="1:34">
      <c r="A22" s="27" t="s">
        <v>1275</v>
      </c>
      <c r="B22" s="137" t="s">
        <v>1276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01FE-8322-4B6B-9950-1CCBB54BBBBB}">
  <dimension ref="A1:AH21"/>
  <sheetViews>
    <sheetView workbookViewId="0">
      <selection activeCell="A10" sqref="A10:B10"/>
    </sheetView>
  </sheetViews>
  <sheetFormatPr defaultColWidth="9.140625" defaultRowHeight="1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>
      <c r="A1" s="25" t="s">
        <v>74</v>
      </c>
      <c r="D1" s="25" t="s">
        <v>840</v>
      </c>
      <c r="I1" s="25" t="s">
        <v>1190</v>
      </c>
    </row>
    <row r="3" spans="1:34" ht="17.45">
      <c r="A3" s="25" t="s">
        <v>77</v>
      </c>
      <c r="B3" s="203">
        <v>103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4" ht="17.45">
      <c r="A4" s="25" t="s">
        <v>79</v>
      </c>
      <c r="B4" s="203" t="s">
        <v>1277</v>
      </c>
      <c r="C4" s="203"/>
      <c r="D4" s="203"/>
      <c r="F4" s="204" t="s">
        <v>1278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4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4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</row>
    <row r="8" spans="1:34">
      <c r="A8" s="26" t="s">
        <v>117</v>
      </c>
      <c r="B8" s="28" t="s">
        <v>1279</v>
      </c>
      <c r="C8" s="29" t="s">
        <v>1280</v>
      </c>
      <c r="D8" s="29" t="s">
        <v>1280</v>
      </c>
      <c r="E8" s="29" t="s">
        <v>1280</v>
      </c>
      <c r="F8" s="29" t="s">
        <v>1280</v>
      </c>
      <c r="G8" s="29" t="s">
        <v>1280</v>
      </c>
      <c r="H8" s="29" t="s">
        <v>1280</v>
      </c>
      <c r="I8" s="29" t="s">
        <v>1280</v>
      </c>
      <c r="J8" s="29" t="s">
        <v>1280</v>
      </c>
      <c r="K8" s="29" t="s">
        <v>1280</v>
      </c>
      <c r="L8" s="29" t="s">
        <v>1280</v>
      </c>
      <c r="M8" s="29" t="s">
        <v>1280</v>
      </c>
      <c r="N8" s="29" t="s">
        <v>1280</v>
      </c>
      <c r="O8" s="29" t="s">
        <v>1280</v>
      </c>
      <c r="P8" s="28" t="s">
        <v>1280</v>
      </c>
      <c r="Q8" s="28" t="s">
        <v>1280</v>
      </c>
      <c r="R8" s="28" t="s">
        <v>395</v>
      </c>
      <c r="S8" s="29" t="s">
        <v>1280</v>
      </c>
      <c r="T8" s="28"/>
      <c r="U8" s="29" t="s">
        <v>1280</v>
      </c>
      <c r="V8" s="28"/>
      <c r="W8" s="28"/>
      <c r="X8" s="29" t="s">
        <v>1280</v>
      </c>
      <c r="Y8" s="29" t="s">
        <v>1280</v>
      </c>
      <c r="Z8" s="28"/>
      <c r="AA8" s="29" t="s">
        <v>1280</v>
      </c>
      <c r="AB8" s="28"/>
      <c r="AC8" s="29" t="s">
        <v>1280</v>
      </c>
      <c r="AD8" s="28"/>
      <c r="AE8" s="29" t="s">
        <v>1280</v>
      </c>
      <c r="AF8" s="28"/>
      <c r="AG8" s="28" t="s">
        <v>395</v>
      </c>
      <c r="AH8" s="28" t="s">
        <v>395</v>
      </c>
    </row>
    <row r="9" spans="1:34">
      <c r="A9" s="26" t="s">
        <v>121</v>
      </c>
      <c r="B9" s="28" t="s">
        <v>1281</v>
      </c>
      <c r="C9" s="138" t="s">
        <v>396</v>
      </c>
      <c r="D9" s="28" t="s">
        <v>397</v>
      </c>
      <c r="E9" s="28" t="s">
        <v>1281</v>
      </c>
      <c r="F9" s="28" t="s">
        <v>1281</v>
      </c>
      <c r="G9" s="28" t="s">
        <v>1281</v>
      </c>
      <c r="H9" s="28" t="s">
        <v>1281</v>
      </c>
      <c r="I9" s="28" t="s">
        <v>1281</v>
      </c>
      <c r="J9" s="28" t="s">
        <v>1281</v>
      </c>
      <c r="K9" s="28" t="s">
        <v>1282</v>
      </c>
      <c r="L9" s="28" t="s">
        <v>1282</v>
      </c>
      <c r="M9" s="28" t="s">
        <v>1282</v>
      </c>
      <c r="N9" s="28" t="s">
        <v>1013</v>
      </c>
      <c r="O9" s="28" t="s">
        <v>1281</v>
      </c>
      <c r="P9" s="115" t="s">
        <v>400</v>
      </c>
      <c r="Q9" s="115" t="s">
        <v>400</v>
      </c>
      <c r="R9" s="29" t="s">
        <v>401</v>
      </c>
      <c r="S9" s="28" t="s">
        <v>1013</v>
      </c>
      <c r="T9" s="29"/>
      <c r="U9" s="28"/>
      <c r="V9" s="29"/>
      <c r="W9" s="29"/>
      <c r="X9" s="28" t="s">
        <v>1281</v>
      </c>
      <c r="Y9" s="28" t="s">
        <v>1281</v>
      </c>
      <c r="Z9" s="29"/>
      <c r="AA9" s="28" t="s">
        <v>1281</v>
      </c>
      <c r="AB9" s="29"/>
      <c r="AC9" s="29"/>
      <c r="AD9" s="29"/>
      <c r="AE9" s="94" t="s">
        <v>403</v>
      </c>
      <c r="AF9" s="29"/>
      <c r="AG9" s="28" t="s">
        <v>507</v>
      </c>
      <c r="AH9" s="28" t="s">
        <v>404</v>
      </c>
    </row>
    <row r="10" spans="1:34">
      <c r="A10" s="140" t="s">
        <v>122</v>
      </c>
      <c r="B10" s="167">
        <v>125</v>
      </c>
      <c r="C10" s="167">
        <v>123</v>
      </c>
      <c r="D10" s="167">
        <v>124</v>
      </c>
      <c r="E10" s="167">
        <v>125</v>
      </c>
      <c r="F10" s="167">
        <v>125</v>
      </c>
      <c r="G10" s="167">
        <v>125</v>
      </c>
      <c r="H10" s="167">
        <v>125</v>
      </c>
      <c r="I10" s="167">
        <v>125</v>
      </c>
      <c r="J10" s="167">
        <v>125</v>
      </c>
      <c r="K10" s="167">
        <v>126</v>
      </c>
      <c r="L10" s="167">
        <v>126</v>
      </c>
      <c r="M10" s="167">
        <v>126</v>
      </c>
      <c r="N10" s="167">
        <v>127</v>
      </c>
      <c r="O10" s="167">
        <v>125</v>
      </c>
      <c r="P10" s="167">
        <v>128</v>
      </c>
      <c r="Q10" s="167">
        <v>128</v>
      </c>
      <c r="R10" s="167">
        <v>81</v>
      </c>
      <c r="S10" s="167">
        <v>127</v>
      </c>
      <c r="T10" s="167"/>
      <c r="U10" s="167"/>
      <c r="V10" s="167"/>
      <c r="W10" s="167"/>
      <c r="X10" s="167">
        <v>125</v>
      </c>
      <c r="Y10" s="167">
        <v>125</v>
      </c>
      <c r="Z10" s="167"/>
      <c r="AA10" s="167">
        <v>125</v>
      </c>
      <c r="AB10" s="167"/>
      <c r="AC10" s="167"/>
      <c r="AD10" s="167"/>
      <c r="AE10" s="167">
        <v>128</v>
      </c>
      <c r="AF10" s="167"/>
      <c r="AG10" s="167"/>
      <c r="AH10" s="167">
        <v>78</v>
      </c>
    </row>
    <row r="11" spans="1:34">
      <c r="A11" s="26" t="s">
        <v>123</v>
      </c>
      <c r="B11" s="28" t="s">
        <v>124</v>
      </c>
      <c r="C11" s="28" t="s">
        <v>124</v>
      </c>
      <c r="D11" s="28" t="s">
        <v>124</v>
      </c>
      <c r="E11" s="28" t="s">
        <v>124</v>
      </c>
      <c r="F11" s="28" t="s">
        <v>124</v>
      </c>
      <c r="G11" s="28" t="s">
        <v>124</v>
      </c>
      <c r="H11" s="28" t="s">
        <v>124</v>
      </c>
      <c r="I11" s="28" t="s">
        <v>124</v>
      </c>
      <c r="J11" s="28" t="s">
        <v>124</v>
      </c>
      <c r="K11" s="28" t="s">
        <v>124</v>
      </c>
      <c r="L11" s="28" t="s">
        <v>124</v>
      </c>
      <c r="M11" s="28" t="s">
        <v>124</v>
      </c>
      <c r="N11" s="28" t="s">
        <v>124</v>
      </c>
      <c r="O11" s="28" t="s">
        <v>124</v>
      </c>
      <c r="P11" s="28" t="s">
        <v>124</v>
      </c>
      <c r="Q11" s="28" t="s">
        <v>124</v>
      </c>
      <c r="R11" s="28" t="s">
        <v>124</v>
      </c>
      <c r="S11" s="28" t="s">
        <v>124</v>
      </c>
      <c r="T11" s="28"/>
      <c r="U11" s="28"/>
      <c r="V11" s="28"/>
      <c r="W11" s="28"/>
      <c r="X11" s="28" t="s">
        <v>124</v>
      </c>
      <c r="Y11" s="28" t="s">
        <v>124</v>
      </c>
      <c r="Z11" s="28"/>
      <c r="AA11" s="28" t="s">
        <v>124</v>
      </c>
      <c r="AB11" s="28"/>
      <c r="AC11" s="29"/>
      <c r="AD11" s="28"/>
      <c r="AE11" s="28" t="s">
        <v>124</v>
      </c>
      <c r="AF11" s="28"/>
      <c r="AG11" s="28" t="s">
        <v>124</v>
      </c>
      <c r="AH11" s="28" t="s">
        <v>124</v>
      </c>
    </row>
    <row r="12" spans="1:34">
      <c r="A12" s="26" t="s">
        <v>125</v>
      </c>
      <c r="B12" s="28" t="s">
        <v>124</v>
      </c>
      <c r="C12" s="28" t="s">
        <v>124</v>
      </c>
      <c r="D12" s="28" t="s">
        <v>124</v>
      </c>
      <c r="E12" s="28" t="s">
        <v>124</v>
      </c>
      <c r="F12" s="28" t="s">
        <v>124</v>
      </c>
      <c r="G12" s="28" t="s">
        <v>124</v>
      </c>
      <c r="H12" s="28" t="s">
        <v>124</v>
      </c>
      <c r="I12" s="28" t="s">
        <v>124</v>
      </c>
      <c r="J12" s="28" t="s">
        <v>124</v>
      </c>
      <c r="K12" s="28" t="s">
        <v>124</v>
      </c>
      <c r="L12" s="28" t="s">
        <v>124</v>
      </c>
      <c r="M12" s="28" t="s">
        <v>124</v>
      </c>
      <c r="N12" s="28" t="s">
        <v>124</v>
      </c>
      <c r="O12" s="28" t="s">
        <v>124</v>
      </c>
      <c r="P12" s="28" t="s">
        <v>124</v>
      </c>
      <c r="Q12" s="28" t="s">
        <v>124</v>
      </c>
      <c r="R12" s="28" t="s">
        <v>124</v>
      </c>
      <c r="S12" s="28" t="s">
        <v>124</v>
      </c>
      <c r="T12" s="28"/>
      <c r="U12" s="28"/>
      <c r="V12" s="28"/>
      <c r="W12" s="28"/>
      <c r="X12" s="28" t="s">
        <v>124</v>
      </c>
      <c r="Y12" s="28" t="s">
        <v>124</v>
      </c>
      <c r="Z12" s="28"/>
      <c r="AA12" s="28" t="s">
        <v>124</v>
      </c>
      <c r="AB12" s="28"/>
      <c r="AC12" s="28"/>
      <c r="AD12" s="28"/>
      <c r="AE12" s="28" t="s">
        <v>124</v>
      </c>
      <c r="AF12" s="28"/>
      <c r="AG12" s="28" t="s">
        <v>124</v>
      </c>
      <c r="AH12" s="28" t="s">
        <v>124</v>
      </c>
    </row>
    <row r="13" spans="1:34">
      <c r="A13" s="26" t="s">
        <v>126</v>
      </c>
      <c r="B13" s="28" t="s">
        <v>127</v>
      </c>
      <c r="C13" s="28" t="s">
        <v>127</v>
      </c>
      <c r="D13" s="28" t="s">
        <v>127</v>
      </c>
      <c r="E13" s="28" t="s">
        <v>127</v>
      </c>
      <c r="F13" s="28" t="s">
        <v>127</v>
      </c>
      <c r="G13" s="28" t="s">
        <v>127</v>
      </c>
      <c r="H13" s="28" t="s">
        <v>127</v>
      </c>
      <c r="I13" s="28" t="s">
        <v>127</v>
      </c>
      <c r="J13" s="28" t="s">
        <v>127</v>
      </c>
      <c r="K13" s="28" t="s">
        <v>127</v>
      </c>
      <c r="L13" s="28" t="s">
        <v>127</v>
      </c>
      <c r="M13" s="28" t="s">
        <v>127</v>
      </c>
      <c r="N13" s="28" t="s">
        <v>127</v>
      </c>
      <c r="O13" s="28" t="s">
        <v>127</v>
      </c>
      <c r="P13" s="28" t="s">
        <v>127</v>
      </c>
      <c r="Q13" s="28" t="s">
        <v>127</v>
      </c>
      <c r="R13" s="28" t="s">
        <v>127</v>
      </c>
      <c r="S13" s="28" t="s">
        <v>127</v>
      </c>
      <c r="T13" s="28"/>
      <c r="U13" s="28"/>
      <c r="V13" s="28"/>
      <c r="W13" s="28"/>
      <c r="X13" s="28" t="s">
        <v>127</v>
      </c>
      <c r="Y13" s="28" t="s">
        <v>127</v>
      </c>
      <c r="Z13" s="28"/>
      <c r="AA13" s="28" t="s">
        <v>127</v>
      </c>
      <c r="AB13" s="28"/>
      <c r="AC13" s="28"/>
      <c r="AD13" s="28"/>
      <c r="AE13" s="28" t="s">
        <v>215</v>
      </c>
      <c r="AF13" s="28"/>
      <c r="AG13" s="28" t="s">
        <v>127</v>
      </c>
      <c r="AH13" s="28" t="s">
        <v>127</v>
      </c>
    </row>
    <row r="14" spans="1:34">
      <c r="A14" s="26" t="s">
        <v>128</v>
      </c>
      <c r="B14" s="28" t="s">
        <v>127</v>
      </c>
      <c r="C14" s="28" t="s">
        <v>127</v>
      </c>
      <c r="D14" s="28" t="s">
        <v>127</v>
      </c>
      <c r="E14" s="28" t="s">
        <v>127</v>
      </c>
      <c r="F14" s="28" t="s">
        <v>127</v>
      </c>
      <c r="G14" s="28" t="s">
        <v>127</v>
      </c>
      <c r="H14" s="28" t="s">
        <v>127</v>
      </c>
      <c r="I14" s="28" t="s">
        <v>127</v>
      </c>
      <c r="J14" s="28" t="s">
        <v>127</v>
      </c>
      <c r="K14" s="28" t="s">
        <v>127</v>
      </c>
      <c r="L14" s="28" t="s">
        <v>127</v>
      </c>
      <c r="M14" s="28" t="s">
        <v>127</v>
      </c>
      <c r="N14" s="28" t="s">
        <v>127</v>
      </c>
      <c r="O14" s="28" t="s">
        <v>127</v>
      </c>
      <c r="P14" s="28" t="s">
        <v>127</v>
      </c>
      <c r="Q14" s="28" t="s">
        <v>127</v>
      </c>
      <c r="R14" s="28" t="s">
        <v>127</v>
      </c>
      <c r="S14" s="28" t="s">
        <v>127</v>
      </c>
      <c r="T14" s="28"/>
      <c r="U14" s="28"/>
      <c r="V14" s="28"/>
      <c r="W14" s="28"/>
      <c r="X14" s="28" t="s">
        <v>127</v>
      </c>
      <c r="Y14" s="28" t="s">
        <v>127</v>
      </c>
      <c r="Z14" s="28"/>
      <c r="AA14" s="28" t="s">
        <v>127</v>
      </c>
      <c r="AB14" s="28"/>
      <c r="AC14" s="28"/>
      <c r="AD14" s="28"/>
      <c r="AE14" s="28" t="s">
        <v>127</v>
      </c>
      <c r="AF14" s="28"/>
      <c r="AG14" s="28" t="s">
        <v>127</v>
      </c>
      <c r="AH14" s="28" t="s">
        <v>127</v>
      </c>
    </row>
    <row r="15" spans="1:34">
      <c r="A15" s="26" t="s">
        <v>129</v>
      </c>
      <c r="B15" s="28" t="s">
        <v>149</v>
      </c>
      <c r="C15" s="115" t="s">
        <v>405</v>
      </c>
      <c r="D15" s="28" t="s">
        <v>406</v>
      </c>
      <c r="E15" s="28" t="s">
        <v>149</v>
      </c>
      <c r="F15" s="28" t="s">
        <v>149</v>
      </c>
      <c r="G15" s="28" t="s">
        <v>149</v>
      </c>
      <c r="H15" s="28" t="s">
        <v>149</v>
      </c>
      <c r="I15" s="28" t="s">
        <v>149</v>
      </c>
      <c r="J15" s="28" t="s">
        <v>149</v>
      </c>
      <c r="K15" s="28" t="s">
        <v>150</v>
      </c>
      <c r="L15" s="28" t="s">
        <v>150</v>
      </c>
      <c r="M15" s="28" t="s">
        <v>150</v>
      </c>
      <c r="N15" s="115" t="s">
        <v>407</v>
      </c>
      <c r="O15" s="28" t="s">
        <v>149</v>
      </c>
      <c r="P15" s="28" t="s">
        <v>408</v>
      </c>
      <c r="Q15" s="28" t="s">
        <v>408</v>
      </c>
      <c r="R15" s="28" t="s">
        <v>408</v>
      </c>
      <c r="S15" s="115" t="s">
        <v>407</v>
      </c>
      <c r="T15" s="28"/>
      <c r="U15" s="28"/>
      <c r="V15" s="28"/>
      <c r="W15" s="28"/>
      <c r="X15" s="28" t="s">
        <v>149</v>
      </c>
      <c r="Y15" s="28" t="s">
        <v>149</v>
      </c>
      <c r="Z15" s="28"/>
      <c r="AA15" s="28" t="s">
        <v>149</v>
      </c>
      <c r="AB15" s="28"/>
      <c r="AC15" s="28"/>
      <c r="AD15" s="28"/>
      <c r="AE15" s="28" t="s">
        <v>217</v>
      </c>
      <c r="AF15" s="28"/>
      <c r="AG15" s="28"/>
      <c r="AH15" s="28" t="s">
        <v>149</v>
      </c>
    </row>
    <row r="16" spans="1:34">
      <c r="A16" s="26" t="s">
        <v>130</v>
      </c>
      <c r="B16" s="30">
        <v>0.75</v>
      </c>
      <c r="C16" s="30">
        <f>AVERAGE(-4,-4,0.75)</f>
        <v>-2.4166666666666665</v>
      </c>
      <c r="D16" s="30">
        <v>4.5</v>
      </c>
      <c r="E16" s="30">
        <v>0.75</v>
      </c>
      <c r="F16" s="30">
        <v>0.75</v>
      </c>
      <c r="G16" s="30">
        <v>0.75</v>
      </c>
      <c r="H16" s="30">
        <v>0.75</v>
      </c>
      <c r="I16" s="30">
        <v>0.75</v>
      </c>
      <c r="J16" s="30">
        <v>0.75</v>
      </c>
      <c r="K16" s="30">
        <v>-0.5</v>
      </c>
      <c r="L16" s="30">
        <v>-0.5</v>
      </c>
      <c r="M16" s="30">
        <v>-0.5</v>
      </c>
      <c r="N16" s="30">
        <f>AVERAGE(0.75,0.75,-4)</f>
        <v>-0.83333333333333337</v>
      </c>
      <c r="O16" s="30">
        <v>0.75</v>
      </c>
      <c r="P16" s="30">
        <v>-4</v>
      </c>
      <c r="Q16" s="30">
        <v>-4</v>
      </c>
      <c r="R16" s="30">
        <v>-4</v>
      </c>
      <c r="S16" s="30">
        <f>AVERAGE(0.75,0.75,-4)</f>
        <v>-0.83333333333333337</v>
      </c>
      <c r="T16" s="30"/>
      <c r="U16" s="30"/>
      <c r="V16" s="30"/>
      <c r="W16" s="30"/>
      <c r="X16" s="30">
        <v>0.75</v>
      </c>
      <c r="Y16" s="30">
        <v>0.75</v>
      </c>
      <c r="Z16" s="30"/>
      <c r="AA16" s="30">
        <v>0.75</v>
      </c>
      <c r="AB16" s="30"/>
      <c r="AC16" s="30"/>
      <c r="AD16" s="30"/>
      <c r="AE16" s="30">
        <f>AVERAGE(-1.25,0.75)</f>
        <v>-0.25</v>
      </c>
      <c r="AF16" s="30"/>
      <c r="AG16" s="88"/>
      <c r="AH16" s="88">
        <f>5/3</f>
        <v>1.6666666666666667</v>
      </c>
    </row>
    <row r="17" spans="1:34">
      <c r="A17" s="26" t="s">
        <v>131</v>
      </c>
      <c r="B17" s="28" t="s">
        <v>1283</v>
      </c>
      <c r="C17" s="115" t="s">
        <v>410</v>
      </c>
      <c r="D17" s="28" t="s">
        <v>180</v>
      </c>
      <c r="E17" s="28" t="s">
        <v>1283</v>
      </c>
      <c r="F17" s="28" t="s">
        <v>1283</v>
      </c>
      <c r="G17" s="28" t="s">
        <v>1283</v>
      </c>
      <c r="H17" s="28" t="s">
        <v>1283</v>
      </c>
      <c r="I17" s="28" t="s">
        <v>1283</v>
      </c>
      <c r="J17" s="28" t="s">
        <v>1283</v>
      </c>
      <c r="K17" s="28" t="s">
        <v>1283</v>
      </c>
      <c r="L17" s="28" t="s">
        <v>1283</v>
      </c>
      <c r="M17" s="28" t="s">
        <v>1283</v>
      </c>
      <c r="N17" s="115" t="s">
        <v>1014</v>
      </c>
      <c r="O17" s="28" t="s">
        <v>1283</v>
      </c>
      <c r="P17" s="115" t="s">
        <v>411</v>
      </c>
      <c r="Q17" s="115" t="s">
        <v>411</v>
      </c>
      <c r="R17" s="28" t="s">
        <v>409</v>
      </c>
      <c r="S17" s="115" t="s">
        <v>1014</v>
      </c>
      <c r="T17" s="28"/>
      <c r="U17" s="28"/>
      <c r="V17" s="28"/>
      <c r="W17" s="28"/>
      <c r="X17" s="28" t="s">
        <v>1283</v>
      </c>
      <c r="Y17" s="28" t="s">
        <v>1283</v>
      </c>
      <c r="Z17" s="28"/>
      <c r="AA17" s="28" t="s">
        <v>1283</v>
      </c>
      <c r="AB17" s="28"/>
      <c r="AC17" s="28"/>
      <c r="AD17" s="28"/>
      <c r="AE17" s="132" t="s">
        <v>412</v>
      </c>
      <c r="AF17" s="28"/>
      <c r="AG17" s="83"/>
      <c r="AH17" s="83" t="s">
        <v>409</v>
      </c>
    </row>
    <row r="18" spans="1:34">
      <c r="A18" s="26" t="s">
        <v>133</v>
      </c>
      <c r="B18" s="30">
        <f>1.25*1.25</f>
        <v>1.5625</v>
      </c>
      <c r="C18" s="30">
        <f>AVERAGE(1.25,1.25,2)</f>
        <v>1.5</v>
      </c>
      <c r="D18" s="30">
        <v>2</v>
      </c>
      <c r="E18" s="30">
        <f t="shared" ref="E18:J18" si="0">1.25*1.25</f>
        <v>1.5625</v>
      </c>
      <c r="F18" s="30">
        <f t="shared" si="0"/>
        <v>1.5625</v>
      </c>
      <c r="G18" s="30">
        <f t="shared" si="0"/>
        <v>1.5625</v>
      </c>
      <c r="H18" s="30">
        <f t="shared" si="0"/>
        <v>1.5625</v>
      </c>
      <c r="I18" s="30">
        <f t="shared" si="0"/>
        <v>1.5625</v>
      </c>
      <c r="J18" s="30">
        <f t="shared" si="0"/>
        <v>1.5625</v>
      </c>
      <c r="K18" s="30">
        <f t="shared" ref="K18:M18" si="1">1.25*1.25</f>
        <v>1.5625</v>
      </c>
      <c r="L18" s="30">
        <f t="shared" si="1"/>
        <v>1.5625</v>
      </c>
      <c r="M18" s="30">
        <f t="shared" si="1"/>
        <v>1.5625</v>
      </c>
      <c r="N18" s="30">
        <f>AVERAGE(25/16,25/16,1.25)</f>
        <v>1.4583333333333333</v>
      </c>
      <c r="O18" s="30">
        <f t="shared" ref="O18" si="2">1.25*1.25</f>
        <v>1.5625</v>
      </c>
      <c r="P18" s="30">
        <v>1.75</v>
      </c>
      <c r="Q18" s="30">
        <v>1.75</v>
      </c>
      <c r="R18" s="30">
        <v>1.25</v>
      </c>
      <c r="S18" s="30">
        <f>AVERAGE(25/16,25/16,1.25)</f>
        <v>1.4583333333333333</v>
      </c>
      <c r="T18" s="30"/>
      <c r="U18" s="30"/>
      <c r="V18" s="30"/>
      <c r="W18" s="30"/>
      <c r="X18" s="30">
        <f t="shared" ref="X18:Y18" si="3">1.25*1.25</f>
        <v>1.5625</v>
      </c>
      <c r="Y18" s="30">
        <f t="shared" si="3"/>
        <v>1.5625</v>
      </c>
      <c r="Z18" s="30"/>
      <c r="AA18" s="30">
        <f>1.25*1.25</f>
        <v>1.5625</v>
      </c>
      <c r="AB18" s="30"/>
      <c r="AC18" s="30"/>
      <c r="AD18" s="30"/>
      <c r="AE18" s="30">
        <f>AVERAGE(2.5,25/16)</f>
        <v>2.03125</v>
      </c>
      <c r="AF18" s="30"/>
      <c r="AG18" s="88"/>
      <c r="AH18" s="88">
        <v>1.25</v>
      </c>
    </row>
    <row r="20" spans="1:34">
      <c r="A20" s="31" t="s">
        <v>134</v>
      </c>
    </row>
    <row r="21" spans="1:34">
      <c r="A21" s="26" t="s">
        <v>1284</v>
      </c>
      <c r="B21" s="56" t="s">
        <v>1285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8560-D6A3-46AC-95B0-0EB8E3B64B04}">
  <dimension ref="A1:AK22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>
      <c r="A1" s="25" t="s">
        <v>74</v>
      </c>
      <c r="D1" s="25" t="s">
        <v>840</v>
      </c>
      <c r="I1" s="25" t="s">
        <v>1190</v>
      </c>
    </row>
    <row r="3" spans="1:37" ht="17.45">
      <c r="A3" s="25" t="s">
        <v>77</v>
      </c>
      <c r="B3" s="203">
        <v>104</v>
      </c>
      <c r="C3" s="203"/>
      <c r="D3" s="203"/>
      <c r="E3" s="25"/>
      <c r="F3" s="210" t="s">
        <v>78</v>
      </c>
      <c r="G3" s="210"/>
      <c r="H3" s="210"/>
      <c r="I3" s="210"/>
      <c r="J3" s="210"/>
      <c r="K3" s="210"/>
      <c r="L3" s="210"/>
      <c r="M3" s="210"/>
      <c r="N3" s="210"/>
      <c r="O3" s="210"/>
    </row>
    <row r="4" spans="1:37" ht="17.45">
      <c r="A4" s="25" t="s">
        <v>79</v>
      </c>
      <c r="B4" s="203" t="s">
        <v>1286</v>
      </c>
      <c r="C4" s="203"/>
      <c r="D4" s="203"/>
      <c r="F4" s="204" t="s">
        <v>1287</v>
      </c>
      <c r="G4" s="205"/>
      <c r="H4" s="205"/>
      <c r="I4" s="205"/>
      <c r="J4" s="205"/>
      <c r="K4" s="205"/>
      <c r="L4" s="205"/>
      <c r="M4" s="205"/>
      <c r="N4" s="205"/>
      <c r="O4" s="206"/>
    </row>
    <row r="5" spans="1:37" ht="17.45">
      <c r="A5" s="25" t="s">
        <v>82</v>
      </c>
      <c r="B5" s="203" t="s">
        <v>844</v>
      </c>
      <c r="C5" s="203"/>
      <c r="D5" s="203"/>
      <c r="F5" s="207"/>
      <c r="G5" s="208"/>
      <c r="H5" s="208"/>
      <c r="I5" s="208"/>
      <c r="J5" s="208"/>
      <c r="K5" s="208"/>
      <c r="L5" s="208"/>
      <c r="M5" s="208"/>
      <c r="N5" s="208"/>
      <c r="O5" s="209"/>
    </row>
    <row r="7" spans="1:37" ht="30">
      <c r="A7" s="27" t="s">
        <v>84</v>
      </c>
      <c r="B7" s="43" t="s">
        <v>6</v>
      </c>
      <c r="C7" s="32" t="s">
        <v>85</v>
      </c>
      <c r="D7" s="32" t="s">
        <v>86</v>
      </c>
      <c r="E7" s="33" t="s">
        <v>87</v>
      </c>
      <c r="F7" s="34" t="s">
        <v>88</v>
      </c>
      <c r="G7" s="35" t="s">
        <v>89</v>
      </c>
      <c r="H7" s="35" t="s">
        <v>90</v>
      </c>
      <c r="I7" s="36" t="s">
        <v>91</v>
      </c>
      <c r="J7" s="38" t="s">
        <v>92</v>
      </c>
      <c r="K7" s="39" t="s">
        <v>93</v>
      </c>
      <c r="L7" s="39" t="s">
        <v>94</v>
      </c>
      <c r="M7" s="39" t="s">
        <v>95</v>
      </c>
      <c r="N7" s="40" t="s">
        <v>96</v>
      </c>
      <c r="O7" s="40" t="s">
        <v>97</v>
      </c>
      <c r="P7" s="42" t="s">
        <v>98</v>
      </c>
      <c r="Q7" s="42" t="s">
        <v>99</v>
      </c>
      <c r="R7" s="41" t="s">
        <v>100</v>
      </c>
      <c r="S7" s="44" t="s">
        <v>101</v>
      </c>
      <c r="T7" s="45" t="s">
        <v>102</v>
      </c>
      <c r="U7" s="45" t="s">
        <v>103</v>
      </c>
      <c r="V7" s="46" t="s">
        <v>104</v>
      </c>
      <c r="W7" s="46" t="s">
        <v>105</v>
      </c>
      <c r="X7" s="47" t="s">
        <v>106</v>
      </c>
      <c r="Y7" s="47" t="s">
        <v>107</v>
      </c>
      <c r="Z7" s="48" t="s">
        <v>108</v>
      </c>
      <c r="AA7" s="48" t="s">
        <v>109</v>
      </c>
      <c r="AB7" s="49" t="s">
        <v>110</v>
      </c>
      <c r="AC7" s="49" t="s">
        <v>111</v>
      </c>
      <c r="AD7" s="49" t="s">
        <v>112</v>
      </c>
      <c r="AE7" s="50" t="s">
        <v>113</v>
      </c>
      <c r="AF7" s="51" t="s">
        <v>114</v>
      </c>
      <c r="AG7" s="53" t="s">
        <v>115</v>
      </c>
      <c r="AH7" s="53" t="s">
        <v>116</v>
      </c>
      <c r="AJ7" s="53" t="s">
        <v>115</v>
      </c>
      <c r="AK7" s="53" t="s">
        <v>116</v>
      </c>
    </row>
    <row r="8" spans="1:37">
      <c r="A8" s="26" t="s">
        <v>117</v>
      </c>
      <c r="B8" s="28" t="s">
        <v>1283</v>
      </c>
      <c r="C8" s="28" t="s">
        <v>419</v>
      </c>
      <c r="D8" s="28" t="s">
        <v>419</v>
      </c>
      <c r="E8" s="29"/>
      <c r="F8" s="29"/>
      <c r="G8" s="28" t="s">
        <v>422</v>
      </c>
      <c r="H8" s="28" t="s">
        <v>422</v>
      </c>
      <c r="I8" s="28" t="s">
        <v>422</v>
      </c>
      <c r="J8" s="28"/>
      <c r="K8" s="29" t="s">
        <v>422</v>
      </c>
      <c r="L8" s="29" t="s">
        <v>422</v>
      </c>
      <c r="M8" s="29" t="s">
        <v>422</v>
      </c>
      <c r="N8" s="28"/>
      <c r="O8" s="28"/>
      <c r="P8" s="83" t="s">
        <v>1288</v>
      </c>
      <c r="Q8" s="28"/>
      <c r="R8" s="28"/>
      <c r="S8" s="28"/>
      <c r="T8" s="28"/>
      <c r="U8" s="28"/>
      <c r="V8" s="28"/>
      <c r="W8" s="28"/>
      <c r="X8" s="28" t="s">
        <v>1213</v>
      </c>
      <c r="Y8" s="28" t="s">
        <v>1213</v>
      </c>
      <c r="Z8" s="28"/>
      <c r="AA8" s="83" t="s">
        <v>422</v>
      </c>
      <c r="AB8" s="28"/>
      <c r="AC8" s="83" t="s">
        <v>422</v>
      </c>
      <c r="AD8" s="28" t="s">
        <v>1213</v>
      </c>
      <c r="AE8" s="28" t="s">
        <v>1289</v>
      </c>
      <c r="AF8" s="28"/>
      <c r="AG8" s="28"/>
      <c r="AH8" s="28" t="s">
        <v>419</v>
      </c>
      <c r="AJ8" s="28"/>
      <c r="AK8" s="28" t="s">
        <v>502</v>
      </c>
    </row>
    <row r="9" spans="1:37">
      <c r="A9" s="26" t="s">
        <v>121</v>
      </c>
      <c r="B9" s="28" t="s">
        <v>1290</v>
      </c>
      <c r="C9" s="28" t="s">
        <v>419</v>
      </c>
      <c r="D9" s="28" t="s">
        <v>419</v>
      </c>
      <c r="E9" s="29"/>
      <c r="F9" s="29"/>
      <c r="G9" s="28" t="s">
        <v>1291</v>
      </c>
      <c r="H9" s="28" t="s">
        <v>953</v>
      </c>
      <c r="I9" s="28" t="s">
        <v>953</v>
      </c>
      <c r="J9" s="29"/>
      <c r="K9" s="29" t="s">
        <v>1292</v>
      </c>
      <c r="L9" s="29" t="s">
        <v>1292</v>
      </c>
      <c r="M9" s="29" t="s">
        <v>1292</v>
      </c>
      <c r="N9" s="29"/>
      <c r="O9" s="29"/>
      <c r="P9" s="83" t="s">
        <v>419</v>
      </c>
      <c r="Q9" s="29"/>
      <c r="R9" s="29"/>
      <c r="S9" s="29"/>
      <c r="T9" s="29"/>
      <c r="U9" s="29"/>
      <c r="V9" s="29"/>
      <c r="W9" s="29"/>
      <c r="X9" s="29" t="s">
        <v>1293</v>
      </c>
      <c r="Y9" s="29" t="s">
        <v>1293</v>
      </c>
      <c r="Z9" s="29"/>
      <c r="AA9" s="85" t="s">
        <v>422</v>
      </c>
      <c r="AB9" s="29"/>
      <c r="AC9" s="29"/>
      <c r="AD9" s="29" t="s">
        <v>1293</v>
      </c>
      <c r="AE9" s="29" t="s">
        <v>1293</v>
      </c>
      <c r="AF9" s="29"/>
      <c r="AG9" s="28"/>
      <c r="AH9" s="29" t="s">
        <v>419</v>
      </c>
      <c r="AJ9" s="28"/>
      <c r="AK9" s="28" t="s">
        <v>269</v>
      </c>
    </row>
    <row r="10" spans="1:37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7">
      <c r="A11" s="26" t="s">
        <v>123</v>
      </c>
      <c r="B11" s="28" t="s">
        <v>124</v>
      </c>
      <c r="C11" s="28" t="s">
        <v>124</v>
      </c>
      <c r="D11" s="28" t="s">
        <v>124</v>
      </c>
      <c r="E11" s="28"/>
      <c r="F11" s="28"/>
      <c r="G11" s="28" t="s">
        <v>124</v>
      </c>
      <c r="H11" s="28" t="s">
        <v>124</v>
      </c>
      <c r="I11" s="28" t="s">
        <v>124</v>
      </c>
      <c r="J11" s="28"/>
      <c r="K11" s="28" t="s">
        <v>124</v>
      </c>
      <c r="L11" s="28" t="s">
        <v>124</v>
      </c>
      <c r="M11" s="28" t="s">
        <v>124</v>
      </c>
      <c r="N11" s="28"/>
      <c r="O11" s="28"/>
      <c r="P11" s="83" t="s">
        <v>124</v>
      </c>
      <c r="Q11" s="28"/>
      <c r="R11" s="28"/>
      <c r="S11" s="28"/>
      <c r="T11" s="28"/>
      <c r="U11" s="28"/>
      <c r="V11" s="28"/>
      <c r="W11" s="28"/>
      <c r="X11" s="83" t="s">
        <v>124</v>
      </c>
      <c r="Y11" s="83" t="s">
        <v>124</v>
      </c>
      <c r="Z11" s="28"/>
      <c r="AA11" s="83" t="s">
        <v>124</v>
      </c>
      <c r="AB11" s="28"/>
      <c r="AC11" s="29"/>
      <c r="AD11" s="83" t="s">
        <v>124</v>
      </c>
      <c r="AE11" s="83" t="s">
        <v>124</v>
      </c>
      <c r="AF11" s="28"/>
      <c r="AG11" s="28"/>
      <c r="AH11" s="28" t="s">
        <v>124</v>
      </c>
      <c r="AJ11" s="28"/>
      <c r="AK11" s="28" t="s">
        <v>124</v>
      </c>
    </row>
    <row r="12" spans="1:37">
      <c r="A12" s="26" t="s">
        <v>125</v>
      </c>
      <c r="B12" s="28" t="s">
        <v>124</v>
      </c>
      <c r="C12" s="28" t="s">
        <v>124</v>
      </c>
      <c r="D12" s="28" t="s">
        <v>124</v>
      </c>
      <c r="E12" s="28"/>
      <c r="F12" s="28"/>
      <c r="G12" s="28" t="s">
        <v>124</v>
      </c>
      <c r="H12" s="28" t="s">
        <v>124</v>
      </c>
      <c r="I12" s="28" t="s">
        <v>124</v>
      </c>
      <c r="J12" s="28"/>
      <c r="K12" s="28" t="s">
        <v>124</v>
      </c>
      <c r="L12" s="28" t="s">
        <v>124</v>
      </c>
      <c r="M12" s="28" t="s">
        <v>124</v>
      </c>
      <c r="N12" s="28"/>
      <c r="O12" s="28"/>
      <c r="P12" s="83" t="s">
        <v>124</v>
      </c>
      <c r="Q12" s="28"/>
      <c r="R12" s="28"/>
      <c r="S12" s="28"/>
      <c r="T12" s="28"/>
      <c r="U12" s="28"/>
      <c r="V12" s="28"/>
      <c r="W12" s="28"/>
      <c r="X12" s="83" t="s">
        <v>124</v>
      </c>
      <c r="Y12" s="83" t="s">
        <v>124</v>
      </c>
      <c r="Z12" s="28"/>
      <c r="AA12" s="83" t="s">
        <v>124</v>
      </c>
      <c r="AB12" s="28"/>
      <c r="AC12" s="28"/>
      <c r="AD12" s="83" t="s">
        <v>124</v>
      </c>
      <c r="AE12" s="83" t="s">
        <v>124</v>
      </c>
      <c r="AF12" s="28"/>
      <c r="AG12" s="28"/>
      <c r="AH12" s="28" t="s">
        <v>124</v>
      </c>
      <c r="AJ12" s="28"/>
      <c r="AK12" s="28" t="s">
        <v>124</v>
      </c>
    </row>
    <row r="13" spans="1:37">
      <c r="A13" s="26" t="s">
        <v>126</v>
      </c>
      <c r="B13" s="28" t="s">
        <v>127</v>
      </c>
      <c r="C13" s="28" t="s">
        <v>127</v>
      </c>
      <c r="D13" s="28" t="s">
        <v>127</v>
      </c>
      <c r="E13" s="28"/>
      <c r="F13" s="28"/>
      <c r="G13" s="28" t="s">
        <v>127</v>
      </c>
      <c r="H13" s="28" t="s">
        <v>127</v>
      </c>
      <c r="I13" s="28" t="s">
        <v>127</v>
      </c>
      <c r="J13" s="28"/>
      <c r="K13" s="28" t="s">
        <v>127</v>
      </c>
      <c r="L13" s="28" t="s">
        <v>127</v>
      </c>
      <c r="M13" s="28" t="s">
        <v>127</v>
      </c>
      <c r="N13" s="28"/>
      <c r="O13" s="28"/>
      <c r="P13" s="83" t="s">
        <v>127</v>
      </c>
      <c r="Q13" s="28"/>
      <c r="R13" s="28"/>
      <c r="S13" s="28"/>
      <c r="T13" s="28"/>
      <c r="U13" s="28"/>
      <c r="V13" s="28"/>
      <c r="W13" s="28"/>
      <c r="X13" s="83" t="s">
        <v>127</v>
      </c>
      <c r="Y13" s="83" t="s">
        <v>127</v>
      </c>
      <c r="Z13" s="28"/>
      <c r="AA13" s="83" t="s">
        <v>127</v>
      </c>
      <c r="AB13" s="28"/>
      <c r="AC13" s="28"/>
      <c r="AD13" s="83" t="s">
        <v>127</v>
      </c>
      <c r="AE13" s="83" t="s">
        <v>127</v>
      </c>
      <c r="AF13" s="28"/>
      <c r="AG13" s="28"/>
      <c r="AH13" s="28" t="s">
        <v>127</v>
      </c>
      <c r="AJ13" s="28"/>
      <c r="AK13" s="28" t="s">
        <v>127</v>
      </c>
    </row>
    <row r="14" spans="1:37">
      <c r="A14" s="26" t="s">
        <v>128</v>
      </c>
      <c r="B14" s="28" t="s">
        <v>124</v>
      </c>
      <c r="C14" s="28" t="s">
        <v>124</v>
      </c>
      <c r="D14" s="28" t="s">
        <v>124</v>
      </c>
      <c r="E14" s="28"/>
      <c r="F14" s="28"/>
      <c r="G14" s="28" t="s">
        <v>215</v>
      </c>
      <c r="H14" s="28" t="s">
        <v>127</v>
      </c>
      <c r="I14" s="28" t="s">
        <v>127</v>
      </c>
      <c r="J14" s="28"/>
      <c r="K14" s="28" t="s">
        <v>124</v>
      </c>
      <c r="L14" s="28" t="s">
        <v>124</v>
      </c>
      <c r="M14" s="28" t="s">
        <v>124</v>
      </c>
      <c r="N14" s="28"/>
      <c r="O14" s="28"/>
      <c r="P14" s="83" t="s">
        <v>124</v>
      </c>
      <c r="Q14" s="28"/>
      <c r="R14" s="28"/>
      <c r="S14" s="28"/>
      <c r="T14" s="28"/>
      <c r="U14" s="28"/>
      <c r="V14" s="28"/>
      <c r="W14" s="28"/>
      <c r="X14" s="83" t="s">
        <v>127</v>
      </c>
      <c r="Y14" s="83" t="s">
        <v>127</v>
      </c>
      <c r="Z14" s="28"/>
      <c r="AA14" s="83" t="s">
        <v>124</v>
      </c>
      <c r="AB14" s="28"/>
      <c r="AC14" s="28"/>
      <c r="AD14" s="83" t="s">
        <v>127</v>
      </c>
      <c r="AE14" s="83" t="s">
        <v>127</v>
      </c>
      <c r="AF14" s="28"/>
      <c r="AG14" s="28"/>
      <c r="AH14" s="28" t="s">
        <v>124</v>
      </c>
      <c r="AJ14" s="28"/>
      <c r="AK14" s="28" t="s">
        <v>127</v>
      </c>
    </row>
    <row r="15" spans="1:37">
      <c r="A15" s="26" t="s">
        <v>129</v>
      </c>
      <c r="B15" s="28" t="s">
        <v>316</v>
      </c>
      <c r="C15" s="28" t="s">
        <v>149</v>
      </c>
      <c r="D15" s="28" t="s">
        <v>149</v>
      </c>
      <c r="E15" s="28"/>
      <c r="F15" s="28"/>
      <c r="G15" s="28" t="s">
        <v>150</v>
      </c>
      <c r="H15" s="28" t="s">
        <v>150</v>
      </c>
      <c r="I15" s="28" t="s">
        <v>150</v>
      </c>
      <c r="J15" s="28"/>
      <c r="K15" s="28" t="s">
        <v>150</v>
      </c>
      <c r="L15" s="28" t="s">
        <v>150</v>
      </c>
      <c r="M15" s="28" t="s">
        <v>150</v>
      </c>
      <c r="N15" s="28"/>
      <c r="O15" s="28"/>
      <c r="P15" s="83" t="s">
        <v>149</v>
      </c>
      <c r="Q15" s="28"/>
      <c r="R15" s="28"/>
      <c r="S15" s="28"/>
      <c r="T15" s="28"/>
      <c r="U15" s="28"/>
      <c r="V15" s="28"/>
      <c r="W15" s="28"/>
      <c r="X15" s="28" t="s">
        <v>150</v>
      </c>
      <c r="Y15" s="28" t="s">
        <v>150</v>
      </c>
      <c r="Z15" s="28"/>
      <c r="AA15" s="83" t="s">
        <v>149</v>
      </c>
      <c r="AB15" s="28"/>
      <c r="AC15" s="28"/>
      <c r="AD15" s="28" t="s">
        <v>150</v>
      </c>
      <c r="AE15" s="28" t="s">
        <v>150</v>
      </c>
      <c r="AF15" s="28"/>
      <c r="AG15" s="28"/>
      <c r="AH15" s="28" t="s">
        <v>149</v>
      </c>
      <c r="AJ15" s="28"/>
      <c r="AK15" s="28" t="s">
        <v>150</v>
      </c>
    </row>
    <row r="16" spans="1:37">
      <c r="A16" s="26" t="s">
        <v>130</v>
      </c>
      <c r="B16" s="30">
        <f>AVERAGE(0.75,-1.25)</f>
        <v>-0.25</v>
      </c>
      <c r="C16" s="30">
        <v>1.25</v>
      </c>
      <c r="D16" s="30">
        <v>1.25</v>
      </c>
      <c r="E16" s="30"/>
      <c r="F16" s="30"/>
      <c r="G16" s="30">
        <v>-2</v>
      </c>
      <c r="H16" s="30">
        <v>-2</v>
      </c>
      <c r="I16" s="30">
        <v>-2</v>
      </c>
      <c r="J16" s="30"/>
      <c r="K16" s="30">
        <v>0</v>
      </c>
      <c r="L16" s="30">
        <v>0</v>
      </c>
      <c r="M16" s="30">
        <v>0</v>
      </c>
      <c r="N16" s="30"/>
      <c r="O16" s="30"/>
      <c r="P16" s="88">
        <v>0.75</v>
      </c>
      <c r="Q16" s="30"/>
      <c r="R16" s="30"/>
      <c r="S16" s="30"/>
      <c r="T16" s="30"/>
      <c r="U16" s="30"/>
      <c r="V16" s="30"/>
      <c r="W16" s="30"/>
      <c r="X16" s="30">
        <v>-1.25</v>
      </c>
      <c r="Y16" s="30">
        <v>-1.25</v>
      </c>
      <c r="Z16" s="30"/>
      <c r="AA16" s="88">
        <v>0.75</v>
      </c>
      <c r="AB16" s="30"/>
      <c r="AC16" s="30"/>
      <c r="AD16" s="30">
        <v>-1.25</v>
      </c>
      <c r="AE16" s="30">
        <v>-1.25</v>
      </c>
      <c r="AF16" s="30"/>
      <c r="AG16" s="30"/>
      <c r="AH16" s="30">
        <v>0.75</v>
      </c>
      <c r="AJ16" s="30"/>
      <c r="AK16" s="30">
        <v>-2</v>
      </c>
    </row>
    <row r="17" spans="1:37">
      <c r="A17" s="26" t="s">
        <v>131</v>
      </c>
      <c r="B17" s="28" t="s">
        <v>435</v>
      </c>
      <c r="C17" s="28" t="s">
        <v>435</v>
      </c>
      <c r="D17" s="28" t="s">
        <v>435</v>
      </c>
      <c r="E17" s="28"/>
      <c r="F17" s="28"/>
      <c r="G17" s="28" t="s">
        <v>1294</v>
      </c>
      <c r="H17" s="28" t="s">
        <v>180</v>
      </c>
      <c r="I17" s="28" t="s">
        <v>180</v>
      </c>
      <c r="J17" s="28"/>
      <c r="K17" s="28" t="s">
        <v>435</v>
      </c>
      <c r="L17" s="28" t="s">
        <v>435</v>
      </c>
      <c r="M17" s="28" t="s">
        <v>435</v>
      </c>
      <c r="N17" s="28"/>
      <c r="O17" s="28"/>
      <c r="P17" s="85" t="s">
        <v>435</v>
      </c>
      <c r="Q17" s="28"/>
      <c r="R17" s="28"/>
      <c r="S17" s="28"/>
      <c r="T17" s="28"/>
      <c r="U17" s="28"/>
      <c r="V17" s="28"/>
      <c r="W17" s="28"/>
      <c r="X17" s="28" t="s">
        <v>1054</v>
      </c>
      <c r="Y17" s="28" t="s">
        <v>1054</v>
      </c>
      <c r="Z17" s="28"/>
      <c r="AA17" s="124" t="s">
        <v>1185</v>
      </c>
      <c r="AB17" s="28"/>
      <c r="AC17" s="28"/>
      <c r="AD17" s="28" t="s">
        <v>1054</v>
      </c>
      <c r="AE17" s="28" t="s">
        <v>1054</v>
      </c>
      <c r="AF17" s="28"/>
      <c r="AG17" s="28"/>
      <c r="AH17" s="28" t="s">
        <v>435</v>
      </c>
      <c r="AJ17" s="28"/>
      <c r="AK17" s="28" t="s">
        <v>280</v>
      </c>
    </row>
    <row r="18" spans="1:37">
      <c r="A18" s="26" t="s">
        <v>133</v>
      </c>
      <c r="B18" s="30">
        <v>0.75</v>
      </c>
      <c r="C18" s="30">
        <v>0.75</v>
      </c>
      <c r="D18" s="30">
        <v>0.75</v>
      </c>
      <c r="E18" s="30"/>
      <c r="F18" s="30"/>
      <c r="G18" s="30">
        <f>AVERAGE(0.75,2)</f>
        <v>1.375</v>
      </c>
      <c r="H18" s="30">
        <v>2</v>
      </c>
      <c r="I18" s="30">
        <v>2</v>
      </c>
      <c r="J18" s="30"/>
      <c r="K18" s="30">
        <v>0.75</v>
      </c>
      <c r="L18" s="30">
        <v>0.75</v>
      </c>
      <c r="M18" s="30">
        <v>0.75</v>
      </c>
      <c r="N18" s="30"/>
      <c r="O18" s="30"/>
      <c r="P18" s="88">
        <v>0.75</v>
      </c>
      <c r="Q18" s="30"/>
      <c r="R18" s="30"/>
      <c r="S18" s="30"/>
      <c r="T18" s="30"/>
      <c r="U18" s="30"/>
      <c r="V18" s="30"/>
      <c r="W18" s="30"/>
      <c r="X18" s="30">
        <v>5</v>
      </c>
      <c r="Y18" s="30">
        <v>5</v>
      </c>
      <c r="Z18" s="30"/>
      <c r="AA18" s="30">
        <f>0.75*1.25</f>
        <v>0.9375</v>
      </c>
      <c r="AB18" s="30"/>
      <c r="AC18" s="30"/>
      <c r="AD18" s="30">
        <v>5</v>
      </c>
      <c r="AE18" s="30">
        <v>5</v>
      </c>
      <c r="AF18" s="30"/>
      <c r="AG18" s="30"/>
      <c r="AH18" s="30">
        <v>0.75</v>
      </c>
      <c r="AJ18" s="30"/>
      <c r="AK18" s="30">
        <v>0.5</v>
      </c>
    </row>
    <row r="19" spans="1:37">
      <c r="AG19" s="217" t="s">
        <v>1295</v>
      </c>
      <c r="AH19" s="217"/>
      <c r="AJ19" s="217" t="s">
        <v>1296</v>
      </c>
      <c r="AK19" s="217"/>
    </row>
    <row r="20" spans="1:37">
      <c r="A20" s="31" t="s">
        <v>134</v>
      </c>
    </row>
    <row r="21" spans="1:37">
      <c r="A21" s="96" t="s">
        <v>1297</v>
      </c>
      <c r="B21" s="56"/>
    </row>
    <row r="22" spans="1:37">
      <c r="A22" s="93" t="s">
        <v>1298</v>
      </c>
      <c r="B22" s="93" t="s">
        <v>1299</v>
      </c>
    </row>
  </sheetData>
  <mergeCells count="7">
    <mergeCell ref="F3:O3"/>
    <mergeCell ref="F4:O5"/>
    <mergeCell ref="AG19:AH19"/>
    <mergeCell ref="AJ19:AK19"/>
    <mergeCell ref="B3:D3"/>
    <mergeCell ref="B4:D4"/>
    <mergeCell ref="B5:D5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8094-48AE-43BE-838E-6D7B6D9CFC16}">
  <dimension ref="A1:AV35"/>
  <sheetViews>
    <sheetView topLeftCell="A11" workbookViewId="0">
      <selection activeCell="A23" sqref="A23:XFD23"/>
    </sheetView>
  </sheetViews>
  <sheetFormatPr defaultColWidth="9.140625" defaultRowHeight="15"/>
  <cols>
    <col min="1" max="1" width="23.28515625" style="26" bestFit="1" customWidth="1"/>
    <col min="2" max="16" width="5.7109375" style="26" customWidth="1"/>
    <col min="17" max="21" width="5.7109375" style="26" hidden="1" customWidth="1"/>
    <col min="22" max="23" width="5.7109375" style="26" customWidth="1"/>
    <col min="24" max="35" width="5.7109375" style="26" hidden="1" customWidth="1"/>
    <col min="36" max="36" width="5.7109375" style="26" customWidth="1"/>
    <col min="37" max="46" width="5.7109375" style="26" hidden="1" customWidth="1"/>
    <col min="47" max="48" width="5.7109375" style="26" customWidth="1"/>
    <col min="49" max="16384" width="9.140625" style="26"/>
  </cols>
  <sheetData>
    <row r="1" spans="1:48">
      <c r="A1" s="25" t="s">
        <v>74</v>
      </c>
      <c r="D1" s="25" t="s">
        <v>840</v>
      </c>
      <c r="I1" s="25" t="s">
        <v>1047</v>
      </c>
    </row>
    <row r="3" spans="1:48" ht="17.45">
      <c r="A3" s="25" t="s">
        <v>77</v>
      </c>
      <c r="B3" s="203">
        <v>105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</row>
    <row r="4" spans="1:48" ht="17.45">
      <c r="A4" s="25" t="s">
        <v>79</v>
      </c>
      <c r="B4" s="203" t="s">
        <v>1300</v>
      </c>
      <c r="C4" s="203"/>
      <c r="D4" s="203"/>
      <c r="F4" s="232"/>
      <c r="G4" s="232"/>
      <c r="H4" s="232"/>
      <c r="I4" s="232"/>
      <c r="J4" s="232"/>
      <c r="K4" s="232"/>
      <c r="L4" s="232"/>
      <c r="M4" s="232"/>
    </row>
    <row r="5" spans="1:48" ht="17.45">
      <c r="A5" s="25" t="s">
        <v>82</v>
      </c>
      <c r="B5" s="203" t="s">
        <v>844</v>
      </c>
      <c r="C5" s="203"/>
      <c r="D5" s="203"/>
      <c r="F5" s="232"/>
      <c r="G5" s="232"/>
      <c r="H5" s="232"/>
      <c r="I5" s="232"/>
      <c r="J5" s="232"/>
      <c r="K5" s="232"/>
      <c r="L5" s="232"/>
      <c r="M5" s="232"/>
    </row>
    <row r="7" spans="1:48" s="1" customFormat="1" ht="14.1">
      <c r="B7" s="1">
        <v>0</v>
      </c>
      <c r="C7" s="2" t="s">
        <v>1301</v>
      </c>
      <c r="D7" s="4" t="s">
        <v>1302</v>
      </c>
      <c r="E7" s="2" t="s">
        <v>1303</v>
      </c>
      <c r="F7" s="2" t="s">
        <v>1304</v>
      </c>
      <c r="G7" s="2" t="s">
        <v>1305</v>
      </c>
      <c r="H7" s="4" t="s">
        <v>1306</v>
      </c>
      <c r="I7" s="4" t="s">
        <v>1307</v>
      </c>
      <c r="J7" s="4" t="s">
        <v>1308</v>
      </c>
      <c r="K7" s="2" t="s">
        <v>1309</v>
      </c>
      <c r="L7" s="2" t="s">
        <v>1310</v>
      </c>
      <c r="M7" s="4" t="s">
        <v>1311</v>
      </c>
      <c r="N7" s="4" t="s">
        <v>1312</v>
      </c>
      <c r="O7" s="2" t="s">
        <v>1313</v>
      </c>
      <c r="P7" s="4" t="s">
        <v>1314</v>
      </c>
      <c r="Q7" s="4" t="s">
        <v>1315</v>
      </c>
      <c r="R7" s="4" t="s">
        <v>1316</v>
      </c>
      <c r="S7" s="2" t="s">
        <v>1317</v>
      </c>
      <c r="T7" s="4" t="s">
        <v>1318</v>
      </c>
      <c r="U7" s="4" t="s">
        <v>1319</v>
      </c>
      <c r="V7" s="2" t="s">
        <v>1320</v>
      </c>
      <c r="W7" s="4" t="s">
        <v>1321</v>
      </c>
      <c r="X7" s="4" t="s">
        <v>1322</v>
      </c>
      <c r="Y7" s="4" t="s">
        <v>1323</v>
      </c>
      <c r="Z7" s="4" t="s">
        <v>1324</v>
      </c>
      <c r="AA7" s="4" t="s">
        <v>1325</v>
      </c>
      <c r="AB7" s="4" t="s">
        <v>1326</v>
      </c>
      <c r="AC7" s="2" t="s">
        <v>1327</v>
      </c>
      <c r="AD7" s="2" t="s">
        <v>1328</v>
      </c>
      <c r="AE7" s="4" t="s">
        <v>1329</v>
      </c>
      <c r="AF7" s="2" t="s">
        <v>1330</v>
      </c>
      <c r="AG7" s="2" t="s">
        <v>1331</v>
      </c>
      <c r="AH7" s="2" t="s">
        <v>1332</v>
      </c>
      <c r="AI7" s="4">
        <v>23</v>
      </c>
      <c r="AJ7" s="2">
        <v>24</v>
      </c>
      <c r="AK7" s="4">
        <v>25</v>
      </c>
      <c r="AL7" s="4">
        <v>26</v>
      </c>
      <c r="AM7" s="2">
        <v>27</v>
      </c>
      <c r="AN7" s="4">
        <v>28</v>
      </c>
      <c r="AO7" s="4">
        <v>29</v>
      </c>
      <c r="AP7" s="4">
        <v>30</v>
      </c>
      <c r="AQ7" s="2">
        <v>31</v>
      </c>
      <c r="AR7" s="4">
        <v>32</v>
      </c>
      <c r="AS7" s="2">
        <v>33</v>
      </c>
      <c r="AT7" s="4">
        <v>34</v>
      </c>
      <c r="AU7" s="2">
        <v>35</v>
      </c>
      <c r="AV7" s="2">
        <v>36</v>
      </c>
    </row>
    <row r="8" spans="1:48" ht="30">
      <c r="A8" s="27" t="s">
        <v>84</v>
      </c>
      <c r="B8" s="43" t="s">
        <v>6</v>
      </c>
      <c r="C8" s="32" t="s">
        <v>85</v>
      </c>
      <c r="D8" s="32" t="s">
        <v>86</v>
      </c>
      <c r="E8" s="33" t="s">
        <v>87</v>
      </c>
      <c r="F8" s="34" t="s">
        <v>88</v>
      </c>
      <c r="G8" s="35" t="s">
        <v>89</v>
      </c>
      <c r="H8" s="35" t="s">
        <v>90</v>
      </c>
      <c r="I8" s="36" t="s">
        <v>91</v>
      </c>
      <c r="J8" s="37" t="s">
        <v>1333</v>
      </c>
      <c r="K8" s="38" t="s">
        <v>92</v>
      </c>
      <c r="L8" s="39" t="s">
        <v>93</v>
      </c>
      <c r="M8" s="39" t="s">
        <v>94</v>
      </c>
      <c r="N8" s="39" t="s">
        <v>95</v>
      </c>
      <c r="O8" s="40" t="s">
        <v>96</v>
      </c>
      <c r="P8" s="40" t="s">
        <v>97</v>
      </c>
      <c r="Q8" s="41" t="s">
        <v>1334</v>
      </c>
      <c r="R8" s="41" t="s">
        <v>1335</v>
      </c>
      <c r="S8" s="41" t="s">
        <v>1336</v>
      </c>
      <c r="T8" s="41" t="s">
        <v>1337</v>
      </c>
      <c r="U8" s="41" t="s">
        <v>100</v>
      </c>
      <c r="V8" s="42" t="s">
        <v>98</v>
      </c>
      <c r="W8" s="42" t="s">
        <v>99</v>
      </c>
      <c r="X8" s="44" t="s">
        <v>101</v>
      </c>
      <c r="Y8" s="45" t="s">
        <v>1338</v>
      </c>
      <c r="Z8" s="45" t="s">
        <v>102</v>
      </c>
      <c r="AA8" s="45" t="s">
        <v>1339</v>
      </c>
      <c r="AB8" s="45" t="s">
        <v>1340</v>
      </c>
      <c r="AC8" s="45" t="s">
        <v>103</v>
      </c>
      <c r="AD8" s="46" t="s">
        <v>104</v>
      </c>
      <c r="AE8" s="46" t="s">
        <v>1341</v>
      </c>
      <c r="AF8" s="46" t="s">
        <v>105</v>
      </c>
      <c r="AG8" s="47" t="s">
        <v>106</v>
      </c>
      <c r="AH8" s="47" t="s">
        <v>107</v>
      </c>
      <c r="AI8" s="48" t="s">
        <v>108</v>
      </c>
      <c r="AJ8" s="48" t="s">
        <v>109</v>
      </c>
      <c r="AK8" s="48" t="s">
        <v>1342</v>
      </c>
      <c r="AL8" s="49" t="s">
        <v>110</v>
      </c>
      <c r="AM8" s="49" t="s">
        <v>1343</v>
      </c>
      <c r="AN8" s="49" t="s">
        <v>112</v>
      </c>
      <c r="AO8" s="49" t="s">
        <v>1344</v>
      </c>
      <c r="AP8" s="50" t="s">
        <v>1345</v>
      </c>
      <c r="AQ8" s="50" t="s">
        <v>113</v>
      </c>
      <c r="AR8" s="50" t="s">
        <v>1346</v>
      </c>
      <c r="AS8" s="51" t="s">
        <v>114</v>
      </c>
      <c r="AT8" s="52" t="s">
        <v>1347</v>
      </c>
      <c r="AU8" s="53" t="s">
        <v>115</v>
      </c>
      <c r="AV8" s="53" t="s">
        <v>116</v>
      </c>
    </row>
    <row r="9" spans="1:48">
      <c r="A9" s="26" t="s">
        <v>117</v>
      </c>
      <c r="B9" s="28" t="s">
        <v>132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48">
      <c r="A10" s="26" t="s">
        <v>121</v>
      </c>
      <c r="B10" s="28" t="s">
        <v>498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48">
      <c r="A11" s="140" t="s">
        <v>122</v>
      </c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</row>
    <row r="12" spans="1:48">
      <c r="A12" s="26" t="s">
        <v>123</v>
      </c>
      <c r="B12" s="28" t="s">
        <v>124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spans="1:48">
      <c r="A13" s="26" t="s">
        <v>125</v>
      </c>
      <c r="B13" s="28" t="s">
        <v>127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spans="1:48">
      <c r="A14" s="26" t="s">
        <v>126</v>
      </c>
      <c r="B14" s="29" t="s">
        <v>127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</row>
    <row r="15" spans="1:48">
      <c r="A15" s="26" t="s">
        <v>128</v>
      </c>
      <c r="B15" s="28" t="s">
        <v>127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</row>
    <row r="16" spans="1:48">
      <c r="A16" s="26" t="s">
        <v>129</v>
      </c>
      <c r="B16" s="28" t="s">
        <v>118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</row>
    <row r="17" spans="1:48">
      <c r="A17" s="26" t="s">
        <v>130</v>
      </c>
      <c r="B17" s="30">
        <v>3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</row>
    <row r="18" spans="1:48">
      <c r="A18" s="26" t="s">
        <v>131</v>
      </c>
      <c r="B18" s="28" t="s">
        <v>132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1:48">
      <c r="A19" s="26" t="s">
        <v>133</v>
      </c>
      <c r="B19" s="30">
        <v>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</row>
    <row r="20" spans="1:48">
      <c r="A20" s="31"/>
    </row>
    <row r="21" spans="1:48">
      <c r="A21" s="26" t="s">
        <v>117</v>
      </c>
      <c r="B21" s="28" t="s">
        <v>142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</row>
    <row r="22" spans="1:48">
      <c r="A22" s="26" t="s">
        <v>121</v>
      </c>
      <c r="B22" s="29" t="s">
        <v>146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</row>
    <row r="23" spans="1:48">
      <c r="A23" s="140" t="s">
        <v>122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</row>
    <row r="24" spans="1:48">
      <c r="A24" s="26" t="s">
        <v>123</v>
      </c>
      <c r="B24" s="28" t="s">
        <v>124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>
      <c r="A25" s="26" t="s">
        <v>125</v>
      </c>
      <c r="B25" s="28" t="s">
        <v>127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spans="1:48">
      <c r="A26" s="26" t="s">
        <v>126</v>
      </c>
      <c r="B26" s="28" t="s">
        <v>127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1:48">
      <c r="A27" s="26" t="s">
        <v>128</v>
      </c>
      <c r="B27" s="28" t="s">
        <v>127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spans="1:48">
      <c r="A28" s="26" t="s">
        <v>129</v>
      </c>
      <c r="B28" s="28" t="s">
        <v>149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spans="1:48">
      <c r="A29" s="26" t="s">
        <v>130</v>
      </c>
      <c r="B29" s="30">
        <f>5/3</f>
        <v>1.6666666666666667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</row>
    <row r="30" spans="1:48">
      <c r="A30" s="26" t="s">
        <v>131</v>
      </c>
      <c r="B30" s="28" t="s">
        <v>132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spans="1:48">
      <c r="A31" s="26" t="s">
        <v>133</v>
      </c>
      <c r="B31" s="30">
        <v>4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</row>
    <row r="33" spans="1:2">
      <c r="A33" s="31" t="s">
        <v>134</v>
      </c>
    </row>
    <row r="34" spans="1:2">
      <c r="A34" s="26" t="s">
        <v>1348</v>
      </c>
      <c r="B34" s="56"/>
    </row>
    <row r="35" spans="1:2">
      <c r="B35" s="56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4129-523B-4E7A-B873-2A9B012C92C0}">
  <dimension ref="A1:AV46"/>
  <sheetViews>
    <sheetView workbookViewId="0">
      <selection activeCell="A11" sqref="A11:XFD11"/>
    </sheetView>
  </sheetViews>
  <sheetFormatPr defaultColWidth="9.140625" defaultRowHeight="15"/>
  <cols>
    <col min="1" max="1" width="23.28515625" style="26" bestFit="1" customWidth="1"/>
    <col min="2" max="16" width="5.7109375" style="26" customWidth="1"/>
    <col min="17" max="21" width="5.7109375" style="26" hidden="1" customWidth="1"/>
    <col min="22" max="23" width="5.7109375" style="26" customWidth="1"/>
    <col min="24" max="35" width="5.7109375" style="26" hidden="1" customWidth="1"/>
    <col min="36" max="36" width="5.7109375" style="26" customWidth="1"/>
    <col min="37" max="46" width="5.7109375" style="26" hidden="1" customWidth="1"/>
    <col min="47" max="48" width="5.7109375" style="26" customWidth="1"/>
    <col min="49" max="16384" width="9.140625" style="26"/>
  </cols>
  <sheetData>
    <row r="1" spans="1:48">
      <c r="A1" s="25" t="s">
        <v>74</v>
      </c>
      <c r="D1" s="25" t="s">
        <v>840</v>
      </c>
      <c r="J1" s="25" t="s">
        <v>1349</v>
      </c>
    </row>
    <row r="3" spans="1:48" ht="17.45">
      <c r="A3" s="25" t="s">
        <v>77</v>
      </c>
      <c r="B3" s="203">
        <v>172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</row>
    <row r="4" spans="1:48" ht="17.45">
      <c r="A4" s="25" t="s">
        <v>79</v>
      </c>
      <c r="B4" s="203" t="s">
        <v>1350</v>
      </c>
      <c r="C4" s="203"/>
      <c r="D4" s="203"/>
      <c r="F4" s="232" t="s">
        <v>1351</v>
      </c>
      <c r="G4" s="232"/>
      <c r="H4" s="232"/>
      <c r="I4" s="232"/>
      <c r="J4" s="232"/>
      <c r="K4" s="232"/>
      <c r="L4" s="232"/>
      <c r="M4" s="232"/>
    </row>
    <row r="5" spans="1:48" ht="17.45">
      <c r="A5" s="25" t="s">
        <v>82</v>
      </c>
      <c r="B5" s="203" t="s">
        <v>844</v>
      </c>
      <c r="C5" s="203"/>
      <c r="D5" s="203"/>
      <c r="F5" s="232"/>
      <c r="G5" s="232"/>
      <c r="H5" s="232"/>
      <c r="I5" s="232"/>
      <c r="J5" s="232"/>
      <c r="K5" s="232"/>
      <c r="L5" s="232"/>
      <c r="M5" s="232"/>
    </row>
    <row r="7" spans="1:48" s="1" customFormat="1" ht="14.1">
      <c r="B7" s="1">
        <v>0</v>
      </c>
      <c r="C7" s="2" t="s">
        <v>1301</v>
      </c>
      <c r="D7" s="4" t="s">
        <v>1302</v>
      </c>
      <c r="E7" s="2" t="s">
        <v>1303</v>
      </c>
      <c r="F7" s="2" t="s">
        <v>1304</v>
      </c>
      <c r="G7" s="2" t="s">
        <v>1305</v>
      </c>
      <c r="H7" s="4" t="s">
        <v>1306</v>
      </c>
      <c r="I7" s="4" t="s">
        <v>1307</v>
      </c>
      <c r="J7" s="4" t="s">
        <v>1308</v>
      </c>
      <c r="K7" s="2" t="s">
        <v>1309</v>
      </c>
      <c r="L7" s="2" t="s">
        <v>1310</v>
      </c>
      <c r="M7" s="4" t="s">
        <v>1311</v>
      </c>
      <c r="N7" s="4" t="s">
        <v>1312</v>
      </c>
      <c r="O7" s="2" t="s">
        <v>1313</v>
      </c>
      <c r="P7" s="4" t="s">
        <v>1314</v>
      </c>
      <c r="Q7" s="4" t="s">
        <v>1315</v>
      </c>
      <c r="R7" s="4" t="s">
        <v>1316</v>
      </c>
      <c r="S7" s="2" t="s">
        <v>1317</v>
      </c>
      <c r="T7" s="4" t="s">
        <v>1318</v>
      </c>
      <c r="U7" s="4" t="s">
        <v>1319</v>
      </c>
      <c r="V7" s="2" t="s">
        <v>1320</v>
      </c>
      <c r="W7" s="4" t="s">
        <v>1321</v>
      </c>
      <c r="X7" s="4" t="s">
        <v>1322</v>
      </c>
      <c r="Y7" s="4" t="s">
        <v>1323</v>
      </c>
      <c r="Z7" s="4" t="s">
        <v>1324</v>
      </c>
      <c r="AA7" s="4" t="s">
        <v>1325</v>
      </c>
      <c r="AB7" s="4" t="s">
        <v>1326</v>
      </c>
      <c r="AC7" s="2" t="s">
        <v>1327</v>
      </c>
      <c r="AD7" s="2" t="s">
        <v>1328</v>
      </c>
      <c r="AE7" s="4" t="s">
        <v>1329</v>
      </c>
      <c r="AF7" s="2" t="s">
        <v>1330</v>
      </c>
      <c r="AG7" s="2" t="s">
        <v>1331</v>
      </c>
      <c r="AH7" s="2" t="s">
        <v>1332</v>
      </c>
      <c r="AI7" s="4">
        <v>23</v>
      </c>
      <c r="AJ7" s="2">
        <v>24</v>
      </c>
      <c r="AK7" s="4">
        <v>25</v>
      </c>
      <c r="AL7" s="4">
        <v>26</v>
      </c>
      <c r="AM7" s="2">
        <v>27</v>
      </c>
      <c r="AN7" s="4">
        <v>28</v>
      </c>
      <c r="AO7" s="4">
        <v>29</v>
      </c>
      <c r="AP7" s="4">
        <v>30</v>
      </c>
      <c r="AQ7" s="2">
        <v>31</v>
      </c>
      <c r="AR7" s="4">
        <v>32</v>
      </c>
      <c r="AS7" s="2">
        <v>33</v>
      </c>
      <c r="AT7" s="4">
        <v>34</v>
      </c>
      <c r="AU7" s="2">
        <v>35</v>
      </c>
      <c r="AV7" s="2">
        <v>36</v>
      </c>
    </row>
    <row r="8" spans="1:48" ht="30">
      <c r="A8" s="27" t="s">
        <v>84</v>
      </c>
      <c r="B8" s="43" t="s">
        <v>6</v>
      </c>
      <c r="C8" s="32" t="s">
        <v>85</v>
      </c>
      <c r="D8" s="32" t="s">
        <v>86</v>
      </c>
      <c r="E8" s="33" t="s">
        <v>87</v>
      </c>
      <c r="F8" s="34" t="s">
        <v>88</v>
      </c>
      <c r="G8" s="35" t="s">
        <v>89</v>
      </c>
      <c r="H8" s="35" t="s">
        <v>90</v>
      </c>
      <c r="I8" s="36" t="s">
        <v>91</v>
      </c>
      <c r="J8" s="37" t="s">
        <v>1333</v>
      </c>
      <c r="K8" s="38" t="s">
        <v>92</v>
      </c>
      <c r="L8" s="39" t="s">
        <v>93</v>
      </c>
      <c r="M8" s="39" t="s">
        <v>94</v>
      </c>
      <c r="N8" s="39" t="s">
        <v>95</v>
      </c>
      <c r="O8" s="40" t="s">
        <v>96</v>
      </c>
      <c r="P8" s="40" t="s">
        <v>97</v>
      </c>
      <c r="Q8" s="41" t="s">
        <v>1334</v>
      </c>
      <c r="R8" s="41" t="s">
        <v>1335</v>
      </c>
      <c r="S8" s="41" t="s">
        <v>1336</v>
      </c>
      <c r="T8" s="41" t="s">
        <v>1337</v>
      </c>
      <c r="U8" s="41" t="s">
        <v>100</v>
      </c>
      <c r="V8" s="42" t="s">
        <v>98</v>
      </c>
      <c r="W8" s="42" t="s">
        <v>99</v>
      </c>
      <c r="X8" s="44" t="s">
        <v>101</v>
      </c>
      <c r="Y8" s="45" t="s">
        <v>1338</v>
      </c>
      <c r="Z8" s="45" t="s">
        <v>102</v>
      </c>
      <c r="AA8" s="45" t="s">
        <v>1339</v>
      </c>
      <c r="AB8" s="45" t="s">
        <v>1340</v>
      </c>
      <c r="AC8" s="45" t="s">
        <v>103</v>
      </c>
      <c r="AD8" s="46" t="s">
        <v>104</v>
      </c>
      <c r="AE8" s="46" t="s">
        <v>1341</v>
      </c>
      <c r="AF8" s="46" t="s">
        <v>105</v>
      </c>
      <c r="AG8" s="47" t="s">
        <v>106</v>
      </c>
      <c r="AH8" s="47" t="s">
        <v>107</v>
      </c>
      <c r="AI8" s="48" t="s">
        <v>108</v>
      </c>
      <c r="AJ8" s="48" t="s">
        <v>109</v>
      </c>
      <c r="AK8" s="48" t="s">
        <v>1342</v>
      </c>
      <c r="AL8" s="49" t="s">
        <v>110</v>
      </c>
      <c r="AM8" s="49" t="s">
        <v>1343</v>
      </c>
      <c r="AN8" s="49" t="s">
        <v>112</v>
      </c>
      <c r="AO8" s="49" t="s">
        <v>1344</v>
      </c>
      <c r="AP8" s="50" t="s">
        <v>1345</v>
      </c>
      <c r="AQ8" s="50" t="s">
        <v>113</v>
      </c>
      <c r="AR8" s="50" t="s">
        <v>1346</v>
      </c>
      <c r="AS8" s="51" t="s">
        <v>114</v>
      </c>
      <c r="AT8" s="52" t="s">
        <v>1347</v>
      </c>
      <c r="AU8" s="53" t="s">
        <v>115</v>
      </c>
      <c r="AV8" s="53" t="s">
        <v>116</v>
      </c>
    </row>
    <row r="9" spans="1:48">
      <c r="A9" s="26" t="s">
        <v>117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48">
      <c r="A10" s="26" t="s">
        <v>121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48">
      <c r="A11" s="140" t="s">
        <v>122</v>
      </c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</row>
    <row r="12" spans="1:48">
      <c r="A12" s="26" t="s">
        <v>123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</row>
    <row r="13" spans="1:48">
      <c r="A13" s="26" t="s">
        <v>125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spans="1:48">
      <c r="A14" s="26" t="s">
        <v>126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</row>
    <row r="15" spans="1:48">
      <c r="A15" s="26" t="s">
        <v>128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</row>
    <row r="16" spans="1:48">
      <c r="A16" s="26" t="s">
        <v>129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</row>
    <row r="17" spans="1:48">
      <c r="A17" s="26" t="s">
        <v>130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</row>
    <row r="18" spans="1:48">
      <c r="A18" s="26" t="s">
        <v>131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1:48">
      <c r="A19" s="26" t="s">
        <v>133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</row>
    <row r="20" spans="1:48">
      <c r="A20" s="31"/>
    </row>
    <row r="21" spans="1:48">
      <c r="A21" s="26" t="s">
        <v>117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</row>
    <row r="22" spans="1:48">
      <c r="A22" s="26" t="s">
        <v>121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 spans="1:48">
      <c r="A23" s="140" t="s">
        <v>122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</row>
    <row r="24" spans="1:48">
      <c r="A24" s="26" t="s">
        <v>123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>
      <c r="A25" s="26" t="s">
        <v>125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spans="1:48">
      <c r="A26" s="26" t="s">
        <v>126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1:48">
      <c r="A27" s="26" t="s">
        <v>128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spans="1:48">
      <c r="A28" s="26" t="s">
        <v>129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spans="1:48">
      <c r="A29" s="26" t="s">
        <v>130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</row>
    <row r="30" spans="1:48">
      <c r="A30" s="26" t="s">
        <v>131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spans="1:48">
      <c r="A31" s="26" t="s">
        <v>133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</row>
    <row r="32" spans="1:48">
      <c r="B32" s="56"/>
    </row>
    <row r="33" spans="1:48">
      <c r="A33" s="26" t="s">
        <v>117</v>
      </c>
      <c r="B33" s="28" t="s">
        <v>1055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</row>
    <row r="34" spans="1:48">
      <c r="A34" s="26" t="s">
        <v>121</v>
      </c>
      <c r="B34" s="28" t="s">
        <v>269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</row>
    <row r="35" spans="1:48">
      <c r="A35" s="140" t="s">
        <v>122</v>
      </c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</row>
    <row r="36" spans="1:48">
      <c r="A36" s="26" t="s">
        <v>123</v>
      </c>
      <c r="B36" s="28" t="s">
        <v>124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spans="1:48">
      <c r="A37" s="26" t="s">
        <v>125</v>
      </c>
      <c r="B37" s="28" t="s">
        <v>124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spans="1:48">
      <c r="A38" s="26" t="s">
        <v>126</v>
      </c>
      <c r="B38" s="28" t="s">
        <v>127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spans="1:48">
      <c r="A39" s="26" t="s">
        <v>128</v>
      </c>
      <c r="B39" s="28" t="s">
        <v>127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spans="1:48">
      <c r="A40" s="26" t="s">
        <v>129</v>
      </c>
      <c r="B40" s="28" t="s">
        <v>150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spans="1:48">
      <c r="A41" s="26" t="s">
        <v>130</v>
      </c>
      <c r="B41" s="30">
        <v>-2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</row>
    <row r="42" spans="1:48">
      <c r="A42" s="26" t="s">
        <v>131</v>
      </c>
      <c r="B42" s="28" t="s">
        <v>280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spans="1:48">
      <c r="A43" s="26" t="s">
        <v>133</v>
      </c>
      <c r="B43" s="30">
        <v>0.5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</row>
    <row r="45" spans="1:48">
      <c r="A45" s="31" t="s">
        <v>134</v>
      </c>
    </row>
    <row r="46" spans="1:48">
      <c r="A46" s="26" t="s">
        <v>830</v>
      </c>
      <c r="B46" s="56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617C-5ECD-469C-80E8-59B18CB96545}">
  <dimension ref="A1:AH23"/>
  <sheetViews>
    <sheetView workbookViewId="0">
      <selection activeCell="A10" sqref="A10:XFD10"/>
    </sheetView>
  </sheetViews>
  <sheetFormatPr defaultColWidth="9.140625" defaultRowHeight="15"/>
  <cols>
    <col min="1" max="1" width="23.28515625" style="26" bestFit="1" customWidth="1"/>
    <col min="2" max="35" width="5.7109375" style="26" customWidth="1"/>
    <col min="36" max="16384" width="9.140625" style="26"/>
  </cols>
  <sheetData>
    <row r="1" spans="1:34">
      <c r="A1" s="25" t="s">
        <v>1352</v>
      </c>
      <c r="D1" s="25" t="s">
        <v>1353</v>
      </c>
      <c r="I1" s="25"/>
    </row>
    <row r="3" spans="1:34" ht="17.45">
      <c r="A3" s="25" t="s">
        <v>77</v>
      </c>
      <c r="B3" s="203">
        <v>205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</row>
    <row r="4" spans="1:34" ht="17.45">
      <c r="A4" s="25" t="s">
        <v>79</v>
      </c>
      <c r="B4" s="203" t="s">
        <v>1354</v>
      </c>
      <c r="C4" s="203"/>
      <c r="D4" s="203"/>
      <c r="F4" s="232" t="s">
        <v>1355</v>
      </c>
      <c r="G4" s="232"/>
      <c r="H4" s="232"/>
      <c r="I4" s="232"/>
      <c r="J4" s="232"/>
      <c r="K4" s="232"/>
      <c r="L4" s="232"/>
      <c r="M4" s="232"/>
    </row>
    <row r="5" spans="1:34" ht="17.45">
      <c r="A5" s="25" t="s">
        <v>82</v>
      </c>
      <c r="B5" s="203" t="s">
        <v>1356</v>
      </c>
      <c r="C5" s="203"/>
      <c r="D5" s="203"/>
      <c r="F5" s="232"/>
      <c r="G5" s="232"/>
      <c r="H5" s="232"/>
      <c r="I5" s="232"/>
      <c r="J5" s="232"/>
      <c r="K5" s="232"/>
      <c r="L5" s="232"/>
      <c r="M5" s="232"/>
    </row>
    <row r="7" spans="1:34" ht="30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</row>
    <row r="8" spans="1:34">
      <c r="A8" s="26" t="s">
        <v>117</v>
      </c>
      <c r="B8" s="28" t="s">
        <v>455</v>
      </c>
      <c r="C8" s="28" t="s">
        <v>502</v>
      </c>
      <c r="D8" s="28" t="s">
        <v>502</v>
      </c>
      <c r="E8" s="28" t="s">
        <v>502</v>
      </c>
      <c r="F8" s="28" t="s">
        <v>502</v>
      </c>
      <c r="G8" s="28" t="s">
        <v>502</v>
      </c>
      <c r="H8" s="28" t="s">
        <v>502</v>
      </c>
      <c r="I8" s="28" t="s">
        <v>502</v>
      </c>
      <c r="J8" s="28" t="s">
        <v>502</v>
      </c>
      <c r="K8" s="28" t="s">
        <v>502</v>
      </c>
      <c r="L8" s="28" t="s">
        <v>502</v>
      </c>
      <c r="M8" s="28" t="s">
        <v>502</v>
      </c>
      <c r="N8" s="28" t="s">
        <v>502</v>
      </c>
      <c r="O8" s="28" t="s">
        <v>502</v>
      </c>
      <c r="P8" s="28" t="s">
        <v>502</v>
      </c>
      <c r="Q8" s="28" t="s">
        <v>502</v>
      </c>
      <c r="R8" s="28" t="s">
        <v>502</v>
      </c>
      <c r="S8" s="28" t="s">
        <v>502</v>
      </c>
      <c r="T8" s="28" t="s">
        <v>502</v>
      </c>
      <c r="U8" s="28" t="s">
        <v>502</v>
      </c>
      <c r="V8" s="28"/>
      <c r="W8" s="28" t="s">
        <v>502</v>
      </c>
      <c r="X8" s="28" t="s">
        <v>502</v>
      </c>
      <c r="Y8" s="28" t="s">
        <v>502</v>
      </c>
      <c r="Z8" s="28" t="s">
        <v>502</v>
      </c>
      <c r="AA8" s="28" t="s">
        <v>502</v>
      </c>
      <c r="AB8" s="28" t="s">
        <v>502</v>
      </c>
      <c r="AC8" s="28" t="s">
        <v>502</v>
      </c>
      <c r="AD8" s="28" t="s">
        <v>502</v>
      </c>
      <c r="AE8" s="28" t="s">
        <v>502</v>
      </c>
      <c r="AF8" s="28" t="s">
        <v>502</v>
      </c>
      <c r="AG8" s="28" t="s">
        <v>502</v>
      </c>
      <c r="AH8" s="28" t="s">
        <v>502</v>
      </c>
    </row>
    <row r="9" spans="1:34">
      <c r="A9" s="26" t="s">
        <v>121</v>
      </c>
      <c r="B9" s="29" t="s">
        <v>1357</v>
      </c>
      <c r="C9" s="29" t="s">
        <v>502</v>
      </c>
      <c r="D9" s="29" t="s">
        <v>502</v>
      </c>
      <c r="E9" s="29" t="s">
        <v>502</v>
      </c>
      <c r="F9" s="29" t="s">
        <v>502</v>
      </c>
      <c r="G9" s="29" t="s">
        <v>502</v>
      </c>
      <c r="H9" s="29" t="s">
        <v>502</v>
      </c>
      <c r="I9" s="29" t="s">
        <v>502</v>
      </c>
      <c r="J9" s="29"/>
      <c r="K9" s="29" t="s">
        <v>502</v>
      </c>
      <c r="L9" s="29" t="s">
        <v>502</v>
      </c>
      <c r="M9" s="29" t="s">
        <v>502</v>
      </c>
      <c r="N9" s="29"/>
      <c r="O9" s="29"/>
      <c r="P9" s="29" t="s">
        <v>502</v>
      </c>
      <c r="Q9" s="29" t="s">
        <v>502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1357</v>
      </c>
      <c r="AB9" s="29"/>
      <c r="AC9" s="29"/>
      <c r="AD9" s="29"/>
      <c r="AE9" s="29"/>
      <c r="AF9" s="29"/>
      <c r="AG9" s="29" t="s">
        <v>502</v>
      </c>
      <c r="AH9" s="29" t="s">
        <v>502</v>
      </c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699</v>
      </c>
      <c r="B11" s="28" t="s">
        <v>127</v>
      </c>
      <c r="C11" s="28" t="s">
        <v>127</v>
      </c>
      <c r="D11" s="28" t="s">
        <v>127</v>
      </c>
      <c r="E11" s="28" t="s">
        <v>127</v>
      </c>
      <c r="F11" s="28" t="s">
        <v>127</v>
      </c>
      <c r="G11" s="28" t="s">
        <v>127</v>
      </c>
      <c r="H11" s="28" t="s">
        <v>127</v>
      </c>
      <c r="I11" s="28" t="s">
        <v>127</v>
      </c>
      <c r="J11" s="28"/>
      <c r="K11" s="28" t="s">
        <v>127</v>
      </c>
      <c r="L11" s="28" t="s">
        <v>127</v>
      </c>
      <c r="M11" s="28" t="s">
        <v>127</v>
      </c>
      <c r="N11" s="28"/>
      <c r="O11" s="28"/>
      <c r="P11" s="28" t="s">
        <v>127</v>
      </c>
      <c r="Q11" s="28" t="s">
        <v>127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127</v>
      </c>
      <c r="AB11" s="28"/>
      <c r="AC11" s="28"/>
      <c r="AD11" s="28"/>
      <c r="AE11" s="28"/>
      <c r="AF11" s="28"/>
      <c r="AG11" s="28" t="s">
        <v>127</v>
      </c>
      <c r="AH11" s="28" t="s">
        <v>127</v>
      </c>
    </row>
    <row r="12" spans="1:34">
      <c r="A12" s="26" t="s">
        <v>700</v>
      </c>
      <c r="B12" s="28" t="s">
        <v>127</v>
      </c>
      <c r="C12" s="28" t="s">
        <v>127</v>
      </c>
      <c r="D12" s="28" t="s">
        <v>127</v>
      </c>
      <c r="E12" s="28" t="s">
        <v>127</v>
      </c>
      <c r="F12" s="28" t="s">
        <v>127</v>
      </c>
      <c r="G12" s="28" t="s">
        <v>127</v>
      </c>
      <c r="H12" s="28" t="s">
        <v>127</v>
      </c>
      <c r="I12" s="28" t="s">
        <v>127</v>
      </c>
      <c r="J12" s="28"/>
      <c r="K12" s="28" t="s">
        <v>127</v>
      </c>
      <c r="L12" s="28" t="s">
        <v>127</v>
      </c>
      <c r="M12" s="28" t="s">
        <v>127</v>
      </c>
      <c r="N12" s="28"/>
      <c r="O12" s="28"/>
      <c r="P12" s="28" t="s">
        <v>127</v>
      </c>
      <c r="Q12" s="28" t="s">
        <v>127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127</v>
      </c>
      <c r="AB12" s="28"/>
      <c r="AC12" s="28"/>
      <c r="AD12" s="28"/>
      <c r="AE12" s="28"/>
      <c r="AF12" s="28"/>
      <c r="AG12" s="28" t="s">
        <v>127</v>
      </c>
      <c r="AH12" s="28" t="s">
        <v>127</v>
      </c>
    </row>
    <row r="13" spans="1:34">
      <c r="A13" s="26" t="s">
        <v>701</v>
      </c>
      <c r="B13" s="28" t="s">
        <v>124</v>
      </c>
      <c r="C13" s="28" t="s">
        <v>124</v>
      </c>
      <c r="D13" s="28" t="s">
        <v>124</v>
      </c>
      <c r="E13" s="28" t="s">
        <v>124</v>
      </c>
      <c r="F13" s="28" t="s">
        <v>124</v>
      </c>
      <c r="G13" s="28" t="s">
        <v>124</v>
      </c>
      <c r="H13" s="28" t="s">
        <v>124</v>
      </c>
      <c r="I13" s="28" t="s">
        <v>124</v>
      </c>
      <c r="J13" s="28"/>
      <c r="K13" s="28" t="s">
        <v>124</v>
      </c>
      <c r="L13" s="28" t="s">
        <v>124</v>
      </c>
      <c r="M13" s="28" t="s">
        <v>124</v>
      </c>
      <c r="N13" s="28"/>
      <c r="O13" s="28"/>
      <c r="P13" s="28" t="s">
        <v>124</v>
      </c>
      <c r="Q13" s="28" t="s">
        <v>124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124</v>
      </c>
      <c r="AB13" s="28"/>
      <c r="AC13" s="28"/>
      <c r="AD13" s="28"/>
      <c r="AE13" s="28"/>
      <c r="AF13" s="28"/>
      <c r="AG13" s="28" t="s">
        <v>124</v>
      </c>
      <c r="AH13" s="28" t="s">
        <v>124</v>
      </c>
    </row>
    <row r="14" spans="1:34">
      <c r="A14" s="26" t="s">
        <v>702</v>
      </c>
      <c r="B14" s="28" t="s">
        <v>124</v>
      </c>
      <c r="C14" s="28" t="s">
        <v>124</v>
      </c>
      <c r="D14" s="28" t="s">
        <v>124</v>
      </c>
      <c r="E14" s="28" t="s">
        <v>124</v>
      </c>
      <c r="F14" s="28" t="s">
        <v>124</v>
      </c>
      <c r="G14" s="28" t="s">
        <v>124</v>
      </c>
      <c r="H14" s="28" t="s">
        <v>124</v>
      </c>
      <c r="I14" s="28" t="s">
        <v>124</v>
      </c>
      <c r="J14" s="28"/>
      <c r="K14" s="28" t="s">
        <v>124</v>
      </c>
      <c r="L14" s="28" t="s">
        <v>124</v>
      </c>
      <c r="M14" s="28" t="s">
        <v>124</v>
      </c>
      <c r="N14" s="28"/>
      <c r="O14" s="28"/>
      <c r="P14" s="28" t="s">
        <v>124</v>
      </c>
      <c r="Q14" s="28" t="s">
        <v>124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124</v>
      </c>
      <c r="AB14" s="28"/>
      <c r="AC14" s="28"/>
      <c r="AD14" s="28"/>
      <c r="AE14" s="28"/>
      <c r="AF14" s="28"/>
      <c r="AG14" s="28" t="s">
        <v>124</v>
      </c>
      <c r="AH14" s="28" t="s">
        <v>124</v>
      </c>
    </row>
    <row r="15" spans="1:34">
      <c r="A15" s="26" t="s">
        <v>703</v>
      </c>
      <c r="B15" s="28" t="s">
        <v>127</v>
      </c>
      <c r="C15" s="28" t="s">
        <v>127</v>
      </c>
      <c r="D15" s="28" t="s">
        <v>127</v>
      </c>
      <c r="E15" s="28" t="s">
        <v>127</v>
      </c>
      <c r="F15" s="28" t="s">
        <v>127</v>
      </c>
      <c r="G15" s="28" t="s">
        <v>127</v>
      </c>
      <c r="H15" s="28" t="s">
        <v>127</v>
      </c>
      <c r="I15" s="28" t="s">
        <v>127</v>
      </c>
      <c r="J15" s="28"/>
      <c r="K15" s="28" t="s">
        <v>127</v>
      </c>
      <c r="L15" s="28" t="s">
        <v>127</v>
      </c>
      <c r="M15" s="28" t="s">
        <v>127</v>
      </c>
      <c r="N15" s="28"/>
      <c r="O15" s="28"/>
      <c r="P15" s="28" t="s">
        <v>127</v>
      </c>
      <c r="Q15" s="28" t="s">
        <v>127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127</v>
      </c>
      <c r="AB15" s="28"/>
      <c r="AC15" s="28"/>
      <c r="AD15" s="28"/>
      <c r="AE15" s="28"/>
      <c r="AF15" s="28"/>
      <c r="AG15" s="28" t="s">
        <v>127</v>
      </c>
      <c r="AH15" s="28" t="s">
        <v>127</v>
      </c>
    </row>
    <row r="16" spans="1:34">
      <c r="A16" s="26" t="s">
        <v>705</v>
      </c>
      <c r="B16" s="28" t="s">
        <v>707</v>
      </c>
      <c r="C16" s="28" t="s">
        <v>707</v>
      </c>
      <c r="D16" s="28" t="s">
        <v>707</v>
      </c>
      <c r="E16" s="28" t="s">
        <v>707</v>
      </c>
      <c r="F16" s="28" t="s">
        <v>707</v>
      </c>
      <c r="G16" s="28" t="s">
        <v>707</v>
      </c>
      <c r="H16" s="28" t="s">
        <v>707</v>
      </c>
      <c r="I16" s="28" t="s">
        <v>707</v>
      </c>
      <c r="J16" s="28"/>
      <c r="K16" s="28" t="s">
        <v>707</v>
      </c>
      <c r="L16" s="28" t="s">
        <v>707</v>
      </c>
      <c r="M16" s="28" t="s">
        <v>707</v>
      </c>
      <c r="N16" s="28"/>
      <c r="O16" s="28"/>
      <c r="P16" s="28" t="s">
        <v>707</v>
      </c>
      <c r="Q16" s="28" t="s">
        <v>707</v>
      </c>
      <c r="R16" s="28"/>
      <c r="S16" s="28"/>
      <c r="T16" s="28"/>
      <c r="U16" s="28"/>
      <c r="V16" s="28"/>
      <c r="W16" s="28"/>
      <c r="X16" s="28"/>
      <c r="Y16" s="28"/>
      <c r="Z16" s="28"/>
      <c r="AA16" s="28" t="s">
        <v>707</v>
      </c>
      <c r="AB16" s="28"/>
      <c r="AC16" s="28"/>
      <c r="AD16" s="28"/>
      <c r="AE16" s="28"/>
      <c r="AF16" s="28"/>
      <c r="AG16" s="28" t="s">
        <v>707</v>
      </c>
      <c r="AH16" s="28" t="s">
        <v>707</v>
      </c>
    </row>
    <row r="17" spans="1:34">
      <c r="A17" s="26" t="s">
        <v>708</v>
      </c>
      <c r="B17" s="28" t="s">
        <v>709</v>
      </c>
      <c r="C17" s="28" t="s">
        <v>709</v>
      </c>
      <c r="D17" s="28" t="s">
        <v>709</v>
      </c>
      <c r="E17" s="28" t="s">
        <v>709</v>
      </c>
      <c r="F17" s="28" t="s">
        <v>709</v>
      </c>
      <c r="G17" s="28" t="s">
        <v>709</v>
      </c>
      <c r="H17" s="28" t="s">
        <v>709</v>
      </c>
      <c r="I17" s="28" t="s">
        <v>709</v>
      </c>
      <c r="J17" s="28"/>
      <c r="K17" s="28" t="s">
        <v>709</v>
      </c>
      <c r="L17" s="28" t="s">
        <v>709</v>
      </c>
      <c r="M17" s="28" t="s">
        <v>709</v>
      </c>
      <c r="N17" s="28"/>
      <c r="O17" s="28"/>
      <c r="P17" s="28" t="s">
        <v>709</v>
      </c>
      <c r="Q17" s="28" t="s">
        <v>709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709</v>
      </c>
      <c r="AB17" s="28"/>
      <c r="AC17" s="28"/>
      <c r="AD17" s="28"/>
      <c r="AE17" s="28"/>
      <c r="AF17" s="28"/>
      <c r="AG17" s="28" t="s">
        <v>709</v>
      </c>
      <c r="AH17" s="28" t="s">
        <v>709</v>
      </c>
    </row>
    <row r="18" spans="1:34">
      <c r="A18" s="26" t="s">
        <v>711</v>
      </c>
      <c r="B18" s="30">
        <v>6</v>
      </c>
      <c r="C18" s="30">
        <v>6</v>
      </c>
      <c r="D18" s="30">
        <v>6</v>
      </c>
      <c r="E18" s="30">
        <v>6</v>
      </c>
      <c r="F18" s="30">
        <v>6</v>
      </c>
      <c r="G18" s="30">
        <v>6</v>
      </c>
      <c r="H18" s="30">
        <v>6</v>
      </c>
      <c r="I18" s="30">
        <v>6</v>
      </c>
      <c r="J18" s="30"/>
      <c r="K18" s="30">
        <v>6</v>
      </c>
      <c r="L18" s="30">
        <v>6</v>
      </c>
      <c r="M18" s="30">
        <v>6</v>
      </c>
      <c r="N18" s="30"/>
      <c r="O18" s="30"/>
      <c r="P18" s="30">
        <v>6</v>
      </c>
      <c r="Q18" s="30">
        <v>6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6</v>
      </c>
      <c r="AB18" s="30"/>
      <c r="AC18" s="30"/>
      <c r="AD18" s="30"/>
      <c r="AE18" s="30"/>
      <c r="AF18" s="30"/>
      <c r="AG18" s="30">
        <v>6</v>
      </c>
      <c r="AH18" s="30">
        <v>6</v>
      </c>
    </row>
    <row r="19" spans="1:34">
      <c r="A19" s="26" t="s">
        <v>712</v>
      </c>
      <c r="B19" s="28" t="s">
        <v>713</v>
      </c>
      <c r="C19" s="28" t="s">
        <v>713</v>
      </c>
      <c r="D19" s="28" t="s">
        <v>713</v>
      </c>
      <c r="E19" s="28" t="s">
        <v>713</v>
      </c>
      <c r="F19" s="28" t="s">
        <v>713</v>
      </c>
      <c r="G19" s="28" t="s">
        <v>713</v>
      </c>
      <c r="H19" s="28" t="s">
        <v>713</v>
      </c>
      <c r="I19" s="28" t="s">
        <v>713</v>
      </c>
      <c r="J19" s="28"/>
      <c r="K19" s="28" t="s">
        <v>713</v>
      </c>
      <c r="L19" s="28" t="s">
        <v>713</v>
      </c>
      <c r="M19" s="28" t="s">
        <v>713</v>
      </c>
      <c r="N19" s="28"/>
      <c r="O19" s="28"/>
      <c r="P19" s="28" t="s">
        <v>713</v>
      </c>
      <c r="Q19" s="28" t="s">
        <v>713</v>
      </c>
      <c r="R19" s="28"/>
      <c r="S19" s="28"/>
      <c r="T19" s="28"/>
      <c r="U19" s="28"/>
      <c r="V19" s="28"/>
      <c r="W19" s="28"/>
      <c r="X19" s="28"/>
      <c r="Y19" s="28"/>
      <c r="Z19" s="28"/>
      <c r="AA19" s="28" t="s">
        <v>713</v>
      </c>
      <c r="AB19" s="28"/>
      <c r="AC19" s="28"/>
      <c r="AD19" s="28"/>
      <c r="AE19" s="28"/>
      <c r="AF19" s="28"/>
      <c r="AG19" s="28" t="s">
        <v>713</v>
      </c>
      <c r="AH19" s="28" t="s">
        <v>713</v>
      </c>
    </row>
    <row r="20" spans="1:34">
      <c r="A20" s="26" t="s">
        <v>715</v>
      </c>
      <c r="B20" s="30">
        <v>1</v>
      </c>
      <c r="C20" s="30">
        <v>1</v>
      </c>
      <c r="D20" s="30">
        <v>1</v>
      </c>
      <c r="E20" s="30">
        <v>1</v>
      </c>
      <c r="F20" s="30">
        <v>1</v>
      </c>
      <c r="G20" s="30">
        <v>1</v>
      </c>
      <c r="H20" s="30">
        <v>1</v>
      </c>
      <c r="I20" s="30">
        <v>1</v>
      </c>
      <c r="J20" s="30"/>
      <c r="K20" s="30">
        <v>1</v>
      </c>
      <c r="L20" s="30">
        <v>1</v>
      </c>
      <c r="M20" s="30">
        <v>1</v>
      </c>
      <c r="N20" s="30"/>
      <c r="O20" s="30"/>
      <c r="P20" s="30">
        <v>1</v>
      </c>
      <c r="Q20" s="30">
        <v>1</v>
      </c>
      <c r="R20" s="30"/>
      <c r="S20" s="30"/>
      <c r="T20" s="30"/>
      <c r="U20" s="30"/>
      <c r="V20" s="30"/>
      <c r="W20" s="30"/>
      <c r="X20" s="30"/>
      <c r="Y20" s="30"/>
      <c r="Z20" s="30"/>
      <c r="AA20" s="30">
        <v>1</v>
      </c>
      <c r="AB20" s="30"/>
      <c r="AC20" s="30"/>
      <c r="AD20" s="30"/>
      <c r="AE20" s="30"/>
      <c r="AF20" s="30"/>
      <c r="AG20" s="30">
        <v>1</v>
      </c>
      <c r="AH20" s="30">
        <v>1</v>
      </c>
    </row>
    <row r="22" spans="1:34">
      <c r="A22" s="31" t="s">
        <v>134</v>
      </c>
    </row>
    <row r="23" spans="1:34">
      <c r="A23" s="26" t="s">
        <v>1358</v>
      </c>
      <c r="B23" s="93" t="s">
        <v>1359</v>
      </c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701E-5C49-44CD-ADDD-62C3127F6D80}">
  <dimension ref="A1:AH26"/>
  <sheetViews>
    <sheetView workbookViewId="0">
      <selection activeCell="B7" sqref="B7"/>
    </sheetView>
  </sheetViews>
  <sheetFormatPr defaultColWidth="9.140625" defaultRowHeight="15"/>
  <cols>
    <col min="1" max="1" width="23.28515625" style="26" bestFit="1" customWidth="1"/>
    <col min="2" max="35" width="5.7109375" style="26" customWidth="1"/>
    <col min="36" max="16384" width="9.140625" style="26"/>
  </cols>
  <sheetData>
    <row r="1" spans="1:34">
      <c r="A1" s="25" t="s">
        <v>1352</v>
      </c>
      <c r="D1" s="25" t="s">
        <v>1353</v>
      </c>
      <c r="I1" s="25"/>
    </row>
    <row r="3" spans="1:34" ht="17.45">
      <c r="A3" s="25" t="s">
        <v>77</v>
      </c>
      <c r="B3" s="203">
        <v>205</v>
      </c>
      <c r="C3" s="203"/>
      <c r="D3" s="203"/>
      <c r="E3" s="25"/>
      <c r="F3" s="222" t="s">
        <v>78</v>
      </c>
      <c r="G3" s="222"/>
      <c r="H3" s="222"/>
      <c r="I3" s="222"/>
      <c r="J3" s="222"/>
      <c r="K3" s="222"/>
      <c r="L3" s="222"/>
      <c r="M3" s="222"/>
    </row>
    <row r="4" spans="1:34" ht="18" customHeight="1">
      <c r="A4" s="25" t="s">
        <v>79</v>
      </c>
      <c r="B4" s="203" t="s">
        <v>1354</v>
      </c>
      <c r="C4" s="203"/>
      <c r="D4" s="203"/>
      <c r="F4" s="232" t="s">
        <v>1355</v>
      </c>
      <c r="G4" s="232"/>
      <c r="H4" s="232"/>
      <c r="I4" s="232"/>
      <c r="J4" s="232"/>
      <c r="K4" s="232"/>
      <c r="L4" s="232"/>
      <c r="M4" s="232"/>
    </row>
    <row r="5" spans="1:34" ht="17.45">
      <c r="A5" s="25" t="s">
        <v>82</v>
      </c>
      <c r="B5" s="203" t="s">
        <v>1356</v>
      </c>
      <c r="C5" s="203"/>
      <c r="D5" s="203"/>
      <c r="F5" s="232"/>
      <c r="G5" s="232"/>
      <c r="H5" s="232"/>
      <c r="I5" s="232"/>
      <c r="J5" s="232"/>
      <c r="K5" s="232"/>
      <c r="L5" s="232"/>
      <c r="M5" s="232"/>
    </row>
    <row r="7" spans="1:34" ht="45" customHeight="1">
      <c r="A7" s="27" t="s">
        <v>84</v>
      </c>
      <c r="B7" s="57" t="s">
        <v>6</v>
      </c>
      <c r="C7" s="58" t="s">
        <v>85</v>
      </c>
      <c r="D7" s="58" t="s">
        <v>86</v>
      </c>
      <c r="E7" s="59" t="s">
        <v>87</v>
      </c>
      <c r="F7" s="60" t="s">
        <v>88</v>
      </c>
      <c r="G7" s="61" t="s">
        <v>89</v>
      </c>
      <c r="H7" s="61" t="s">
        <v>90</v>
      </c>
      <c r="I7" s="62" t="s">
        <v>91</v>
      </c>
      <c r="J7" s="63" t="s">
        <v>92</v>
      </c>
      <c r="K7" s="64" t="s">
        <v>93</v>
      </c>
      <c r="L7" s="64" t="s">
        <v>94</v>
      </c>
      <c r="M7" s="64" t="s">
        <v>95</v>
      </c>
      <c r="N7" s="65" t="s">
        <v>96</v>
      </c>
      <c r="O7" s="65" t="s">
        <v>97</v>
      </c>
      <c r="P7" s="67" t="s">
        <v>98</v>
      </c>
      <c r="Q7" s="67" t="s">
        <v>99</v>
      </c>
      <c r="R7" s="66" t="s">
        <v>100</v>
      </c>
      <c r="S7" s="68" t="s">
        <v>101</v>
      </c>
      <c r="T7" s="69" t="s">
        <v>102</v>
      </c>
      <c r="U7" s="69" t="s">
        <v>103</v>
      </c>
      <c r="V7" s="70" t="s">
        <v>104</v>
      </c>
      <c r="W7" s="70" t="s">
        <v>105</v>
      </c>
      <c r="X7" s="71" t="s">
        <v>106</v>
      </c>
      <c r="Y7" s="71" t="s">
        <v>107</v>
      </c>
      <c r="Z7" s="72" t="s">
        <v>108</v>
      </c>
      <c r="AA7" s="72" t="s">
        <v>109</v>
      </c>
      <c r="AB7" s="73" t="s">
        <v>110</v>
      </c>
      <c r="AC7" s="73" t="s">
        <v>111</v>
      </c>
      <c r="AD7" s="73" t="s">
        <v>112</v>
      </c>
      <c r="AE7" s="74" t="s">
        <v>113</v>
      </c>
      <c r="AF7" s="75" t="s">
        <v>114</v>
      </c>
      <c r="AG7" s="76" t="s">
        <v>115</v>
      </c>
      <c r="AH7" s="76" t="s">
        <v>116</v>
      </c>
    </row>
    <row r="8" spans="1:34">
      <c r="A8" s="26" t="s">
        <v>117</v>
      </c>
      <c r="B8" s="28" t="s">
        <v>455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</row>
    <row r="9" spans="1:34">
      <c r="A9" s="26" t="s">
        <v>121</v>
      </c>
      <c r="B9" s="29" t="s">
        <v>1357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>
      <c r="A10" s="140" t="s">
        <v>122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</row>
    <row r="11" spans="1:34">
      <c r="A11" s="26" t="s">
        <v>699</v>
      </c>
      <c r="B11" s="28" t="s">
        <v>127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 spans="1:34">
      <c r="A12" s="26" t="s">
        <v>700</v>
      </c>
      <c r="B12" s="28" t="s">
        <v>127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</row>
    <row r="13" spans="1:34">
      <c r="A13" s="26" t="s">
        <v>701</v>
      </c>
      <c r="B13" s="28" t="s">
        <v>124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spans="1:34">
      <c r="A14" s="26" t="s">
        <v>702</v>
      </c>
      <c r="B14" s="28" t="s">
        <v>124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</row>
    <row r="15" spans="1:34">
      <c r="A15" s="26" t="s">
        <v>703</v>
      </c>
      <c r="B15" s="28" t="s">
        <v>127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spans="1:34">
      <c r="A16" s="26" t="s">
        <v>704</v>
      </c>
      <c r="B16" s="28" t="s">
        <v>124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</row>
    <row r="17" spans="1:34">
      <c r="A17" s="26" t="s">
        <v>705</v>
      </c>
      <c r="B17" s="28" t="s">
        <v>707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 spans="1:34">
      <c r="A18" s="26" t="s">
        <v>708</v>
      </c>
      <c r="B18" s="28" t="s">
        <v>709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 spans="1:34">
      <c r="A19" s="26" t="s">
        <v>711</v>
      </c>
      <c r="B19" s="30">
        <v>6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>
      <c r="A20" s="26" t="s">
        <v>712</v>
      </c>
      <c r="B20" s="28" t="s">
        <v>713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 spans="1:34">
      <c r="A21" s="26" t="s">
        <v>715</v>
      </c>
      <c r="B21" s="30">
        <v>1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3" spans="1:34">
      <c r="A23" s="31" t="s">
        <v>134</v>
      </c>
    </row>
    <row r="24" spans="1:34">
      <c r="A24" s="54" t="s">
        <v>1358</v>
      </c>
      <c r="B24" s="56" t="s">
        <v>1360</v>
      </c>
    </row>
    <row r="26" spans="1:34">
      <c r="A26" s="79" t="s">
        <v>1361</v>
      </c>
    </row>
  </sheetData>
  <mergeCells count="5">
    <mergeCell ref="B3:D3"/>
    <mergeCell ref="F3:M3"/>
    <mergeCell ref="B4:D4"/>
    <mergeCell ref="F4:M5"/>
    <mergeCell ref="B5:D5"/>
  </mergeCells>
  <hyperlinks>
    <hyperlink ref="A26" r:id="rId1" location="/media/File:Esling_vowel_chart.png" xr:uid="{78EA8D14-2EF2-4EBF-90A1-50DF6C20AD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2025-02-02T04:01:47Z</dcterms:created>
  <dcterms:modified xsi:type="dcterms:W3CDTF">2025-04-21T23:36:19Z</dcterms:modified>
  <cp:category/>
  <cp:contentStatus/>
</cp:coreProperties>
</file>