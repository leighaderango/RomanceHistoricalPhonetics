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47001b4e9a81ffc/Documents/LUCprojects/RomanceHistoricalPhonetics/data_processing/"/>
    </mc:Choice>
  </mc:AlternateContent>
  <xr:revisionPtr revIDLastSave="2" documentId="8_{F3F0DEB2-5C94-4BC4-89F9-25761AE6D7B4}" xr6:coauthVersionLast="47" xr6:coauthVersionMax="47" xr10:uidLastSave="{5573D238-A8E2-438A-AAB7-3C072614071B}"/>
  <bookViews>
    <workbookView xWindow="-120" yWindow="-120" windowWidth="29040" windowHeight="15720" tabRatio="662" firstSheet="38" activeTab="48" xr2:uid="{00000000-000D-0000-FFFF-FFFF00000000}"/>
  </bookViews>
  <sheets>
    <sheet name="Languages Overview" sheetId="1" r:id="rId1"/>
    <sheet name="001 B-" sheetId="2" r:id="rId2"/>
    <sheet name="002 B-" sheetId="4" r:id="rId3"/>
    <sheet name="003 T-" sheetId="7" r:id="rId4"/>
    <sheet name="004 T-" sheetId="13" r:id="rId5"/>
    <sheet name="005 D-" sheetId="10" r:id="rId6"/>
    <sheet name="006 D-" sheetId="6" r:id="rId7"/>
    <sheet name="007 C-" sheetId="9" r:id="rId8"/>
    <sheet name="008 C-" sheetId="8" r:id="rId9"/>
    <sheet name="009 C-" sheetId="12" r:id="rId10"/>
    <sheet name="010 C-" sheetId="11" r:id="rId11"/>
    <sheet name="011 G-" sheetId="5" r:id="rId12"/>
    <sheet name="012 G-" sheetId="14" r:id="rId13"/>
    <sheet name="013 G-" sheetId="19" r:id="rId14"/>
    <sheet name="014 G-" sheetId="18" r:id="rId15"/>
    <sheet name="015 N-" sheetId="20" r:id="rId16"/>
    <sheet name="016 N-" sheetId="21" r:id="rId17"/>
    <sheet name="016.5 M-" sheetId="113" r:id="rId18"/>
    <sheet name="017 F-" sheetId="22" r:id="rId19"/>
    <sheet name="018 F-" sheetId="23" r:id="rId20"/>
    <sheet name="019 V-" sheetId="24" r:id="rId21"/>
    <sheet name="020 V-" sheetId="25" r:id="rId22"/>
    <sheet name="021 S-" sheetId="27" r:id="rId23"/>
    <sheet name="022 S-" sheetId="26" r:id="rId24"/>
    <sheet name="023 S-" sheetId="28" r:id="rId25"/>
    <sheet name="024 H-" sheetId="29" r:id="rId26"/>
    <sheet name="025 R-" sheetId="30" r:id="rId27"/>
    <sheet name="026 L-" sheetId="31" r:id="rId28"/>
    <sheet name="027 L-" sheetId="32" r:id="rId29"/>
    <sheet name="028 J-" sheetId="33" r:id="rId30"/>
    <sheet name="029 J-" sheetId="34" r:id="rId31"/>
    <sheet name="030 J-" sheetId="35" r:id="rId32"/>
    <sheet name="031a W-" sheetId="37" r:id="rId33"/>
    <sheet name="031b W-" sheetId="38" r:id="rId34"/>
    <sheet name="032 PL-" sheetId="40" r:id="rId35"/>
    <sheet name="033 BR-" sheetId="41" r:id="rId36"/>
    <sheet name="034 BL-" sheetId="42" r:id="rId37"/>
    <sheet name="035 TR-" sheetId="43" r:id="rId38"/>
    <sheet name="036 DR-" sheetId="44" r:id="rId39"/>
    <sheet name="037 CR-" sheetId="45" r:id="rId40"/>
    <sheet name="038 CL-" sheetId="46" r:id="rId41"/>
    <sheet name="039 QU-" sheetId="47" r:id="rId42"/>
    <sheet name="040 QU-" sheetId="48" r:id="rId43"/>
    <sheet name="041 QU-" sheetId="49" r:id="rId44"/>
    <sheet name="042 QU-" sheetId="50" r:id="rId45"/>
    <sheet name="043 GL-" sheetId="51" r:id="rId46"/>
    <sheet name="044 FR-" sheetId="52" r:id="rId47"/>
    <sheet name="045 FL-" sheetId="53" r:id="rId48"/>
    <sheet name="046 SP-" sheetId="55" r:id="rId49"/>
    <sheet name="047 ST-" sheetId="56" r:id="rId50"/>
    <sheet name="048 ST-" sheetId="57" r:id="rId51"/>
    <sheet name="049a SC-" sheetId="66" r:id="rId52"/>
    <sheet name="049b SC-" sheetId="58" r:id="rId53"/>
    <sheet name="050 SC-" sheetId="59" r:id="rId54"/>
    <sheet name="051 STR-" sheetId="54" r:id="rId55"/>
    <sheet name="052 SCR-" sheetId="60" r:id="rId56"/>
    <sheet name="053 -P-" sheetId="62" r:id="rId57"/>
    <sheet name="054 -B-" sheetId="63" r:id="rId58"/>
    <sheet name="055 -T-" sheetId="64" r:id="rId59"/>
    <sheet name="056 -T-" sheetId="65" r:id="rId60"/>
    <sheet name="057 -D-" sheetId="67" r:id="rId61"/>
    <sheet name="058 -D-" sheetId="68" r:id="rId62"/>
    <sheet name="059 -C-" sheetId="69" r:id="rId63"/>
    <sheet name="060 -C-" sheetId="71" r:id="rId64"/>
    <sheet name="061 -C-" sheetId="70" r:id="rId65"/>
    <sheet name="062 -G-" sheetId="72" r:id="rId66"/>
    <sheet name="063 -G-" sheetId="74" r:id="rId67"/>
    <sheet name="064 -G-" sheetId="73" r:id="rId68"/>
    <sheet name="065 -M-" sheetId="75" r:id="rId69"/>
    <sheet name="066 -N-" sheetId="76" r:id="rId70"/>
    <sheet name="067 -F-" sheetId="77" r:id="rId71"/>
    <sheet name="068 -V-" sheetId="78" r:id="rId72"/>
    <sheet name="069 -S-" sheetId="79" r:id="rId73"/>
    <sheet name="070 -S-" sheetId="80" r:id="rId74"/>
    <sheet name="071 -R-" sheetId="81" r:id="rId75"/>
    <sheet name="072 -L-" sheetId="82" r:id="rId76"/>
    <sheet name="073 -J-" sheetId="83" r:id="rId77"/>
    <sheet name="074 -J-" sheetId="84" r:id="rId78"/>
    <sheet name="075 -PJ-" sheetId="85" r:id="rId79"/>
    <sheet name="076 -BJ-" sheetId="86" r:id="rId80"/>
    <sheet name="077 -TJ-" sheetId="96" r:id="rId81"/>
    <sheet name="078 -TJ-" sheetId="95" r:id="rId82"/>
    <sheet name="079 -DJ-" sheetId="94" r:id="rId83"/>
    <sheet name="080 -CJ-" sheetId="93" r:id="rId84"/>
    <sheet name="081 -CJ-" sheetId="92" r:id="rId85"/>
    <sheet name="082 -GJ-" sheetId="91" r:id="rId86"/>
    <sheet name="083 -VJ-" sheetId="90" r:id="rId87"/>
    <sheet name="083.5 -FJ-" sheetId="97" r:id="rId88"/>
    <sheet name="084 -SJ-" sheetId="89" r:id="rId89"/>
    <sheet name="085 -MJ-" sheetId="88" r:id="rId90"/>
    <sheet name="086 -NJ-" sheetId="87" r:id="rId91"/>
    <sheet name="087 -RJ-" sheetId="98" r:id="rId92"/>
    <sheet name="088 -LJ-" sheetId="99" r:id="rId93"/>
    <sheet name="089 -LJ-" sheetId="100" r:id="rId94"/>
    <sheet name="090 -PP-" sheetId="102" r:id="rId95"/>
    <sheet name="091 -BB-" sheetId="101" r:id="rId96"/>
    <sheet name="092 -TT-" sheetId="106" r:id="rId97"/>
    <sheet name="093 -DD-" sheetId="105" r:id="rId98"/>
    <sheet name="094 -CC-" sheetId="107" r:id="rId99"/>
    <sheet name="095 -CC-" sheetId="104" r:id="rId100"/>
    <sheet name="096 -CC-" sheetId="108" r:id="rId101"/>
    <sheet name="097 -GG-" sheetId="110" r:id="rId102"/>
    <sheet name="098 -MM-" sheetId="111" r:id="rId103"/>
    <sheet name="099 -NN-" sheetId="109" r:id="rId104"/>
    <sheet name="100 -FF-" sheetId="112" r:id="rId105"/>
    <sheet name="101 -SS-" sheetId="114" r:id="rId106"/>
    <sheet name="102 -SS-" sheetId="115" r:id="rId107"/>
    <sheet name="103 -RR-" sheetId="116" r:id="rId108"/>
    <sheet name="104 -LL-" sheetId="103" r:id="rId109"/>
    <sheet name="twoCons.s" sheetId="39" r:id="rId110"/>
    <sheet name="threeCons.s" sheetId="61" r:id="rId111"/>
    <sheet name="250 Ī" sheetId="17" r:id="rId112"/>
    <sheet name="000V" sheetId="16" r:id="rId1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8" i="9" l="1"/>
  <c r="Z16" i="6"/>
  <c r="Z16" i="10"/>
  <c r="T16" i="6"/>
  <c r="T16" i="10"/>
  <c r="AB18" i="4"/>
  <c r="AB16" i="4"/>
  <c r="AB18" i="2"/>
  <c r="AB16" i="2"/>
  <c r="AG16" i="80"/>
  <c r="T27" i="1"/>
  <c r="O18" i="1"/>
  <c r="M18" i="1"/>
  <c r="M4" i="1"/>
  <c r="L34" i="1"/>
  <c r="L33" i="1"/>
  <c r="J18" i="1"/>
  <c r="H18" i="1"/>
  <c r="H4" i="1"/>
  <c r="H34" i="1"/>
  <c r="G34" i="1"/>
  <c r="H33" i="1"/>
  <c r="G33" i="1"/>
  <c r="F34" i="1"/>
  <c r="I34" i="1"/>
  <c r="J34" i="1"/>
  <c r="K34" i="1"/>
  <c r="M34" i="1"/>
  <c r="N34" i="1"/>
  <c r="O34" i="1"/>
  <c r="P34" i="1"/>
  <c r="Q34" i="1"/>
  <c r="R34" i="1"/>
  <c r="S34" i="1"/>
  <c r="T34" i="1"/>
  <c r="E33" i="1"/>
  <c r="F33" i="1"/>
  <c r="I33" i="1"/>
  <c r="J33" i="1"/>
  <c r="K33" i="1"/>
  <c r="M33" i="1"/>
  <c r="N33" i="1"/>
  <c r="O33" i="1"/>
  <c r="P33" i="1"/>
  <c r="Q33" i="1"/>
  <c r="R33" i="1"/>
  <c r="S33" i="1"/>
  <c r="T33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F27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F18" i="1"/>
  <c r="G18" i="1"/>
  <c r="I18" i="1"/>
  <c r="K18" i="1"/>
  <c r="L18" i="1"/>
  <c r="N18" i="1"/>
  <c r="P18" i="1"/>
  <c r="Q18" i="1"/>
  <c r="R18" i="1"/>
  <c r="S18" i="1"/>
  <c r="T18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F4" i="1"/>
  <c r="G4" i="1"/>
  <c r="I4" i="1"/>
  <c r="J4" i="1"/>
  <c r="K4" i="1"/>
  <c r="L4" i="1"/>
  <c r="N4" i="1"/>
  <c r="O4" i="1"/>
  <c r="P4" i="1"/>
  <c r="Q4" i="1"/>
  <c r="R4" i="1"/>
  <c r="S4" i="1"/>
  <c r="T4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E34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D7" i="1"/>
  <c r="D6" i="1"/>
  <c r="D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4" i="1"/>
  <c r="D3" i="1"/>
  <c r="N18" i="70"/>
  <c r="N18" i="69"/>
  <c r="Q16" i="71"/>
  <c r="O18" i="63"/>
  <c r="N18" i="63"/>
  <c r="N18" i="62"/>
  <c r="N18" i="65"/>
  <c r="N16" i="65"/>
  <c r="N18" i="64"/>
  <c r="N16" i="64"/>
  <c r="AJ16" i="64"/>
  <c r="AG16" i="64"/>
  <c r="S57" i="60"/>
  <c r="Q57" i="60"/>
  <c r="P57" i="60"/>
  <c r="N57" i="60"/>
  <c r="S57" i="54"/>
  <c r="Q57" i="54"/>
  <c r="P57" i="54"/>
  <c r="N57" i="54"/>
  <c r="S30" i="52"/>
  <c r="Q30" i="52"/>
  <c r="P30" i="52"/>
  <c r="N30" i="52"/>
  <c r="S30" i="45"/>
  <c r="Q30" i="45"/>
  <c r="P30" i="45"/>
  <c r="N30" i="45"/>
  <c r="S30" i="44"/>
  <c r="Q30" i="44"/>
  <c r="P30" i="44"/>
  <c r="N30" i="44"/>
  <c r="S30" i="43"/>
  <c r="Q30" i="43"/>
  <c r="P30" i="43"/>
  <c r="N30" i="43"/>
  <c r="S30" i="41"/>
  <c r="N30" i="41"/>
  <c r="AC18" i="116"/>
  <c r="AB16" i="103"/>
  <c r="AB18" i="103"/>
  <c r="AC18" i="35"/>
  <c r="AC18" i="33"/>
  <c r="AC18" i="34"/>
  <c r="AF18" i="32"/>
  <c r="AF16" i="32"/>
  <c r="AF18" i="31"/>
  <c r="AF16" i="31"/>
  <c r="C18" i="116"/>
  <c r="C16" i="116"/>
  <c r="C18" i="30"/>
  <c r="X18" i="4"/>
  <c r="X16" i="4"/>
  <c r="X16" i="2"/>
  <c r="X18" i="2"/>
  <c r="AG16" i="93"/>
  <c r="S16" i="46"/>
  <c r="T16" i="7"/>
  <c r="AD16" i="7"/>
  <c r="AB16" i="7"/>
  <c r="AW16" i="114"/>
  <c r="AV16" i="114"/>
  <c r="AO16" i="114"/>
  <c r="AL16" i="114"/>
  <c r="AJ16" i="114"/>
  <c r="AY16" i="114"/>
  <c r="J16" i="109"/>
  <c r="F16" i="109"/>
  <c r="I16" i="109"/>
  <c r="H16" i="109"/>
  <c r="G16" i="109"/>
  <c r="Q16" i="108"/>
  <c r="C16" i="108"/>
  <c r="E16" i="108"/>
  <c r="H16" i="108"/>
  <c r="Q16" i="106"/>
  <c r="Q16" i="105"/>
  <c r="M18" i="105"/>
  <c r="L18" i="105"/>
  <c r="K18" i="105"/>
  <c r="J18" i="105"/>
  <c r="M16" i="105"/>
  <c r="L16" i="105"/>
  <c r="K16" i="105"/>
  <c r="J16" i="105"/>
  <c r="I16" i="105"/>
  <c r="H16" i="105"/>
  <c r="G16" i="105"/>
  <c r="F16" i="105"/>
  <c r="E16" i="105"/>
  <c r="D16" i="105"/>
  <c r="P16" i="106"/>
  <c r="O16" i="106"/>
  <c r="N16" i="106"/>
  <c r="M16" i="106"/>
  <c r="L16" i="106"/>
  <c r="K16" i="106"/>
  <c r="J16" i="106"/>
  <c r="I16" i="106"/>
  <c r="H16" i="106"/>
  <c r="G16" i="106"/>
  <c r="F16" i="106"/>
  <c r="E16" i="106"/>
  <c r="D16" i="106"/>
  <c r="C16" i="106"/>
  <c r="AA18" i="101"/>
  <c r="M18" i="101"/>
  <c r="L18" i="101"/>
  <c r="K18" i="101"/>
  <c r="AH30" i="99"/>
  <c r="Q30" i="100"/>
  <c r="P30" i="100"/>
  <c r="Q30" i="99"/>
  <c r="P30" i="99"/>
  <c r="AC18" i="100"/>
  <c r="AC18" i="99"/>
  <c r="AA18" i="100"/>
  <c r="AA18" i="99"/>
  <c r="M18" i="100"/>
  <c r="M18" i="99"/>
  <c r="B16" i="100"/>
  <c r="B16" i="99"/>
  <c r="AH16" i="98"/>
  <c r="AA30" i="98"/>
  <c r="E18" i="98"/>
  <c r="D18" i="98"/>
  <c r="C18" i="98"/>
  <c r="AH30" i="87"/>
  <c r="AA16" i="87"/>
  <c r="O16" i="87"/>
  <c r="N16" i="87"/>
  <c r="I16" i="87"/>
  <c r="H16" i="87"/>
  <c r="G16" i="87"/>
  <c r="C16" i="87"/>
  <c r="D30" i="87"/>
  <c r="AH30" i="100"/>
  <c r="B30" i="100"/>
  <c r="B30" i="99"/>
  <c r="B30" i="98"/>
  <c r="B30" i="87"/>
  <c r="M30" i="88"/>
  <c r="L30" i="88"/>
  <c r="K30" i="88"/>
  <c r="D18" i="88"/>
  <c r="C18" i="88"/>
  <c r="AH18" i="88"/>
  <c r="AA30" i="88"/>
  <c r="I30" i="88"/>
  <c r="H30" i="88"/>
  <c r="B30" i="88"/>
  <c r="G30" i="88"/>
  <c r="AL28" i="89"/>
  <c r="E18" i="89"/>
  <c r="AA18" i="89"/>
  <c r="Q28" i="89"/>
  <c r="Q30" i="97"/>
  <c r="P30" i="97"/>
  <c r="O30" i="97"/>
  <c r="N30" i="97"/>
  <c r="T18" i="81"/>
  <c r="T18" i="82"/>
  <c r="M18" i="84"/>
  <c r="L18" i="84"/>
  <c r="K18" i="84"/>
  <c r="AH16" i="82"/>
  <c r="AG16" i="82"/>
  <c r="AF18" i="82"/>
  <c r="AF16" i="82"/>
  <c r="B18" i="78"/>
  <c r="AH18" i="78"/>
  <c r="Q18" i="74"/>
  <c r="Q16" i="74"/>
  <c r="Q18" i="70"/>
  <c r="P18" i="70"/>
  <c r="AK16" i="70"/>
  <c r="AM16" i="68"/>
  <c r="AL16" i="68"/>
  <c r="L16" i="68"/>
  <c r="K16" i="68"/>
  <c r="Q16" i="68"/>
  <c r="P16" i="68"/>
  <c r="Q16" i="67"/>
  <c r="P16" i="67"/>
  <c r="Q16" i="65"/>
  <c r="P16" i="65"/>
  <c r="AJ16" i="70"/>
  <c r="AH18" i="63"/>
  <c r="B18" i="63"/>
  <c r="S18" i="51"/>
  <c r="AG16" i="35"/>
  <c r="D18" i="89"/>
  <c r="C18" i="89"/>
  <c r="B30" i="89"/>
  <c r="K18" i="90"/>
  <c r="AH18" i="97"/>
  <c r="AA30" i="97"/>
  <c r="B30" i="97"/>
  <c r="D18" i="97"/>
  <c r="C18" i="97"/>
  <c r="M30" i="97"/>
  <c r="L30" i="97"/>
  <c r="K30" i="97"/>
  <c r="I30" i="97"/>
  <c r="H30" i="97"/>
  <c r="G30" i="97"/>
  <c r="E30" i="97"/>
  <c r="B18" i="90"/>
  <c r="AL18" i="90"/>
  <c r="AK18" i="90"/>
  <c r="AJ18" i="90"/>
  <c r="C28" i="86"/>
  <c r="M30" i="90"/>
  <c r="L30" i="90"/>
  <c r="K30" i="90"/>
  <c r="J30" i="90"/>
  <c r="C28" i="90"/>
  <c r="C18" i="25"/>
  <c r="C16" i="25"/>
  <c r="C18" i="24"/>
  <c r="C16" i="24"/>
  <c r="C16" i="78"/>
  <c r="C16" i="80"/>
  <c r="I30" i="90"/>
  <c r="H30" i="90"/>
  <c r="G30" i="90"/>
  <c r="F30" i="90"/>
  <c r="E30" i="90"/>
  <c r="B18" i="24"/>
  <c r="B18" i="25"/>
  <c r="B18" i="33"/>
  <c r="X18" i="33"/>
  <c r="AE18" i="33"/>
  <c r="AE18" i="34"/>
  <c r="B18" i="34"/>
  <c r="AE18" i="35"/>
  <c r="B18" i="35"/>
  <c r="B30" i="37"/>
  <c r="R30" i="37"/>
  <c r="U30" i="37"/>
  <c r="T30" i="37"/>
  <c r="W30" i="37"/>
  <c r="Y30" i="37"/>
  <c r="AA30" i="37"/>
  <c r="AA30" i="38"/>
  <c r="Y30" i="38"/>
  <c r="W30" i="38"/>
  <c r="U30" i="38"/>
  <c r="T30" i="38"/>
  <c r="R30" i="38"/>
  <c r="M30" i="38"/>
  <c r="L30" i="38"/>
  <c r="K30" i="38"/>
  <c r="I30" i="38"/>
  <c r="H30" i="38"/>
  <c r="G30" i="38"/>
  <c r="F30" i="38"/>
  <c r="D30" i="38"/>
  <c r="C30" i="38"/>
  <c r="B30" i="38"/>
  <c r="U30" i="40"/>
  <c r="AA30" i="40"/>
  <c r="Z30" i="40"/>
  <c r="AB30" i="40"/>
  <c r="AF30" i="40"/>
  <c r="AF30" i="42"/>
  <c r="AE30" i="42"/>
  <c r="AD30" i="42"/>
  <c r="AC30" i="42"/>
  <c r="AB30" i="42"/>
  <c r="AA30" i="42"/>
  <c r="Z30" i="42"/>
  <c r="AL30" i="48"/>
  <c r="AK30" i="48"/>
  <c r="AJ30" i="48"/>
  <c r="AF30" i="48"/>
  <c r="AE30" i="48"/>
  <c r="AD30" i="48"/>
  <c r="AC30" i="48"/>
  <c r="AB30" i="48"/>
  <c r="AA30" i="48"/>
  <c r="U30" i="48"/>
  <c r="T30" i="48"/>
  <c r="W30" i="50"/>
  <c r="AU30" i="50"/>
  <c r="AT30" i="50"/>
  <c r="AS30" i="50"/>
  <c r="AR30" i="50"/>
  <c r="AQ30" i="50"/>
  <c r="AP30" i="50"/>
  <c r="AO30" i="50"/>
  <c r="AN30" i="50"/>
  <c r="AL30" i="50"/>
  <c r="AK30" i="50"/>
  <c r="AJ30" i="50"/>
  <c r="AF30" i="47"/>
  <c r="AE30" i="47"/>
  <c r="AD30" i="47"/>
  <c r="AC30" i="47"/>
  <c r="AB30" i="47"/>
  <c r="AA30" i="47"/>
  <c r="Y30" i="47"/>
  <c r="O30" i="47"/>
  <c r="W30" i="47"/>
  <c r="V30" i="47"/>
  <c r="U30" i="47"/>
  <c r="T30" i="47"/>
  <c r="M30" i="47"/>
  <c r="L30" i="47"/>
  <c r="K30" i="47"/>
  <c r="J30" i="47"/>
  <c r="I30" i="47"/>
  <c r="H30" i="47"/>
  <c r="G30" i="47"/>
  <c r="F30" i="47"/>
  <c r="D30" i="47"/>
  <c r="C30" i="47"/>
  <c r="AA30" i="46"/>
  <c r="AA30" i="51"/>
  <c r="AF30" i="53"/>
  <c r="AD30" i="53"/>
  <c r="U30" i="53"/>
  <c r="AB30" i="53"/>
  <c r="AA30" i="53"/>
  <c r="Z30" i="53"/>
  <c r="AK18" i="68"/>
  <c r="AJ18" i="68"/>
  <c r="O18" i="83"/>
  <c r="N18" i="83"/>
  <c r="AH18" i="84"/>
  <c r="O18" i="84"/>
  <c r="N18" i="84"/>
  <c r="AH18" i="85"/>
  <c r="AJ30" i="85"/>
  <c r="AG30" i="85"/>
  <c r="AA30" i="85"/>
  <c r="O30" i="85"/>
  <c r="N30" i="85"/>
  <c r="J30" i="85"/>
  <c r="I30" i="85"/>
  <c r="H30" i="85"/>
  <c r="G30" i="85"/>
  <c r="F30" i="85"/>
  <c r="B30" i="85"/>
  <c r="E18" i="85"/>
  <c r="D18" i="85"/>
  <c r="C18" i="85"/>
  <c r="BS30" i="86"/>
  <c r="BR30" i="86"/>
  <c r="BQ30" i="86"/>
  <c r="AA30" i="86"/>
  <c r="AH18" i="86"/>
  <c r="J30" i="86"/>
  <c r="I30" i="86"/>
  <c r="H30" i="86"/>
  <c r="G30" i="86"/>
  <c r="F30" i="86"/>
  <c r="E30" i="86"/>
  <c r="B30" i="86"/>
  <c r="D18" i="86"/>
  <c r="C18" i="86"/>
  <c r="B30" i="96"/>
  <c r="B30" i="95"/>
  <c r="AE30" i="94"/>
  <c r="Q30" i="94"/>
  <c r="P30" i="94"/>
  <c r="O30" i="94"/>
  <c r="N30" i="94"/>
  <c r="B30" i="94"/>
  <c r="B30" i="93"/>
  <c r="AA30" i="90"/>
  <c r="AH18" i="90"/>
  <c r="B30" i="90"/>
  <c r="B30" i="92"/>
  <c r="Q30" i="91"/>
  <c r="P30" i="91"/>
  <c r="O30" i="91"/>
  <c r="N30" i="91"/>
  <c r="M30" i="91"/>
  <c r="L30" i="91"/>
  <c r="K30" i="91"/>
  <c r="B30" i="91"/>
  <c r="D18" i="90"/>
  <c r="C18" i="90"/>
  <c r="J30" i="91"/>
  <c r="J30" i="94"/>
  <c r="I30" i="91"/>
  <c r="H30" i="91"/>
  <c r="G30" i="91"/>
  <c r="AH30" i="91"/>
  <c r="AU28" i="91"/>
  <c r="AM28" i="91"/>
  <c r="E30" i="91"/>
  <c r="D30" i="91"/>
  <c r="C30" i="91"/>
  <c r="AG16" i="92"/>
  <c r="AH16" i="93"/>
  <c r="Q16" i="92"/>
  <c r="Q16" i="93"/>
  <c r="H16" i="92"/>
  <c r="E16" i="92"/>
  <c r="C16" i="92"/>
  <c r="AG16" i="96"/>
  <c r="E16" i="93"/>
  <c r="C16" i="9"/>
  <c r="C16" i="93"/>
  <c r="S30" i="94"/>
  <c r="R30" i="94"/>
  <c r="AU28" i="94"/>
  <c r="E30" i="94"/>
  <c r="D30" i="94"/>
  <c r="C30" i="94"/>
  <c r="AM28" i="94"/>
  <c r="AG16" i="94"/>
  <c r="B18" i="84"/>
  <c r="B18" i="83"/>
  <c r="C16" i="95"/>
  <c r="AJ16" i="95"/>
  <c r="AH16" i="95"/>
  <c r="AH16" i="96"/>
  <c r="AH16" i="116"/>
  <c r="AG16" i="116"/>
  <c r="AG16" i="81"/>
  <c r="AH55" i="60"/>
  <c r="AG55" i="60"/>
  <c r="AH55" i="54"/>
  <c r="AG55" i="54"/>
  <c r="AH28" i="52"/>
  <c r="AG28" i="52"/>
  <c r="AH28" i="45"/>
  <c r="AG28" i="45"/>
  <c r="AH28" i="44"/>
  <c r="AG28" i="44"/>
  <c r="AH28" i="43"/>
  <c r="AG28" i="43"/>
  <c r="AH28" i="41"/>
  <c r="AG28" i="41"/>
  <c r="AH16" i="30"/>
  <c r="AG16" i="30"/>
  <c r="AJ16" i="76"/>
  <c r="AH16" i="81"/>
  <c r="M18" i="95"/>
  <c r="L18" i="95"/>
  <c r="K18" i="95"/>
  <c r="Q16" i="95"/>
  <c r="P16" i="95"/>
  <c r="H16" i="95"/>
  <c r="E16" i="95"/>
  <c r="B16" i="95"/>
  <c r="M18" i="96"/>
  <c r="L18" i="96"/>
  <c r="K18" i="96"/>
  <c r="AR16" i="96"/>
  <c r="AQ16" i="96"/>
  <c r="Q16" i="96"/>
  <c r="H16" i="96"/>
  <c r="E16" i="96"/>
  <c r="AJ16" i="96"/>
  <c r="C16" i="96"/>
  <c r="M18" i="86"/>
  <c r="L18" i="86"/>
  <c r="M16" i="86"/>
  <c r="L16" i="86"/>
  <c r="K18" i="86"/>
  <c r="K16" i="86"/>
  <c r="M30" i="86"/>
  <c r="L30" i="86"/>
  <c r="K30" i="86"/>
  <c r="AK30" i="85"/>
  <c r="E16" i="115"/>
  <c r="Q16" i="115"/>
  <c r="G18" i="103"/>
  <c r="AK18" i="103"/>
  <c r="C16" i="103"/>
  <c r="L30" i="85"/>
  <c r="M30" i="85"/>
  <c r="K30" i="85"/>
  <c r="T18" i="84"/>
  <c r="S18" i="83"/>
  <c r="S18" i="84"/>
  <c r="J18" i="84"/>
  <c r="AU16" i="84"/>
  <c r="AU16" i="83"/>
  <c r="N16" i="35"/>
  <c r="N16" i="34"/>
  <c r="N16" i="33"/>
  <c r="N16" i="14"/>
  <c r="N16" i="5"/>
  <c r="R18" i="83"/>
  <c r="Q18" i="83"/>
  <c r="P18" i="83"/>
  <c r="R18" i="84"/>
  <c r="Q18" i="84"/>
  <c r="P18" i="84"/>
  <c r="J18" i="83"/>
  <c r="AM16" i="83"/>
  <c r="AM16" i="84"/>
  <c r="E18" i="83"/>
  <c r="E18" i="84"/>
  <c r="D18" i="84"/>
  <c r="C18" i="84"/>
  <c r="D18" i="83"/>
  <c r="C18" i="83"/>
  <c r="Q16" i="80"/>
  <c r="H16" i="80"/>
  <c r="E16" i="80"/>
  <c r="Q16" i="79"/>
  <c r="E16" i="79"/>
  <c r="H16" i="79"/>
  <c r="F16" i="20"/>
  <c r="F16" i="21"/>
  <c r="BA16" i="73"/>
  <c r="AZ16" i="73"/>
  <c r="Z18" i="73"/>
  <c r="AW18" i="73"/>
  <c r="AW16" i="73"/>
  <c r="Y18" i="73"/>
  <c r="X18" i="73"/>
  <c r="AV18" i="73"/>
  <c r="AV16" i="73"/>
  <c r="W16" i="19"/>
  <c r="W18" i="19"/>
  <c r="V18" i="19"/>
  <c r="V16" i="19"/>
  <c r="BD16" i="73"/>
  <c r="AD18" i="73"/>
  <c r="AC18" i="73"/>
  <c r="AB18" i="73"/>
  <c r="AF18" i="73"/>
  <c r="AG18" i="73"/>
  <c r="BE16" i="73"/>
  <c r="AH18" i="73"/>
  <c r="AU18" i="73"/>
  <c r="AU16" i="73"/>
  <c r="U16" i="35"/>
  <c r="U16" i="34"/>
  <c r="U16" i="33"/>
  <c r="U16" i="14"/>
  <c r="U16" i="5"/>
  <c r="AT18" i="73"/>
  <c r="AE18" i="73"/>
  <c r="W18" i="73"/>
  <c r="V18" i="73"/>
  <c r="U18" i="73"/>
  <c r="T18" i="73"/>
  <c r="J18" i="73"/>
  <c r="S18" i="73"/>
  <c r="R18" i="73"/>
  <c r="AA18" i="73"/>
  <c r="O18" i="73"/>
  <c r="N18" i="73"/>
  <c r="M18" i="73"/>
  <c r="L18" i="73"/>
  <c r="K18" i="73"/>
  <c r="F18" i="73"/>
  <c r="Q18" i="73"/>
  <c r="P18" i="73"/>
  <c r="I18" i="73"/>
  <c r="H18" i="73"/>
  <c r="G18" i="73"/>
  <c r="E18" i="73"/>
  <c r="D18" i="73"/>
  <c r="C18" i="73"/>
  <c r="M16" i="68"/>
  <c r="E16" i="71"/>
  <c r="C16" i="71"/>
  <c r="E16" i="74"/>
  <c r="E18" i="74"/>
  <c r="E16" i="72"/>
  <c r="E18" i="72"/>
  <c r="E16" i="70"/>
  <c r="E18" i="70"/>
  <c r="E16" i="69"/>
  <c r="E18" i="69"/>
  <c r="E16" i="19"/>
  <c r="E18" i="19"/>
  <c r="E18" i="18"/>
  <c r="E16" i="18"/>
  <c r="J18" i="74"/>
  <c r="J18" i="72"/>
  <c r="J18" i="70"/>
  <c r="J18" i="69"/>
  <c r="J18" i="68"/>
  <c r="J16" i="68"/>
  <c r="J18" i="65"/>
  <c r="J16" i="65"/>
  <c r="J18" i="64"/>
  <c r="J16" i="64"/>
  <c r="F16" i="68"/>
  <c r="AR16" i="68"/>
  <c r="E16" i="68"/>
  <c r="J18" i="67"/>
  <c r="F18" i="67"/>
  <c r="L18" i="67"/>
  <c r="M18" i="67"/>
  <c r="K18" i="67"/>
  <c r="Q16" i="64"/>
  <c r="P16" i="64"/>
  <c r="I16" i="67"/>
  <c r="H16" i="67"/>
  <c r="G16" i="67"/>
  <c r="E16" i="67"/>
  <c r="I16" i="68"/>
  <c r="H16" i="68"/>
  <c r="G16" i="68"/>
  <c r="I16" i="65"/>
  <c r="H16" i="65"/>
  <c r="G16" i="65"/>
  <c r="F16" i="65"/>
  <c r="E16" i="65"/>
  <c r="I16" i="64"/>
  <c r="H16" i="64"/>
  <c r="F16" i="64"/>
  <c r="E16" i="64"/>
  <c r="AM31" i="59"/>
  <c r="AM45" i="59"/>
  <c r="AM43" i="59"/>
  <c r="AP31" i="59"/>
  <c r="AP45" i="59"/>
  <c r="AP43" i="59"/>
  <c r="AN45" i="59"/>
  <c r="AN43" i="59"/>
  <c r="AJ45" i="59"/>
  <c r="AJ43" i="59"/>
  <c r="AO19" i="58"/>
  <c r="AL31" i="58"/>
  <c r="AW31" i="58"/>
  <c r="AG31" i="58"/>
  <c r="Q43" i="58"/>
  <c r="P43" i="58"/>
  <c r="H43" i="58"/>
  <c r="E43" i="58"/>
  <c r="S45" i="66"/>
  <c r="S43" i="66"/>
  <c r="S16" i="8"/>
  <c r="R43" i="66"/>
  <c r="R31" i="66"/>
  <c r="R45" i="66"/>
  <c r="AJ43" i="56"/>
  <c r="AH43" i="54"/>
  <c r="AG43" i="54"/>
  <c r="AF43" i="54"/>
  <c r="AD43" i="54"/>
  <c r="AC43" i="54"/>
  <c r="AB43" i="54"/>
  <c r="AA43" i="54"/>
  <c r="Z43" i="54"/>
  <c r="Y43" i="54"/>
  <c r="X43" i="54"/>
  <c r="W43" i="54"/>
  <c r="V43" i="54"/>
  <c r="U43" i="54"/>
  <c r="T43" i="54"/>
  <c r="S43" i="54"/>
  <c r="R43" i="54"/>
  <c r="Q43" i="54"/>
  <c r="P43" i="54"/>
  <c r="O43" i="54"/>
  <c r="N43" i="54"/>
  <c r="M43" i="54"/>
  <c r="L43" i="54"/>
  <c r="K43" i="54"/>
  <c r="J43" i="54"/>
  <c r="I43" i="54"/>
  <c r="H43" i="54"/>
  <c r="G43" i="54"/>
  <c r="F43" i="54"/>
  <c r="E43" i="54"/>
  <c r="D43" i="54"/>
  <c r="C43" i="54"/>
  <c r="B43" i="54"/>
  <c r="AH43" i="57"/>
  <c r="AG43" i="57"/>
  <c r="AF43" i="57"/>
  <c r="AE43" i="57"/>
  <c r="AD43" i="57"/>
  <c r="AC43" i="57"/>
  <c r="AB43" i="57"/>
  <c r="AA43" i="57"/>
  <c r="Z43" i="57"/>
  <c r="Y43" i="57"/>
  <c r="X43" i="57"/>
  <c r="W43" i="57"/>
  <c r="V43" i="57"/>
  <c r="U43" i="57"/>
  <c r="T43" i="57"/>
  <c r="S43" i="57"/>
  <c r="R43" i="57"/>
  <c r="Q43" i="57"/>
  <c r="P43" i="57"/>
  <c r="O43" i="57"/>
  <c r="N43" i="57"/>
  <c r="M43" i="57"/>
  <c r="L43" i="57"/>
  <c r="K43" i="57"/>
  <c r="J43" i="57"/>
  <c r="I43" i="57"/>
  <c r="H43" i="57"/>
  <c r="G43" i="57"/>
  <c r="F43" i="57"/>
  <c r="E43" i="57"/>
  <c r="D43" i="57"/>
  <c r="C43" i="57"/>
  <c r="B43" i="57"/>
  <c r="AH43" i="56"/>
  <c r="AG43" i="56"/>
  <c r="AF43" i="56"/>
  <c r="AE43" i="56"/>
  <c r="AD43" i="56"/>
  <c r="AC43" i="56"/>
  <c r="AB43" i="56"/>
  <c r="AA43" i="56"/>
  <c r="Z43" i="56"/>
  <c r="Y43" i="56"/>
  <c r="X43" i="56"/>
  <c r="W43" i="56"/>
  <c r="V43" i="56"/>
  <c r="U43" i="56"/>
  <c r="T43" i="56"/>
  <c r="S43" i="56"/>
  <c r="R43" i="56"/>
  <c r="Q43" i="56"/>
  <c r="P43" i="56"/>
  <c r="O43" i="56"/>
  <c r="N43" i="56"/>
  <c r="M43" i="56"/>
  <c r="L43" i="56"/>
  <c r="K43" i="56"/>
  <c r="J43" i="56"/>
  <c r="I43" i="56"/>
  <c r="H43" i="56"/>
  <c r="G43" i="56"/>
  <c r="F43" i="56"/>
  <c r="E43" i="56"/>
  <c r="D43" i="56"/>
  <c r="C43" i="56"/>
  <c r="B43" i="56"/>
  <c r="AH16" i="13"/>
  <c r="AD16" i="13"/>
  <c r="AC16" i="13"/>
  <c r="AB16" i="13"/>
  <c r="AA16" i="13"/>
  <c r="T16" i="13"/>
  <c r="H19" i="60"/>
  <c r="H19" i="54"/>
  <c r="H19" i="59"/>
  <c r="H19" i="66"/>
  <c r="H19" i="57"/>
  <c r="H19" i="56"/>
  <c r="AH31" i="60"/>
  <c r="AG31" i="60"/>
  <c r="AE31" i="60"/>
  <c r="Y31" i="60"/>
  <c r="W31" i="60"/>
  <c r="T31" i="60"/>
  <c r="R31" i="60"/>
  <c r="E31" i="60"/>
  <c r="AH31" i="54"/>
  <c r="AG31" i="54"/>
  <c r="AE31" i="54"/>
  <c r="Y31" i="54"/>
  <c r="W31" i="54"/>
  <c r="T31" i="54"/>
  <c r="R31" i="54"/>
  <c r="E31" i="54"/>
  <c r="AH31" i="59"/>
  <c r="AG31" i="59"/>
  <c r="AE31" i="59"/>
  <c r="Y31" i="59"/>
  <c r="W31" i="59"/>
  <c r="T31" i="59"/>
  <c r="R31" i="59"/>
  <c r="E31" i="59"/>
  <c r="AH31" i="58"/>
  <c r="AE31" i="66"/>
  <c r="Y31" i="66"/>
  <c r="W31" i="66"/>
  <c r="T31" i="66"/>
  <c r="E31" i="66"/>
  <c r="AH31" i="57"/>
  <c r="AG31" i="57"/>
  <c r="AE31" i="57"/>
  <c r="Y31" i="57"/>
  <c r="W31" i="57"/>
  <c r="T31" i="57"/>
  <c r="R31" i="57"/>
  <c r="E31" i="57"/>
  <c r="AH31" i="56"/>
  <c r="AG31" i="56"/>
  <c r="AE31" i="56"/>
  <c r="Y31" i="56"/>
  <c r="W31" i="56"/>
  <c r="T31" i="56"/>
  <c r="R31" i="56"/>
  <c r="E31" i="56"/>
  <c r="W31" i="55"/>
  <c r="W16" i="28"/>
  <c r="W16" i="26"/>
  <c r="W16" i="27"/>
  <c r="AE31" i="55"/>
  <c r="AG31" i="55"/>
  <c r="T31" i="55"/>
  <c r="Y31" i="55"/>
  <c r="R31" i="55"/>
  <c r="E31" i="55"/>
  <c r="AE16" i="53"/>
  <c r="S16" i="53"/>
  <c r="AJ16" i="82"/>
  <c r="AJ28" i="53"/>
  <c r="AO28" i="51"/>
  <c r="AB30" i="51"/>
  <c r="AB28" i="51"/>
  <c r="AC30" i="51"/>
  <c r="AC28" i="51"/>
  <c r="AE18" i="51"/>
  <c r="AE28" i="51"/>
  <c r="AE30" i="51"/>
  <c r="S30" i="51"/>
  <c r="S28" i="51"/>
  <c r="J28" i="51"/>
  <c r="C28" i="51"/>
  <c r="F30" i="51"/>
  <c r="F28" i="51"/>
  <c r="AH30" i="51"/>
  <c r="V16" i="50"/>
  <c r="V18" i="50"/>
  <c r="W18" i="8"/>
  <c r="W16" i="8"/>
  <c r="V30" i="48"/>
  <c r="AN30" i="48"/>
  <c r="AE30" i="50"/>
  <c r="AG16" i="50"/>
  <c r="R30" i="50"/>
  <c r="AM30" i="48"/>
  <c r="R30" i="47"/>
  <c r="M16" i="50"/>
  <c r="E30" i="47"/>
  <c r="AH30" i="46"/>
  <c r="S30" i="46"/>
  <c r="S28" i="46"/>
  <c r="F30" i="46"/>
  <c r="F28" i="46"/>
  <c r="J28" i="46"/>
  <c r="AD16" i="44"/>
  <c r="AC16" i="44"/>
  <c r="AB16" i="44"/>
  <c r="Y16" i="44"/>
  <c r="X16" i="44"/>
  <c r="W16" i="44"/>
  <c r="V16" i="44"/>
  <c r="U16" i="44"/>
  <c r="T16" i="44"/>
  <c r="S16" i="44"/>
  <c r="R16" i="44"/>
  <c r="AG16" i="44"/>
  <c r="AF16" i="44"/>
  <c r="Q16" i="44"/>
  <c r="O16" i="44"/>
  <c r="N16" i="44"/>
  <c r="J16" i="44"/>
  <c r="AD16" i="43"/>
  <c r="AC16" i="43"/>
  <c r="AB16" i="43"/>
  <c r="Z16" i="13"/>
  <c r="AF16" i="43"/>
  <c r="AG16" i="43"/>
  <c r="J16" i="43"/>
  <c r="Y16" i="43"/>
  <c r="X16" i="43"/>
  <c r="W16" i="43"/>
  <c r="V16" i="43"/>
  <c r="U16" i="43"/>
  <c r="T16" i="43"/>
  <c r="S16" i="43"/>
  <c r="R16" i="43"/>
  <c r="Q16" i="43"/>
  <c r="O16" i="43"/>
  <c r="N16" i="43"/>
  <c r="F16" i="44"/>
  <c r="E16" i="44"/>
  <c r="Z16" i="44"/>
  <c r="Z28" i="44"/>
  <c r="Z28" i="43"/>
  <c r="Z16" i="43"/>
  <c r="AL28" i="42"/>
  <c r="S30" i="42"/>
  <c r="S28" i="42"/>
  <c r="J28" i="42"/>
  <c r="S55" i="54"/>
  <c r="N55" i="54"/>
  <c r="S55" i="60"/>
  <c r="N55" i="60"/>
  <c r="S28" i="52"/>
  <c r="N28" i="52"/>
  <c r="S28" i="45"/>
  <c r="N28" i="45"/>
  <c r="S28" i="44"/>
  <c r="N28" i="44"/>
  <c r="S28" i="43"/>
  <c r="N28" i="43"/>
  <c r="Q30" i="41"/>
  <c r="P30" i="41"/>
  <c r="S28" i="41"/>
  <c r="N28" i="41"/>
  <c r="Q18" i="30"/>
  <c r="P18" i="30"/>
  <c r="S30" i="53"/>
  <c r="F30" i="53"/>
  <c r="S28" i="53"/>
  <c r="J28" i="53"/>
  <c r="F28" i="53"/>
  <c r="F30" i="40"/>
  <c r="F28" i="40"/>
  <c r="S28" i="40"/>
  <c r="S30" i="40"/>
  <c r="J28" i="40"/>
  <c r="B16" i="82"/>
  <c r="B28" i="53"/>
  <c r="B28" i="51"/>
  <c r="AJ28" i="42"/>
  <c r="B28" i="46"/>
  <c r="AK28" i="46"/>
  <c r="AJ28" i="40"/>
  <c r="AJ16" i="31"/>
  <c r="B28" i="42"/>
  <c r="B28" i="40"/>
  <c r="B16" i="32"/>
  <c r="B16" i="31"/>
  <c r="AF30" i="37"/>
  <c r="AC30" i="37"/>
  <c r="AF28" i="37"/>
  <c r="AC28" i="37"/>
  <c r="AF18" i="37"/>
  <c r="AC18" i="37"/>
  <c r="AC30" i="38"/>
  <c r="AC28" i="38"/>
  <c r="AC18" i="38"/>
  <c r="X30" i="37"/>
  <c r="X30" i="38"/>
  <c r="O18" i="38"/>
  <c r="O30" i="38"/>
  <c r="W18" i="38"/>
  <c r="W18" i="37"/>
  <c r="AF18" i="38"/>
  <c r="AF30" i="38"/>
  <c r="AF28" i="38"/>
  <c r="V30" i="38"/>
  <c r="V30" i="37"/>
  <c r="S28" i="38"/>
  <c r="S30" i="38"/>
  <c r="E30" i="38"/>
  <c r="U18" i="35"/>
  <c r="T18" i="35"/>
  <c r="U18" i="34"/>
  <c r="T18" i="34"/>
  <c r="U18" i="33"/>
  <c r="T18" i="33"/>
  <c r="T18" i="14"/>
  <c r="T18" i="5"/>
  <c r="S18" i="35"/>
  <c r="S16" i="35"/>
  <c r="S18" i="34"/>
  <c r="S16" i="34"/>
  <c r="S18" i="33"/>
  <c r="S16" i="33"/>
  <c r="S18" i="19"/>
  <c r="S16" i="19"/>
  <c r="S18" i="14"/>
  <c r="S16" i="14"/>
  <c r="S16" i="5"/>
  <c r="V16" i="30"/>
  <c r="V18" i="30"/>
  <c r="J16" i="32"/>
  <c r="J16" i="31"/>
  <c r="F18" i="32"/>
  <c r="F16" i="32"/>
  <c r="F18" i="31"/>
  <c r="F16" i="31"/>
  <c r="C16" i="32"/>
  <c r="C16" i="31"/>
  <c r="W16" i="6"/>
  <c r="V16" i="6"/>
  <c r="W16" i="10"/>
  <c r="V16" i="10"/>
  <c r="W16" i="13"/>
  <c r="V16" i="13"/>
  <c r="W16" i="7"/>
  <c r="V16" i="7"/>
  <c r="AE18" i="30"/>
  <c r="AE16" i="30"/>
  <c r="S18" i="81"/>
  <c r="S16" i="81"/>
  <c r="S16" i="30"/>
  <c r="N16" i="30"/>
  <c r="J18" i="116"/>
  <c r="F18" i="116"/>
  <c r="S18" i="116"/>
  <c r="S16" i="116"/>
  <c r="Y18" i="116"/>
  <c r="X18" i="116"/>
  <c r="N16" i="116"/>
  <c r="N18" i="116"/>
  <c r="O18" i="116"/>
  <c r="D16" i="30"/>
  <c r="C16" i="30"/>
  <c r="AH16" i="27"/>
  <c r="AG16" i="27"/>
  <c r="Y16" i="27"/>
  <c r="AH16" i="26"/>
  <c r="AG16" i="26"/>
  <c r="Y16" i="26"/>
  <c r="AG16" i="28"/>
  <c r="Y16" i="28"/>
  <c r="R16" i="28"/>
  <c r="Q16" i="28"/>
  <c r="P16" i="28"/>
  <c r="H16" i="28"/>
  <c r="E16" i="28"/>
  <c r="C16" i="28"/>
  <c r="R16" i="26"/>
  <c r="Q16" i="26"/>
  <c r="P16" i="26"/>
  <c r="H16" i="26"/>
  <c r="E16" i="26"/>
  <c r="C16" i="26"/>
  <c r="R16" i="27"/>
  <c r="Q16" i="27"/>
  <c r="E16" i="27"/>
  <c r="E16" i="9"/>
  <c r="C16" i="27"/>
  <c r="N18" i="25"/>
  <c r="N16" i="25"/>
  <c r="N18" i="24"/>
  <c r="N16" i="24"/>
  <c r="F16" i="23"/>
  <c r="F16" i="22"/>
  <c r="AE18" i="18"/>
  <c r="AE16" i="18"/>
  <c r="AE16" i="19"/>
  <c r="AE18" i="19"/>
  <c r="N18" i="19"/>
  <c r="N16" i="19"/>
  <c r="AE18" i="14"/>
  <c r="AC18" i="14"/>
  <c r="AG16" i="14"/>
  <c r="AF16" i="14"/>
  <c r="AG16" i="5"/>
  <c r="AF16" i="5"/>
  <c r="AC18" i="5"/>
  <c r="AE18" i="5"/>
  <c r="U18" i="14"/>
  <c r="U18" i="5"/>
  <c r="S18" i="5"/>
  <c r="N16" i="8"/>
  <c r="N18" i="8"/>
  <c r="S18" i="8"/>
  <c r="AF16" i="9"/>
  <c r="AG16" i="9"/>
  <c r="U16" i="9"/>
  <c r="S16" i="9"/>
  <c r="R16" i="9"/>
  <c r="Q16" i="9"/>
  <c r="AJ16" i="6"/>
  <c r="AD16" i="10"/>
  <c r="AB16" i="10"/>
  <c r="AD16" i="6"/>
  <c r="AB16" i="6"/>
  <c r="AA16" i="6"/>
  <c r="AH16" i="6"/>
  <c r="AG16" i="6"/>
  <c r="AF16" i="6"/>
  <c r="AE18" i="6"/>
  <c r="AE16" i="6"/>
  <c r="AC18" i="6"/>
  <c r="AC16" i="6"/>
  <c r="Y16" i="6"/>
  <c r="X16" i="6"/>
  <c r="U16" i="6"/>
  <c r="S16" i="6"/>
  <c r="R16" i="6"/>
  <c r="Q16" i="6"/>
  <c r="P16" i="6"/>
  <c r="M16" i="6"/>
  <c r="L16" i="6"/>
  <c r="K16" i="6"/>
  <c r="O16" i="6"/>
  <c r="N16" i="6"/>
  <c r="J16" i="6"/>
  <c r="AC18" i="10"/>
  <c r="AC16" i="10"/>
  <c r="AE18" i="10"/>
  <c r="AE16" i="10"/>
  <c r="AG16" i="10"/>
  <c r="AF16" i="10"/>
  <c r="Y16" i="10"/>
  <c r="X16" i="10"/>
  <c r="U16" i="10"/>
  <c r="S16" i="10"/>
  <c r="R16" i="10"/>
  <c r="Q16" i="10"/>
  <c r="AN16" i="10"/>
  <c r="AG16" i="13"/>
  <c r="AF16" i="13"/>
  <c r="AE16" i="13"/>
  <c r="S16" i="13"/>
  <c r="U16" i="13"/>
  <c r="R16" i="13"/>
  <c r="AF16" i="7"/>
  <c r="AE16" i="7"/>
  <c r="AC16" i="7"/>
  <c r="U16" i="7"/>
  <c r="S16" i="7"/>
  <c r="R16" i="7"/>
  <c r="AJ16" i="13"/>
  <c r="Y16" i="13"/>
  <c r="X16" i="13"/>
  <c r="O16" i="13"/>
  <c r="N16" i="13"/>
  <c r="Q16" i="13"/>
  <c r="Y16" i="7"/>
  <c r="X16" i="7"/>
  <c r="Z16" i="7"/>
  <c r="AN16" i="7"/>
  <c r="Q16" i="7"/>
  <c r="AH16" i="65"/>
  <c r="AA16" i="65"/>
  <c r="AA16" i="44"/>
  <c r="AH16" i="44"/>
  <c r="F16" i="43"/>
  <c r="E16" i="43"/>
  <c r="P16" i="9"/>
  <c r="F16" i="6"/>
  <c r="E16" i="6"/>
  <c r="I16" i="6"/>
  <c r="H16" i="6"/>
  <c r="G16" i="6"/>
  <c r="D16" i="6"/>
  <c r="C16" i="6"/>
  <c r="B16" i="6"/>
  <c r="O16" i="10"/>
  <c r="N16" i="10"/>
  <c r="AK16" i="10"/>
  <c r="AJ16" i="10"/>
  <c r="AH16" i="10"/>
  <c r="O16" i="7"/>
  <c r="N16" i="7"/>
  <c r="AA16" i="10"/>
  <c r="P16" i="10"/>
  <c r="M16" i="10"/>
  <c r="L16" i="10"/>
  <c r="K16" i="10"/>
  <c r="J16" i="10"/>
  <c r="F16" i="10"/>
  <c r="E16" i="10"/>
  <c r="I16" i="10"/>
  <c r="H16" i="10"/>
  <c r="G16" i="10"/>
  <c r="D16" i="10"/>
  <c r="C16" i="10"/>
  <c r="B16" i="10"/>
  <c r="F16" i="7"/>
  <c r="E16" i="7"/>
  <c r="J16" i="7"/>
  <c r="J16" i="13"/>
  <c r="P16" i="13"/>
  <c r="M16" i="13"/>
  <c r="L16" i="13"/>
  <c r="K16" i="13"/>
  <c r="F16" i="13"/>
  <c r="E16" i="13"/>
  <c r="I16" i="13"/>
  <c r="H16" i="13"/>
  <c r="G16" i="13"/>
  <c r="D16" i="13"/>
  <c r="C16" i="13"/>
  <c r="B16" i="13"/>
  <c r="AK16" i="7"/>
  <c r="AJ16" i="7"/>
  <c r="AH16" i="7"/>
  <c r="AG16" i="7"/>
  <c r="AA16" i="7"/>
  <c r="P16" i="7"/>
  <c r="M16" i="7"/>
  <c r="L16" i="7"/>
  <c r="K16" i="7"/>
  <c r="I16" i="7"/>
  <c r="H16" i="7"/>
  <c r="G16" i="7"/>
  <c r="D16" i="7"/>
  <c r="C16" i="7"/>
  <c r="B16" i="7"/>
  <c r="B29" i="39"/>
  <c r="AA18" i="103"/>
  <c r="B16" i="103"/>
  <c r="E18" i="116"/>
  <c r="AE18" i="116"/>
  <c r="AE16" i="116"/>
  <c r="B18" i="116"/>
  <c r="I18" i="116"/>
  <c r="H18" i="116"/>
  <c r="G18" i="116"/>
  <c r="M18" i="116"/>
  <c r="L18" i="116"/>
  <c r="K18" i="116"/>
  <c r="AA18" i="116"/>
  <c r="AH16" i="115"/>
  <c r="AG16" i="115"/>
  <c r="P16" i="115"/>
  <c r="H16" i="115"/>
  <c r="AZ16" i="114"/>
  <c r="P16" i="114"/>
  <c r="M18" i="108"/>
  <c r="L18" i="108"/>
  <c r="K18" i="108"/>
  <c r="P16" i="108"/>
  <c r="AG16" i="108"/>
  <c r="M16" i="104"/>
  <c r="AH16" i="105"/>
  <c r="AA16" i="105"/>
  <c r="P16" i="105"/>
  <c r="AA16" i="106"/>
  <c r="AH16" i="106"/>
  <c r="B16" i="105"/>
  <c r="B16" i="106"/>
  <c r="AA18" i="87"/>
  <c r="AA18" i="88"/>
  <c r="P28" i="89"/>
  <c r="G28" i="89"/>
  <c r="H28" i="89"/>
  <c r="L16" i="90"/>
  <c r="L18" i="90"/>
  <c r="AH16" i="92"/>
  <c r="P16" i="93"/>
  <c r="P16" i="92"/>
  <c r="H16" i="93"/>
  <c r="AH16" i="94"/>
  <c r="AA18" i="96"/>
  <c r="AA16" i="96"/>
  <c r="P16" i="96"/>
  <c r="AT30" i="86"/>
  <c r="AS30" i="86"/>
  <c r="AR30" i="86"/>
  <c r="B16" i="96"/>
  <c r="B16" i="94"/>
  <c r="B16" i="90"/>
  <c r="AH16" i="80"/>
  <c r="P16" i="80"/>
  <c r="P16" i="79"/>
  <c r="L18" i="78"/>
  <c r="K18" i="78"/>
  <c r="L16" i="78"/>
  <c r="L18" i="77"/>
  <c r="K18" i="77"/>
  <c r="L16" i="77"/>
  <c r="I18" i="77"/>
  <c r="H18" i="77"/>
  <c r="G18" i="77"/>
  <c r="D18" i="76"/>
  <c r="C18" i="76"/>
  <c r="P18" i="74"/>
  <c r="P16" i="74"/>
  <c r="M18" i="72"/>
  <c r="L18" i="72"/>
  <c r="K18" i="72"/>
  <c r="M18" i="74"/>
  <c r="L18" i="74"/>
  <c r="K18" i="74"/>
  <c r="P16" i="71"/>
  <c r="H16" i="71"/>
  <c r="M18" i="70"/>
  <c r="L18" i="70"/>
  <c r="K18" i="70"/>
  <c r="M18" i="69"/>
  <c r="L18" i="69"/>
  <c r="K18" i="69"/>
  <c r="AK16" i="67"/>
  <c r="AJ16" i="67"/>
  <c r="AA16" i="67"/>
  <c r="AH16" i="67"/>
  <c r="D16" i="67"/>
  <c r="C16" i="67"/>
  <c r="AH16" i="68"/>
  <c r="AA16" i="68"/>
  <c r="AP18" i="68"/>
  <c r="AO18" i="68"/>
  <c r="AN18" i="68"/>
  <c r="AO16" i="68"/>
  <c r="AN16" i="68"/>
  <c r="AP16" i="68"/>
  <c r="D16" i="68"/>
  <c r="C16" i="68"/>
  <c r="B16" i="68"/>
  <c r="AH16" i="64"/>
  <c r="AK16" i="64"/>
  <c r="AV31" i="58"/>
  <c r="BB43" i="58"/>
  <c r="G16" i="64"/>
  <c r="M18" i="64"/>
  <c r="L18" i="64"/>
  <c r="K18" i="64"/>
  <c r="M16" i="64"/>
  <c r="L16" i="64"/>
  <c r="K16" i="64"/>
  <c r="M16" i="65"/>
  <c r="L16" i="65"/>
  <c r="K16" i="65"/>
  <c r="M18" i="65"/>
  <c r="L18" i="65"/>
  <c r="K18" i="65"/>
  <c r="D16" i="64"/>
  <c r="D16" i="65"/>
  <c r="B16" i="67"/>
  <c r="AA16" i="64"/>
  <c r="B16" i="65"/>
  <c r="B16" i="64"/>
  <c r="L16" i="63"/>
  <c r="L18" i="63"/>
  <c r="K18" i="63"/>
  <c r="K18" i="62"/>
  <c r="L18" i="62"/>
  <c r="M18" i="62"/>
  <c r="AK43" i="56"/>
  <c r="AH31" i="55"/>
  <c r="H19" i="55"/>
  <c r="P16" i="44"/>
  <c r="M16" i="44"/>
  <c r="L16" i="44"/>
  <c r="K16" i="44"/>
  <c r="I16" i="44"/>
  <c r="H16" i="44"/>
  <c r="G16" i="44"/>
  <c r="D16" i="44"/>
  <c r="C16" i="44"/>
  <c r="B16" i="44"/>
  <c r="AH16" i="43"/>
  <c r="AA16" i="43"/>
  <c r="P16" i="43"/>
  <c r="M16" i="43"/>
  <c r="L16" i="43"/>
  <c r="K16" i="43"/>
  <c r="I16" i="43"/>
  <c r="H16" i="43"/>
  <c r="G16" i="43"/>
  <c r="D16" i="43"/>
  <c r="C16" i="43"/>
  <c r="B16" i="43"/>
  <c r="AH16" i="28"/>
  <c r="H16" i="27"/>
  <c r="P16" i="27"/>
  <c r="H16" i="9"/>
</calcChain>
</file>

<file path=xl/sharedStrings.xml><?xml version="1.0" encoding="utf-8"?>
<sst xmlns="http://schemas.openxmlformats.org/spreadsheetml/2006/main" count="49672" uniqueCount="1612">
  <si>
    <t>Priority</t>
  </si>
  <si>
    <t>Language</t>
  </si>
  <si>
    <t>3a</t>
  </si>
  <si>
    <t>3b</t>
  </si>
  <si>
    <t>3c</t>
  </si>
  <si>
    <t>4a</t>
  </si>
  <si>
    <t>4b</t>
  </si>
  <si>
    <t>5a</t>
  </si>
  <si>
    <t>5b</t>
  </si>
  <si>
    <t>5c</t>
  </si>
  <si>
    <t>6a</t>
  </si>
  <si>
    <t>6b</t>
  </si>
  <si>
    <t>7a</t>
  </si>
  <si>
    <t>7b</t>
  </si>
  <si>
    <t>9a</t>
  </si>
  <si>
    <t>9b</t>
  </si>
  <si>
    <t>LATĪNUM</t>
  </si>
  <si>
    <t>LAT</t>
  </si>
  <si>
    <t>='001 B-'!B10</t>
  </si>
  <si>
    <t>*</t>
  </si>
  <si>
    <t>português europeu</t>
  </si>
  <si>
    <t>Portuguese</t>
  </si>
  <si>
    <t>='001 B-'!C10</t>
  </si>
  <si>
    <t>português brasileiro</t>
  </si>
  <si>
    <t>Brazilian Portuguese</t>
  </si>
  <si>
    <t>='001 B-'!D10</t>
  </si>
  <si>
    <t>galego</t>
  </si>
  <si>
    <t>Galician</t>
  </si>
  <si>
    <t>='001 B-'!E10</t>
  </si>
  <si>
    <t>asturlleonés</t>
  </si>
  <si>
    <t>Astur-Leonese</t>
  </si>
  <si>
    <t>='001 B-'!F10</t>
  </si>
  <si>
    <t>castellano</t>
  </si>
  <si>
    <t>Castilian Spanish</t>
  </si>
  <si>
    <t>='001 B-'!G10</t>
  </si>
  <si>
    <t>andaluz</t>
  </si>
  <si>
    <t>Andalusian Spanish</t>
  </si>
  <si>
    <t>='001 B-'!H10</t>
  </si>
  <si>
    <t>español de América</t>
  </si>
  <si>
    <t>American Spanish</t>
  </si>
  <si>
    <t>='001 B-'!I10</t>
  </si>
  <si>
    <t>aragonés</t>
  </si>
  <si>
    <t>Aragonese</t>
  </si>
  <si>
    <t>='001 B-'!J10</t>
  </si>
  <si>
    <t>català</t>
  </si>
  <si>
    <t>Catalan</t>
  </si>
  <si>
    <t>='001 B-'!K10</t>
  </si>
  <si>
    <t>valencià</t>
  </si>
  <si>
    <t>Valencian</t>
  </si>
  <si>
    <t>='001 B-'!L10</t>
  </si>
  <si>
    <t>balear</t>
  </si>
  <si>
    <t>Balearic</t>
  </si>
  <si>
    <t>='001 B-'!M10</t>
  </si>
  <si>
    <t>occitan</t>
  </si>
  <si>
    <t>Occitan</t>
  </si>
  <si>
    <t>='001 B-'!N10</t>
  </si>
  <si>
    <t>gascon</t>
  </si>
  <si>
    <t>Gascon</t>
  </si>
  <si>
    <t>='001 B-'!O10</t>
  </si>
  <si>
    <t>walon</t>
  </si>
  <si>
    <t>Walloon</t>
  </si>
  <si>
    <t>='001 B-'!P10</t>
  </si>
  <si>
    <t>français européen</t>
  </si>
  <si>
    <t>French</t>
  </si>
  <si>
    <t>='001 B-'!Q10</t>
  </si>
  <si>
    <t>français québécois</t>
  </si>
  <si>
    <t>Québécois French</t>
  </si>
  <si>
    <t>='001 B-'!R10</t>
  </si>
  <si>
    <t>arpetan</t>
  </si>
  <si>
    <t>Arpitan</t>
  </si>
  <si>
    <t>='001 B-'!S10</t>
  </si>
  <si>
    <t>lìgure</t>
  </si>
  <si>
    <t>Ligurian</t>
  </si>
  <si>
    <t>='001 B-'!T10</t>
  </si>
  <si>
    <t>lombard</t>
  </si>
  <si>
    <t>Lombard</t>
  </si>
  <si>
    <t>='001 B-'!U10</t>
  </si>
  <si>
    <t>rumantsch</t>
  </si>
  <si>
    <t>Romansh</t>
  </si>
  <si>
    <t>='001 B-'!V10</t>
  </si>
  <si>
    <t>furlan</t>
  </si>
  <si>
    <t>Friulian</t>
  </si>
  <si>
    <t>='001 B-'!W10</t>
  </si>
  <si>
    <t>sardu logudoresu</t>
  </si>
  <si>
    <t>Logudorese Sardinian</t>
  </si>
  <si>
    <t>='001 B-'!X10</t>
  </si>
  <si>
    <t>sardu campidanesu</t>
  </si>
  <si>
    <t>Campidanese Sardinian</t>
  </si>
  <si>
    <t>='001 B-'!Y10</t>
  </si>
  <si>
    <t>corsu</t>
  </si>
  <si>
    <t>Corsican</t>
  </si>
  <si>
    <t>='001 B-'!Z10</t>
  </si>
  <si>
    <t>italiano</t>
  </si>
  <si>
    <t>Italian</t>
  </si>
  <si>
    <t>='001 B-'!AA10</t>
  </si>
  <si>
    <t>abbruzzese</t>
  </si>
  <si>
    <t>Abruzzese</t>
  </si>
  <si>
    <t>='001 B-'!AB10</t>
  </si>
  <si>
    <t>campane-molisane</t>
  </si>
  <si>
    <t>Campano-Molisan</t>
  </si>
  <si>
    <t>='001 B-'!AC10</t>
  </si>
  <si>
    <t>pugghiese</t>
  </si>
  <si>
    <t>Pugliese</t>
  </si>
  <si>
    <t>='001 B-'!AD10</t>
  </si>
  <si>
    <t>sicilianu</t>
  </si>
  <si>
    <t>Sicilian</t>
  </si>
  <si>
    <t>='001 B-'!AE10</t>
  </si>
  <si>
    <t>vèneto</t>
  </si>
  <si>
    <t>Venetan</t>
  </si>
  <si>
    <t>='001 B-'!AF10</t>
  </si>
  <si>
    <t>armãneashti</t>
  </si>
  <si>
    <t>Aromanian</t>
  </si>
  <si>
    <t>='001 B-'!AG10</t>
  </si>
  <si>
    <t>română</t>
  </si>
  <si>
    <t>Romanian</t>
  </si>
  <si>
    <t>='001 B-'!AH10</t>
  </si>
  <si>
    <t>A - Consonantism</t>
  </si>
  <si>
    <t>1. Initial Position</t>
  </si>
  <si>
    <t>1.1 Simple consonants</t>
  </si>
  <si>
    <t>Number</t>
  </si>
  <si>
    <t>Latin Reference Words</t>
  </si>
  <si>
    <t>Treatment</t>
  </si>
  <si>
    <t>B-</t>
  </si>
  <si>
    <t>BASSU, BĀSIU, BŎVE, BOLĒTU, BŬCCA, BŬXU</t>
  </si>
  <si>
    <t>Environment</t>
  </si>
  <si>
    <t>#_{a,O}</t>
  </si>
  <si>
    <t>Languages</t>
  </si>
  <si>
    <t>EU
POR</t>
  </si>
  <si>
    <t>BR
POR</t>
  </si>
  <si>
    <t>GAL</t>
  </si>
  <si>
    <t>ASL</t>
  </si>
  <si>
    <t>CAS
ESP</t>
  </si>
  <si>
    <t>AND
ESP</t>
  </si>
  <si>
    <t>AMR
ESP</t>
  </si>
  <si>
    <t>ARG</t>
  </si>
  <si>
    <t>CAT</t>
  </si>
  <si>
    <t>VAL</t>
  </si>
  <si>
    <t>BAL</t>
  </si>
  <si>
    <t>OCC</t>
  </si>
  <si>
    <t>GAS
OCC</t>
  </si>
  <si>
    <t>EU
FRA</t>
  </si>
  <si>
    <t>QBC
FRA</t>
  </si>
  <si>
    <t>WAL</t>
  </si>
  <si>
    <t>ARP</t>
  </si>
  <si>
    <t>LIG</t>
  </si>
  <si>
    <t>LMO</t>
  </si>
  <si>
    <t>RMH</t>
  </si>
  <si>
    <t>FUR</t>
  </si>
  <si>
    <t>LOG
SRD</t>
  </si>
  <si>
    <t>CPN
SRD</t>
  </si>
  <si>
    <t>COR</t>
  </si>
  <si>
    <t>ITA</t>
  </si>
  <si>
    <t>ABR</t>
  </si>
  <si>
    <t>CAM</t>
  </si>
  <si>
    <t>PGL</t>
  </si>
  <si>
    <t>SCN</t>
  </si>
  <si>
    <t>VEN</t>
  </si>
  <si>
    <t>ARO</t>
  </si>
  <si>
    <t>ROM</t>
  </si>
  <si>
    <t>Grapheme</t>
  </si>
  <si>
    <t>B</t>
  </si>
  <si>
    <t>b</t>
  </si>
  <si>
    <r>
      <rPr>
        <sz val="12"/>
        <color rgb="FF000000"/>
        <rFont val="Tahoma"/>
      </rPr>
      <t>b</t>
    </r>
    <r>
      <rPr>
        <sz val="9"/>
        <color rgb="FF000000"/>
        <rFont val="Tahoma"/>
      </rPr>
      <t xml:space="preserve"> (b)</t>
    </r>
  </si>
  <si>
    <t>b/v</t>
  </si>
  <si>
    <t>v</t>
  </si>
  <si>
    <t>IPA</t>
  </si>
  <si>
    <t>b (v)</t>
  </si>
  <si>
    <t>b~v</t>
  </si>
  <si>
    <t>IPA key</t>
  </si>
  <si>
    <t>Consonantal +/−</t>
  </si>
  <si>
    <t>+</t>
  </si>
  <si>
    <t>Voice +/−</t>
  </si>
  <si>
    <t>Sibilant +/−</t>
  </si>
  <si>
    <t>−</t>
  </si>
  <si>
    <t>Lateral +/−</t>
  </si>
  <si>
    <t>Place of articulation</t>
  </si>
  <si>
    <t>Place value</t>
  </si>
  <si>
    <t>Manner of articulation</t>
  </si>
  <si>
    <t>P</t>
  </si>
  <si>
    <t>P (F)</t>
  </si>
  <si>
    <t>P~F</t>
  </si>
  <si>
    <t>F</t>
  </si>
  <si>
    <t>Sonority value</t>
  </si>
  <si>
    <t>Overview of common sound changes</t>
  </si>
  <si>
    <t>b // #_{a,O}</t>
  </si>
  <si>
    <t>typically /b/</t>
  </si>
  <si>
    <t>BĔLLU, BĔNE, BĬBĔRE, BILĂNCIA, BITTŪME, BĪSTIA</t>
  </si>
  <si>
    <t>#_E</t>
  </si>
  <si>
    <t>b // #_E</t>
  </si>
  <si>
    <t>T-</t>
  </si>
  <si>
    <t>003a) TĒ, TĒGULA, TĬNGERE; 003b) TENĒRE, TĔRRA, TĔRTIU, TĔSTA, TĔXERE; 003c) TĪTIŌNE</t>
  </si>
  <si>
    <t>T</t>
  </si>
  <si>
    <t>t</t>
  </si>
  <si>
    <t>ts</t>
  </si>
  <si>
    <t>ț</t>
  </si>
  <si>
    <t>t̪</t>
  </si>
  <si>
    <t>t͡s̪</t>
  </si>
  <si>
    <t>t̠͡ʃ</t>
  </si>
  <si>
    <t>D</t>
  </si>
  <si>
    <t>Ɉ</t>
  </si>
  <si>
    <t>P͡F</t>
  </si>
  <si>
    <t>003a,b</t>
  </si>
  <si>
    <t>003a</t>
  </si>
  <si>
    <t>003b,c</t>
  </si>
  <si>
    <t>003c</t>
  </si>
  <si>
    <t>003a: t // #_{ĕNC,ē,ĭ}</t>
  </si>
  <si>
    <t>typically /t/</t>
  </si>
  <si>
    <t>003b: t / ? / #_{ĕ²}</t>
  </si>
  <si>
    <t>/t͡s/ in ARO,ROM</t>
  </si>
  <si>
    <t>003c: t / ? / #_ī</t>
  </si>
  <si>
    <t>/t͡ʃ/ in BR.POR</t>
  </si>
  <si>
    <t>Romanian: t͡s̪</t>
  </si>
  <si>
    <r>
      <rPr>
        <sz val="12"/>
        <color rgb="FF000000"/>
        <rFont val="Tahoma"/>
      </rPr>
      <t xml:space="preserve">1) ē; ĭ; stressed /ĕ/~/æ/ followed by a cluster /NC/ (&gt; ERom. /e/)
2) stressed /ĕ/~/æ/ </t>
    </r>
    <r>
      <rPr>
        <i/>
        <sz val="12"/>
        <color rgb="FF000000"/>
        <rFont val="Tahoma"/>
      </rPr>
      <t>*not*</t>
    </r>
    <r>
      <rPr>
        <sz val="12"/>
        <color rgb="FF000000"/>
        <rFont val="Tahoma"/>
      </rPr>
      <t xml:space="preserve"> followed by a cluster /NC/ (&gt; ERom. /je/)
3) i + vowel (consonantal /i/) (&gt; ERom. /j/)
4) long /i:/ (&gt; ERom. /i/), if not elided</t>
    </r>
  </si>
  <si>
    <t>TĀBŬLA, TĂNGERE, TĂXU/TAXŎNE, TOCCĀRE, TŎRCULU, TŬRRE, TŪ</t>
  </si>
  <si>
    <t>004a</t>
  </si>
  <si>
    <t>004b</t>
  </si>
  <si>
    <t>004a: t // #_{a,o,ŭ}</t>
  </si>
  <si>
    <t>004b: t // #_ū</t>
  </si>
  <si>
    <t>D-</t>
  </si>
  <si>
    <t>005a) DĒ, DĒBĒRE, DĔNTE, DĬGĬTU;
005b) DĔCE, DĪCERE, DĪĒ/DĪA, DĪĀNA</t>
  </si>
  <si>
    <t>d</t>
  </si>
  <si>
    <t>dz</t>
  </si>
  <si>
    <t>z</t>
  </si>
  <si>
    <t>d̪</t>
  </si>
  <si>
    <t>d̪~ɾ</t>
  </si>
  <si>
    <t>d͡z̪</t>
  </si>
  <si>
    <t>z̪</t>
  </si>
  <si>
    <t>d̠͡ʒ</t>
  </si>
  <si>
    <t>P~L</t>
  </si>
  <si>
    <t>005a,b</t>
  </si>
  <si>
    <t>005a</t>
  </si>
  <si>
    <t>005b,c</t>
  </si>
  <si>
    <t>005c</t>
  </si>
  <si>
    <t>005a: d // #_{ĕNC,ē,ĭ}</t>
  </si>
  <si>
    <t>typically /d/</t>
  </si>
  <si>
    <t>005b: d /? / #_{ĕ³}</t>
  </si>
  <si>
    <t>/d͡z/ in ARO, /z/ in ROM</t>
  </si>
  <si>
    <t>005c: d / ? / #_ī</t>
  </si>
  <si>
    <t>/d͡ʒ/ in BR.POR</t>
  </si>
  <si>
    <t>/d͡z/ in ARO, QBC.FRA, /z/ in ROM</t>
  </si>
  <si>
    <t>DĂMNU, DĂRE, DŎMĬNA, DORMĪRE, DŬLCE, DŬO(S)</t>
  </si>
  <si>
    <t>006a</t>
  </si>
  <si>
    <t>006b</t>
  </si>
  <si>
    <t>006a: d // #_{a,o,ŭ}</t>
  </si>
  <si>
    <t>006b: d // #_ū</t>
  </si>
  <si>
    <t>C-</t>
  </si>
  <si>
    <t>007a: CĬNĔRE, CÆLU, CĔRĔBĔLLU, CĔNTU, CĔRĔSĔA, CĒPA, CĬCĔRU, CĬLĬU; 007b: CĪNCTU, CĪMĬCE, CĪVĬTĀTE, CĪCCU</t>
  </si>
  <si>
    <t>C</t>
  </si>
  <si>
    <t>c</t>
  </si>
  <si>
    <t>ç</t>
  </si>
  <si>
    <t>sc</t>
  </si>
  <si>
    <t>tsch</t>
  </si>
  <si>
    <t>ch</t>
  </si>
  <si>
    <t>s/th</t>
  </si>
  <si>
    <t>k</t>
  </si>
  <si>
    <r>
      <rPr>
        <sz val="12"/>
        <color rgb="FF000000"/>
        <rFont val="Tahoma"/>
      </rPr>
      <t>s</t>
    </r>
    <r>
      <rPr>
        <sz val="10.5"/>
        <color rgb="FF000000"/>
        <rFont val="Tahoma"/>
      </rPr>
      <t xml:space="preserve"> (s̪)</t>
    </r>
  </si>
  <si>
    <t>s</t>
  </si>
  <si>
    <t>θ (s)</t>
  </si>
  <si>
    <t>θ</t>
  </si>
  <si>
    <t>s̟</t>
  </si>
  <si>
    <t>s̠</t>
  </si>
  <si>
    <t>s̪</t>
  </si>
  <si>
    <r>
      <rPr>
        <sz val="12"/>
        <color rgb="FF000000"/>
        <rFont val="Tahoma"/>
      </rPr>
      <t>s</t>
    </r>
    <r>
      <rPr>
        <sz val="10.5"/>
        <color rgb="FF000000"/>
        <rFont val="Tahoma"/>
      </rPr>
      <t xml:space="preserve"> (t͡s)</t>
    </r>
  </si>
  <si>
    <t>ʃ~s̠</t>
  </si>
  <si>
    <t>t̠͡ʃ~s̠</t>
  </si>
  <si>
    <t>s̠~θ</t>
  </si>
  <si>
    <t>+/−</t>
  </si>
  <si>
    <t>K</t>
  </si>
  <si>
    <t>Ɉ~D</t>
  </si>
  <si>
    <r>
      <rPr>
        <sz val="12"/>
        <color rgb="FF000000"/>
        <rFont val="Tahoma"/>
      </rPr>
      <t>F</t>
    </r>
    <r>
      <rPr>
        <sz val="10.5"/>
        <color rgb="FF000000"/>
        <rFont val="Tahoma"/>
      </rPr>
      <t xml:space="preserve"> (P͡F)</t>
    </r>
  </si>
  <si>
    <t>007a: k / ? / #_{e,ĭ}</t>
  </si>
  <si>
    <t>/k/ in LOG.SRD, DAL</t>
  </si>
  <si>
    <t>/t͡ʃ/ in ITA, ROM</t>
  </si>
  <si>
    <t>/s/ in POR, AND.ESP, AMR.ESP, CVB, FRA</t>
  </si>
  <si>
    <t>/θ/ in CAS.ESP</t>
  </si>
  <si>
    <t>007b: k / ? / #_ī</t>
  </si>
  <si>
    <t>/k/ in LOG.SRD</t>
  </si>
  <si>
    <t>008a: CĂPRA, CĂRBŌNE, CĂNTĀRE;
008b: CĂTTU, CĂRY̆ŎPHY̆LLU</t>
  </si>
  <si>
    <t>#_a</t>
  </si>
  <si>
    <r>
      <rPr>
        <sz val="12"/>
        <color rgb="FF000000"/>
        <rFont val="Tahoma"/>
      </rPr>
      <t>c</t>
    </r>
    <r>
      <rPr>
        <sz val="9"/>
        <color rgb="FF000000"/>
        <rFont val="Tahoma"/>
      </rPr>
      <t xml:space="preserve"> (ch)</t>
    </r>
  </si>
  <si>
    <t>tch</t>
  </si>
  <si>
    <t>cj</t>
  </si>
  <si>
    <r>
      <rPr>
        <sz val="12"/>
        <color rgb="FF000000"/>
        <rFont val="Tahoma"/>
      </rPr>
      <t>k</t>
    </r>
    <r>
      <rPr>
        <sz val="9"/>
        <color rgb="FF000000"/>
        <rFont val="Tahoma"/>
      </rPr>
      <t xml:space="preserve"> (t͡s)</t>
    </r>
  </si>
  <si>
    <t>ʃ</t>
  </si>
  <si>
    <t>t̠͡ʃ~θ</t>
  </si>
  <si>
    <t>k~c</t>
  </si>
  <si>
    <t>c~t̠͡ʃ</t>
  </si>
  <si>
    <t>−/+</t>
  </si>
  <si>
    <r>
      <rPr>
        <sz val="12"/>
        <color rgb="FF000000"/>
        <rFont val="Tahoma"/>
      </rPr>
      <t>+</t>
    </r>
    <r>
      <rPr>
        <sz val="9"/>
        <color rgb="FF000000"/>
        <rFont val="Tahoma"/>
      </rPr>
      <t xml:space="preserve"> (−)</t>
    </r>
  </si>
  <si>
    <r>
      <rPr>
        <sz val="12"/>
        <color rgb="FF000000"/>
        <rFont val="Tahoma"/>
      </rPr>
      <t>K</t>
    </r>
    <r>
      <rPr>
        <sz val="9"/>
        <color rgb="FF000000"/>
        <rFont val="Tahoma"/>
      </rPr>
      <t xml:space="preserve"> (Ɉ)</t>
    </r>
  </si>
  <si>
    <t>K~Ɉ</t>
  </si>
  <si>
    <r>
      <rPr>
        <sz val="12"/>
        <color rgb="FF000000"/>
        <rFont val="Tahoma"/>
      </rPr>
      <t>P</t>
    </r>
    <r>
      <rPr>
        <sz val="9"/>
        <color rgb="FF000000"/>
        <rFont val="Tahoma"/>
      </rPr>
      <t xml:space="preserve"> (P͡F)</t>
    </r>
  </si>
  <si>
    <t>P͡F~F</t>
  </si>
  <si>
    <t>P~P͡F</t>
  </si>
  <si>
    <t>008a: k / ? / #_a</t>
  </si>
  <si>
    <t>typically /k/</t>
  </si>
  <si>
    <t>palatalized to /(t)ʃ/ in Gallo-Romance</t>
  </si>
  <si>
    <t>008b: k / ɡ / #_a</t>
  </si>
  <si>
    <t>typically /ɡ/</t>
  </si>
  <si>
    <t>palatalized to /(d)ʒ/ in Gallo-Romance</t>
  </si>
  <si>
    <t>009a) CŎCERE, CŎLLU, CŎLŌRE, CŬM, CŬNĪCŬLU; 009b) CŬBĬTU</t>
  </si>
  <si>
    <t>#_{o,ŭ}</t>
  </si>
  <si>
    <t>g</t>
  </si>
  <si>
    <t>ɡ</t>
  </si>
  <si>
    <t>009a</t>
  </si>
  <si>
    <t>009b</t>
  </si>
  <si>
    <t>009a: k // #_{o,ŭ}</t>
  </si>
  <si>
    <t>009b: k / ɡ / #_{o,ŭ}</t>
  </si>
  <si>
    <t>CŪLU, CŪRA, CŪNA</t>
  </si>
  <si>
    <t>#_ū</t>
  </si>
  <si>
    <t>tg</t>
  </si>
  <si>
    <t>k // #_ū</t>
  </si>
  <si>
    <t>G-</t>
  </si>
  <si>
    <t>GĔNĔRU, GĔLU, GY̆PSU</t>
  </si>
  <si>
    <t>ˈ#_E</t>
  </si>
  <si>
    <t>G</t>
  </si>
  <si>
    <t>x</t>
  </si>
  <si>
    <t>y</t>
  </si>
  <si>
    <t>dj</t>
  </si>
  <si>
    <t>sg</t>
  </si>
  <si>
    <t>sch</t>
  </si>
  <si>
    <t>ghj</t>
  </si>
  <si>
    <t>j</t>
  </si>
  <si>
    <t>z/dh</t>
  </si>
  <si>
    <t>ʒ</t>
  </si>
  <si>
    <t>ɟ͡ʝ</t>
  </si>
  <si>
    <r>
      <rPr>
        <sz val="11"/>
        <color rgb="FF000000"/>
        <rFont val="Tahoma"/>
      </rPr>
      <t>̠d̠͡ʒ</t>
    </r>
    <r>
      <rPr>
        <sz val="9.5"/>
        <color rgb="FF000000"/>
        <rFont val="Tahoma"/>
      </rPr>
      <t xml:space="preserve"> (d͡z̠)</t>
    </r>
  </si>
  <si>
    <t>d͡z~ð</t>
  </si>
  <si>
    <r>
      <rPr>
        <sz val="12"/>
        <color rgb="FF000000"/>
        <rFont val="Tahoma"/>
      </rPr>
      <t>z</t>
    </r>
    <r>
      <rPr>
        <sz val="10"/>
        <color rgb="FF000000"/>
        <rFont val="Tahoma"/>
      </rPr>
      <t xml:space="preserve"> (d͡z)</t>
    </r>
  </si>
  <si>
    <t>d̠͡ʒ~z</t>
  </si>
  <si>
    <t>d̠͡ʒ~ʃ</t>
  </si>
  <si>
    <t>ɟ</t>
  </si>
  <si>
    <t>z̠~ð</t>
  </si>
  <si>
    <t>Ɉ (D)</t>
  </si>
  <si>
    <t>W</t>
  </si>
  <si>
    <t>ɡ / ? / ˈ#_E</t>
  </si>
  <si>
    <t>typically palatalized to /(d̠͡)ʒ/</t>
  </si>
  <si>
    <t>/ɟ͡ʝ/ in ESP</t>
  </si>
  <si>
    <t>GĔLĀRE, GENŬCŬLU, GENĔSTA, GĬNGĪVA</t>
  </si>
  <si>
    <t>#_E.ˈ</t>
  </si>
  <si>
    <t>h/∅</t>
  </si>
  <si>
    <t>∅</t>
  </si>
  <si>
    <t>g / ? / #_E.ˈ</t>
  </si>
  <si>
    <t>∅ in ESP</t>
  </si>
  <si>
    <t>GĂLLU, GĂLLĪNA, GĂLBĬNU, GĂUDĬU, GĂLLA</t>
  </si>
  <si>
    <r>
      <rPr>
        <sz val="12"/>
        <color rgb="FF000000"/>
        <rFont val="Tahoma"/>
      </rPr>
      <t>g</t>
    </r>
    <r>
      <rPr>
        <sz val="9"/>
        <color rgb="FF000000"/>
        <rFont val="Tahoma"/>
      </rPr>
      <t xml:space="preserve"> (gh)</t>
    </r>
  </si>
  <si>
    <r>
      <rPr>
        <sz val="12"/>
        <color rgb="FF000000"/>
        <rFont val="Tahoma"/>
      </rPr>
      <t>g</t>
    </r>
    <r>
      <rPr>
        <sz val="9"/>
        <color rgb="FF000000"/>
        <rFont val="Tahoma"/>
      </rPr>
      <t xml:space="preserve"> (j)</t>
    </r>
  </si>
  <si>
    <t>j/g</t>
  </si>
  <si>
    <t>gi</t>
  </si>
  <si>
    <t>gj</t>
  </si>
  <si>
    <t>g/j</t>
  </si>
  <si>
    <t>ɡ (ħ)</t>
  </si>
  <si>
    <r>
      <rPr>
        <sz val="12"/>
        <color rgb="FF000000"/>
        <rFont val="Tahoma"/>
      </rPr>
      <t>ɡ</t>
    </r>
    <r>
      <rPr>
        <sz val="9"/>
        <color rgb="FF000000"/>
        <rFont val="Tahoma"/>
      </rPr>
      <t xml:space="preserve"> (d͡z)</t>
    </r>
  </si>
  <si>
    <t>ɟ~d̠͡ʒ</t>
  </si>
  <si>
    <t>ɡ~j</t>
  </si>
  <si>
    <t>+ (−)</t>
  </si>
  <si>
    <t>K (H)</t>
  </si>
  <si>
    <t>P~W</t>
  </si>
  <si>
    <t>ɡ / ? / #_a</t>
  </si>
  <si>
    <t>palatalized to /(d̠͡)ʒ/ in Gallo-Romance</t>
  </si>
  <si>
    <t>GŬBĔRNĀRE, GŬLA, GŬRGU, GŬSTĀRE, GŬTTA</t>
  </si>
  <si>
    <t>#_O</t>
  </si>
  <si>
    <t>ɡ // #_O</t>
  </si>
  <si>
    <t>N-</t>
  </si>
  <si>
    <t>NĬVE/NĔVE, NEPŌTE</t>
  </si>
  <si>
    <t>N</t>
  </si>
  <si>
    <t>n</t>
  </si>
  <si>
    <t>n/ñ</t>
  </si>
  <si>
    <t>n~ɲ</t>
  </si>
  <si>
    <t>n̪</t>
  </si>
  <si>
    <t>D~Ɉ</t>
  </si>
  <si>
    <t>n // #_E</t>
  </si>
  <si>
    <t>typically /n/</t>
  </si>
  <si>
    <t>NŬRA/NŎRA, NŌMEN/NŌMĬNE, NĀSU, NATĀRE</t>
  </si>
  <si>
    <t>n // #_{a,O}</t>
  </si>
  <si>
    <t>M-</t>
  </si>
  <si>
    <t>MĂNU, MĒ, MĬLLE, MŎLLE, MŬLTU</t>
  </si>
  <si>
    <t>#_</t>
  </si>
  <si>
    <t>M</t>
  </si>
  <si>
    <t>m</t>
  </si>
  <si>
    <t>m // #_</t>
  </si>
  <si>
    <t>typically /m/</t>
  </si>
  <si>
    <t>F-</t>
  </si>
  <si>
    <t>FŎCU, FĔRA, FĔBRE, FŎNTE, FŎRĪS; FŎSSA</t>
  </si>
  <si>
    <t>ˈ#_{ĕ,ŏ}</t>
  </si>
  <si>
    <t>f</t>
  </si>
  <si>
    <r>
      <rPr>
        <sz val="12"/>
        <color rgb="FF000000"/>
        <rFont val="Tahoma"/>
      </rPr>
      <t>f</t>
    </r>
    <r>
      <rPr>
        <sz val="9"/>
        <color rgb="FF000000"/>
        <rFont val="Tahoma"/>
      </rPr>
      <t xml:space="preserve"> (ḥ)</t>
    </r>
  </si>
  <si>
    <t>ɸ~f</t>
  </si>
  <si>
    <r>
      <rPr>
        <sz val="12"/>
        <color rgb="FF000000"/>
        <rFont val="Tahoma"/>
      </rPr>
      <t>f</t>
    </r>
    <r>
      <rPr>
        <sz val="9"/>
        <color rgb="FF000000"/>
        <rFont val="Tahoma"/>
      </rPr>
      <t xml:space="preserve"> (h)</t>
    </r>
  </si>
  <si>
    <r>
      <rPr>
        <sz val="12"/>
        <color rgb="FF000000"/>
        <rFont val="Tahoma"/>
      </rPr>
      <t>B</t>
    </r>
    <r>
      <rPr>
        <sz val="9"/>
        <color rgb="FF000000"/>
        <rFont val="Tahoma"/>
      </rPr>
      <t xml:space="preserve"> (H)</t>
    </r>
  </si>
  <si>
    <t>f / ? / ˈ#_{ĕ,ŏ}</t>
  </si>
  <si>
    <t>typically /f/</t>
  </si>
  <si>
    <r>
      <rPr>
        <sz val="12"/>
        <color rgb="FF000000"/>
        <rFont val="Tahoma"/>
      </rPr>
      <t xml:space="preserve">17b: FŎSSA &gt; Spanish </t>
    </r>
    <r>
      <rPr>
        <i/>
        <sz val="12"/>
        <color rgb="FF000000"/>
        <rFont val="Tahoma"/>
      </rPr>
      <t>huesa</t>
    </r>
    <r>
      <rPr>
        <sz val="12"/>
        <color rgb="FF000000"/>
        <rFont val="Tahoma"/>
      </rPr>
      <t xml:space="preserve">, against expected /f/ (cf. also </t>
    </r>
    <r>
      <rPr>
        <i/>
        <sz val="12"/>
        <color rgb="FF000000"/>
        <rFont val="Tahoma"/>
      </rPr>
      <t>fosa</t>
    </r>
    <r>
      <rPr>
        <sz val="12"/>
        <color rgb="FF000000"/>
        <rFont val="Tahoma"/>
      </rPr>
      <t>)</t>
    </r>
  </si>
  <si>
    <t>FĂRĪNA, FÆNU/FĒNU, FĒMINA, FŬRNU, FŬRCA, FŪMU, FĂBA</t>
  </si>
  <si>
    <t>#_{a,ē,i,ō,u}</t>
  </si>
  <si>
    <t>h</t>
  </si>
  <si>
    <t>h~∅</t>
  </si>
  <si>
    <t>H</t>
  </si>
  <si>
    <t>F~∅</t>
  </si>
  <si>
    <t>f / ? / #_{a,ē,i,ō,u}</t>
  </si>
  <si>
    <t>V-</t>
  </si>
  <si>
    <t>VĪNEA, VĬTĔLLU, VĪCĪNU/*VECĪNU, *VĬRDE, VĔSPA, *VESSĪCA</t>
  </si>
  <si>
    <t>V</t>
  </si>
  <si>
    <t>w</t>
  </si>
  <si>
    <t>v (b)</t>
  </si>
  <si>
    <t>BK</t>
  </si>
  <si>
    <t>w // #_E</t>
  </si>
  <si>
    <t>typically /v/</t>
  </si>
  <si>
    <t>020a) VĂCCA, VŬLPĔ, VOLĒRĔ, VŎLŬTA, VŬLTŬRĔ; 020b) VŎLVĔRĔ</t>
  </si>
  <si>
    <t>020a: w // #_{a,O}</t>
  </si>
  <si>
    <t>020b: w / ? / #_{a,O}</t>
  </si>
  <si>
    <t>/h/ in ROM</t>
  </si>
  <si>
    <t>S-</t>
  </si>
  <si>
    <t>021a) SĬCCU, SĒBU, SĬTĬ, SĬGNU;
021b) SĔRVU, SĔPTĔ, SĪMĬU/SĪMĬA, SĪC</t>
  </si>
  <si>
    <t>S</t>
  </si>
  <si>
    <t>ș</t>
  </si>
  <si>
    <r>
      <rPr>
        <sz val="12"/>
        <color rgb="FF000000"/>
        <rFont val="Tahoma"/>
      </rPr>
      <t>s</t>
    </r>
    <r>
      <rPr>
        <sz val="10.5"/>
        <color rgb="FF000000"/>
        <rFont val="Tahoma"/>
      </rPr>
      <t xml:space="preserve"> (s̠)</t>
    </r>
  </si>
  <si>
    <r>
      <rPr>
        <sz val="12"/>
        <color rgb="FF000000"/>
        <rFont val="Tahoma"/>
      </rPr>
      <t>s̠</t>
    </r>
    <r>
      <rPr>
        <sz val="9"/>
        <color rgb="FF000000"/>
        <rFont val="Tahoma"/>
      </rPr>
      <t xml:space="preserve"> (s)</t>
    </r>
  </si>
  <si>
    <t>s̠~s</t>
  </si>
  <si>
    <t>021a</t>
  </si>
  <si>
    <t>021b,c</t>
  </si>
  <si>
    <t>021a: s // ˈ#_{ĕNC,ē,ĭ}</t>
  </si>
  <si>
    <t>typically /s/</t>
  </si>
  <si>
    <t>021b: s / ? / ˈ#_{ĕ³,ī}</t>
  </si>
  <si>
    <t>/ʃ/ in ROM</t>
  </si>
  <si>
    <t>Romanian:</t>
  </si>
  <si>
    <t>1) long /i:/ (&gt; ERom. /i/), if not elided.
2) i + vowel (consonantal /i/) (&gt; ERom. /j/)
3) stressed short /e/ ~ /ae/ *not* followed by a nasal cluster /NC/ (&gt; ERom. /je/)</t>
  </si>
  <si>
    <t>022a) SĬGĔLLU/SĬGĬLLU, SĬCCĀRE, SĔNTĪRE, SĒMINĀRE; 022b) SĔCĀRE, SÆTĂCĬU</t>
  </si>
  <si>
    <t>#_Eˈ</t>
  </si>
  <si>
    <t>022a</t>
  </si>
  <si>
    <t>022b,c</t>
  </si>
  <si>
    <t>022a: s // #_{ĕNC,ē,ĭ}ˈ</t>
  </si>
  <si>
    <t>022b: s / ? / #_{ĕ³,ī}ˈ</t>
  </si>
  <si>
    <t>SŎNU, SĀNU, SAPĒRE, SĀL[E], SŬBTU/-A</t>
  </si>
  <si>
    <t>s / ? / #_{a,O}</t>
  </si>
  <si>
    <t>H-</t>
  </si>
  <si>
    <t>024a) *HĂPPIA, *HĂGGIA, HĂRPA, *HERIWALD, *HĂSPA, HĒNRĪCUS; 024b) HĔRBA, HŎMŌ/HŎMĬNĔ</t>
  </si>
  <si>
    <r>
      <rPr>
        <sz val="12"/>
        <color rgb="FF000000"/>
        <rFont val="Tahoma"/>
      </rPr>
      <t>H</t>
    </r>
    <r>
      <rPr>
        <sz val="10.5"/>
        <color rgb="FF000000"/>
        <rFont val="Tahoma"/>
      </rPr>
      <t xml:space="preserve"> (∅)</t>
    </r>
  </si>
  <si>
    <t>∅/h</t>
  </si>
  <si>
    <t>024a</t>
  </si>
  <si>
    <t>024b</t>
  </si>
  <si>
    <t>h / ∅ / #_</t>
  </si>
  <si>
    <t>almost always silent</t>
  </si>
  <si>
    <t>(024a: Germanic-derived words)</t>
  </si>
  <si>
    <t>(024b: native Latin-derived words)</t>
  </si>
  <si>
    <t>R-</t>
  </si>
  <si>
    <t>RĪPA, RŎTA, RĀNA</t>
  </si>
  <si>
    <t>R</t>
  </si>
  <si>
    <t>r</t>
  </si>
  <si>
    <t>ʁ (r)</t>
  </si>
  <si>
    <t>x~h</t>
  </si>
  <si>
    <t>r̠</t>
  </si>
  <si>
    <r>
      <rPr>
        <sz val="12"/>
        <color rgb="FF000000"/>
        <rFont val="Tahoma"/>
      </rPr>
      <t>r</t>
    </r>
    <r>
      <rPr>
        <sz val="10.5"/>
        <color rgb="FF000000"/>
        <rFont val="Tahoma"/>
      </rPr>
      <t xml:space="preserve"> (ʀ)</t>
    </r>
  </si>
  <si>
    <r>
      <rPr>
        <sz val="12"/>
        <color rgb="FF000000"/>
        <rFont val="Tahoma"/>
      </rPr>
      <t>ʁ</t>
    </r>
    <r>
      <rPr>
        <sz val="10"/>
        <color rgb="FF000000"/>
        <rFont val="Tahoma"/>
      </rPr>
      <t xml:space="preserve"> (ʀ)</t>
    </r>
  </si>
  <si>
    <t>ʀ</t>
  </si>
  <si>
    <r>
      <rPr>
        <sz val="12"/>
        <color rgb="FF000000"/>
        <rFont val="Tahoma"/>
      </rPr>
      <t>r</t>
    </r>
    <r>
      <rPr>
        <sz val="10.5"/>
        <color rgb="FF000000"/>
        <rFont val="Tahoma"/>
      </rPr>
      <t xml:space="preserve"> (ʁ)</t>
    </r>
  </si>
  <si>
    <t>ʐː~rː</t>
  </si>
  <si>
    <t>ɾ̪</t>
  </si>
  <si>
    <r>
      <rPr>
        <sz val="12"/>
        <color rgb="FF000000"/>
        <rFont val="Tahoma"/>
      </rPr>
      <t>Q</t>
    </r>
    <r>
      <rPr>
        <sz val="11"/>
        <color rgb="FF000000"/>
        <rFont val="Tahoma"/>
      </rPr>
      <t xml:space="preserve"> (D)</t>
    </r>
  </si>
  <si>
    <t>K~H</t>
  </si>
  <si>
    <r>
      <rPr>
        <sz val="12"/>
        <color rgb="FF000000"/>
        <rFont val="Tahoma"/>
      </rPr>
      <t>D</t>
    </r>
    <r>
      <rPr>
        <sz val="10.5"/>
        <color rgb="FF000000"/>
        <rFont val="Tahoma"/>
      </rPr>
      <t xml:space="preserve"> (Q)</t>
    </r>
  </si>
  <si>
    <t>Q</t>
  </si>
  <si>
    <t>L</t>
  </si>
  <si>
    <t>F (L)</t>
  </si>
  <si>
    <r>
      <rPr>
        <sz val="12"/>
        <color rgb="FF000000"/>
        <rFont val="Tahoma"/>
      </rPr>
      <t>F</t>
    </r>
    <r>
      <rPr>
        <sz val="10"/>
        <color rgb="FF000000"/>
        <rFont val="Tahoma"/>
      </rPr>
      <t xml:space="preserve"> (L)</t>
    </r>
  </si>
  <si>
    <r>
      <rPr>
        <sz val="12"/>
        <color rgb="FF000000"/>
        <rFont val="Tahoma"/>
      </rPr>
      <t>L</t>
    </r>
    <r>
      <rPr>
        <sz val="11"/>
        <color rgb="FF000000"/>
        <rFont val="Tahoma"/>
      </rPr>
      <t xml:space="preserve"> (F)</t>
    </r>
  </si>
  <si>
    <t>FF~LL</t>
  </si>
  <si>
    <t>r / ? / #_</t>
  </si>
  <si>
    <t>typically /r/</t>
  </si>
  <si>
    <t>/ʁ~ʀ/ in EU.POR, FRA</t>
  </si>
  <si>
    <t>/x~h/ in BR.POR</t>
  </si>
  <si>
    <t>L-</t>
  </si>
  <si>
    <t>LĪNU, LĔCTU, LĔPORE, LĬGĀRE</t>
  </si>
  <si>
    <t>l</t>
  </si>
  <si>
    <r>
      <rPr>
        <sz val="12"/>
        <color rgb="FF000000"/>
        <rFont val="Tahoma"/>
      </rPr>
      <t>ll</t>
    </r>
    <r>
      <rPr>
        <sz val="10.5"/>
        <color rgb="FF000000"/>
        <rFont val="Tahoma"/>
      </rPr>
      <t xml:space="preserve"> (ḷḷ)</t>
    </r>
  </si>
  <si>
    <r>
      <rPr>
        <sz val="12"/>
        <color rgb="FF000000"/>
        <rFont val="Tahoma"/>
      </rPr>
      <t>l</t>
    </r>
    <r>
      <rPr>
        <sz val="11"/>
        <color rgb="FF000000"/>
        <rFont val="Tahoma"/>
      </rPr>
      <t xml:space="preserve"> (ll)</t>
    </r>
  </si>
  <si>
    <t>ll</t>
  </si>
  <si>
    <t>ł/l</t>
  </si>
  <si>
    <t>gl</t>
  </si>
  <si>
    <t>ɫ̪</t>
  </si>
  <si>
    <r>
      <rPr>
        <sz val="10.5"/>
        <color rgb="FF000000"/>
        <rFont val="Tahoma"/>
      </rPr>
      <t>ȴ</t>
    </r>
    <r>
      <rPr>
        <sz val="8"/>
        <color rgb="FF000000"/>
        <rFont val="Tahoma"/>
      </rPr>
      <t>[ʎ̟] (ʈ͡ʂ)</t>
    </r>
  </si>
  <si>
    <r>
      <rPr>
        <sz val="12"/>
        <color rgb="FF000000"/>
        <rFont val="Tahoma"/>
      </rPr>
      <t>l</t>
    </r>
    <r>
      <rPr>
        <sz val="10.5"/>
        <color rgb="FF000000"/>
        <rFont val="Tahoma"/>
      </rPr>
      <t xml:space="preserve"> (ȴ)</t>
    </r>
  </si>
  <si>
    <r>
      <rPr>
        <sz val="12"/>
        <color rgb="FF000000"/>
        <rFont val="Tahoma"/>
      </rPr>
      <t>ȴ</t>
    </r>
    <r>
      <rPr>
        <sz val="10.5"/>
        <color rgb="FF000000"/>
        <rFont val="Tahoma"/>
      </rPr>
      <t xml:space="preserve"> [ʎ̟]</t>
    </r>
  </si>
  <si>
    <t>l (ɰ)</t>
  </si>
  <si>
    <t>l̪ʲ</t>
  </si>
  <si>
    <r>
      <rPr>
        <sz val="12"/>
        <color rgb="FF000000"/>
        <rFont val="Tahoma"/>
      </rPr>
      <t>−</t>
    </r>
    <r>
      <rPr>
        <sz val="10"/>
        <color rgb="FF000000"/>
        <rFont val="Tahoma"/>
      </rPr>
      <t xml:space="preserve"> </t>
    </r>
    <r>
      <rPr>
        <sz val="9"/>
        <color rgb="FF000000"/>
        <rFont val="Tahoma"/>
      </rPr>
      <t>(+)</t>
    </r>
  </si>
  <si>
    <t>DQ</t>
  </si>
  <si>
    <r>
      <rPr>
        <sz val="12"/>
        <color rgb="FF000000"/>
        <rFont val="Tahoma"/>
      </rPr>
      <t>D</t>
    </r>
    <r>
      <rPr>
        <sz val="10.5"/>
        <color rgb="FF000000"/>
        <rFont val="Tahoma"/>
      </rPr>
      <t xml:space="preserve"> (Ɉ)</t>
    </r>
  </si>
  <si>
    <t>D (K)</t>
  </si>
  <si>
    <t>LW</t>
  </si>
  <si>
    <r>
      <rPr>
        <sz val="11"/>
        <color rgb="FF000000"/>
        <rFont val="Tahoma"/>
      </rPr>
      <t>LW</t>
    </r>
    <r>
      <rPr>
        <sz val="8"/>
        <color rgb="FF000000"/>
        <rFont val="Tahoma"/>
      </rPr>
      <t xml:space="preserve"> (P͡F)</t>
    </r>
  </si>
  <si>
    <t>LW (W)</t>
  </si>
  <si>
    <t>026a</t>
  </si>
  <si>
    <t>026a,b</t>
  </si>
  <si>
    <t>026b,c</t>
  </si>
  <si>
    <t>026c</t>
  </si>
  <si>
    <t>026a: l / ? / #_e</t>
  </si>
  <si>
    <t>typically /l/</t>
  </si>
  <si>
    <t>/ȴ/ [ʎ̟] in CVB</t>
  </si>
  <si>
    <t>026b: l / ? / #_ĭ</t>
  </si>
  <si>
    <t>026c: l / ? / #_ī</t>
  </si>
  <si>
    <t>/ȴ/ [ʎ̟] in CVB, RMH</t>
  </si>
  <si>
    <t>LĀNA, LŪNA, LŎNGU</t>
  </si>
  <si>
    <t>027a</t>
  </si>
  <si>
    <t>027b</t>
  </si>
  <si>
    <t>027a: l / ? / #_{a,o,ŭ}</t>
  </si>
  <si>
    <t>027b: l / ? / #_ū</t>
  </si>
  <si>
    <t>J-</t>
  </si>
  <si>
    <t>JŎCU, JŎCĀRE, JŬNCU, JŬGU, JŌANNE</t>
  </si>
  <si>
    <t>I</t>
  </si>
  <si>
    <t>j / ? / #_O</t>
  </si>
  <si>
    <t>/x~h/ in ESP</t>
  </si>
  <si>
    <t>JĂNUĀRIU/JĔNUĀRIU, JĒJŪNĀRE, JĬNĬPĔRU, JĔCTĀRE</t>
  </si>
  <si>
    <t>#_{a,E}ˈ</t>
  </si>
  <si>
    <t>g?</t>
  </si>
  <si>
    <t>j? gh?</t>
  </si>
  <si>
    <t>j / ? / #_{a,E}ˈ</t>
  </si>
  <si>
    <t>JĂCĔŌ, JĂM, JĂMBU, *JĂNTĀRE</t>
  </si>
  <si>
    <t>ˈ#_{a,E}</t>
  </si>
  <si>
    <t>j / ? / ˈ#_{a,E}</t>
  </si>
  <si>
    <t>31a</t>
  </si>
  <si>
    <t>W-</t>
  </si>
  <si>
    <t>031a) WĔRRA, WILIĔLMU, WĪTAN</t>
  </si>
  <si>
    <t>gu</t>
  </si>
  <si>
    <t>g/∅</t>
  </si>
  <si>
    <t>v~∅</t>
  </si>
  <si>
    <t>gʷ</t>
  </si>
  <si>
    <t>ɡ~∅</t>
  </si>
  <si>
    <t>P~∅</t>
  </si>
  <si>
    <t>UU</t>
  </si>
  <si>
    <t>o</t>
  </si>
  <si>
    <t>u</t>
  </si>
  <si>
    <t>u/∅</t>
  </si>
  <si>
    <t>u/v</t>
  </si>
  <si>
    <t>w~∅</t>
  </si>
  <si>
    <t>w~v</t>
  </si>
  <si>
    <t>BK~B</t>
  </si>
  <si>
    <t>W~∅</t>
  </si>
  <si>
    <t>W~F</t>
  </si>
  <si>
    <t>031a: w / ? / #_E</t>
  </si>
  <si>
    <t>/ɡw/ in ITA</t>
  </si>
  <si>
    <t>https://en.wiktionary.org/w/index.php?title=Category:Latin_terms_spelled_with_W&amp;from=W</t>
  </si>
  <si>
    <t>31b</t>
  </si>
  <si>
    <t>031b) WARDŌN, WADANIĀRE, WARĪRE, WARNĪRE, WANTU, WADIU, WAI, (WAPSA)</t>
  </si>
  <si>
    <t>ɡ~w</t>
  </si>
  <si>
    <t>K~BK</t>
  </si>
  <si>
    <t>031b: w / ? / #_{a,O}</t>
  </si>
  <si>
    <t>typically /ɡw/</t>
  </si>
  <si>
    <t>/ɡ/ in FRA</t>
  </si>
  <si>
    <t>1.2 Groups of two consonants</t>
  </si>
  <si>
    <t>PL-</t>
  </si>
  <si>
    <t>PLŬVĬA, PLĀNA, PLĀNU, PLĬCĀRE, PLŌRĀRE, PLĂNGĔRE</t>
  </si>
  <si>
    <t>p</t>
  </si>
  <si>
    <t>ci</t>
  </si>
  <si>
    <t>chi</t>
  </si>
  <si>
    <t>l (ll)</t>
  </si>
  <si>
    <t>i</t>
  </si>
  <si>
    <t>ʎ</t>
  </si>
  <si>
    <t>ɫ</t>
  </si>
  <si>
    <t>ʟ</t>
  </si>
  <si>
    <r>
      <rPr>
        <sz val="12"/>
        <color rgb="FF000000"/>
        <rFont val="Tahoma"/>
      </rPr>
      <t>l</t>
    </r>
    <r>
      <rPr>
        <sz val="10"/>
        <color rgb="FF000000"/>
        <rFont val="Tahoma"/>
      </rPr>
      <t xml:space="preserve"> (ȴ~j)</t>
    </r>
  </si>
  <si>
    <t>ɾ</t>
  </si>
  <si>
    <r>
      <rPr>
        <sz val="11.5"/>
        <color rgb="FF000000"/>
        <rFont val="Tahoma"/>
      </rPr>
      <t>LW</t>
    </r>
    <r>
      <rPr>
        <sz val="9"/>
        <color rgb="FF000000"/>
        <rFont val="Tahoma"/>
      </rPr>
      <t>(W)</t>
    </r>
  </si>
  <si>
    <t>032a</t>
  </si>
  <si>
    <t>032b</t>
  </si>
  <si>
    <r>
      <rPr>
        <sz val="11"/>
        <color rgb="FF000000"/>
        <rFont val="Tahoma"/>
      </rPr>
      <t>032a:</t>
    </r>
    <r>
      <rPr>
        <sz val="10.5"/>
        <color rgb="FF000000"/>
        <rFont val="Tahoma"/>
      </rPr>
      <t xml:space="preserve"> pl / ? / #_{a,e,O}
</t>
    </r>
    <r>
      <rPr>
        <sz val="12"/>
        <color rgb="FF000000"/>
        <rFont val="Tahoma"/>
      </rPr>
      <t>032b: pl / ? / #_i</t>
    </r>
  </si>
  <si>
    <t>/pl/ in CVB, FRA, ROM</t>
  </si>
  <si>
    <t>/ʃ/ in POR</t>
  </si>
  <si>
    <t>/pj/ in ITA</t>
  </si>
  <si>
    <t>/ʎ~ɟ͡ʝ/ in ESP</t>
  </si>
  <si>
    <t>BR-</t>
  </si>
  <si>
    <t>BRĂCCHIU, BRĂNCA, BRŪMA</t>
  </si>
  <si>
    <r>
      <rPr>
        <sz val="12"/>
        <color rgb="FF000000"/>
        <rFont val="Tahoma"/>
      </rPr>
      <t>ɾ</t>
    </r>
    <r>
      <rPr>
        <sz val="10.5"/>
        <color rgb="FF000000"/>
        <rFont val="Tahoma"/>
      </rPr>
      <t xml:space="preserve"> (ʀ)</t>
    </r>
  </si>
  <si>
    <t>bɾ // #_</t>
  </si>
  <si>
    <t>typically /bɾ/</t>
  </si>
  <si>
    <t>BL-</t>
  </si>
  <si>
    <t>034a) BLĂTTA, *BLĂNK (grm), BLĂVU/*BLĀO (grm), BLĂNDU; 034b) BLĬTU; 034c) BLĂSTĬMĀRE</t>
  </si>
  <si>
    <t>034a,c</t>
  </si>
  <si>
    <t>034a,b</t>
  </si>
  <si>
    <t>034b</t>
  </si>
  <si>
    <t>034c</t>
  </si>
  <si>
    <r>
      <rPr>
        <sz val="11.5"/>
        <color rgb="FF000000"/>
        <rFont val="Tahoma"/>
      </rPr>
      <t>034a: bl / ? / #_</t>
    </r>
    <r>
      <rPr>
        <sz val="11"/>
        <color rgb="FF000000"/>
        <rFont val="Tahoma"/>
      </rPr>
      <t>{a,e,O}</t>
    </r>
  </si>
  <si>
    <t>/bl/ in ESP, CVB, FRA, ROM</t>
  </si>
  <si>
    <t>/bj/ in ITA</t>
  </si>
  <si>
    <t>/bɾ/ in POR</t>
  </si>
  <si>
    <t>034b: bl / ? / #_i</t>
  </si>
  <si>
    <t>034c: bl / ? / #_</t>
  </si>
  <si>
    <t>TR-</t>
  </si>
  <si>
    <t>TRĒS, TRĂBE, TRĂHĔRE, TRĔMĔRE</t>
  </si>
  <si>
    <t>t̪~ʈ</t>
  </si>
  <si>
    <t>ʈ</t>
  </si>
  <si>
    <t>ɾ~ɽ</t>
  </si>
  <si>
    <t>ɽ</t>
  </si>
  <si>
    <t>tɾ // #_</t>
  </si>
  <si>
    <t>typically /tɾ/</t>
  </si>
  <si>
    <t>DR-</t>
  </si>
  <si>
    <t>DRĂPPU, DIRECTU &gt; D(I)RITTU</t>
  </si>
  <si>
    <t>d̪~ɖ</t>
  </si>
  <si>
    <t>ɖ</t>
  </si>
  <si>
    <t>dɾ // #_</t>
  </si>
  <si>
    <t>typically /dɾ/</t>
  </si>
  <si>
    <t>CR-</t>
  </si>
  <si>
    <t>037a) CRĪTĀRE, CRŬCE, CRĬSTA, CRŬSTA;
037b) CRĀTE, CRĂSSU/-ĬA</t>
  </si>
  <si>
    <t>037a: kɾ // #_</t>
  </si>
  <si>
    <t>typically /kɾ/</t>
  </si>
  <si>
    <t>037b: kɾ / ɡr / #_</t>
  </si>
  <si>
    <t>typically voiced to /ɡr/</t>
  </si>
  <si>
    <t>CL-</t>
  </si>
  <si>
    <t>038a) CLĀVE, CLAUDERE, CLAUDU, CLĀMĀRE;
038b) CLĂSSU, *CLŌCIĀRE; 038c) CLĪNĀRE</t>
  </si>
  <si>
    <t>chj</t>
  </si>
  <si>
    <t>k~ȶ</t>
  </si>
  <si>
    <t>lj</t>
  </si>
  <si>
    <t>~</t>
  </si>
  <si>
    <t>l~j</t>
  </si>
  <si>
    <t>j~∅</t>
  </si>
  <si>
    <t>LW~W</t>
  </si>
  <si>
    <t>038a,b</t>
  </si>
  <si>
    <t>038a</t>
  </si>
  <si>
    <t>038b</t>
  </si>
  <si>
    <t>038c</t>
  </si>
  <si>
    <t>038a: kl / ? / #_{a,O}</t>
  </si>
  <si>
    <t>/kl/ in CVB, FRA</t>
  </si>
  <si>
    <t>/kj/ in ITA, ROM</t>
  </si>
  <si>
    <t>038b: kl / ɡl / #_{a,O}</t>
  </si>
  <si>
    <t>voices to /ɡl/ in FRA</t>
  </si>
  <si>
    <t>038c: kl / ɡl / #_i</t>
  </si>
  <si>
    <t>QU-</t>
  </si>
  <si>
    <t>039a) QUĂTT(Ŭ)ŎR, QUĀRTU;
039b) QUĂNDŌ, QUĂNTU</t>
  </si>
  <si>
    <t>ˈ#_a</t>
  </si>
  <si>
    <t>QV</t>
  </si>
  <si>
    <t>q</t>
  </si>
  <si>
    <t>qu</t>
  </si>
  <si>
    <t>kʷ</t>
  </si>
  <si>
    <t>039a</t>
  </si>
  <si>
    <t>039b</t>
  </si>
  <si>
    <t>039a: kʷ / ? / ˈ#_a</t>
  </si>
  <si>
    <t>typically /kw/</t>
  </si>
  <si>
    <t>/k/ in FRA</t>
  </si>
  <si>
    <t>/p/ in ROM</t>
  </si>
  <si>
    <t>039b: by analogy to QU- question words</t>
  </si>
  <si>
    <t>/kw/ in ROM</t>
  </si>
  <si>
    <t>040a) QUĂTT(Ŭ)ŎRDĔCI;
040b) *QUARRA(I)NTA, QUĂTĔRNU</t>
  </si>
  <si>
    <t>#_aˈ</t>
  </si>
  <si>
    <t>w/∅</t>
  </si>
  <si>
    <t>040a</t>
  </si>
  <si>
    <t>040b</t>
  </si>
  <si>
    <t>040a: kʷ / ? / #_aˈ</t>
  </si>
  <si>
    <t>/kw/ in ITA</t>
  </si>
  <si>
    <t>040b: kʷ / ? / #_aˈ</t>
  </si>
  <si>
    <t>/kw/ in CVB, ITA</t>
  </si>
  <si>
    <t>QUŌMŎDO, QUŎD, QUŎTA</t>
  </si>
  <si>
    <t>kʷ / k / #_O</t>
  </si>
  <si>
    <t>042a) QUÆRĔRE, QUÆSITU, QUĬĒTU/QUĬĒTĀRE, QUĪ;
042b) QUĪNTU/A, QUĪNDĔCĬ</t>
  </si>
  <si>
    <t>qu/c</t>
  </si>
  <si>
    <t>ch/tg</t>
  </si>
  <si>
    <t>q/ch</t>
  </si>
  <si>
    <t>042a</t>
  </si>
  <si>
    <t>042b</t>
  </si>
  <si>
    <t>042a: kʷ / ? / #_E</t>
  </si>
  <si>
    <t>/t͡ʃ/ in ROM</t>
  </si>
  <si>
    <t>042b: semi-learned?</t>
  </si>
  <si>
    <t>GL-</t>
  </si>
  <si>
    <t>043a) GLĂNDE/GLĂNDŬLA, GLĂCĬE, GLĀRĔA;
043b) GLĪR[ŌN]E, GLŎM[ĬSCĔLL]U, GLŎB[ŬSCĔLL]U</t>
  </si>
  <si>
    <t>gh</t>
  </si>
  <si>
    <t>gh/∅</t>
  </si>
  <si>
    <t>ɟ~∅</t>
  </si>
  <si>
    <t>ɡ~ɟ</t>
  </si>
  <si>
    <t>gli/j</t>
  </si>
  <si>
    <t>∅/j</t>
  </si>
  <si>
    <r>
      <rPr>
        <sz val="11"/>
        <color rgb="FF000000"/>
        <rFont val="Tahoma"/>
      </rPr>
      <t>ȴ</t>
    </r>
    <r>
      <rPr>
        <sz val="10.5"/>
        <color rgb="FF000000"/>
        <rFont val="Tahoma"/>
      </rPr>
      <t>[ʎ̟]~</t>
    </r>
    <r>
      <rPr>
        <sz val="11"/>
        <color rgb="FF000000"/>
        <rFont val="Tahoma"/>
      </rPr>
      <t>j</t>
    </r>
  </si>
  <si>
    <t>043a</t>
  </si>
  <si>
    <t>043b</t>
  </si>
  <si>
    <t>043c</t>
  </si>
  <si>
    <t>043a: ɡl / ? / #_
(kept g)</t>
  </si>
  <si>
    <t>/ɡl/ in CVB, FRA</t>
  </si>
  <si>
    <t>/ɡj/ in ITA, ROM</t>
  </si>
  <si>
    <t>/l/ in POR, ESP</t>
  </si>
  <si>
    <t>043b: ɡl / ? / #_
(dropped g)</t>
  </si>
  <si>
    <t>/ɡl/ in CVB(?)</t>
  </si>
  <si>
    <t>/l/ in POR, ESP, FRA</t>
  </si>
  <si>
    <t>043c: gl / ? / #_i</t>
  </si>
  <si>
    <t>Etyma:</t>
  </si>
  <si>
    <t>https://archive.org/details/romanischesetymo00meyeuoft/page/280/mode/2up</t>
  </si>
  <si>
    <t>GLĂBRU/GLĂBRĀRE</t>
  </si>
  <si>
    <t>ɡ[j]</t>
  </si>
  <si>
    <t>GLĂCĬE</t>
  </si>
  <si>
    <t>ɡl</t>
  </si>
  <si>
    <t>gl'</t>
  </si>
  <si>
    <t>ɡj (dj)</t>
  </si>
  <si>
    <t>ɡj</t>
  </si>
  <si>
    <t>GLĂDĬU/GLĂDĬŎLU</t>
  </si>
  <si>
    <t>ɡl, ɡɾ</t>
  </si>
  <si>
    <t>ɡl (ɡɾ)</t>
  </si>
  <si>
    <t>ɡj (d̠͡ʒ)</t>
  </si>
  <si>
    <t>GLĂNDE/-NDŬLA/-NDĔŎLA</t>
  </si>
  <si>
    <t>l, r</t>
  </si>
  <si>
    <t>ɡj, ɡ</t>
  </si>
  <si>
    <t>ɟ, ȴ, j</t>
  </si>
  <si>
    <t>ȴ=ʎ̟</t>
  </si>
  <si>
    <t>ȴ, ɟ</t>
  </si>
  <si>
    <t>GLĀRĔA</t>
  </si>
  <si>
    <t>d̠͡ʒ, ɡ</t>
  </si>
  <si>
    <t>dz~d̠͡ʒ</t>
  </si>
  <si>
    <t>GLĂTTĪRE</t>
  </si>
  <si>
    <t>Glaucus (?)</t>
  </si>
  <si>
    <t>l?</t>
  </si>
  <si>
    <t>GLÆ-,GLĒBA/-ŬLA</t>
  </si>
  <si>
    <t>l, ɡɾ</t>
  </si>
  <si>
    <t>GLĪR[ŌN]E/-U</t>
  </si>
  <si>
    <t>ȴ[ʎ̟] (ʈ͡ʂ)</t>
  </si>
  <si>
    <t>ɡ, l</t>
  </si>
  <si>
    <t>l, ȴ=ʎ̟</t>
  </si>
  <si>
    <t>ɟ, j</t>
  </si>
  <si>
    <t>GLŎBA/-[ŬSCĔLL]U</t>
  </si>
  <si>
    <t>[l]</t>
  </si>
  <si>
    <t>ɡɾ</t>
  </si>
  <si>
    <t>GLŎM[ĬSCĔLL]U</t>
  </si>
  <si>
    <t>d̠͡ʒ, l/r</t>
  </si>
  <si>
    <t>d̠͡ʒ, r</t>
  </si>
  <si>
    <t>l, ɡl</t>
  </si>
  <si>
    <t>GLŬTTĪRE/-ŌNE</t>
  </si>
  <si>
    <t>FR-</t>
  </si>
  <si>
    <t>FRĀXĬNU, FRŎNTE, FRŎNDIA, FRĒNU</t>
  </si>
  <si>
    <t>fɾ // #_</t>
  </si>
  <si>
    <t>typically  /fɾ/</t>
  </si>
  <si>
    <t>FL-</t>
  </si>
  <si>
    <t>FLĂMMA, FLŎCCU, FLĂCCĬDU, FLĀTU, FLŌRE, FLŪME, FLŬXU</t>
  </si>
  <si>
    <t>sci</t>
  </si>
  <si>
    <r>
      <rPr>
        <sz val="10.5"/>
        <color rgb="FF000000"/>
        <rFont val="Tahoma"/>
      </rPr>
      <t>ci</t>
    </r>
    <r>
      <rPr>
        <sz val="8"/>
        <color rgb="FF000000"/>
        <rFont val="Tahoma"/>
      </rPr>
      <t>/hi/xh</t>
    </r>
  </si>
  <si>
    <t>f~ç</t>
  </si>
  <si>
    <t>ç~ʃ</t>
  </si>
  <si>
    <t>B~Ɉ</t>
  </si>
  <si>
    <t>045a</t>
  </si>
  <si>
    <t>045b</t>
  </si>
  <si>
    <t>045c</t>
  </si>
  <si>
    <r>
      <rPr>
        <sz val="12"/>
        <color rgb="FF000000"/>
        <rFont val="Tahoma"/>
      </rPr>
      <t>045a: fl / ? / #_</t>
    </r>
    <r>
      <rPr>
        <sz val="11"/>
        <color rgb="FF000000"/>
        <rFont val="Tahoma"/>
      </rPr>
      <t>{a,e,O}</t>
    </r>
  </si>
  <si>
    <t>/fl/ in CVB, FRA, ROM</t>
  </si>
  <si>
    <t>/fj/ in ITA</t>
  </si>
  <si>
    <t>045b: fl / ? / #_i</t>
  </si>
  <si>
    <t>045c: likely borrowings</t>
  </si>
  <si>
    <t>/fl/ in ESP, CVB, FRA, ROM</t>
  </si>
  <si>
    <t>/fɾ/ in POR</t>
  </si>
  <si>
    <t>SP-</t>
  </si>
  <si>
    <t>SPĔC(Ŭ)LU, SPĒRĀRE, SPĂTHA, SPĂTŬLA, SPĪCA, SPĪNA</t>
  </si>
  <si>
    <t>e</t>
  </si>
  <si>
    <t>é</t>
  </si>
  <si>
    <t>è</t>
  </si>
  <si>
    <t>i̞</t>
  </si>
  <si>
    <t>ɪ</t>
  </si>
  <si>
    <t>e̞</t>
  </si>
  <si>
    <t>e̞~ɛ</t>
  </si>
  <si>
    <t>ə~ɐ</t>
  </si>
  <si>
    <t>ə</t>
  </si>
  <si>
    <t>Rounded +/−</t>
  </si>
  <si>
    <t>Nasal +/−</t>
  </si>
  <si>
    <t>Front +/−</t>
  </si>
  <si>
    <t>Raised +/−</t>
  </si>
  <si>
    <t>Retracted +/−</t>
  </si>
  <si>
    <t>Long +/−</t>
  </si>
  <si>
    <t>Free/Checked/Glide?</t>
  </si>
  <si>
    <t>]</t>
  </si>
  <si>
    <t>[</t>
  </si>
  <si>
    <t>Height</t>
  </si>
  <si>
    <t>Ɨ</t>
  </si>
  <si>
    <t>Ə</t>
  </si>
  <si>
    <t>Height value</t>
  </si>
  <si>
    <t>Backness</t>
  </si>
  <si>
    <t>E</t>
  </si>
  <si>
    <t>Ɵ</t>
  </si>
  <si>
    <t>Backness value</t>
  </si>
  <si>
    <t>s (ʃ)</t>
  </si>
  <si>
    <t>s̠~ʃ</t>
  </si>
  <si>
    <t>s~ʃ</t>
  </si>
  <si>
    <t>sp / ? / #_</t>
  </si>
  <si>
    <t>/esp/ in POR, ESP, CVB</t>
  </si>
  <si>
    <t>/ep/ in FRA</t>
  </si>
  <si>
    <t>/sp/ in ITA, ROM</t>
  </si>
  <si>
    <t>ST-</t>
  </si>
  <si>
    <t>047a) STĒLLA, STĔRNŪTĀRE, STĔRNĔRE;
047b) STĔPHĂNU, STĔRCU</t>
  </si>
  <si>
    <t>047a</t>
  </si>
  <si>
    <t>047b</t>
  </si>
  <si>
    <t>047a: st / ? / #_E</t>
  </si>
  <si>
    <t>/est/ in POR, ESP, CVB</t>
  </si>
  <si>
    <t>/et/ in FRA</t>
  </si>
  <si>
    <t>/st/ in ITA, ROM</t>
  </si>
  <si>
    <t>047b: st / ? / #_E</t>
  </si>
  <si>
    <t>/st/ in ITA</t>
  </si>
  <si>
    <t>/ʃt/ in ROM</t>
  </si>
  <si>
    <t>STĀRE, STĂNTIA, STĂNTICU/STĂNTICĀRE, *STĂLL</t>
  </si>
  <si>
    <t>st / ? / #_{a,O}</t>
  </si>
  <si>
    <t>49a</t>
  </si>
  <si>
    <t>SC-</t>
  </si>
  <si>
    <t>049a₁) *SKĪNA, *SKĬRPA, *SKILLA;
049a₂) *SKĬPA, *SKEUH, *SKIRMĪRE</t>
  </si>
  <si>
    <t>(Germanic-derived words)</t>
  </si>
  <si>
    <r>
      <rPr>
        <sz val="11"/>
        <color rgb="FF000000"/>
        <rFont val="Tahoma"/>
      </rPr>
      <t>s̪</t>
    </r>
    <r>
      <rPr>
        <sz val="9.5"/>
        <color rgb="FF000000"/>
        <rFont val="Tahoma"/>
      </rPr>
      <t>~</t>
    </r>
    <r>
      <rPr>
        <sz val="11"/>
        <color rgb="FF000000"/>
        <rFont val="Tahoma"/>
      </rPr>
      <t>ʃ</t>
    </r>
    <r>
      <rPr>
        <sz val="9.5"/>
        <color rgb="FF000000"/>
        <rFont val="Tahoma"/>
      </rPr>
      <t>~</t>
    </r>
    <r>
      <rPr>
        <sz val="11"/>
        <color rgb="FF000000"/>
        <rFont val="Tahoma"/>
      </rPr>
      <t>h</t>
    </r>
  </si>
  <si>
    <r>
      <rPr>
        <sz val="10"/>
        <color rgb="FF000000"/>
        <rFont val="Tahoma"/>
      </rPr>
      <t>D</t>
    </r>
    <r>
      <rPr>
        <sz val="9"/>
        <color rgb="FF000000"/>
        <rFont val="Tahoma"/>
      </rPr>
      <t>~</t>
    </r>
    <r>
      <rPr>
        <sz val="10"/>
        <color rgb="FF000000"/>
        <rFont val="Tahoma"/>
      </rPr>
      <t>Ɉ</t>
    </r>
    <r>
      <rPr>
        <sz val="9"/>
        <color rgb="FF000000"/>
        <rFont val="Tahoma"/>
      </rPr>
      <t>~</t>
    </r>
    <r>
      <rPr>
        <sz val="10"/>
        <color rgb="FF000000"/>
        <rFont val="Tahoma"/>
      </rPr>
      <t>H</t>
    </r>
  </si>
  <si>
    <r>
      <rPr>
        <sz val="11"/>
        <color rgb="FF000000"/>
        <rFont val="Tahoma"/>
      </rPr>
      <t>ʃ</t>
    </r>
    <r>
      <rPr>
        <sz val="9.5"/>
        <color rgb="FF000000"/>
        <rFont val="Tahoma"/>
      </rPr>
      <t>~</t>
    </r>
    <r>
      <rPr>
        <sz val="11"/>
        <color rgb="FF000000"/>
        <rFont val="Tahoma"/>
      </rPr>
      <t>k</t>
    </r>
    <r>
      <rPr>
        <sz val="9.5"/>
        <color rgb="FF000000"/>
        <rFont val="Tahoma"/>
      </rPr>
      <t>~</t>
    </r>
    <r>
      <rPr>
        <sz val="11"/>
        <color rgb="FF000000"/>
        <rFont val="Tahoma"/>
      </rPr>
      <t>h</t>
    </r>
  </si>
  <si>
    <t>− (+)</t>
  </si>
  <si>
    <r>
      <rPr>
        <sz val="10"/>
        <color rgb="FF000000"/>
        <rFont val="Tahoma"/>
      </rPr>
      <t>Ɉ</t>
    </r>
    <r>
      <rPr>
        <sz val="9"/>
        <color rgb="FF000000"/>
        <rFont val="Tahoma"/>
      </rPr>
      <t>~</t>
    </r>
    <r>
      <rPr>
        <sz val="10"/>
        <color rgb="FF000000"/>
        <rFont val="Tahoma"/>
      </rPr>
      <t>K</t>
    </r>
    <r>
      <rPr>
        <sz val="9"/>
        <color rgb="FF000000"/>
        <rFont val="Tahoma"/>
      </rPr>
      <t>~</t>
    </r>
    <r>
      <rPr>
        <sz val="10"/>
        <color rgb="FF000000"/>
        <rFont val="Tahoma"/>
      </rPr>
      <t>H</t>
    </r>
  </si>
  <si>
    <t>F (P)</t>
  </si>
  <si>
    <t>049a₁</t>
  </si>
  <si>
    <t>049a₂</t>
  </si>
  <si>
    <t>049a₁: sk / ? / #_E</t>
  </si>
  <si>
    <t>/esk/ in POR, ESP, CVB</t>
  </si>
  <si>
    <t>/eʃ/ in FRA</t>
  </si>
  <si>
    <t>/sk/ in ITA</t>
  </si>
  <si>
    <t>049a₂: sk / ? / #_E</t>
  </si>
  <si>
    <t>/ek/ in FRA</t>
  </si>
  <si>
    <t>49b</t>
  </si>
  <si>
    <t>049b₁) SCĬNTĬLLA, SCĒPTRU, SCHĔDA, SCĬNDŬLA;
049b₂) SCĪRE, SCHĬDĬA, SCĬŪRU</t>
  </si>
  <si>
    <t>(native Latin-derived words)</t>
  </si>
  <si>
    <t>s̠ (s)</t>
  </si>
  <si>
    <t>c(h)</t>
  </si>
  <si>
    <t>049b₁</t>
  </si>
  <si>
    <t>049b₂</t>
  </si>
  <si>
    <t>049b₁: sk / ? / #_E</t>
  </si>
  <si>
    <t>/s/ in POR, CVB, AND.ESP, AMR.ESP, FRA</t>
  </si>
  <si>
    <t>/ʃ/ in ITA</t>
  </si>
  <si>
    <t>/sk/ in ROM</t>
  </si>
  <si>
    <t>049b₂: sk / ? / #_E</t>
  </si>
  <si>
    <t>/esk/ in POR, ESP, CVB, FRA</t>
  </si>
  <si>
    <t>050a) SCHŎLA, SCŪRĬU, SCŌPA; 050b) SCĀLA, *SCĂNTĬLĬA, SCĂNDŬLA, SCĂMNU, SCĂLPRU</t>
  </si>
  <si>
    <t>#_V</t>
  </si>
  <si>
    <t>Etymons:</t>
  </si>
  <si>
    <t>Cat</t>
  </si>
  <si>
    <t>Fra</t>
  </si>
  <si>
    <t>Ita</t>
  </si>
  <si>
    <t>Rum</t>
  </si>
  <si>
    <t>SCĂBĔLLU</t>
  </si>
  <si>
    <t>escambell</t>
  </si>
  <si>
    <t>escabeau, écheveau, échevette</t>
  </si>
  <si>
    <t>sgabello, gavetta, gavindolo</t>
  </si>
  <si>
    <t>SCĂBIA</t>
  </si>
  <si>
    <t>esca-</t>
  </si>
  <si>
    <t>scabbia</t>
  </si>
  <si>
    <t>zgaibă</t>
  </si>
  <si>
    <t>SCĂBRĀRE</t>
  </si>
  <si>
    <t>SCĀLA</t>
  </si>
  <si>
    <t>escala</t>
  </si>
  <si>
    <t>échelle</t>
  </si>
  <si>
    <t>scala</t>
  </si>
  <si>
    <t>schele</t>
  </si>
  <si>
    <t>SCĂLĂMBU</t>
  </si>
  <si>
    <t>scălimb</t>
  </si>
  <si>
    <t>N.It. zg-</t>
  </si>
  <si>
    <t>SCĂLMU</t>
  </si>
  <si>
    <t>escalam</t>
  </si>
  <si>
    <t>échome</t>
  </si>
  <si>
    <t>scalmo</t>
  </si>
  <si>
    <t>SCĂLPĔLLU</t>
  </si>
  <si>
    <t>scarpello</t>
  </si>
  <si>
    <t>SCĂLPRU</t>
  </si>
  <si>
    <t>escarpra</t>
  </si>
  <si>
    <t>échoppe</t>
  </si>
  <si>
    <t>SCĂLPTŪRĪRE</t>
  </si>
  <si>
    <t>scaltrire, scaltro</t>
  </si>
  <si>
    <t>SCĂMĔLLU</t>
  </si>
  <si>
    <t>SCĂMNU,SCĂMNĬU</t>
  </si>
  <si>
    <t>escany</t>
  </si>
  <si>
    <t>écagne</t>
  </si>
  <si>
    <t>scanno</t>
  </si>
  <si>
    <t>scaun</t>
  </si>
  <si>
    <t>SCĂNDĂLA/-ĂLĬU</t>
  </si>
  <si>
    <t>escandia, escandall</t>
  </si>
  <si>
    <t>échantillon</t>
  </si>
  <si>
    <t>scandella, scampione</t>
  </si>
  <si>
    <t>SCĂNDŬLA,SCĬNDŬLA</t>
  </si>
  <si>
    <t>écente</t>
  </si>
  <si>
    <t>scîndură</t>
  </si>
  <si>
    <t>SCĂRĂBÆU,*SCĂRĂFĂJU</t>
  </si>
  <si>
    <t>scarafaggio</t>
  </si>
  <si>
    <t>caracol&lt;Prov</t>
  </si>
  <si>
    <t>SCĂRPĬNĀRE</t>
  </si>
  <si>
    <t>scărpina</t>
  </si>
  <si>
    <t>N.It. sk(j)-</t>
  </si>
  <si>
    <t>050a</t>
  </si>
  <si>
    <t>050b</t>
  </si>
  <si>
    <t>050a: sk / ? / #_O</t>
  </si>
  <si>
    <t>/sk/ in ITA, ROM</t>
  </si>
  <si>
    <t>050b: sk / ? / #_a</t>
  </si>
  <si>
    <t>1.3 Groups of three consonants</t>
  </si>
  <si>
    <t>STR-</t>
  </si>
  <si>
    <t>STRĀTA, STRĬCTA, STRĬNGĔRE, STRĬNCTU</t>
  </si>
  <si>
    <t>ɽ~∅</t>
  </si>
  <si>
    <t>L~∅</t>
  </si>
  <si>
    <t>stɾ / ? / #_</t>
  </si>
  <si>
    <t>/estɾ/ in POR, ESP, CVB</t>
  </si>
  <si>
    <t>/etʁ/ in FRA</t>
  </si>
  <si>
    <t>/stɾ/ in ITA, ROM</t>
  </si>
  <si>
    <t>SCR-</t>
  </si>
  <si>
    <t>SCRĪBĔRE, SCRĪBĀNE</t>
  </si>
  <si>
    <t>skɾ / ? / #_</t>
  </si>
  <si>
    <t>/eskɾ/ in POR, ESP, CVB</t>
  </si>
  <si>
    <t>/ekʁ/ in FRA</t>
  </si>
  <si>
    <t>/skɾ/ in ITA, ROM</t>
  </si>
  <si>
    <t>2. Intervocalic Position</t>
  </si>
  <si>
    <t>2.1 Simple consonants</t>
  </si>
  <si>
    <t>-P-</t>
  </si>
  <si>
    <t>CĂPĬLLU, NĔPŌTE, LŬPU, RĪPA, SĂPĒRE</t>
  </si>
  <si>
    <t>V_V</t>
  </si>
  <si>
    <t>β</t>
  </si>
  <si>
    <t>β̞</t>
  </si>
  <si>
    <t>β~β̞</t>
  </si>
  <si>
    <t>b~β̞</t>
  </si>
  <si>
    <t>b~β</t>
  </si>
  <si>
    <t>F~W</t>
  </si>
  <si>
    <t>p / ? / V_V</t>
  </si>
  <si>
    <t>/p/ in ITA, ROM</t>
  </si>
  <si>
    <t>/b/ in POR, ESP, CVB</t>
  </si>
  <si>
    <t>/v/ in FRA</t>
  </si>
  <si>
    <t>-B-</t>
  </si>
  <si>
    <t>CĂBĂLLU, HĂBĒRE/HĂBŪTU, DĒBĔT, CĔRĔBĔLLU, FĂBA</t>
  </si>
  <si>
    <r>
      <rPr>
        <sz val="12"/>
        <color rgb="FF000000"/>
        <rFont val="Tahoma"/>
      </rPr>
      <t>v/</t>
    </r>
    <r>
      <rPr>
        <sz val="12"/>
        <color rgb="FF808080"/>
        <rFont val="Tahoma"/>
      </rPr>
      <t>∅</t>
    </r>
  </si>
  <si>
    <t>v~β̞</t>
  </si>
  <si>
    <t>b / ? / V_V</t>
  </si>
  <si>
    <t>-T-</t>
  </si>
  <si>
    <t>055a) CĂTĒNA; 055b) PĂTĔLLA, CĂTĔLLU, CĂTHĔDRA; 055c) PĔTĪRE, PĂTĪRE, MĒTĪRĪ, PŪTĪRE</t>
  </si>
  <si>
    <t>V_E</t>
  </si>
  <si>
    <t>ð</t>
  </si>
  <si>
    <t>ð̞</t>
  </si>
  <si>
    <t>ð~ð̞</t>
  </si>
  <si>
    <t>d̪~ð̞</t>
  </si>
  <si>
    <t>d̪~ð</t>
  </si>
  <si>
    <t>055a,b</t>
  </si>
  <si>
    <t>055a</t>
  </si>
  <si>
    <t>055b,c</t>
  </si>
  <si>
    <t>055c</t>
  </si>
  <si>
    <t>055a: t / ? / V_{ĕ¹,ē,ĭ}</t>
  </si>
  <si>
    <t>/d/ in POR, ESP, CVB</t>
  </si>
  <si>
    <t>/t/ in ITA, ROM</t>
  </si>
  <si>
    <t>∅ in FRA</t>
  </si>
  <si>
    <t>055b: t / ? / V_{ĕ²}</t>
  </si>
  <si>
    <t>/t/ in ITA</t>
  </si>
  <si>
    <t>/t͡s/ in ARO, ROM</t>
  </si>
  <si>
    <t>055c: t / ? / V_ī</t>
  </si>
  <si>
    <t>/d/ in EU.POR, ESP, CVB</t>
  </si>
  <si>
    <r>
      <rPr>
        <sz val="12"/>
        <color rgb="FF000000"/>
        <rFont val="Tahoma"/>
      </rPr>
      <t xml:space="preserve">1) ē; ĭ; atonic ĕ; tonic /ĕ/~/æ/ followed by a cluster /NC/ (&gt; ERom. /e/)
2) tonic /ĕ/~/æ/ </t>
    </r>
    <r>
      <rPr>
        <i/>
        <sz val="12"/>
        <color rgb="FF000000"/>
        <rFont val="Tahoma"/>
      </rPr>
      <t>*not*</t>
    </r>
    <r>
      <rPr>
        <sz val="12"/>
        <color rgb="FF000000"/>
        <rFont val="Tahoma"/>
      </rPr>
      <t xml:space="preserve"> followed by a cluster /NC/ (&gt; ERom. /je/)
3) long /i:/ (&gt; ERom. /i/), if not elided</t>
    </r>
  </si>
  <si>
    <t>SĒTA, RŎTA, MŪTĀRE, MŪTA, PRĀTU</t>
  </si>
  <si>
    <t>V_{a,O}</t>
  </si>
  <si>
    <t>t / ? / V_{a,O}</t>
  </si>
  <si>
    <t>-D-</t>
  </si>
  <si>
    <t>057a) PĔDE, RĪDĔRE/-ĔNTE/-ĔNDU, CRĒDĔRE, SĔDĒRE, CĂDĔNTE; 057b) NŌDĔLLU, AUDĪRE, ĔXPĔDĪRE</t>
  </si>
  <si>
    <t>i/∅</t>
  </si>
  <si>
    <t>ʝ~∅</t>
  </si>
  <si>
    <t>057a</t>
  </si>
  <si>
    <t>057b</t>
  </si>
  <si>
    <t>057a: d / ? / V_{ĕ¹,ē,ĭ}</t>
  </si>
  <si>
    <t>/d/ in ITA, ROM</t>
  </si>
  <si>
    <t>/j~∅/ in CVB</t>
  </si>
  <si>
    <t>∅ in POR, ESP, FRA</t>
  </si>
  <si>
    <t>057b: d / ? / V_{ĕ²,ī}</t>
  </si>
  <si>
    <t>/d/ in ITA</t>
  </si>
  <si>
    <t>/z/ in ROM</t>
  </si>
  <si>
    <t>058a) NŪDA, SŪDĀRE/SŪDŌRE, NŌDU/NŌDĀRE, CRŪDU; 058b) NĪDU, CRĒDO, PĒDŬCŬLU; 058c) CAUDA/CŌDA</t>
  </si>
  <si>
    <t>d/∅</t>
  </si>
  <si>
    <t>ð̞~∅</t>
  </si>
  <si>
    <t>058a</t>
  </si>
  <si>
    <t>058b</t>
  </si>
  <si>
    <t>058c</t>
  </si>
  <si>
    <t>058a: d / ? / {a,O}_{a,O}</t>
  </si>
  <si>
    <t>/d/ in ESP, ITA, ROM</t>
  </si>
  <si>
    <t>∅ in POR, CVB, FRA</t>
  </si>
  <si>
    <t>058b: d / ? / E_{a,O}</t>
  </si>
  <si>
    <t>/j/ in POR</t>
  </si>
  <si>
    <t>∅ in ESP, CVB, FRA</t>
  </si>
  <si>
    <t>058c: cauda~cōda</t>
  </si>
  <si>
    <t>∅ in CVB, FRA</t>
  </si>
  <si>
    <t>-C-</t>
  </si>
  <si>
    <t>ĂMĪCU, SĒCŪRU, DĪCŌ, ĂCŪCŬLA, ĂCU</t>
  </si>
  <si>
    <t>V_O</t>
  </si>
  <si>
    <t>ɣ</t>
  </si>
  <si>
    <t>ɣ̞ (ħ)</t>
  </si>
  <si>
    <t>ɣ̞</t>
  </si>
  <si>
    <t>ɣ~ɣ̞</t>
  </si>
  <si>
    <t>ɡ~ɣ̞</t>
  </si>
  <si>
    <t>ɡ~ɣ</t>
  </si>
  <si>
    <t>W (F)</t>
  </si>
  <si>
    <t>k / ? / V_O</t>
  </si>
  <si>
    <t>/k/ in ITA, ROM</t>
  </si>
  <si>
    <r>
      <rPr>
        <sz val="12"/>
        <color rgb="FF000000"/>
        <rFont val="Tahoma"/>
      </rPr>
      <t>059b: in the suffixes</t>
    </r>
    <r>
      <rPr>
        <i/>
        <sz val="12"/>
        <color rgb="FF000000"/>
        <rFont val="Tahoma"/>
      </rPr>
      <t xml:space="preserve"> -īcum</t>
    </r>
    <r>
      <rPr>
        <sz val="12"/>
        <color rgb="FF000000"/>
        <rFont val="Tahoma"/>
      </rPr>
      <t xml:space="preserve"> and </t>
    </r>
    <r>
      <rPr>
        <i/>
        <sz val="12"/>
        <color rgb="FF000000"/>
        <rFont val="Tahoma"/>
      </rPr>
      <t>-(i)ācum</t>
    </r>
    <r>
      <rPr>
        <sz val="12"/>
        <color rgb="FF000000"/>
        <rFont val="Tahoma"/>
      </rPr>
      <t>, FRA presents /j/</t>
    </r>
  </si>
  <si>
    <t>VĬCĪNU, NŬCE/*NŌCE, VŌCE, *CŎCĪNA, RĂCĒMU, PLĂCĒRE</t>
  </si>
  <si>
    <r>
      <rPr>
        <sz val="12"/>
        <color rgb="FF000000"/>
        <rFont val="Tahoma"/>
      </rPr>
      <t>z</t>
    </r>
    <r>
      <rPr>
        <sz val="10.5"/>
        <color rgb="FF000000"/>
        <rFont val="Tahoma"/>
      </rPr>
      <t xml:space="preserve"> (z̪)</t>
    </r>
  </si>
  <si>
    <t>k / ? / V_E</t>
  </si>
  <si>
    <t>often /z~s/</t>
  </si>
  <si>
    <t>∅~/w/ in CVB</t>
  </si>
  <si>
    <t>061a) ŬRTĪCA, PĀCĀRE, PLĬCĀRE, ĂMĪCA, FŎRMĪCA, SPĪCA, SĔCĀRE; 061b) JŎCĀRE, LĂCTŪCA</t>
  </si>
  <si>
    <t>V_a</t>
  </si>
  <si>
    <t>y/i</t>
  </si>
  <si>
    <t>061a</t>
  </si>
  <si>
    <t>061b</t>
  </si>
  <si>
    <t>061a: k / ? / {E,a}_a</t>
  </si>
  <si>
    <t>/j/ or dropped in FRA</t>
  </si>
  <si>
    <t>061b: k / ? / O_a</t>
  </si>
  <si>
    <t>-G-</t>
  </si>
  <si>
    <t>062a) A[U]GŬSTU, FĀGU, IŬGU; 062b) Ĕ[G]O</t>
  </si>
  <si>
    <t>ɡ / ? / V_O</t>
  </si>
  <si>
    <t>PLĀGA, RŎGĀRE, DŎGA, FRĀGA</t>
  </si>
  <si>
    <t>∅/v</t>
  </si>
  <si>
    <t>∅~v</t>
  </si>
  <si>
    <t>K~B</t>
  </si>
  <si>
    <t>∅~F</t>
  </si>
  <si>
    <t>ɡ / ? / V_a</t>
  </si>
  <si>
    <t>-GĬNTA, MĂGĬSTRA, FĀGĪNA, SĂGĬTTA, SĂGĪNU/SĂGĪME, SĬGĬLLU, ÆRŪGĬNE, FŬGĪRE</t>
  </si>
  <si>
    <t>y/∅</t>
  </si>
  <si>
    <t>j/∅</t>
  </si>
  <si>
    <t>zz</t>
  </si>
  <si>
    <t>gg</t>
  </si>
  <si>
    <t>zz/gg</t>
  </si>
  <si>
    <t>ʝ</t>
  </si>
  <si>
    <t>d̠d̠͡ʒ</t>
  </si>
  <si>
    <r>
      <rPr>
        <sz val="8.5"/>
        <color rgb="FF000000"/>
        <rFont val="Tahoma"/>
      </rPr>
      <t>dd͡z</t>
    </r>
    <r>
      <rPr>
        <sz val="8"/>
        <color rgb="FF000000"/>
        <rFont val="Tahoma"/>
      </rPr>
      <t>~</t>
    </r>
    <r>
      <rPr>
        <sz val="8.5"/>
        <color rgb="FF000000"/>
        <rFont val="Tahoma"/>
      </rPr>
      <t>d̠d̠͡ʒ</t>
    </r>
  </si>
  <si>
    <t>dd͡z̠</t>
  </si>
  <si>
    <t>PP͡F</t>
  </si>
  <si>
    <t>064a</t>
  </si>
  <si>
    <t>064b</t>
  </si>
  <si>
    <r>
      <rPr>
        <sz val="12"/>
        <color rgb="FF000000"/>
        <rFont val="Tahoma"/>
      </rPr>
      <t xml:space="preserve">064a: ɡ / ? / V_E
</t>
    </r>
    <r>
      <rPr>
        <i/>
        <sz val="12"/>
        <color rgb="FF000000"/>
        <rFont val="Tahoma"/>
      </rPr>
      <t>often dropped</t>
    </r>
  </si>
  <si>
    <t>/j/~∅ in POR, ESP, FRA, ITA, ROM</t>
  </si>
  <si>
    <r>
      <rPr>
        <sz val="12"/>
        <color rgb="FF000000"/>
        <rFont val="Tahoma"/>
      </rPr>
      <t xml:space="preserve">064b: ɡ / ? / V_E
</t>
    </r>
    <r>
      <rPr>
        <i/>
        <sz val="12"/>
        <color rgb="FF000000"/>
        <rFont val="Tahoma"/>
      </rPr>
      <t>often w/ fortition</t>
    </r>
  </si>
  <si>
    <t>/ʒ/ in POR, CVB, FRA</t>
  </si>
  <si>
    <t>/(d)dʒ/ in CVB, ITA, ROM</t>
  </si>
  <si>
    <t>_ĀGĬNTA</t>
  </si>
  <si>
    <t>--</t>
  </si>
  <si>
    <t>VĀGĪNA</t>
  </si>
  <si>
    <t>NE[C]GENTE</t>
  </si>
  <si>
    <t>MĂGĬSTRA/U</t>
  </si>
  <si>
    <t>RĔGE/-ĪNA</t>
  </si>
  <si>
    <t>FĀGĪNA/U</t>
  </si>
  <si>
    <t>()</t>
  </si>
  <si>
    <t>SĂGĪME</t>
  </si>
  <si>
    <t>SĂGĪNA/U/-ARE</t>
  </si>
  <si>
    <t>SĂGĬTTA</t>
  </si>
  <si>
    <t>SĔ-,SŪGĬLLU/ĀRE</t>
  </si>
  <si>
    <t>FRĪGĔRE</t>
  </si>
  <si>
    <t>AURĪ-,ÆRŪGĬNE/-OSU</t>
  </si>
  <si>
    <t>FŬGĪRE</t>
  </si>
  <si>
    <t>-M-</t>
  </si>
  <si>
    <t>FŪMU/FŪMĀRE, ĂMŌRE</t>
  </si>
  <si>
    <t>m // V_V</t>
  </si>
  <si>
    <t>typically remains /m/</t>
  </si>
  <si>
    <t>-N-</t>
  </si>
  <si>
    <t>LŪNA, LĀNA, VĔNĪRE, MĂNU</t>
  </si>
  <si>
    <t>˜</t>
  </si>
  <si>
    <t>◌̃</t>
  </si>
  <si>
    <t>N~∅</t>
  </si>
  <si>
    <r>
      <rPr>
        <sz val="12"/>
        <color rgb="FF000000"/>
        <rFont val="Tahoma"/>
      </rPr>
      <t xml:space="preserve">cf. </t>
    </r>
    <r>
      <rPr>
        <i/>
        <sz val="12"/>
        <color rgb="FF000000"/>
        <rFont val="Tahoma"/>
      </rPr>
      <t>mărunt</t>
    </r>
  </si>
  <si>
    <t>n // V_V</t>
  </si>
  <si>
    <t>typically remains /n/</t>
  </si>
  <si>
    <t>-F-</t>
  </si>
  <si>
    <t>DĒFĒNSA, PRŌFĔCTU, AURĬFĬCE, SCRŌFA, *AFANNĀRE</t>
  </si>
  <si>
    <t>v/h</t>
  </si>
  <si>
    <t>β̞~∅</t>
  </si>
  <si>
    <t>f / ? / V_V</t>
  </si>
  <si>
    <t>often voiced to /v/</t>
  </si>
  <si>
    <t>-V-</t>
  </si>
  <si>
    <t>NŎVE, NŎVA/U, VĪVA, LĂVĀRE, NĬVE</t>
  </si>
  <si>
    <t>v (β)</t>
  </si>
  <si>
    <t>w / ? / V_V</t>
  </si>
  <si>
    <t>-S-</t>
  </si>
  <si>
    <t>DĒSĔRTU, RĒSĪNA</t>
  </si>
  <si>
    <t>s/z</t>
  </si>
  <si>
    <t>z (z̠)</t>
  </si>
  <si>
    <t>z̠</t>
  </si>
  <si>
    <t>z~s</t>
  </si>
  <si>
    <t>s / ? / V_E</t>
  </si>
  <si>
    <t>often voiced to /z/</t>
  </si>
  <si>
    <t>RŎSA, CAUSA, CĂSA</t>
  </si>
  <si>
    <t>s / ? / V_{a,O}</t>
  </si>
  <si>
    <t>-R-</t>
  </si>
  <si>
    <t>071a) AURU, MŌRU, CĀRU/A;
071b) SĔRĒNU</t>
  </si>
  <si>
    <t>rː  (ʀ)</t>
  </si>
  <si>
    <r>
      <rPr>
        <sz val="12"/>
        <color rgb="FF000000"/>
        <rFont val="Tahoma"/>
      </rPr>
      <t>LL</t>
    </r>
    <r>
      <rPr>
        <sz val="10.5"/>
        <color rgb="FF000000"/>
        <rFont val="Tahoma"/>
      </rPr>
      <t xml:space="preserve"> (L)</t>
    </r>
  </si>
  <si>
    <t>071a</t>
  </si>
  <si>
    <t>071b</t>
  </si>
  <si>
    <t>r // V_V</t>
  </si>
  <si>
    <t>typically remains /r/</t>
  </si>
  <si>
    <t>-L-</t>
  </si>
  <si>
    <t>CÆLU, ĀLA, VŎLĀRE, VĒLA/U, PĀLA, TĒLA, TRĪBŬLĀRE</t>
  </si>
  <si>
    <t>ł</t>
  </si>
  <si>
    <t>l~ɰ</t>
  </si>
  <si>
    <t>D~K</t>
  </si>
  <si>
    <t>072a</t>
  </si>
  <si>
    <t>072b</t>
  </si>
  <si>
    <t>072a: l / ? / V_{a,e,O}</t>
  </si>
  <si>
    <t>typically remains /l/</t>
  </si>
  <si>
    <t>072b: l / ? / V_i</t>
  </si>
  <si>
    <t>-J-</t>
  </si>
  <si>
    <t>MĂJŌRE, PĔJŌRE, JĔJŪNU/AJŪNU, MĒJĀRE, JĔJŪNĀRE/*AJŪNĀRE</t>
  </si>
  <si>
    <t>Vˈ_V</t>
  </si>
  <si>
    <t>ggi</t>
  </si>
  <si>
    <t>y/x</t>
  </si>
  <si>
    <t>jj</t>
  </si>
  <si>
    <t>ʝ~ʃ</t>
  </si>
  <si>
    <t>WW</t>
  </si>
  <si>
    <t>073a</t>
  </si>
  <si>
    <t>073b</t>
  </si>
  <si>
    <r>
      <rPr>
        <sz val="10"/>
        <color rgb="FF000000"/>
        <rFont val="Tahoma"/>
      </rPr>
      <t xml:space="preserve">073a: </t>
    </r>
    <r>
      <rPr>
        <sz val="11.5"/>
        <color rgb="FF000000"/>
        <rFont val="Tahoma"/>
      </rPr>
      <t xml:space="preserve">j / ? / {Vˈ_V, V_Vˈ}
</t>
    </r>
    <r>
      <rPr>
        <i/>
        <sz val="11.5"/>
        <color rgb="FF000000"/>
        <rFont val="Tahoma"/>
      </rPr>
      <t>often dropped</t>
    </r>
  </si>
  <si>
    <r>
      <rPr>
        <sz val="10"/>
        <color rgb="FF000000"/>
        <rFont val="Tahoma"/>
      </rPr>
      <t xml:space="preserve">073b: </t>
    </r>
    <r>
      <rPr>
        <sz val="11.5"/>
        <color rgb="FF000000"/>
        <rFont val="Tahoma"/>
      </rPr>
      <t xml:space="preserve">j / ? / {Vˈ_V, V_Vˈ}
</t>
    </r>
    <r>
      <rPr>
        <i/>
        <sz val="11.5"/>
        <color rgb="FF000000"/>
        <rFont val="Tahoma"/>
      </rPr>
      <t>often w/ fortition</t>
    </r>
  </si>
  <si>
    <t>MĂJŌRE</t>
  </si>
  <si>
    <t>PĔJŌRE</t>
  </si>
  <si>
    <t>-</t>
  </si>
  <si>
    <t>PĔJŌRĀRE</t>
  </si>
  <si>
    <t>JĔJŪNU/*AJŪNU</t>
  </si>
  <si>
    <t>(d̠)d̠͡ʒ</t>
  </si>
  <si>
    <t>JĔJŪNĀRE/*AJUNĀRE</t>
  </si>
  <si>
    <t>MĒJĀRE</t>
  </si>
  <si>
    <t>MĀJU, *PLŎJA, RĂJA, TRŎJA, PĔJU</t>
  </si>
  <si>
    <t>ˈV_V</t>
  </si>
  <si>
    <t>074a</t>
  </si>
  <si>
    <t>074b</t>
  </si>
  <si>
    <r>
      <rPr>
        <sz val="10"/>
        <color rgb="FF000000"/>
        <rFont val="Tahoma"/>
      </rPr>
      <t>074a: </t>
    </r>
    <r>
      <rPr>
        <sz val="11.5"/>
        <color rgb="FF000000"/>
        <rFont val="Tahoma"/>
      </rPr>
      <t xml:space="preserve">j / ? / {Vˈ_V, V_Vˈ}
</t>
    </r>
    <r>
      <rPr>
        <i/>
        <sz val="11.5"/>
        <color rgb="FF000000"/>
        <rFont val="Tahoma"/>
      </rPr>
      <t>often dropped</t>
    </r>
  </si>
  <si>
    <r>
      <rPr>
        <sz val="10"/>
        <color rgb="FF000000"/>
        <rFont val="Tahoma"/>
      </rPr>
      <t>074b: </t>
    </r>
    <r>
      <rPr>
        <sz val="11.5"/>
        <color rgb="FF000000"/>
        <rFont val="Tahoma"/>
      </rPr>
      <t xml:space="preserve">j / ? / {Vˈ_V, V_Vˈ}
</t>
    </r>
    <r>
      <rPr>
        <i/>
        <sz val="11.5"/>
        <color rgb="FF000000"/>
        <rFont val="Tahoma"/>
      </rPr>
      <t>often w/ fortition</t>
    </r>
  </si>
  <si>
    <t>PĔJU(S)</t>
  </si>
  <si>
    <t>'PĔJOR</t>
  </si>
  <si>
    <t>MĀJU</t>
  </si>
  <si>
    <t>*PLŎ(V)JA</t>
  </si>
  <si>
    <t>RĂJA</t>
  </si>
  <si>
    <t>dd͡z</t>
  </si>
  <si>
    <t>TRŎJA</t>
  </si>
  <si>
    <t>MĔJU/MĔJO</t>
  </si>
  <si>
    <t>SATUREJA</t>
  </si>
  <si>
    <t>2.2 Consonants + yod</t>
  </si>
  <si>
    <t>-PJ-</t>
  </si>
  <si>
    <t>075a) SĂPĬA/AT/U, ĂPĬU/A, PRŎPĬU, SĒPĬA, *SCUPĬO; 075b) PRŎPĔĀNU, ĂPPRŎPĬĀRE</t>
  </si>
  <si>
    <t>pp</t>
  </si>
  <si>
    <t>pj, tʃ</t>
  </si>
  <si>
    <t>PP</t>
  </si>
  <si>
    <t>I/E</t>
  </si>
  <si>
    <t>075a</t>
  </si>
  <si>
    <t>075b</t>
  </si>
  <si>
    <t>075a: pj / ? / ˈV_V</t>
  </si>
  <si>
    <t>075b: pj / ? / V_ˈV</t>
  </si>
  <si>
    <t>jβ</t>
  </si>
  <si>
    <t>jb</t>
  </si>
  <si>
    <t>jβ̞</t>
  </si>
  <si>
    <t>ʲp</t>
  </si>
  <si>
    <t>piɣ</t>
  </si>
  <si>
    <t>pj, vi</t>
  </si>
  <si>
    <t>vj, &lt;j&gt;</t>
  </si>
  <si>
    <t>jp</t>
  </si>
  <si>
    <t>pj</t>
  </si>
  <si>
    <t>pi</t>
  </si>
  <si>
    <t>&lt;ch&gt;</t>
  </si>
  <si>
    <t>ʲβ</t>
  </si>
  <si>
    <t>ʲb</t>
  </si>
  <si>
    <t>ʲβ̞</t>
  </si>
  <si>
    <t>β̞j</t>
  </si>
  <si>
    <t>ʲp/pj</t>
  </si>
  <si>
    <t>-BJ-</t>
  </si>
  <si>
    <t>076a) RŬBĔA/U, GŬBĬA, LĂBĬU, LAUBĬA, RĂBĬA, SCĂBĬA; 076b₁) ĂBĔO, ĂBĔA[T], DĒBĔO; 076b₂) -ĂBĔO</t>
  </si>
  <si>
    <t>b/j</t>
  </si>
  <si>
    <t>bb</t>
  </si>
  <si>
    <t>β~ʒ</t>
  </si>
  <si>
    <t>β~d̠͡ʒ</t>
  </si>
  <si>
    <r>
      <rPr>
        <sz val="12"/>
        <color rgb="FF000000"/>
        <rFont val="Tahoma"/>
      </rPr>
      <t>F</t>
    </r>
    <r>
      <rPr>
        <sz val="11"/>
        <color rgb="FF000000"/>
        <rFont val="Tahoma"/>
      </rPr>
      <t xml:space="preserve"> (W)</t>
    </r>
  </si>
  <si>
    <t>F~P͡F</t>
  </si>
  <si>
    <r>
      <rPr>
        <sz val="12"/>
        <color rgb="FF000000"/>
        <rFont val="Tahoma"/>
      </rPr>
      <t>F</t>
    </r>
    <r>
      <rPr>
        <sz val="11"/>
        <color rgb="FF000000"/>
        <rFont val="Tahoma"/>
      </rPr>
      <t xml:space="preserve"> (P)</t>
    </r>
  </si>
  <si>
    <t>ge</t>
  </si>
  <si>
    <t>076a</t>
  </si>
  <si>
    <t>076b₁</t>
  </si>
  <si>
    <t>076b₂</t>
  </si>
  <si>
    <t>076a: bj / ? / V_V</t>
  </si>
  <si>
    <r>
      <rPr>
        <sz val="12"/>
        <color rgb="FF000000"/>
        <rFont val="Tahoma"/>
      </rPr>
      <t>076b₁: </t>
    </r>
    <r>
      <rPr>
        <i/>
        <sz val="12"/>
        <color rgb="FF000000"/>
        <rFont val="Tahoma"/>
      </rPr>
      <t>habere/debere</t>
    </r>
  </si>
  <si>
    <t>SJV.1S, SJV.3S</t>
  </si>
  <si>
    <r>
      <rPr>
        <sz val="12"/>
        <color rgb="FF000000"/>
        <rFont val="Tahoma"/>
      </rPr>
      <t>076b₂: </t>
    </r>
    <r>
      <rPr>
        <i/>
        <sz val="12"/>
        <color rgb="FF000000"/>
        <rFont val="Tahoma"/>
      </rPr>
      <t>habere</t>
    </r>
  </si>
  <si>
    <t>FUT.1S</t>
  </si>
  <si>
    <t>v (β)?</t>
  </si>
  <si>
    <t>RŬBĔA/U</t>
  </si>
  <si>
    <t>d͡ʒ</t>
  </si>
  <si>
    <t>GŬBĬA</t>
  </si>
  <si>
    <t>LĂBĬU</t>
  </si>
  <si>
    <t>βi</t>
  </si>
  <si>
    <t>vi</t>
  </si>
  <si>
    <t>LAUBĬA</t>
  </si>
  <si>
    <t>RĂBĬA</t>
  </si>
  <si>
    <t>SCĂBĬA</t>
  </si>
  <si>
    <t>bbj, dd͡ʒ</t>
  </si>
  <si>
    <t>ĂBĔO</t>
  </si>
  <si>
    <t>[j]</t>
  </si>
  <si>
    <t>ĂBĔA[T]</t>
  </si>
  <si>
    <t>DĒBĔO</t>
  </si>
  <si>
    <t>-ĂBĔO</t>
  </si>
  <si>
    <t>bj</t>
  </si>
  <si>
    <t>∅, ɟ</t>
  </si>
  <si>
    <t>-TJ-</t>
  </si>
  <si>
    <t>077a) RĂTĬŌNE, PRETĬĀRE, SĂTĬŌNE, STĂTĬŌNE, TRĀDĬTĬŌNE, [A]VĬTĬĀRE, *WĂRITĬŌNE; 077b) TĪTĬŌNE/ATTĪTĬĀRE, ĂCŪTĬĀRE</t>
  </si>
  <si>
    <t>∅ (s)</t>
  </si>
  <si>
    <r>
      <rPr>
        <sz val="12"/>
        <color rgb="FF000000"/>
        <rFont val="Tahoma"/>
      </rPr>
      <t>zz</t>
    </r>
    <r>
      <rPr>
        <sz val="8"/>
        <color rgb="FF000000"/>
        <rFont val="Tahoma"/>
      </rPr>
      <t xml:space="preserve"> (</t>
    </r>
    <r>
      <rPr>
        <sz val="9"/>
        <color rgb="FF000000"/>
        <rFont val="Tahoma"/>
      </rPr>
      <t>gi</t>
    </r>
    <r>
      <rPr>
        <sz val="8"/>
        <color rgb="FF000000"/>
        <rFont val="Tahoma"/>
      </rPr>
      <t>)</t>
    </r>
  </si>
  <si>
    <t>ss</t>
  </si>
  <si>
    <t>∅ (z̠)</t>
  </si>
  <si>
    <r>
      <rPr>
        <sz val="11"/>
        <color rgb="FF000000"/>
        <rFont val="Tahoma"/>
      </rPr>
      <t>tt͡s</t>
    </r>
    <r>
      <rPr>
        <sz val="8"/>
        <color rgb="FF000000"/>
        <rFont val="Tahoma"/>
      </rPr>
      <t xml:space="preserve"> </t>
    </r>
    <r>
      <rPr>
        <sz val="11"/>
        <color rgb="FF000000"/>
        <rFont val="Tahoma"/>
      </rPr>
      <t>(ʒ)</t>
    </r>
  </si>
  <si>
    <t>tt͡s</t>
  </si>
  <si>
    <r>
      <rPr>
        <sz val="12"/>
        <color rgb="FF000000"/>
        <rFont val="Tahoma"/>
      </rPr>
      <t>−</t>
    </r>
    <r>
      <rPr>
        <sz val="11"/>
        <color rgb="FF000000"/>
        <rFont val="Tahoma"/>
      </rPr>
      <t xml:space="preserve"> (+)</t>
    </r>
  </si>
  <si>
    <r>
      <rPr>
        <sz val="12"/>
        <color rgb="FF000000"/>
        <rFont val="Tahoma"/>
      </rPr>
      <t>−</t>
    </r>
    <r>
      <rPr>
        <sz val="9"/>
        <color rgb="FF000000"/>
        <rFont val="Tahoma"/>
      </rPr>
      <t xml:space="preserve"> (+)</t>
    </r>
  </si>
  <si>
    <t>∅ (F)</t>
  </si>
  <si>
    <r>
      <rPr>
        <sz val="10"/>
        <color rgb="FF000000"/>
        <rFont val="Tahoma"/>
      </rPr>
      <t>PP͡F</t>
    </r>
    <r>
      <rPr>
        <sz val="8"/>
        <color rgb="FF000000"/>
        <rFont val="Tahoma"/>
      </rPr>
      <t xml:space="preserve"> (F)</t>
    </r>
  </si>
  <si>
    <t>077a</t>
  </si>
  <si>
    <t>077a,b</t>
  </si>
  <si>
    <t>077b,c</t>
  </si>
  <si>
    <t>077c</t>
  </si>
  <si>
    <t>077a: tj / ? / Vˈ_V</t>
  </si>
  <si>
    <t>truly singleton, often show voicing</t>
  </si>
  <si>
    <t>077b: tj / ? / Vˈ_{a,E}</t>
  </si>
  <si>
    <t>may have geminated, not typically voiced</t>
  </si>
  <si>
    <t>077c: tj / ? / Vˈ_O</t>
  </si>
  <si>
    <t>ROM shows different result: t̠͡ʃ</t>
  </si>
  <si>
    <t>cf. "Notes on the Development of -KJ-, -TJ- in Spanish and Portuguese" by Hugh E. Wilkinson</t>
  </si>
  <si>
    <t>078a) VĬTĬU, PĂLĀTĬU; 078b) PŬTĔU, PRĔTĬU, CĂPĬTĬA/U, CĂPĬTĬŬLU, PŪTĬU, STĂTĬO, TĪTĬŌ</t>
  </si>
  <si>
    <t>078a</t>
  </si>
  <si>
    <t>078b</t>
  </si>
  <si>
    <t>078a: tj / ? / ˈV_V</t>
  </si>
  <si>
    <t>078b: tj / ? / ˈV_V</t>
  </si>
  <si>
    <t>-DJ-</t>
  </si>
  <si>
    <t>RĂDĬU, PŎDĬU, HŎDĬE, PŎDĬĀRE, MĔDĬU, ĂDĬŪTĀRE</t>
  </si>
  <si>
    <t>i/y</t>
  </si>
  <si>
    <t>079a</t>
  </si>
  <si>
    <t>079b</t>
  </si>
  <si>
    <r>
      <rPr>
        <sz val="12"/>
        <color rgb="FF000000"/>
        <rFont val="Tahoma"/>
      </rPr>
      <t xml:space="preserve">079a: dj / ? / V_V
</t>
    </r>
    <r>
      <rPr>
        <i/>
        <sz val="11"/>
        <color rgb="FF000000"/>
        <rFont val="Tahoma"/>
      </rPr>
      <t>often merged with [j]</t>
    </r>
  </si>
  <si>
    <r>
      <rPr>
        <sz val="12"/>
        <color rgb="FF000000"/>
        <rFont val="Tahoma"/>
      </rPr>
      <t xml:space="preserve">079b: dj / ? / V_V
</t>
    </r>
    <r>
      <rPr>
        <i/>
        <sz val="11.5"/>
        <color rgb="FF000000"/>
        <rFont val="Tahoma"/>
      </rPr>
      <t>often w/ fortition</t>
    </r>
  </si>
  <si>
    <t>adiutare</t>
  </si>
  <si>
    <t>→</t>
  </si>
  <si>
    <t>i̯ (→)</t>
  </si>
  <si>
    <t>i̯</t>
  </si>
  <si>
    <t>d͡ʒ (d͡z)</t>
  </si>
  <si>
    <t>← (ʒ)</t>
  </si>
  <si>
    <t>←</t>
  </si>
  <si>
    <t>(ap)podiu/are</t>
  </si>
  <si>
    <t>j, →</t>
  </si>
  <si>
    <t>←, ʒ</t>
  </si>
  <si>
    <t>←, ʃ</t>
  </si>
  <si>
    <t>dd͡ʒ</t>
  </si>
  <si>
    <r>
      <rPr>
        <sz val="12"/>
        <color rgb="FF000000"/>
        <rFont val="Tahoma"/>
      </rPr>
      <t>gaudiu/a</t>
    </r>
    <r>
      <rPr>
        <sz val="9"/>
        <color rgb="FF000000"/>
        <rFont val="Tahoma"/>
      </rPr>
      <t xml:space="preserve"> (if U not [w])</t>
    </r>
  </si>
  <si>
    <t>hodie</t>
  </si>
  <si>
    <t>i̯~∅</t>
  </si>
  <si>
    <t>-idiare</t>
  </si>
  <si>
    <t>→, ∅</t>
  </si>
  <si>
    <t>ʲ∅</t>
  </si>
  <si>
    <t>→, j</t>
  </si>
  <si>
    <t>ʒ, ←</t>
  </si>
  <si>
    <t>inodiare</t>
  </si>
  <si>
    <t>ʃ (ʝ)</t>
  </si>
  <si>
    <t>invidia</t>
  </si>
  <si>
    <t>ð̞j</t>
  </si>
  <si>
    <t>→ (j)</t>
  </si>
  <si>
    <t>ʒ (←)</t>
  </si>
  <si>
    <t>lapideu</t>
  </si>
  <si>
    <t>→, dd͡z</t>
  </si>
  <si>
    <t>dd͡ʒ, ←</t>
  </si>
  <si>
    <t>media/u/anu/etate</t>
  </si>
  <si>
    <t>j/d͡ʒ (d͡z)</t>
  </si>
  <si>
    <t>ʝ (t͡ʃ)</t>
  </si>
  <si>
    <t>modiu/olu</t>
  </si>
  <si>
    <t>radia/u</t>
  </si>
  <si>
    <t>ʝ,θ</t>
  </si>
  <si>
    <t>rideo/at</t>
  </si>
  <si>
    <t>k~ɣ</t>
  </si>
  <si>
    <t>z, ɣ</t>
  </si>
  <si>
    <t>schidia</t>
  </si>
  <si>
    <t>sedeo/at/ola</t>
  </si>
  <si>
    <t>∅, →</t>
  </si>
  <si>
    <t>[j], →</t>
  </si>
  <si>
    <t>i̯ɣ</t>
  </si>
  <si>
    <t>ðj</t>
  </si>
  <si>
    <t>←, ʝ</t>
  </si>
  <si>
    <t>vadeat</t>
  </si>
  <si>
    <t>- (ɣ)</t>
  </si>
  <si>
    <t>video/at</t>
  </si>
  <si>
    <t>ʒ/j (z/ɣ)</t>
  </si>
  <si>
    <t>-CJ-</t>
  </si>
  <si>
    <t>ĂCĬĀRĬU, ĒRĪCĬŌNE, FĂCĬĔNDA</t>
  </si>
  <si>
    <t>c/ç</t>
  </si>
  <si>
    <t>c/z</t>
  </si>
  <si>
    <t>ç/c</t>
  </si>
  <si>
    <t>ss/ce</t>
  </si>
  <si>
    <t>cci</t>
  </si>
  <si>
    <t>t̠t̠͡ʃ</t>
  </si>
  <si>
    <t>080a</t>
  </si>
  <si>
    <t>080b</t>
  </si>
  <si>
    <t>080a: kj / ? / Vˈ_{a,E}</t>
  </si>
  <si>
    <t>often merges with palatalized C</t>
  </si>
  <si>
    <t>080b: kj / ? / Vˈ_O</t>
  </si>
  <si>
    <t>FĂCĬĔNDA shows frequent voicing</t>
  </si>
  <si>
    <t>FĂCĬA, VĪNĀCEU, ĒRĪCĬU, FĂCTĪCĬU, FŎCĀCĬA, GLĂCĬE/A, LĪCĬU, LŪCĬU, MĬNĀCĬA, MĬXTĪCĬU</t>
  </si>
  <si>
    <t>kj / ? / ˈV_V</t>
  </si>
  <si>
    <t>-GJ-</t>
  </si>
  <si>
    <t>FĀGĔA/U, CŎRRĬGĬA, PLĂGĬA, GRĔGĬU/A, ĔXĂGĬU/ĀRE, SĂGĬA, HŌRŎLŎGĬU; FŬGĬAT/Ō</t>
  </si>
  <si>
    <t>082a</t>
  </si>
  <si>
    <t>082b</t>
  </si>
  <si>
    <r>
      <rPr>
        <sz val="12"/>
        <color rgb="FF000000"/>
        <rFont val="Tahoma"/>
      </rPr>
      <t xml:space="preserve">082a: ɡj / ? / V_V
</t>
    </r>
    <r>
      <rPr>
        <i/>
        <sz val="11.5"/>
        <color rgb="FF000000"/>
        <rFont val="Tahoma"/>
      </rPr>
      <t>often dropped</t>
    </r>
  </si>
  <si>
    <r>
      <rPr>
        <sz val="12"/>
        <color rgb="FF000000"/>
        <rFont val="Tahoma"/>
      </rPr>
      <t xml:space="preserve">082b: ɡj / ? / V_V
</t>
    </r>
    <r>
      <rPr>
        <i/>
        <sz val="11.5"/>
        <color rgb="FF000000"/>
        <rFont val="Tahoma"/>
      </rPr>
      <t>often w/ fortition</t>
    </r>
  </si>
  <si>
    <t>FŬGĬŌ/-ĬAT may show analogy</t>
  </si>
  <si>
    <t>*affugientāre</t>
  </si>
  <si>
    <t>corrigia</t>
  </si>
  <si>
    <t>d͡ʒ(d͡z̺)(j)</t>
  </si>
  <si>
    <t>exagiu/are</t>
  </si>
  <si>
    <t>ʝ̞ (←)</t>
  </si>
  <si>
    <t xml:space="preserve">ʒ	</t>
  </si>
  <si>
    <t>fagea/u</t>
  </si>
  <si>
    <t>β (ʝ)</t>
  </si>
  <si>
    <t>fastigiu/ale</t>
  </si>
  <si>
    <t>fugio/at</t>
  </si>
  <si>
    <t>gregiu/a</t>
  </si>
  <si>
    <t>horologiu</t>
  </si>
  <si>
    <t>x/h/∅</t>
  </si>
  <si>
    <t>ʒj</t>
  </si>
  <si>
    <t>t͡ʃ</t>
  </si>
  <si>
    <t>d͡ʒ(d͡z̺)</t>
  </si>
  <si>
    <t>plagia</t>
  </si>
  <si>
    <r>
      <rPr>
        <sz val="12"/>
        <color rgb="FF000000"/>
        <rFont val="Tahoma"/>
      </rPr>
      <t>ʒ</t>
    </r>
    <r>
      <rPr>
        <sz val="9"/>
        <color rgb="FF000000"/>
        <rFont val="Tahoma"/>
      </rPr>
      <t xml:space="preserve"> (←)</t>
    </r>
  </si>
  <si>
    <t>pulegiu/olu</t>
  </si>
  <si>
    <t>sagia</t>
  </si>
  <si>
    <t>-- (→)</t>
  </si>
  <si>
    <t>-- (ʝ)</t>
  </si>
  <si>
    <t>-VJ-</t>
  </si>
  <si>
    <t>083a) CĂVĔA, DĪLŬVĬU, FŎVĔA, LĔVĬU, NŎVĬU, PLŬVĬA; 083b) CĂVĔŎLA, LĔVĬĀRĬU/ĀNU, PLŬVĬŌSU</t>
  </si>
  <si>
    <t>v/b</t>
  </si>
  <si>
    <t>w~β</t>
  </si>
  <si>
    <t>083a</t>
  </si>
  <si>
    <t>083b</t>
  </si>
  <si>
    <t>083a: βj / ? / ˈV_V</t>
  </si>
  <si>
    <t>SĂLVĬA possible if L pre-vocalized as in Gallo-Romance;
FŎVĔA/PLŬVĬA behave as -J- if dropped /β/ early on</t>
  </si>
  <si>
    <t>083b: βj / ? / Vˈ_V</t>
  </si>
  <si>
    <t>CĂVĔA</t>
  </si>
  <si>
    <t>DĪLŬVĬU</t>
  </si>
  <si>
    <t>FŎVĔA</t>
  </si>
  <si>
    <t>LĔVĬU</t>
  </si>
  <si>
    <t>NŎVĬU</t>
  </si>
  <si>
    <t>PLŎVĬA</t>
  </si>
  <si>
    <t>CĂVĔŎLA</t>
  </si>
  <si>
    <t>LĔVĬĀRĬU/ĀNU</t>
  </si>
  <si>
    <t>PLŬVĬŌSU</t>
  </si>
  <si>
    <t>-FJ-</t>
  </si>
  <si>
    <t>CŌFIA/CŪF(F)ĬA, SŎFĬA</t>
  </si>
  <si>
    <t>ff</t>
  </si>
  <si>
    <t>FF</t>
  </si>
  <si>
    <t>083.5: fj / ? / V_V</t>
  </si>
  <si>
    <t>typically either /fj/ or /jf/</t>
  </si>
  <si>
    <r>
      <rPr>
        <i/>
        <sz val="12"/>
        <color rgb="FF000000"/>
        <rFont val="Tahoma"/>
      </rPr>
      <t xml:space="preserve">The </t>
    </r>
    <r>
      <rPr>
        <sz val="12"/>
        <color rgb="FF000000"/>
        <rFont val="Tahoma"/>
      </rPr>
      <t>FEW</t>
    </r>
    <r>
      <rPr>
        <i/>
        <sz val="12"/>
        <color rgb="FF000000"/>
        <rFont val="Tahoma"/>
      </rPr>
      <t xml:space="preserve"> notes SŎFĬA with voicing to /v/ in Cisalpine varieties.</t>
    </r>
  </si>
  <si>
    <t>CŌFIA/CŪF(F)ĬA</t>
  </si>
  <si>
    <t>jf</t>
  </si>
  <si>
    <t>fj, jf</t>
  </si>
  <si>
    <r>
      <rPr>
        <sz val="12"/>
        <color rgb="FF000000"/>
        <rFont val="Tahoma"/>
      </rPr>
      <t>SŎFĬA</t>
    </r>
    <r>
      <rPr>
        <i/>
        <sz val="10"/>
        <color rgb="FF000000"/>
        <rFont val="Tahoma"/>
      </rPr>
      <t xml:space="preserve"> (fish)</t>
    </r>
  </si>
  <si>
    <t>fj</t>
  </si>
  <si>
    <r>
      <rPr>
        <sz val="12"/>
        <color rgb="FF000000"/>
        <rFont val="Tahoma"/>
      </rPr>
      <t>SŎFĬA</t>
    </r>
    <r>
      <rPr>
        <i/>
        <sz val="10"/>
        <color rgb="FF000000"/>
        <rFont val="Tahoma"/>
      </rPr>
      <t xml:space="preserve"> (tree)</t>
    </r>
  </si>
  <si>
    <t>-SJ-</t>
  </si>
  <si>
    <t>084a) BĀSĬU/ĀRE, CĀSĔU, NAUSĔA, CĔRĔSĬA, PHĂSĔOLU, CĔRVĒSĬA, PHĀSĬĀNU; 084b) CĂMĬSĬA, CĬNĬSĬA, *MĂSĬŌNE</t>
  </si>
  <si>
    <t>ci/gi</t>
  </si>
  <si>
    <t>sh</t>
  </si>
  <si>
    <t>ʃ~d̠͡ʒ</t>
  </si>
  <si>
    <r>
      <rPr>
        <sz val="12"/>
        <color rgb="FF000000"/>
        <rFont val="Tahoma"/>
      </rPr>
      <t>z</t>
    </r>
    <r>
      <rPr>
        <sz val="10.5"/>
        <color rgb="FF000000"/>
        <rFont val="Tahoma"/>
      </rPr>
      <t xml:space="preserve"> (z̠)</t>
    </r>
  </si>
  <si>
    <t>i_V</t>
  </si>
  <si>
    <t>084a: sj / ? / V_V</t>
  </si>
  <si>
    <t>084b: sj / ? / V_V</t>
  </si>
  <si>
    <t>V_i or only V_ī?</t>
  </si>
  <si>
    <t>ECCLĒSIA semi-learned</t>
  </si>
  <si>
    <t>basiu/are</t>
  </si>
  <si>
    <t>ʲʒ</t>
  </si>
  <si>
    <t>ʲʃ</t>
  </si>
  <si>
    <t>ʲs̠</t>
  </si>
  <si>
    <t>ʲs̟</t>
  </si>
  <si>
    <t>ʲz̠</t>
  </si>
  <si>
    <t>z̠ (ʒ)</t>
  </si>
  <si>
    <t>z̠~z̺</t>
  </si>
  <si>
    <t>ʲz̪</t>
  </si>
  <si>
    <t>ʒ (h)</t>
  </si>
  <si>
    <t>t͡ʃ &lt; ʃ</t>
  </si>
  <si>
    <t>caseu</t>
  </si>
  <si>
    <t>ʲs</t>
  </si>
  <si>
    <t>ceresia</t>
  </si>
  <si>
    <t>[ʲ]ʒ</t>
  </si>
  <si>
    <t>θ~s̠</t>
  </si>
  <si>
    <t>- (z̠/ʒ)</t>
  </si>
  <si>
    <t>z̠/z̺ (ʎ)</t>
  </si>
  <si>
    <t>ʃ (h,ç)</t>
  </si>
  <si>
    <t>d͡ʒ &lt; ʒ</t>
  </si>
  <si>
    <t>cervesia</t>
  </si>
  <si>
    <t>θ (s̠)</t>
  </si>
  <si>
    <t>ma[n]sione/ata</t>
  </si>
  <si>
    <r>
      <rPr>
        <sz val="12"/>
        <color rgb="FF000000"/>
        <rFont val="Tahoma"/>
      </rPr>
      <t xml:space="preserve">ʲʒ, </t>
    </r>
    <r>
      <rPr>
        <i/>
        <sz val="12"/>
        <color rgb="FF000000"/>
        <rFont val="Tahoma"/>
      </rPr>
      <t>z̻(z̠)</t>
    </r>
  </si>
  <si>
    <t>s̠ (s̻)</t>
  </si>
  <si>
    <t>ʲs̠, ʲz̠</t>
  </si>
  <si>
    <t>ʲs̟, ʲz̟</t>
  </si>
  <si>
    <t>ʲs, ʲz</t>
  </si>
  <si>
    <t>z̠, j</t>
  </si>
  <si>
    <t>ʲz̠ (ʲʒ)</t>
  </si>
  <si>
    <t>ʲz̠~ʲz̺</t>
  </si>
  <si>
    <t>ʒ (h,z̪)</t>
  </si>
  <si>
    <r>
      <rPr>
        <sz val="12"/>
        <color rgb="FF000000"/>
        <rFont val="Tahoma"/>
      </rPr>
      <t>d͡ʒ</t>
    </r>
    <r>
      <rPr>
        <i/>
        <sz val="12"/>
        <color rgb="FF000000"/>
        <rFont val="Tahoma"/>
      </rPr>
      <t xml:space="preserve"> (z̪/z̺)</t>
    </r>
  </si>
  <si>
    <t>ph/faseolu</t>
  </si>
  <si>
    <t>- (j[z̠])</t>
  </si>
  <si>
    <t>ph/fasianu</t>
  </si>
  <si>
    <t>ʲz̻ (ʲz̠)</t>
  </si>
  <si>
    <t>ʲs̠ (ʲs̻)</t>
  </si>
  <si>
    <t>pree[n]sione</t>
  </si>
  <si>
    <t>z̻ (z̠)</t>
  </si>
  <si>
    <t>s̠j</t>
  </si>
  <si>
    <t>sj</t>
  </si>
  <si>
    <t>segusiu</t>
  </si>
  <si>
    <t>camisia</t>
  </si>
  <si>
    <t>ʒ/ʃ(h,ç,z̪)</t>
  </si>
  <si>
    <t>cinisia</t>
  </si>
  <si>
    <t>s̠(s̻)(θ)</t>
  </si>
  <si>
    <t>-MJ-</t>
  </si>
  <si>
    <t>VĪNDĒMĬA/ĀRE, DĬFFĀMĬA, SĪMĬA/U, CŎMMĔĀTU</t>
  </si>
  <si>
    <t>mm</t>
  </si>
  <si>
    <t>NN</t>
  </si>
  <si>
    <t>mj / ? / V_V</t>
  </si>
  <si>
    <t>-NJ-</t>
  </si>
  <si>
    <t>086a) CĂSTĂNĔA, MONTĀNĔA, VĪNĔA, ĂRĀNĔA, PĪNĔA, CŬNĔU/ĀRE, BĂNĔU, CĂLCĀNĔU; 086b) LINEU, EXTRANEU</t>
  </si>
  <si>
    <t>nh</t>
  </si>
  <si>
    <t>ñ</t>
  </si>
  <si>
    <t>ny</t>
  </si>
  <si>
    <t>gn</t>
  </si>
  <si>
    <t>nj</t>
  </si>
  <si>
    <t>n̪ʲ~ȵ</t>
  </si>
  <si>
    <t>ȵ~ɲ</t>
  </si>
  <si>
    <t>ȵ</t>
  </si>
  <si>
    <t>n̪ʲː~ȵȵ</t>
  </si>
  <si>
    <t>ɲ</t>
  </si>
  <si>
    <t>DɈ~Ɉ</t>
  </si>
  <si>
    <t>j̃</t>
  </si>
  <si>
    <t>NW</t>
  </si>
  <si>
    <t>086a</t>
  </si>
  <si>
    <t>086b</t>
  </si>
  <si>
    <t>nj / ? / V_V</t>
  </si>
  <si>
    <t>typically /ɲ/</t>
  </si>
  <si>
    <t>cf. Recasens on alveolopalatals</t>
  </si>
  <si>
    <t>-RJ-</t>
  </si>
  <si>
    <t>JĀN-/JĔNŬĀRĬU, LĂCTĀRĬU, FŬRNĀRĬU</t>
  </si>
  <si>
    <t>rj / ? / V_V</t>
  </si>
  <si>
    <t>frequent metathesis</t>
  </si>
  <si>
    <t>-LJ-</t>
  </si>
  <si>
    <t>FĪLĬA/U, CĬLĬA, MĬLĬU, MĪLĬA</t>
  </si>
  <si>
    <t>lh</t>
  </si>
  <si>
    <t>gli</t>
  </si>
  <si>
    <r>
      <rPr>
        <sz val="12"/>
        <color rgb="FF000000"/>
        <rFont val="Tahoma"/>
      </rPr>
      <t>ȴ</t>
    </r>
    <r>
      <rPr>
        <sz val="10"/>
        <color rgb="FF000000"/>
        <rFont val="Tahoma"/>
      </rPr>
      <t xml:space="preserve"> [ʎ̟]</t>
    </r>
  </si>
  <si>
    <r>
      <rPr>
        <sz val="10"/>
        <color rgb="FF000000"/>
        <rFont val="Tahoma"/>
      </rPr>
      <t>ȴȴ</t>
    </r>
    <r>
      <rPr>
        <sz val="9"/>
        <color rgb="FF000000"/>
        <rFont val="Tahoma"/>
      </rPr>
      <t xml:space="preserve"> [ʎ̟ʎ̟]</t>
    </r>
  </si>
  <si>
    <t>LLWW</t>
  </si>
  <si>
    <t>lj / ? / i_V</t>
  </si>
  <si>
    <t>PĂLĔA, FŎLĬA, ŎLĔU</t>
  </si>
  <si>
    <t>{a,e,o,u}_V</t>
  </si>
  <si>
    <t>lj / ? / {a,e,o,u}_V</t>
  </si>
  <si>
    <t>2.3 Geminate consonants</t>
  </si>
  <si>
    <t>-PP-</t>
  </si>
  <si>
    <t>CŬPPA, STŬPPA/ĀRE</t>
  </si>
  <si>
    <t>pp / ? / V_V</t>
  </si>
  <si>
    <t>typically degeminated</t>
  </si>
  <si>
    <t>-BB-</t>
  </si>
  <si>
    <t>ĂBBĀTE, GĬBBA, SĂBBĂTU</t>
  </si>
  <si>
    <t>BB</t>
  </si>
  <si>
    <t>b(b)</t>
  </si>
  <si>
    <t>bb (b)</t>
  </si>
  <si>
    <t>PP (P)</t>
  </si>
  <si>
    <t>bb / ? / V_V</t>
  </si>
  <si>
    <t>-TT-</t>
  </si>
  <si>
    <t>092a) CĂTTA/U, PLĂTTU, BŬTTE, SĂGĬTTA, MĬTTĔRE;
092b) *PĬTTĪTU, *MĬTTĪTU</t>
  </si>
  <si>
    <t>TT</t>
  </si>
  <si>
    <t>tt</t>
  </si>
  <si>
    <t>t̪t̪</t>
  </si>
  <si>
    <t>t͡s</t>
  </si>
  <si>
    <t>092a</t>
  </si>
  <si>
    <t>092b</t>
  </si>
  <si>
    <t>092a: tt / ? / V_{a,e,ī,O}</t>
  </si>
  <si>
    <t>092b: tt / ? / V_ī</t>
  </si>
  <si>
    <t>-DD-</t>
  </si>
  <si>
    <t>ĂDDŪCĔRE, RĔDDĔRE, (ĬN)ĂDDĔRE</t>
  </si>
  <si>
    <t>DD</t>
  </si>
  <si>
    <t>dd</t>
  </si>
  <si>
    <t>d̪d̪</t>
  </si>
  <si>
    <t>dd / ? / V_V</t>
  </si>
  <si>
    <t>-CC-</t>
  </si>
  <si>
    <t>SĬCCU, BĔCCU</t>
  </si>
  <si>
    <t>CC</t>
  </si>
  <si>
    <t>cc</t>
  </si>
  <si>
    <t>kk</t>
  </si>
  <si>
    <t>kk / ? / V_O</t>
  </si>
  <si>
    <t>*TŬCCĀRE, BŬCCA, VĂCCA</t>
  </si>
  <si>
    <t>kk / ? / V_a</t>
  </si>
  <si>
    <t>ŎCCĪDĔRE, *BĂCCĬNU, CŎCCĬNU, BŬCCĬNĀRE, FLĂCCĬDU</t>
  </si>
  <si>
    <r>
      <rPr>
        <sz val="9"/>
        <color rgb="FF000000"/>
        <rFont val="Tahoma"/>
      </rPr>
      <t>c/ss</t>
    </r>
    <r>
      <rPr>
        <sz val="8"/>
        <color rgb="FF000000"/>
        <rFont val="Tahoma"/>
      </rPr>
      <t>(tz)</t>
    </r>
  </si>
  <si>
    <t>c/ss</t>
  </si>
  <si>
    <r>
      <rPr>
        <sz val="12"/>
        <color rgb="FF000000"/>
        <rFont val="Tahoma"/>
      </rPr>
      <t>s̠</t>
    </r>
    <r>
      <rPr>
        <sz val="10"/>
        <color rgb="FF000000"/>
        <rFont val="Tahoma"/>
      </rPr>
      <t xml:space="preserve"> (d͡z̠)</t>
    </r>
  </si>
  <si>
    <r>
      <rPr>
        <sz val="12"/>
        <color rgb="FF000000"/>
        <rFont val="Tahoma"/>
      </rPr>
      <t>F</t>
    </r>
    <r>
      <rPr>
        <sz val="10"/>
        <color rgb="FF000000"/>
        <rFont val="Tahoma"/>
      </rPr>
      <t xml:space="preserve"> (P͡F)</t>
    </r>
  </si>
  <si>
    <t>kk / ? / V_E</t>
  </si>
  <si>
    <t>typically palatalizes</t>
  </si>
  <si>
    <t>-GG-</t>
  </si>
  <si>
    <t>ĔXĂGGĔRĀRE, SŬGGĔRĀRE</t>
  </si>
  <si>
    <t>GG</t>
  </si>
  <si>
    <t>g(g)</t>
  </si>
  <si>
    <t>ɡɡ</t>
  </si>
  <si>
    <t>ɡɡ / ? / V_V</t>
  </si>
  <si>
    <t>would typically have degeminated; the given forms here are learned and only show the context V_E</t>
  </si>
  <si>
    <t>-MM-</t>
  </si>
  <si>
    <t>FLĂMMA, GĔMMA, CŎMMŪNE, SŬMMA/U, MĂMMA</t>
  </si>
  <si>
    <t>MM</t>
  </si>
  <si>
    <t>mm / ? / V_V</t>
  </si>
  <si>
    <t>-NN-</t>
  </si>
  <si>
    <t>CĂNNA, ĂNNU, CĬNNU/ĀRE, PĂNNU, CĂNNŬLA</t>
  </si>
  <si>
    <t>nn</t>
  </si>
  <si>
    <t>nn / ? / V_V</t>
  </si>
  <si>
    <t>-FF-</t>
  </si>
  <si>
    <t>ŎFFĔNDĔRE, SŬFFĔRĪRE, DĬFFĬCĬLE</t>
  </si>
  <si>
    <t>ff / ? / V_V</t>
  </si>
  <si>
    <t>typically degeminated; the given forms here are typically learned</t>
  </si>
  <si>
    <t>-SS-</t>
  </si>
  <si>
    <t>101a) VĔSSĪCA, *VĬSSĪNA/ĪRE;
101b) TŬSSĬ/ĪRE, *ĂSSĒCŪRĀRE, ĂSSĬMĬLĀRE</t>
  </si>
  <si>
    <t>SS</t>
  </si>
  <si>
    <t>(i)x</t>
  </si>
  <si>
    <t>sc(i)</t>
  </si>
  <si>
    <t>sh~s</t>
  </si>
  <si>
    <t>ș~s</t>
  </si>
  <si>
    <t>s̠s̠</t>
  </si>
  <si>
    <t>ɕ~ʃ</t>
  </si>
  <si>
    <t>ʃʃ</t>
  </si>
  <si>
    <t>ʃ~s̪</t>
  </si>
  <si>
    <t>101a</t>
  </si>
  <si>
    <t>101b</t>
  </si>
  <si>
    <t>101a: ss / ? / V_E</t>
  </si>
  <si>
    <t>typically palatalized/degeminated</t>
  </si>
  <si>
    <t>101b: ss / ? / V_E</t>
  </si>
  <si>
    <t>PĂSSU/ĀRE, ŎSSU, FŎSSA, ĂSSĀRE, SPĬSSU;
CRĂSSU, BĂSSU</t>
  </si>
  <si>
    <t>s (s̠)</t>
  </si>
  <si>
    <t>ss / ? / V_{a,O}</t>
  </si>
  <si>
    <t>CRĂSSU, BĂSSU</t>
  </si>
  <si>
    <t xml:space="preserve">occasional palatalized forms likely from -SSJ- rather than true -SS- </t>
  </si>
  <si>
    <t>-RR-</t>
  </si>
  <si>
    <t>TĔRRA, CĂRRU, CĂRRĀRĬA</t>
  </si>
  <si>
    <t>RR</t>
  </si>
  <si>
    <t>rr</t>
  </si>
  <si>
    <t>rː</t>
  </si>
  <si>
    <t>r̠ː</t>
  </si>
  <si>
    <t>LL</t>
  </si>
  <si>
    <t>rr / ? / V_V</t>
  </si>
  <si>
    <t>typically remains [rː]</t>
  </si>
  <si>
    <t>-LL-</t>
  </si>
  <si>
    <t>104a) BĔLLA, PĂTĔLLA, VĬLLA, MĬLLE, VĬTĔLLU, FŎLLE, ĂLLĬGĀRE; 104b) GĂLLĪNA, BŬLLĪRE, -LLĪ</t>
  </si>
  <si>
    <t>l(l)</t>
  </si>
  <si>
    <r>
      <rPr>
        <sz val="12"/>
        <color rgb="FF000000"/>
        <rFont val="Tahoma"/>
      </rPr>
      <t>ll</t>
    </r>
    <r>
      <rPr>
        <sz val="10"/>
        <color rgb="FF000000"/>
        <rFont val="Tahoma"/>
      </rPr>
      <t xml:space="preserve"> (gli)</t>
    </r>
  </si>
  <si>
    <t>ḍḍ</t>
  </si>
  <si>
    <t>ll~ɭɭ</t>
  </si>
  <si>
    <t>ʎ~ʝ</t>
  </si>
  <si>
    <t>ȴ [ʎ̟]</t>
  </si>
  <si>
    <t>ɖɖ</t>
  </si>
  <si>
    <r>
      <rPr>
        <sz val="12"/>
        <color rgb="FF000000"/>
        <rFont val="Tahoma"/>
      </rPr>
      <t>ll</t>
    </r>
    <r>
      <rPr>
        <sz val="11.5"/>
        <color rgb="FF000000"/>
        <rFont val="Tahoma"/>
      </rPr>
      <t xml:space="preserve"> (ȴȴ)</t>
    </r>
  </si>
  <si>
    <t>D (Ɉ)</t>
  </si>
  <si>
    <t>LW~F</t>
  </si>
  <si>
    <t>104a</t>
  </si>
  <si>
    <t>104b</t>
  </si>
  <si>
    <t>104a: ll / ? / V_{a,e,ĭ,O}</t>
  </si>
  <si>
    <t>104b: ll / ? / V_ī</t>
  </si>
  <si>
    <t>Balkan Romance shows palatalization before /i/</t>
  </si>
  <si>
    <t>-PT-</t>
  </si>
  <si>
    <t>01a</t>
  </si>
  <si>
    <t>01b</t>
  </si>
  <si>
    <t>02</t>
  </si>
  <si>
    <t>03</t>
  </si>
  <si>
    <t>04a</t>
  </si>
  <si>
    <t>04b</t>
  </si>
  <si>
    <t>04c</t>
  </si>
  <si>
    <t>04d</t>
  </si>
  <si>
    <t>05</t>
  </si>
  <si>
    <t>06a</t>
  </si>
  <si>
    <t>06b</t>
  </si>
  <si>
    <t>06c</t>
  </si>
  <si>
    <t>07a</t>
  </si>
  <si>
    <t>07b</t>
  </si>
  <si>
    <t>08</t>
  </si>
  <si>
    <t>09</t>
  </si>
  <si>
    <t>10</t>
  </si>
  <si>
    <t>11</t>
  </si>
  <si>
    <t>12</t>
  </si>
  <si>
    <t>13a</t>
  </si>
  <si>
    <t>13b</t>
  </si>
  <si>
    <t>14</t>
  </si>
  <si>
    <t>15</t>
  </si>
  <si>
    <t>16</t>
  </si>
  <si>
    <t>17a</t>
  </si>
  <si>
    <t>17b</t>
  </si>
  <si>
    <t>18</t>
  </si>
  <si>
    <t>19</t>
  </si>
  <si>
    <t>20</t>
  </si>
  <si>
    <t>21</t>
  </si>
  <si>
    <t>22a</t>
  </si>
  <si>
    <t>22b</t>
  </si>
  <si>
    <t>LDO</t>
  </si>
  <si>
    <t>PST</t>
  </si>
  <si>
    <t>GLA</t>
  </si>
  <si>
    <t>NRM</t>
  </si>
  <si>
    <t>PIC</t>
  </si>
  <si>
    <t>PMS</t>
  </si>
  <si>
    <t>EML</t>
  </si>
  <si>
    <t>RML</t>
  </si>
  <si>
    <t>LDN</t>
  </si>
  <si>
    <t>DMI</t>
  </si>
  <si>
    <t>CMM</t>
  </si>
  <si>
    <t>LUC</t>
  </si>
  <si>
    <t>CLB</t>
  </si>
  <si>
    <t>SAL</t>
  </si>
  <si>
    <t>IST</t>
  </si>
  <si>
    <t>pt / ? / V_V</t>
  </si>
  <si>
    <t>2.5 Groups of two consonants + yod</t>
  </si>
  <si>
    <t>-PTJ-</t>
  </si>
  <si>
    <t>STRĀTA, STRICTA, STRATU/A</t>
  </si>
  <si>
    <t>B - Vocalism</t>
  </si>
  <si>
    <t>1. Accented vowels</t>
  </si>
  <si>
    <t>Ī</t>
  </si>
  <si>
    <t>AMĪCA</t>
  </si>
  <si>
    <t>_Ca</t>
  </si>
  <si>
    <t>iː</t>
  </si>
  <si>
    <t>ī / ? / _Ca</t>
  </si>
  <si>
    <t>typically /i/</t>
  </si>
  <si>
    <t>typically //</t>
  </si>
  <si>
    <t>https://en.wikipedia.org/wiki/Vowel#/media/File:Esling_vowel_chart.png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</si>
</sst>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Aptos Narrow"/>
      <family val="2"/>
      <scheme val="minor"/>
    </font>
    <font>
      <sz val="11"/>
      <color theme="1"/>
      <name val="Tahoma"/>
    </font>
    <font>
      <b/>
      <sz val="11"/>
      <color theme="1"/>
      <name val="Tahoma"/>
    </font>
    <font>
      <sz val="12"/>
      <color theme="1"/>
      <name val="Tahoma"/>
    </font>
    <font>
      <sz val="12"/>
      <color rgb="FF000000"/>
      <name val="Tahoma"/>
    </font>
    <font>
      <b/>
      <sz val="12"/>
      <color theme="1"/>
      <name val="Tahoma"/>
    </font>
    <font>
      <sz val="14"/>
      <color theme="1"/>
      <name val="Tahoma"/>
    </font>
    <font>
      <i/>
      <sz val="12"/>
      <color theme="1"/>
      <name val="Tahoma"/>
    </font>
    <font>
      <u/>
      <sz val="11"/>
      <color theme="10"/>
      <name val="Aptos Narrow"/>
      <family val="2"/>
      <scheme val="minor"/>
    </font>
    <font>
      <u/>
      <sz val="12"/>
      <color theme="10"/>
      <name val="Tahoma"/>
    </font>
    <font>
      <u/>
      <sz val="12"/>
      <color theme="1"/>
      <name val="Tahoma"/>
    </font>
    <font>
      <sz val="11"/>
      <color rgb="FF000000"/>
      <name val="Tahoma"/>
    </font>
    <font>
      <sz val="12"/>
      <color rgb="FF808080"/>
      <name val="Tahoma"/>
    </font>
    <font>
      <sz val="11.5"/>
      <color theme="1"/>
      <name val="Tahoma"/>
    </font>
    <font>
      <i/>
      <sz val="12"/>
      <color rgb="FF000000"/>
      <name val="Tahoma"/>
    </font>
    <font>
      <u/>
      <sz val="11"/>
      <color theme="10"/>
      <name val="Tahoma"/>
    </font>
    <font>
      <sz val="10.5"/>
      <color theme="1"/>
      <name val="Tahoma"/>
    </font>
    <font>
      <sz val="10.5"/>
      <color rgb="FF000000"/>
      <name val="Tahoma"/>
    </font>
    <font>
      <sz val="8"/>
      <color rgb="FF000000"/>
      <name val="Tahoma"/>
    </font>
    <font>
      <sz val="9"/>
      <color rgb="FF000000"/>
      <name val="Tahoma"/>
    </font>
    <font>
      <sz val="10"/>
      <color rgb="FF000000"/>
      <name val="Tahoma"/>
    </font>
    <font>
      <i/>
      <sz val="11"/>
      <color rgb="FF000000"/>
      <name val="Tahoma"/>
    </font>
    <font>
      <sz val="10"/>
      <color theme="1"/>
      <name val="Tahoma"/>
    </font>
    <font>
      <sz val="12"/>
      <color theme="8" tint="-0.499984740745262"/>
      <name val="Tahoma"/>
    </font>
    <font>
      <sz val="9"/>
      <color theme="1"/>
      <name val="Tahoma"/>
    </font>
    <font>
      <b/>
      <sz val="10"/>
      <color theme="1"/>
      <name val="Tahoma"/>
    </font>
    <font>
      <sz val="8.5"/>
      <color rgb="FF000000"/>
      <name val="Tahoma"/>
    </font>
    <font>
      <sz val="11.5"/>
      <color rgb="FF000000"/>
      <name val="Tahoma"/>
    </font>
    <font>
      <sz val="9.5"/>
      <color rgb="FF000000"/>
      <name val="Tahoma"/>
    </font>
    <font>
      <sz val="11"/>
      <color theme="1"/>
      <name val="Tahoma"/>
      <family val="2"/>
    </font>
    <font>
      <sz val="12"/>
      <color theme="1"/>
      <name val="Tahoma"/>
      <family val="2"/>
    </font>
    <font>
      <sz val="10.5"/>
      <color theme="1"/>
      <name val="Tahoma"/>
      <family val="2"/>
    </font>
    <font>
      <i/>
      <sz val="11.5"/>
      <color rgb="FF000000"/>
      <name val="Tahoma"/>
    </font>
    <font>
      <strike/>
      <sz val="12"/>
      <color theme="1"/>
      <name val="Tahoma"/>
    </font>
    <font>
      <i/>
      <sz val="11"/>
      <color theme="1"/>
      <name val="Tahoma"/>
    </font>
    <font>
      <i/>
      <sz val="10"/>
      <color rgb="FF000000"/>
      <name val="Tahoma"/>
    </font>
    <font>
      <strike/>
      <sz val="11"/>
      <color theme="1"/>
      <name val="Tahoma"/>
    </font>
    <font>
      <sz val="12"/>
      <color rgb="FF000000"/>
      <name val="Tahoma"/>
      <charset val="1"/>
    </font>
    <font>
      <sz val="11"/>
      <color rgb="FF242424"/>
      <name val="Aptos Narrow"/>
      <charset val="1"/>
    </font>
  </fonts>
  <fills count="24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  <fill>
      <patternFill patternType="solid">
        <fgColor rgb="FFFCD0CD"/>
        <bgColor indexed="64"/>
      </patternFill>
    </fill>
    <fill>
      <patternFill patternType="solid">
        <fgColor rgb="FFFCDD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DFACC"/>
        <bgColor indexed="64"/>
      </patternFill>
    </fill>
    <fill>
      <patternFill patternType="solid">
        <fgColor rgb="FFF6FDCC"/>
        <bgColor indexed="64"/>
      </patternFill>
    </fill>
    <fill>
      <patternFill patternType="solid">
        <fgColor rgb="FFE3F1C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FE8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D8CCC2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5D5F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9CAF1"/>
        <bgColor indexed="64"/>
      </patternFill>
    </fill>
    <fill>
      <patternFill patternType="solid">
        <fgColor rgb="FFEBD1E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/>
      <bottom style="thin">
        <color rgb="FFCCCCCC"/>
      </bottom>
      <diagonal/>
    </border>
    <border>
      <left style="thin">
        <color rgb="FFCCCCCC"/>
      </left>
      <right style="thin">
        <color rgb="FF000000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5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readingOrder="1"/>
    </xf>
    <xf numFmtId="0" fontId="1" fillId="0" borderId="0" xfId="0" quotePrefix="1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 readingOrder="1"/>
    </xf>
    <xf numFmtId="0" fontId="3" fillId="2" borderId="6" xfId="0" applyFont="1" applyFill="1" applyBorder="1" applyAlignment="1">
      <alignment horizontal="center" vertical="center" readingOrder="1"/>
    </xf>
    <xf numFmtId="0" fontId="3" fillId="3" borderId="6" xfId="0" applyFont="1" applyFill="1" applyBorder="1" applyAlignment="1">
      <alignment horizontal="center" vertical="center" readingOrder="1"/>
    </xf>
    <xf numFmtId="0" fontId="4" fillId="4" borderId="6" xfId="0" applyFont="1" applyFill="1" applyBorder="1" applyAlignment="1">
      <alignment horizontal="center" vertical="center" wrapText="1" readingOrder="1"/>
    </xf>
    <xf numFmtId="0" fontId="3" fillId="4" borderId="6" xfId="0" applyFont="1" applyFill="1" applyBorder="1" applyAlignment="1">
      <alignment horizontal="center" vertical="center" wrapText="1" readingOrder="1"/>
    </xf>
    <xf numFmtId="0" fontId="3" fillId="5" borderId="6" xfId="0" applyFont="1" applyFill="1" applyBorder="1" applyAlignment="1">
      <alignment horizontal="center" vertical="center" readingOrder="1"/>
    </xf>
    <xf numFmtId="0" fontId="3" fillId="6" borderId="6" xfId="0" applyFont="1" applyFill="1" applyBorder="1" applyAlignment="1">
      <alignment horizontal="center" vertical="center" readingOrder="1"/>
    </xf>
    <xf numFmtId="0" fontId="3" fillId="7" borderId="6" xfId="0" applyFont="1" applyFill="1" applyBorder="1" applyAlignment="1">
      <alignment horizontal="center" vertical="center" wrapText="1" readingOrder="1"/>
    </xf>
    <xf numFmtId="0" fontId="3" fillId="8" borderId="6" xfId="0" applyFont="1" applyFill="1" applyBorder="1" applyAlignment="1">
      <alignment horizontal="center" vertical="center" readingOrder="1"/>
    </xf>
    <xf numFmtId="0" fontId="3" fillId="9" borderId="6" xfId="0" applyFont="1" applyFill="1" applyBorder="1" applyAlignment="1">
      <alignment horizontal="center" vertical="center" readingOrder="1"/>
    </xf>
    <xf numFmtId="0" fontId="3" fillId="10" borderId="6" xfId="0" applyFont="1" applyFill="1" applyBorder="1" applyAlignment="1">
      <alignment horizontal="center" vertical="center" readingOrder="1"/>
    </xf>
    <xf numFmtId="0" fontId="3" fillId="11" borderId="6" xfId="0" applyFont="1" applyFill="1" applyBorder="1" applyAlignment="1">
      <alignment horizontal="center" vertical="center" readingOrder="1"/>
    </xf>
    <xf numFmtId="0" fontId="3" fillId="12" borderId="6" xfId="0" applyFont="1" applyFill="1" applyBorder="1" applyAlignment="1">
      <alignment horizontal="center" vertical="center" readingOrder="1"/>
    </xf>
    <xf numFmtId="0" fontId="3" fillId="13" borderId="6" xfId="0" applyFont="1" applyFill="1" applyBorder="1" applyAlignment="1">
      <alignment horizontal="center" vertical="center" readingOrder="1"/>
    </xf>
    <xf numFmtId="0" fontId="3" fillId="14" borderId="6" xfId="0" applyFont="1" applyFill="1" applyBorder="1" applyAlignment="1">
      <alignment horizontal="center" vertical="center" readingOrder="1"/>
    </xf>
    <xf numFmtId="0" fontId="3" fillId="15" borderId="6" xfId="0" applyFont="1" applyFill="1" applyBorder="1" applyAlignment="1">
      <alignment horizontal="center" vertical="center" readingOrder="1"/>
    </xf>
    <xf numFmtId="0" fontId="3" fillId="16" borderId="6" xfId="0" applyFont="1" applyFill="1" applyBorder="1" applyAlignment="1">
      <alignment horizontal="center" vertical="center" readingOrder="1"/>
    </xf>
    <xf numFmtId="0" fontId="3" fillId="18" borderId="6" xfId="0" applyFont="1" applyFill="1" applyBorder="1" applyAlignment="1">
      <alignment horizontal="center" vertical="center" readingOrder="1"/>
    </xf>
    <xf numFmtId="0" fontId="3" fillId="18" borderId="8" xfId="0" applyFont="1" applyFill="1" applyBorder="1" applyAlignment="1">
      <alignment horizontal="center" vertical="center" readingOrder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2" borderId="9" xfId="0" applyFont="1" applyFill="1" applyBorder="1" applyAlignment="1">
      <alignment horizontal="center" vertical="center" wrapText="1" readingOrder="1"/>
    </xf>
    <xf numFmtId="0" fontId="3" fillId="2" borderId="9" xfId="0" applyFont="1" applyFill="1" applyBorder="1" applyAlignment="1">
      <alignment horizontal="center" vertical="center" readingOrder="1"/>
    </xf>
    <xf numFmtId="0" fontId="3" fillId="3" borderId="9" xfId="0" applyFont="1" applyFill="1" applyBorder="1" applyAlignment="1">
      <alignment horizontal="center" vertical="center" wrapText="1" readingOrder="1"/>
    </xf>
    <xf numFmtId="0" fontId="4" fillId="4" borderId="9" xfId="0" applyFont="1" applyFill="1" applyBorder="1" applyAlignment="1">
      <alignment horizontal="center" vertical="center" wrapText="1" readingOrder="1"/>
    </xf>
    <xf numFmtId="0" fontId="3" fillId="4" borderId="9" xfId="0" applyFont="1" applyFill="1" applyBorder="1" applyAlignment="1">
      <alignment horizontal="center" vertical="center" wrapText="1" readingOrder="1"/>
    </xf>
    <xf numFmtId="0" fontId="3" fillId="4" borderId="9" xfId="0" applyFont="1" applyFill="1" applyBorder="1" applyAlignment="1">
      <alignment horizontal="center" vertical="center" readingOrder="1"/>
    </xf>
    <xf numFmtId="0" fontId="3" fillId="5" borderId="9" xfId="0" applyFont="1" applyFill="1" applyBorder="1" applyAlignment="1">
      <alignment horizontal="center" vertical="center" readingOrder="1"/>
    </xf>
    <xf numFmtId="0" fontId="3" fillId="6" borderId="9" xfId="0" applyFont="1" applyFill="1" applyBorder="1" applyAlignment="1">
      <alignment horizontal="center" vertical="center" readingOrder="1"/>
    </xf>
    <xf numFmtId="0" fontId="3" fillId="7" borderId="9" xfId="0" applyFont="1" applyFill="1" applyBorder="1" applyAlignment="1">
      <alignment horizontal="center" vertical="center" wrapText="1" readingOrder="1"/>
    </xf>
    <xf numFmtId="0" fontId="3" fillId="8" borderId="9" xfId="0" applyFont="1" applyFill="1" applyBorder="1" applyAlignment="1">
      <alignment horizontal="center" vertical="center" readingOrder="1"/>
    </xf>
    <xf numFmtId="0" fontId="3" fillId="8" borderId="9" xfId="0" applyFont="1" applyFill="1" applyBorder="1" applyAlignment="1">
      <alignment horizontal="center" vertical="center" wrapText="1" readingOrder="1"/>
    </xf>
    <xf numFmtId="0" fontId="3" fillId="19" borderId="9" xfId="0" applyFont="1" applyFill="1" applyBorder="1" applyAlignment="1">
      <alignment horizontal="center" vertical="center" wrapText="1" readingOrder="1"/>
    </xf>
    <xf numFmtId="0" fontId="3" fillId="9" borderId="9" xfId="0" applyFont="1" applyFill="1" applyBorder="1" applyAlignment="1">
      <alignment horizontal="center" vertical="center" readingOrder="1"/>
    </xf>
    <xf numFmtId="0" fontId="3" fillId="10" borderId="9" xfId="0" applyFont="1" applyFill="1" applyBorder="1" applyAlignment="1">
      <alignment horizontal="center" vertical="center" readingOrder="1"/>
    </xf>
    <xf numFmtId="0" fontId="3" fillId="11" borderId="9" xfId="0" applyFont="1" applyFill="1" applyBorder="1" applyAlignment="1">
      <alignment horizontal="center" vertical="center" readingOrder="1"/>
    </xf>
    <xf numFmtId="0" fontId="3" fillId="12" borderId="9" xfId="0" applyFont="1" applyFill="1" applyBorder="1" applyAlignment="1">
      <alignment horizontal="center" vertical="center" wrapText="1" readingOrder="1"/>
    </xf>
    <xf numFmtId="0" fontId="3" fillId="13" borderId="9" xfId="0" applyFont="1" applyFill="1" applyBorder="1" applyAlignment="1">
      <alignment horizontal="center" vertical="center" readingOrder="1"/>
    </xf>
    <xf numFmtId="0" fontId="3" fillId="14" borderId="9" xfId="0" applyFont="1" applyFill="1" applyBorder="1" applyAlignment="1">
      <alignment horizontal="center" vertical="center" readingOrder="1"/>
    </xf>
    <xf numFmtId="0" fontId="3" fillId="15" borderId="9" xfId="0" applyFont="1" applyFill="1" applyBorder="1" applyAlignment="1">
      <alignment horizontal="center" vertical="center" readingOrder="1"/>
    </xf>
    <xf numFmtId="0" fontId="3" fillId="16" borderId="9" xfId="0" applyFont="1" applyFill="1" applyBorder="1" applyAlignment="1">
      <alignment horizontal="center" vertical="center" readingOrder="1"/>
    </xf>
    <xf numFmtId="0" fontId="3" fillId="17" borderId="9" xfId="0" applyFont="1" applyFill="1" applyBorder="1" applyAlignment="1">
      <alignment horizontal="center" vertical="center" readingOrder="1"/>
    </xf>
    <xf numFmtId="0" fontId="3" fillId="18" borderId="9" xfId="0" applyFont="1" applyFill="1" applyBorder="1" applyAlignment="1">
      <alignment horizontal="center" vertical="center" readingOrder="1"/>
    </xf>
    <xf numFmtId="0" fontId="3" fillId="20" borderId="0" xfId="0" applyFont="1" applyFill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19" borderId="17" xfId="0" applyFont="1" applyFill="1" applyBorder="1" applyAlignment="1">
      <alignment horizontal="center" vertical="center" wrapText="1" readingOrder="1"/>
    </xf>
    <xf numFmtId="0" fontId="3" fillId="2" borderId="17" xfId="0" applyFont="1" applyFill="1" applyBorder="1" applyAlignment="1">
      <alignment horizontal="center" vertical="center" wrapText="1" readingOrder="1"/>
    </xf>
    <xf numFmtId="0" fontId="3" fillId="2" borderId="17" xfId="0" applyFont="1" applyFill="1" applyBorder="1" applyAlignment="1">
      <alignment horizontal="center" vertical="center" readingOrder="1"/>
    </xf>
    <xf numFmtId="0" fontId="3" fillId="3" borderId="17" xfId="0" applyFont="1" applyFill="1" applyBorder="1" applyAlignment="1">
      <alignment horizontal="center" vertical="center" wrapText="1" readingOrder="1"/>
    </xf>
    <xf numFmtId="0" fontId="4" fillId="4" borderId="17" xfId="0" applyFont="1" applyFill="1" applyBorder="1" applyAlignment="1">
      <alignment horizontal="center" vertical="center" wrapText="1" readingOrder="1"/>
    </xf>
    <xf numFmtId="0" fontId="3" fillId="4" borderId="17" xfId="0" applyFont="1" applyFill="1" applyBorder="1" applyAlignment="1">
      <alignment horizontal="center" vertical="center" wrapText="1" readingOrder="1"/>
    </xf>
    <xf numFmtId="0" fontId="3" fillId="5" borderId="17" xfId="0" applyFont="1" applyFill="1" applyBorder="1" applyAlignment="1">
      <alignment horizontal="center" vertical="center" readingOrder="1"/>
    </xf>
    <xf numFmtId="0" fontId="3" fillId="6" borderId="17" xfId="0" applyFont="1" applyFill="1" applyBorder="1" applyAlignment="1">
      <alignment horizontal="center" vertical="center" readingOrder="1"/>
    </xf>
    <xf numFmtId="0" fontId="3" fillId="7" borderId="17" xfId="0" applyFont="1" applyFill="1" applyBorder="1" applyAlignment="1">
      <alignment horizontal="center" vertical="center" wrapText="1" readingOrder="1"/>
    </xf>
    <xf numFmtId="0" fontId="3" fillId="8" borderId="17" xfId="0" applyFont="1" applyFill="1" applyBorder="1" applyAlignment="1">
      <alignment horizontal="center" vertical="center" readingOrder="1"/>
    </xf>
    <xf numFmtId="0" fontId="3" fillId="8" borderId="17" xfId="0" applyFont="1" applyFill="1" applyBorder="1" applyAlignment="1">
      <alignment horizontal="center" vertical="center" wrapText="1" readingOrder="1"/>
    </xf>
    <xf numFmtId="0" fontId="3" fillId="9" borderId="17" xfId="0" applyFont="1" applyFill="1" applyBorder="1" applyAlignment="1">
      <alignment horizontal="center" vertical="center" readingOrder="1"/>
    </xf>
    <xf numFmtId="0" fontId="3" fillId="10" borderId="17" xfId="0" applyFont="1" applyFill="1" applyBorder="1" applyAlignment="1">
      <alignment horizontal="center" vertical="center" readingOrder="1"/>
    </xf>
    <xf numFmtId="0" fontId="3" fillId="11" borderId="17" xfId="0" applyFont="1" applyFill="1" applyBorder="1" applyAlignment="1">
      <alignment horizontal="center" vertical="center" readingOrder="1"/>
    </xf>
    <xf numFmtId="0" fontId="3" fillId="12" borderId="17" xfId="0" applyFont="1" applyFill="1" applyBorder="1" applyAlignment="1">
      <alignment horizontal="center" vertical="center" wrapText="1" readingOrder="1"/>
    </xf>
    <xf numFmtId="0" fontId="3" fillId="13" borderId="17" xfId="0" applyFont="1" applyFill="1" applyBorder="1" applyAlignment="1">
      <alignment horizontal="center" vertical="center" readingOrder="1"/>
    </xf>
    <xf numFmtId="0" fontId="3" fillId="14" borderId="17" xfId="0" applyFont="1" applyFill="1" applyBorder="1" applyAlignment="1">
      <alignment horizontal="center" vertical="center" readingOrder="1"/>
    </xf>
    <xf numFmtId="0" fontId="3" fillId="15" borderId="17" xfId="0" applyFont="1" applyFill="1" applyBorder="1" applyAlignment="1">
      <alignment horizontal="center" vertical="center" readingOrder="1"/>
    </xf>
    <xf numFmtId="0" fontId="3" fillId="16" borderId="17" xfId="0" applyFont="1" applyFill="1" applyBorder="1" applyAlignment="1">
      <alignment horizontal="center" vertical="center" readingOrder="1"/>
    </xf>
    <xf numFmtId="0" fontId="3" fillId="18" borderId="17" xfId="0" applyFont="1" applyFill="1" applyBorder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1" applyAlignment="1">
      <alignment horizontal="left" vertical="center"/>
    </xf>
    <xf numFmtId="0" fontId="3" fillId="21" borderId="9" xfId="0" applyFont="1" applyFill="1" applyBorder="1" applyAlignment="1">
      <alignment horizontal="center" vertical="center"/>
    </xf>
    <xf numFmtId="0" fontId="3" fillId="21" borderId="10" xfId="0" applyFont="1" applyFill="1" applyBorder="1" applyAlignment="1">
      <alignment horizontal="center" vertical="center"/>
    </xf>
    <xf numFmtId="2" fontId="3" fillId="21" borderId="9" xfId="0" applyNumberFormat="1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21" borderId="18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2" fontId="3" fillId="0" borderId="19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13" fillId="20" borderId="0" xfId="0" applyFont="1" applyFill="1" applyAlignment="1">
      <alignment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5" fillId="0" borderId="0" xfId="1" applyFont="1" applyAlignment="1">
      <alignment horizontal="center" vertical="center"/>
    </xf>
    <xf numFmtId="2" fontId="3" fillId="0" borderId="17" xfId="0" applyNumberFormat="1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 readingOrder="1"/>
    </xf>
    <xf numFmtId="0" fontId="4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4" fillId="0" borderId="9" xfId="0" quotePrefix="1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22" fillId="0" borderId="9" xfId="0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6" fillId="0" borderId="9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12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17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2" borderId="1" xfId="0" applyFont="1" applyFill="1" applyBorder="1" applyAlignment="1">
      <alignment horizontal="center" vertical="center" readingOrder="1"/>
    </xf>
    <xf numFmtId="0" fontId="24" fillId="2" borderId="3" xfId="0" applyFont="1" applyFill="1" applyBorder="1" applyAlignment="1">
      <alignment horizontal="center" vertical="center" readingOrder="1"/>
    </xf>
    <xf numFmtId="0" fontId="24" fillId="2" borderId="5" xfId="0" applyFont="1" applyFill="1" applyBorder="1" applyAlignment="1">
      <alignment horizontal="center" vertical="center" readingOrder="1"/>
    </xf>
    <xf numFmtId="0" fontId="24" fillId="3" borderId="5" xfId="0" applyFont="1" applyFill="1" applyBorder="1" applyAlignment="1">
      <alignment horizontal="center" vertical="center" readingOrder="1"/>
    </xf>
    <xf numFmtId="0" fontId="19" fillId="4" borderId="5" xfId="0" applyFont="1" applyFill="1" applyBorder="1" applyAlignment="1">
      <alignment horizontal="center" vertical="center" wrapText="1" readingOrder="1"/>
    </xf>
    <xf numFmtId="0" fontId="24" fillId="4" borderId="5" xfId="0" applyFont="1" applyFill="1" applyBorder="1" applyAlignment="1">
      <alignment horizontal="center" vertical="center" wrapText="1" readingOrder="1"/>
    </xf>
    <xf numFmtId="0" fontId="24" fillId="5" borderId="5" xfId="0" applyFont="1" applyFill="1" applyBorder="1" applyAlignment="1">
      <alignment horizontal="center" vertical="center" readingOrder="1"/>
    </xf>
    <xf numFmtId="0" fontId="24" fillId="6" borderId="5" xfId="0" applyFont="1" applyFill="1" applyBorder="1" applyAlignment="1">
      <alignment horizontal="center" vertical="center" readingOrder="1"/>
    </xf>
    <xf numFmtId="0" fontId="24" fillId="7" borderId="5" xfId="0" applyFont="1" applyFill="1" applyBorder="1" applyAlignment="1">
      <alignment horizontal="center" vertical="center" wrapText="1" readingOrder="1"/>
    </xf>
    <xf numFmtId="0" fontId="24" fillId="8" borderId="5" xfId="0" applyFont="1" applyFill="1" applyBorder="1" applyAlignment="1">
      <alignment horizontal="center" vertical="center" readingOrder="1"/>
    </xf>
    <xf numFmtId="0" fontId="24" fillId="9" borderId="5" xfId="0" applyFont="1" applyFill="1" applyBorder="1" applyAlignment="1">
      <alignment horizontal="center" vertical="center" readingOrder="1"/>
    </xf>
    <xf numFmtId="0" fontId="24" fillId="10" borderId="5" xfId="0" applyFont="1" applyFill="1" applyBorder="1" applyAlignment="1">
      <alignment horizontal="center" vertical="center" readingOrder="1"/>
    </xf>
    <xf numFmtId="0" fontId="24" fillId="11" borderId="5" xfId="0" applyFont="1" applyFill="1" applyBorder="1" applyAlignment="1">
      <alignment horizontal="center" vertical="center" readingOrder="1"/>
    </xf>
    <xf numFmtId="0" fontId="24" fillId="12" borderId="5" xfId="0" applyFont="1" applyFill="1" applyBorder="1" applyAlignment="1">
      <alignment horizontal="center" vertical="center" readingOrder="1"/>
    </xf>
    <xf numFmtId="0" fontId="24" fillId="13" borderId="5" xfId="0" applyFont="1" applyFill="1" applyBorder="1" applyAlignment="1">
      <alignment horizontal="center" vertical="center" readingOrder="1"/>
    </xf>
    <xf numFmtId="0" fontId="24" fillId="14" borderId="5" xfId="0" applyFont="1" applyFill="1" applyBorder="1" applyAlignment="1">
      <alignment horizontal="center" vertical="center" readingOrder="1"/>
    </xf>
    <xf numFmtId="0" fontId="24" fillId="15" borderId="5" xfId="0" applyFont="1" applyFill="1" applyBorder="1" applyAlignment="1">
      <alignment horizontal="center" vertical="center" readingOrder="1"/>
    </xf>
    <xf numFmtId="0" fontId="24" fillId="16" borderId="5" xfId="0" applyFont="1" applyFill="1" applyBorder="1" applyAlignment="1">
      <alignment horizontal="center" vertical="center" readingOrder="1"/>
    </xf>
    <xf numFmtId="0" fontId="24" fillId="18" borderId="5" xfId="0" applyFont="1" applyFill="1" applyBorder="1" applyAlignment="1">
      <alignment horizontal="center" vertical="center" readingOrder="1"/>
    </xf>
    <xf numFmtId="0" fontId="24" fillId="18" borderId="7" xfId="0" applyFont="1" applyFill="1" applyBorder="1" applyAlignment="1">
      <alignment horizontal="center" vertical="center" readingOrder="1"/>
    </xf>
    <xf numFmtId="0" fontId="24" fillId="19" borderId="9" xfId="0" applyFont="1" applyFill="1" applyBorder="1" applyAlignment="1">
      <alignment horizontal="center" vertical="center" wrapText="1" readingOrder="1"/>
    </xf>
    <xf numFmtId="0" fontId="25" fillId="0" borderId="0" xfId="0" applyFont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3" fillId="21" borderId="16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3" fillId="21" borderId="9" xfId="0" applyFont="1" applyFill="1" applyBorder="1" applyAlignment="1">
      <alignment horizontal="center" vertical="center"/>
    </xf>
    <xf numFmtId="0" fontId="23" fillId="21" borderId="18" xfId="0" applyFont="1" applyFill="1" applyBorder="1" applyAlignment="1">
      <alignment horizontal="center" vertical="center"/>
    </xf>
    <xf numFmtId="2" fontId="3" fillId="21" borderId="10" xfId="0" applyNumberFormat="1" applyFont="1" applyFill="1" applyBorder="1" applyAlignment="1">
      <alignment horizontal="center" vertical="center"/>
    </xf>
    <xf numFmtId="0" fontId="23" fillId="0" borderId="19" xfId="0" quotePrefix="1" applyFont="1" applyBorder="1" applyAlignment="1">
      <alignment horizontal="center" vertical="center"/>
    </xf>
    <xf numFmtId="0" fontId="23" fillId="0" borderId="9" xfId="0" quotePrefix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0" xfId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" fillId="21" borderId="19" xfId="0" applyFont="1" applyFill="1" applyBorder="1" applyAlignment="1">
      <alignment horizontal="center" vertical="center"/>
    </xf>
    <xf numFmtId="0" fontId="3" fillId="21" borderId="14" xfId="0" applyFont="1" applyFill="1" applyBorder="1" applyAlignment="1">
      <alignment horizontal="center" vertical="center"/>
    </xf>
    <xf numFmtId="2" fontId="3" fillId="21" borderId="18" xfId="0" applyNumberFormat="1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3" fillId="20" borderId="9" xfId="0" applyFont="1" applyFill="1" applyBorder="1" applyAlignment="1">
      <alignment horizontal="center" vertical="center"/>
    </xf>
    <xf numFmtId="0" fontId="23" fillId="20" borderId="9" xfId="0" applyFont="1" applyFill="1" applyBorder="1" applyAlignment="1">
      <alignment horizontal="center" vertical="center"/>
    </xf>
    <xf numFmtId="0" fontId="3" fillId="20" borderId="10" xfId="0" applyFont="1" applyFill="1" applyBorder="1" applyAlignment="1">
      <alignment horizontal="center" vertical="center"/>
    </xf>
    <xf numFmtId="2" fontId="3" fillId="20" borderId="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20" borderId="0" xfId="0" quotePrefix="1" applyFont="1" applyFill="1" applyAlignment="1">
      <alignment horizontal="center" vertical="center"/>
    </xf>
    <xf numFmtId="0" fontId="3" fillId="22" borderId="0" xfId="0" applyFont="1" applyFill="1" applyAlignment="1">
      <alignment horizontal="center" vertical="center"/>
    </xf>
    <xf numFmtId="0" fontId="3" fillId="22" borderId="0" xfId="0" quotePrefix="1" applyFont="1" applyFill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33" fillId="21" borderId="0" xfId="0" applyFont="1" applyFill="1" applyAlignment="1">
      <alignment horizontal="center" vertical="center"/>
    </xf>
    <xf numFmtId="0" fontId="33" fillId="21" borderId="0" xfId="0" quotePrefix="1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3" fillId="23" borderId="9" xfId="0" applyFont="1" applyFill="1" applyBorder="1" applyAlignment="1">
      <alignment horizontal="center" vertical="center"/>
    </xf>
    <xf numFmtId="0" fontId="3" fillId="23" borderId="9" xfId="0" applyFont="1" applyFill="1" applyBorder="1" applyAlignment="1">
      <alignment horizontal="center" vertical="center"/>
    </xf>
    <xf numFmtId="0" fontId="3" fillId="23" borderId="10" xfId="0" applyFont="1" applyFill="1" applyBorder="1" applyAlignment="1">
      <alignment horizontal="center" vertical="center"/>
    </xf>
    <xf numFmtId="2" fontId="3" fillId="23" borderId="9" xfId="0" applyNumberFormat="1" applyFont="1" applyFill="1" applyBorder="1" applyAlignment="1">
      <alignment horizontal="center" vertical="center"/>
    </xf>
    <xf numFmtId="0" fontId="23" fillId="23" borderId="18" xfId="0" applyFont="1" applyFill="1" applyBorder="1" applyAlignment="1">
      <alignment horizontal="center" vertical="center"/>
    </xf>
    <xf numFmtId="2" fontId="3" fillId="21" borderId="19" xfId="0" applyNumberFormat="1" applyFont="1" applyFill="1" applyBorder="1" applyAlignment="1">
      <alignment horizontal="center" vertical="center"/>
    </xf>
    <xf numFmtId="0" fontId="23" fillId="23" borderId="19" xfId="0" applyFont="1" applyFill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0" fontId="3" fillId="23" borderId="18" xfId="0" applyFont="1" applyFill="1" applyBorder="1" applyAlignment="1">
      <alignment horizontal="center" vertical="center"/>
    </xf>
    <xf numFmtId="0" fontId="3" fillId="23" borderId="16" xfId="0" applyFont="1" applyFill="1" applyBorder="1" applyAlignment="1">
      <alignment horizontal="center" vertical="center"/>
    </xf>
    <xf numFmtId="2" fontId="3" fillId="23" borderId="18" xfId="0" applyNumberFormat="1" applyFont="1" applyFill="1" applyBorder="1" applyAlignment="1">
      <alignment horizontal="center" vertical="center"/>
    </xf>
    <xf numFmtId="0" fontId="36" fillId="21" borderId="0" xfId="0" applyFont="1" applyFill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3" fillId="0" borderId="9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3" fillId="0" borderId="11" xfId="0" quotePrefix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3" fillId="21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calcChain" Target="calcChain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rdingham.co.uk/cybalist/msg/169/84.html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rdingham.co.uk/cybalist/msg/169/84.html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s://wrdingham.co.uk/cybalist/msg/169/84.html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https://wrdingham.co.uk/cybalist/msg/169/84.html" TargetMode="Externa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tionary.org/w/index.php?title=Category:Latin_terms_spelled_with_W&amp;from=W" TargetMode="Externa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tionary.org/w/index.php?title=Category:Latin_terms_spelled_with_W&amp;from=W" TargetMode="Externa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rchive.org/details/romanischesetymo00meyeuoft/page/280/mode/2up" TargetMode="Externa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hyperlink" Target="https://wrdingham.co.uk/cybalist/msg/169/84.html" TargetMode="Externa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hyperlink" Target="https://wrdingham.co.uk/cybalist/msg/169/84.html" TargetMode="Externa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hyperlink" Target="https://web.archive.org/web/20210506145007/http:/pagines.uab.cat/danielrecasens/sites/pagines.uab.cat.danielrecasens/files/Alveolopalatals%20JIPA.pdf" TargetMode="Externa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Vow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48"/>
  <sheetViews>
    <sheetView workbookViewId="0"/>
  </sheetViews>
  <sheetFormatPr defaultColWidth="9.140625" defaultRowHeight="14.25" customHeight="1" x14ac:dyDescent="0.25"/>
  <cols>
    <col min="1" max="1" width="6.5703125" style="1" bestFit="1" customWidth="1"/>
    <col min="2" max="2" width="15.85546875" style="134" bestFit="1" customWidth="1"/>
    <col min="3" max="3" width="24.7109375" style="1" bestFit="1" customWidth="1"/>
    <col min="4" max="116" width="5.7109375" style="1" customWidth="1"/>
    <col min="117" max="16384" width="9.140625" style="1"/>
  </cols>
  <sheetData>
    <row r="1" spans="1:115" s="24" customFormat="1" ht="15" customHeight="1" x14ac:dyDescent="0.25">
      <c r="A1" s="156" t="s">
        <v>0</v>
      </c>
      <c r="B1" s="214" t="s">
        <v>1</v>
      </c>
      <c r="C1" s="214"/>
      <c r="D1" s="24">
        <v>1</v>
      </c>
      <c r="E1" s="24">
        <v>2</v>
      </c>
      <c r="F1" s="24" t="s">
        <v>2</v>
      </c>
      <c r="G1" s="24" t="s">
        <v>3</v>
      </c>
      <c r="H1" s="24" t="s">
        <v>4</v>
      </c>
      <c r="I1" s="24" t="s">
        <v>5</v>
      </c>
      <c r="J1" s="24" t="s">
        <v>6</v>
      </c>
      <c r="K1" s="24" t="s">
        <v>7</v>
      </c>
      <c r="L1" s="24" t="s">
        <v>8</v>
      </c>
      <c r="M1" s="24" t="s">
        <v>9</v>
      </c>
      <c r="N1" s="24" t="s">
        <v>10</v>
      </c>
      <c r="O1" s="24" t="s">
        <v>11</v>
      </c>
      <c r="P1" s="24" t="s">
        <v>12</v>
      </c>
      <c r="Q1" s="24" t="s">
        <v>13</v>
      </c>
      <c r="R1" s="24">
        <v>8</v>
      </c>
      <c r="S1" s="24" t="s">
        <v>14</v>
      </c>
      <c r="T1" s="24" t="s">
        <v>15</v>
      </c>
      <c r="U1" s="24">
        <v>10</v>
      </c>
      <c r="V1" s="24">
        <v>11</v>
      </c>
      <c r="W1" s="24">
        <v>12</v>
      </c>
      <c r="X1" s="24">
        <v>13</v>
      </c>
      <c r="Y1" s="24">
        <v>14</v>
      </c>
      <c r="Z1" s="24">
        <v>15</v>
      </c>
      <c r="AA1" s="24">
        <v>16</v>
      </c>
      <c r="AB1" s="24">
        <v>17</v>
      </c>
      <c r="AC1" s="24">
        <v>18</v>
      </c>
      <c r="AD1" s="24">
        <v>19</v>
      </c>
      <c r="AE1" s="24">
        <v>20</v>
      </c>
      <c r="AF1" s="24">
        <v>21</v>
      </c>
      <c r="AG1" s="24">
        <v>22</v>
      </c>
      <c r="AH1" s="24">
        <v>23</v>
      </c>
      <c r="AI1" s="24">
        <v>24</v>
      </c>
      <c r="AJ1" s="24">
        <v>25</v>
      </c>
      <c r="AK1" s="24">
        <v>26</v>
      </c>
      <c r="AL1" s="24">
        <v>27</v>
      </c>
      <c r="AM1" s="24">
        <v>28</v>
      </c>
      <c r="AN1" s="24">
        <v>29</v>
      </c>
      <c r="AO1" s="24">
        <v>30</v>
      </c>
      <c r="AP1" s="24">
        <v>31</v>
      </c>
      <c r="AQ1" s="24">
        <v>32</v>
      </c>
      <c r="AR1" s="24">
        <v>33</v>
      </c>
      <c r="AS1" s="24">
        <v>34</v>
      </c>
      <c r="AT1" s="24">
        <v>35</v>
      </c>
      <c r="AU1" s="24">
        <v>36</v>
      </c>
      <c r="AV1" s="24">
        <v>37</v>
      </c>
      <c r="AW1" s="24">
        <v>38</v>
      </c>
      <c r="AX1" s="24">
        <v>39</v>
      </c>
      <c r="AY1" s="24">
        <v>40</v>
      </c>
      <c r="AZ1" s="24">
        <v>41</v>
      </c>
      <c r="BA1" s="24">
        <v>42</v>
      </c>
      <c r="BB1" s="24">
        <v>43</v>
      </c>
      <c r="BC1" s="24">
        <v>44</v>
      </c>
      <c r="BD1" s="24">
        <v>45</v>
      </c>
      <c r="BE1" s="24">
        <v>46</v>
      </c>
      <c r="BF1" s="24">
        <v>47</v>
      </c>
      <c r="BG1" s="24">
        <v>48</v>
      </c>
      <c r="BH1" s="24">
        <v>49</v>
      </c>
      <c r="BI1" s="24">
        <v>50</v>
      </c>
      <c r="BJ1" s="24">
        <v>51</v>
      </c>
      <c r="BK1" s="24">
        <v>52</v>
      </c>
      <c r="BL1" s="24">
        <v>53</v>
      </c>
      <c r="BM1" s="24">
        <v>54</v>
      </c>
      <c r="BN1" s="24">
        <v>55</v>
      </c>
      <c r="BO1" s="24">
        <v>56</v>
      </c>
      <c r="BP1" s="24">
        <v>57</v>
      </c>
      <c r="BQ1" s="24">
        <v>58</v>
      </c>
      <c r="BR1" s="24">
        <v>59</v>
      </c>
      <c r="BS1" s="24">
        <v>60</v>
      </c>
      <c r="BT1" s="24">
        <v>61</v>
      </c>
      <c r="BU1" s="24">
        <v>62</v>
      </c>
      <c r="BV1" s="24">
        <v>63</v>
      </c>
      <c r="BW1" s="24">
        <v>64</v>
      </c>
      <c r="BX1" s="24">
        <v>65</v>
      </c>
      <c r="BY1" s="24">
        <v>66</v>
      </c>
      <c r="BZ1" s="24">
        <v>67</v>
      </c>
      <c r="CA1" s="24">
        <v>68</v>
      </c>
      <c r="CB1" s="24">
        <v>69</v>
      </c>
      <c r="CC1" s="24">
        <v>70</v>
      </c>
      <c r="CD1" s="24">
        <v>71</v>
      </c>
      <c r="CE1" s="24">
        <v>72</v>
      </c>
      <c r="CF1" s="24">
        <v>73</v>
      </c>
      <c r="CG1" s="24">
        <v>74</v>
      </c>
      <c r="CH1" s="24">
        <v>75</v>
      </c>
      <c r="CI1" s="24">
        <v>76</v>
      </c>
      <c r="CJ1" s="24">
        <v>77</v>
      </c>
      <c r="CK1" s="24">
        <v>78</v>
      </c>
      <c r="CL1" s="24">
        <v>79</v>
      </c>
      <c r="CM1" s="24">
        <v>80</v>
      </c>
      <c r="CN1" s="24">
        <v>81</v>
      </c>
      <c r="CO1" s="24">
        <v>82</v>
      </c>
      <c r="CP1" s="24">
        <v>83</v>
      </c>
      <c r="CQ1" s="24">
        <v>84</v>
      </c>
      <c r="CR1" s="24">
        <v>85</v>
      </c>
      <c r="CS1" s="24">
        <v>86</v>
      </c>
      <c r="CT1" s="24">
        <v>87</v>
      </c>
      <c r="CU1" s="24">
        <v>88</v>
      </c>
      <c r="CV1" s="24">
        <v>89</v>
      </c>
      <c r="CW1" s="24">
        <v>90</v>
      </c>
      <c r="CX1" s="24">
        <v>91</v>
      </c>
      <c r="CY1" s="24">
        <v>92</v>
      </c>
      <c r="CZ1" s="24">
        <v>93</v>
      </c>
      <c r="DA1" s="24">
        <v>94</v>
      </c>
      <c r="DB1" s="24">
        <v>95</v>
      </c>
      <c r="DC1" s="24">
        <v>96</v>
      </c>
      <c r="DD1" s="24">
        <v>97</v>
      </c>
      <c r="DE1" s="24">
        <v>98</v>
      </c>
      <c r="DF1" s="24">
        <v>99</v>
      </c>
      <c r="DG1" s="24">
        <v>100</v>
      </c>
      <c r="DH1" s="24">
        <v>101</v>
      </c>
      <c r="DI1" s="24">
        <v>102</v>
      </c>
      <c r="DJ1" s="24">
        <v>103</v>
      </c>
      <c r="DK1" s="24">
        <v>104</v>
      </c>
    </row>
    <row r="2" spans="1:115" ht="15" x14ac:dyDescent="0.25">
      <c r="A2" s="133"/>
      <c r="B2" s="155" t="s">
        <v>16</v>
      </c>
      <c r="C2" s="43" t="s">
        <v>17</v>
      </c>
      <c r="D2" s="4">
        <f>'001 B-'!B10</f>
        <v>2</v>
      </c>
      <c r="E2" s="4">
        <f>'002 B-'!B10</f>
        <v>2</v>
      </c>
      <c r="F2" s="1">
        <f>'003 T-'!B10</f>
        <v>5</v>
      </c>
      <c r="G2" s="1">
        <f>'003 T-'!B10</f>
        <v>5</v>
      </c>
      <c r="H2" s="1">
        <f>'003 T-'!B10</f>
        <v>5</v>
      </c>
      <c r="I2" s="1">
        <f>'004 T-'!B10</f>
        <v>5</v>
      </c>
      <c r="J2" s="1">
        <f>'004 T-'!B10</f>
        <v>5</v>
      </c>
      <c r="K2" s="1">
        <f>'005 D-'!B10</f>
        <v>6</v>
      </c>
      <c r="L2" s="1">
        <f>'005 D-'!B10</f>
        <v>6</v>
      </c>
      <c r="M2" s="1">
        <f>'005 D-'!B10</f>
        <v>6</v>
      </c>
      <c r="N2" s="1">
        <f>'006 D-'!B10</f>
        <v>6</v>
      </c>
      <c r="O2" s="1">
        <f>'006 D-'!B10</f>
        <v>6</v>
      </c>
      <c r="P2" s="1">
        <f>'007 C-'!B10</f>
        <v>19</v>
      </c>
      <c r="Q2" s="1">
        <f>'007 C-'!B10</f>
        <v>19</v>
      </c>
      <c r="R2" s="1">
        <f>'008 C-'!B10</f>
        <v>19</v>
      </c>
      <c r="S2" s="1">
        <f>'009 C-'!B10</f>
        <v>19</v>
      </c>
      <c r="T2" s="1">
        <f>'009 C-'!B10</f>
        <v>19</v>
      </c>
      <c r="U2" s="4" t="s">
        <v>18</v>
      </c>
      <c r="V2" s="4" t="s">
        <v>18</v>
      </c>
      <c r="W2" s="4" t="s">
        <v>18</v>
      </c>
      <c r="X2" s="4" t="s">
        <v>18</v>
      </c>
      <c r="Y2" s="4" t="s">
        <v>18</v>
      </c>
      <c r="Z2" s="4" t="s">
        <v>18</v>
      </c>
      <c r="AA2" s="4" t="s">
        <v>18</v>
      </c>
      <c r="AB2" s="4" t="s">
        <v>18</v>
      </c>
      <c r="AC2" s="4" t="s">
        <v>18</v>
      </c>
      <c r="AD2" s="4" t="s">
        <v>18</v>
      </c>
      <c r="AE2" s="4" t="s">
        <v>18</v>
      </c>
      <c r="AF2" s="4" t="s">
        <v>18</v>
      </c>
      <c r="AG2" s="4" t="s">
        <v>18</v>
      </c>
      <c r="AH2" s="4" t="s">
        <v>18</v>
      </c>
      <c r="AI2" s="4" t="s">
        <v>18</v>
      </c>
      <c r="AJ2" s="4" t="s">
        <v>18</v>
      </c>
      <c r="AK2" s="4" t="s">
        <v>18</v>
      </c>
      <c r="AL2" s="4" t="s">
        <v>18</v>
      </c>
      <c r="AM2" s="4" t="s">
        <v>18</v>
      </c>
      <c r="AN2" s="4" t="s">
        <v>18</v>
      </c>
      <c r="AO2" s="4" t="s">
        <v>18</v>
      </c>
      <c r="AP2" s="4" t="s">
        <v>18</v>
      </c>
      <c r="AQ2" s="4" t="s">
        <v>18</v>
      </c>
      <c r="AR2" s="4" t="s">
        <v>18</v>
      </c>
      <c r="AS2" s="4" t="s">
        <v>18</v>
      </c>
      <c r="AT2" s="4" t="s">
        <v>18</v>
      </c>
      <c r="AU2" s="4" t="s">
        <v>18</v>
      </c>
      <c r="AV2" s="4" t="s">
        <v>18</v>
      </c>
      <c r="AW2" s="4" t="s">
        <v>18</v>
      </c>
      <c r="AX2" s="4" t="s">
        <v>18</v>
      </c>
      <c r="AY2" s="4" t="s">
        <v>18</v>
      </c>
      <c r="AZ2" s="4" t="s">
        <v>18</v>
      </c>
      <c r="BA2" s="4" t="s">
        <v>18</v>
      </c>
      <c r="BB2" s="4" t="s">
        <v>18</v>
      </c>
      <c r="BC2" s="4" t="s">
        <v>18</v>
      </c>
      <c r="BD2" s="4" t="s">
        <v>18</v>
      </c>
      <c r="BE2" s="4" t="s">
        <v>18</v>
      </c>
      <c r="BF2" s="4" t="s">
        <v>18</v>
      </c>
      <c r="BG2" s="4" t="s">
        <v>18</v>
      </c>
      <c r="BH2" s="4" t="s">
        <v>18</v>
      </c>
      <c r="BI2" s="4" t="s">
        <v>18</v>
      </c>
      <c r="BJ2" s="4" t="s">
        <v>18</v>
      </c>
      <c r="BK2" s="4" t="s">
        <v>18</v>
      </c>
      <c r="BL2" s="4" t="s">
        <v>18</v>
      </c>
      <c r="BM2" s="4" t="s">
        <v>18</v>
      </c>
      <c r="BN2" s="4" t="s">
        <v>18</v>
      </c>
      <c r="BO2" s="4" t="s">
        <v>18</v>
      </c>
      <c r="BP2" s="4" t="s">
        <v>18</v>
      </c>
      <c r="BQ2" s="4" t="s">
        <v>18</v>
      </c>
      <c r="BR2" s="4" t="s">
        <v>18</v>
      </c>
      <c r="BS2" s="4" t="s">
        <v>18</v>
      </c>
      <c r="BT2" s="4" t="s">
        <v>18</v>
      </c>
      <c r="BU2" s="4" t="s">
        <v>18</v>
      </c>
      <c r="BV2" s="4" t="s">
        <v>18</v>
      </c>
      <c r="BW2" s="4" t="s">
        <v>18</v>
      </c>
      <c r="BX2" s="4" t="s">
        <v>18</v>
      </c>
      <c r="BY2" s="4" t="s">
        <v>18</v>
      </c>
      <c r="BZ2" s="4" t="s">
        <v>18</v>
      </c>
      <c r="CA2" s="4" t="s">
        <v>18</v>
      </c>
      <c r="CB2" s="4" t="s">
        <v>18</v>
      </c>
      <c r="CC2" s="4" t="s">
        <v>18</v>
      </c>
      <c r="CD2" s="4" t="s">
        <v>18</v>
      </c>
      <c r="CE2" s="4" t="s">
        <v>18</v>
      </c>
      <c r="CF2" s="4" t="s">
        <v>18</v>
      </c>
      <c r="CG2" s="4" t="s">
        <v>18</v>
      </c>
      <c r="CH2" s="4" t="s">
        <v>18</v>
      </c>
      <c r="CI2" s="4" t="s">
        <v>18</v>
      </c>
      <c r="CJ2" s="4" t="s">
        <v>18</v>
      </c>
      <c r="CK2" s="4" t="s">
        <v>18</v>
      </c>
      <c r="CL2" s="4" t="s">
        <v>18</v>
      </c>
      <c r="CM2" s="4" t="s">
        <v>18</v>
      </c>
      <c r="CN2" s="4" t="s">
        <v>18</v>
      </c>
      <c r="CO2" s="4" t="s">
        <v>18</v>
      </c>
      <c r="CP2" s="4" t="s">
        <v>18</v>
      </c>
      <c r="CQ2" s="4" t="s">
        <v>18</v>
      </c>
      <c r="CR2" s="4" t="s">
        <v>18</v>
      </c>
      <c r="CS2" s="4" t="s">
        <v>18</v>
      </c>
      <c r="CT2" s="4" t="s">
        <v>18</v>
      </c>
      <c r="CU2" s="4" t="s">
        <v>18</v>
      </c>
      <c r="CV2" s="4" t="s">
        <v>18</v>
      </c>
      <c r="CW2" s="4" t="s">
        <v>18</v>
      </c>
      <c r="CX2" s="4" t="s">
        <v>18</v>
      </c>
      <c r="CY2" s="4" t="s">
        <v>18</v>
      </c>
      <c r="CZ2" s="4" t="s">
        <v>18</v>
      </c>
      <c r="DA2" s="4" t="s">
        <v>18</v>
      </c>
      <c r="DB2" s="4" t="s">
        <v>18</v>
      </c>
      <c r="DC2" s="4" t="s">
        <v>18</v>
      </c>
      <c r="DD2" s="4" t="s">
        <v>18</v>
      </c>
      <c r="DE2" s="4" t="s">
        <v>18</v>
      </c>
      <c r="DF2" s="4" t="s">
        <v>18</v>
      </c>
      <c r="DG2" s="4" t="s">
        <v>18</v>
      </c>
      <c r="DH2" s="4" t="s">
        <v>18</v>
      </c>
      <c r="DI2" s="4" t="s">
        <v>18</v>
      </c>
      <c r="DJ2" s="4" t="s">
        <v>18</v>
      </c>
      <c r="DK2" s="4" t="s">
        <v>18</v>
      </c>
    </row>
    <row r="3" spans="1:115" ht="15" x14ac:dyDescent="0.25">
      <c r="A3" s="1" t="s">
        <v>19</v>
      </c>
      <c r="B3" s="135" t="s">
        <v>20</v>
      </c>
      <c r="C3" s="3" t="s">
        <v>21</v>
      </c>
      <c r="D3" s="4">
        <f>'001 B-'!C10</f>
        <v>2</v>
      </c>
      <c r="E3" s="4">
        <f>'002 B-'!C10</f>
        <v>2</v>
      </c>
      <c r="F3" s="1">
        <f>'003 T-'!C10</f>
        <v>5</v>
      </c>
      <c r="G3" s="1">
        <f>'003 T-'!C10</f>
        <v>5</v>
      </c>
      <c r="H3" s="1">
        <f>'003 T-'!C10</f>
        <v>5</v>
      </c>
      <c r="I3" s="1">
        <f>'004 T-'!C10</f>
        <v>5</v>
      </c>
      <c r="J3" s="1">
        <f>'004 T-'!C10</f>
        <v>5</v>
      </c>
      <c r="K3" s="1">
        <f>'005 D-'!C10</f>
        <v>6</v>
      </c>
      <c r="L3" s="1">
        <f>'005 D-'!C10</f>
        <v>6</v>
      </c>
      <c r="M3" s="1">
        <f>'005 D-'!C10</f>
        <v>6</v>
      </c>
      <c r="N3" s="1">
        <f>'006 D-'!C10</f>
        <v>6</v>
      </c>
      <c r="O3" s="1">
        <f>'006 D-'!C10</f>
        <v>6</v>
      </c>
      <c r="P3" s="1">
        <f>'007 C-'!C10</f>
        <v>120</v>
      </c>
      <c r="Q3" s="1">
        <f>'007 C-'!C10</f>
        <v>120</v>
      </c>
      <c r="R3" s="1">
        <f>'008 C-'!C10</f>
        <v>19</v>
      </c>
      <c r="S3" s="1">
        <f>'009 C-'!C10</f>
        <v>19</v>
      </c>
      <c r="T3" s="1">
        <f>'009 C-'!C10</f>
        <v>19</v>
      </c>
      <c r="U3" s="4" t="s">
        <v>22</v>
      </c>
      <c r="V3" s="4" t="s">
        <v>22</v>
      </c>
      <c r="W3" s="4" t="s">
        <v>22</v>
      </c>
      <c r="X3" s="4" t="s">
        <v>22</v>
      </c>
      <c r="Y3" s="4" t="s">
        <v>22</v>
      </c>
      <c r="Z3" s="4" t="s">
        <v>22</v>
      </c>
      <c r="AA3" s="4" t="s">
        <v>22</v>
      </c>
      <c r="AB3" s="4" t="s">
        <v>22</v>
      </c>
      <c r="AC3" s="4" t="s">
        <v>22</v>
      </c>
      <c r="AD3" s="4" t="s">
        <v>22</v>
      </c>
      <c r="AE3" s="4" t="s">
        <v>22</v>
      </c>
      <c r="AF3" s="4" t="s">
        <v>22</v>
      </c>
      <c r="AG3" s="4" t="s">
        <v>22</v>
      </c>
      <c r="AH3" s="4" t="s">
        <v>22</v>
      </c>
      <c r="AI3" s="4" t="s">
        <v>22</v>
      </c>
      <c r="AJ3" s="4" t="s">
        <v>22</v>
      </c>
      <c r="AK3" s="4" t="s">
        <v>22</v>
      </c>
      <c r="AL3" s="4" t="s">
        <v>22</v>
      </c>
      <c r="AM3" s="4" t="s">
        <v>22</v>
      </c>
      <c r="AN3" s="4" t="s">
        <v>22</v>
      </c>
      <c r="AO3" s="4" t="s">
        <v>22</v>
      </c>
      <c r="AP3" s="4" t="s">
        <v>22</v>
      </c>
      <c r="AQ3" s="4" t="s">
        <v>22</v>
      </c>
      <c r="AR3" s="4" t="s">
        <v>22</v>
      </c>
      <c r="AS3" s="4" t="s">
        <v>22</v>
      </c>
      <c r="AT3" s="4" t="s">
        <v>22</v>
      </c>
      <c r="AU3" s="4" t="s">
        <v>22</v>
      </c>
      <c r="AV3" s="4" t="s">
        <v>22</v>
      </c>
      <c r="AW3" s="4" t="s">
        <v>22</v>
      </c>
      <c r="AX3" s="4" t="s">
        <v>22</v>
      </c>
      <c r="AY3" s="4" t="s">
        <v>22</v>
      </c>
      <c r="AZ3" s="4" t="s">
        <v>22</v>
      </c>
      <c r="BA3" s="4" t="s">
        <v>22</v>
      </c>
      <c r="BB3" s="4" t="s">
        <v>22</v>
      </c>
      <c r="BC3" s="4" t="s">
        <v>22</v>
      </c>
      <c r="BD3" s="4" t="s">
        <v>22</v>
      </c>
      <c r="BE3" s="4" t="s">
        <v>22</v>
      </c>
      <c r="BF3" s="4" t="s">
        <v>22</v>
      </c>
      <c r="BG3" s="4" t="s">
        <v>22</v>
      </c>
      <c r="BH3" s="4" t="s">
        <v>22</v>
      </c>
      <c r="BI3" s="4" t="s">
        <v>22</v>
      </c>
      <c r="BJ3" s="4" t="s">
        <v>22</v>
      </c>
      <c r="BK3" s="4" t="s">
        <v>22</v>
      </c>
      <c r="BL3" s="4" t="s">
        <v>22</v>
      </c>
      <c r="BM3" s="4" t="s">
        <v>22</v>
      </c>
      <c r="BN3" s="4" t="s">
        <v>22</v>
      </c>
      <c r="BO3" s="4" t="s">
        <v>22</v>
      </c>
      <c r="BP3" s="4" t="s">
        <v>22</v>
      </c>
      <c r="BQ3" s="4" t="s">
        <v>22</v>
      </c>
      <c r="BR3" s="4" t="s">
        <v>22</v>
      </c>
      <c r="BS3" s="4" t="s">
        <v>22</v>
      </c>
      <c r="BT3" s="4" t="s">
        <v>22</v>
      </c>
      <c r="BU3" s="4" t="s">
        <v>22</v>
      </c>
      <c r="BV3" s="4" t="s">
        <v>22</v>
      </c>
      <c r="BW3" s="4" t="s">
        <v>22</v>
      </c>
      <c r="BX3" s="4" t="s">
        <v>22</v>
      </c>
      <c r="BY3" s="4" t="s">
        <v>22</v>
      </c>
      <c r="BZ3" s="4" t="s">
        <v>22</v>
      </c>
      <c r="CA3" s="4" t="s">
        <v>22</v>
      </c>
      <c r="CB3" s="4" t="s">
        <v>22</v>
      </c>
      <c r="CC3" s="4" t="s">
        <v>22</v>
      </c>
      <c r="CD3" s="4" t="s">
        <v>22</v>
      </c>
      <c r="CE3" s="4" t="s">
        <v>22</v>
      </c>
      <c r="CF3" s="4" t="s">
        <v>22</v>
      </c>
      <c r="CG3" s="4" t="s">
        <v>22</v>
      </c>
      <c r="CH3" s="4" t="s">
        <v>22</v>
      </c>
      <c r="CI3" s="4" t="s">
        <v>22</v>
      </c>
      <c r="CJ3" s="4" t="s">
        <v>22</v>
      </c>
      <c r="CK3" s="4" t="s">
        <v>22</v>
      </c>
      <c r="CL3" s="4" t="s">
        <v>22</v>
      </c>
      <c r="CM3" s="4" t="s">
        <v>22</v>
      </c>
      <c r="CN3" s="4" t="s">
        <v>22</v>
      </c>
      <c r="CO3" s="4" t="s">
        <v>22</v>
      </c>
      <c r="CP3" s="4" t="s">
        <v>22</v>
      </c>
      <c r="CQ3" s="4" t="s">
        <v>22</v>
      </c>
      <c r="CR3" s="4" t="s">
        <v>22</v>
      </c>
      <c r="CS3" s="4" t="s">
        <v>22</v>
      </c>
      <c r="CT3" s="4" t="s">
        <v>22</v>
      </c>
      <c r="CU3" s="4" t="s">
        <v>22</v>
      </c>
      <c r="CV3" s="4" t="s">
        <v>22</v>
      </c>
      <c r="CW3" s="4" t="s">
        <v>22</v>
      </c>
      <c r="CX3" s="4" t="s">
        <v>22</v>
      </c>
      <c r="CY3" s="4" t="s">
        <v>22</v>
      </c>
      <c r="CZ3" s="4" t="s">
        <v>22</v>
      </c>
      <c r="DA3" s="4" t="s">
        <v>22</v>
      </c>
      <c r="DB3" s="4" t="s">
        <v>22</v>
      </c>
      <c r="DC3" s="4" t="s">
        <v>22</v>
      </c>
      <c r="DD3" s="4" t="s">
        <v>22</v>
      </c>
      <c r="DE3" s="4" t="s">
        <v>22</v>
      </c>
      <c r="DF3" s="4" t="s">
        <v>22</v>
      </c>
      <c r="DG3" s="4" t="s">
        <v>22</v>
      </c>
      <c r="DH3" s="4" t="s">
        <v>22</v>
      </c>
      <c r="DI3" s="4" t="s">
        <v>22</v>
      </c>
      <c r="DJ3" s="4" t="s">
        <v>22</v>
      </c>
      <c r="DK3" s="4" t="s">
        <v>22</v>
      </c>
    </row>
    <row r="4" spans="1:115" ht="15" x14ac:dyDescent="0.25">
      <c r="B4" s="136" t="s">
        <v>23</v>
      </c>
      <c r="C4" s="5" t="s">
        <v>24</v>
      </c>
      <c r="D4" s="4">
        <f>'001 B-'!D10</f>
        <v>2</v>
      </c>
      <c r="E4" s="4">
        <f>'002 B-'!D10</f>
        <v>2</v>
      </c>
      <c r="F4" s="1">
        <f>'003 T-'!D10</f>
        <v>5</v>
      </c>
      <c r="G4" s="1">
        <f>'003 T-'!D10</f>
        <v>5</v>
      </c>
      <c r="H4" s="1">
        <f>'003 T-'!AM10</f>
        <v>34</v>
      </c>
      <c r="I4" s="1">
        <f>'004 T-'!D10</f>
        <v>5</v>
      </c>
      <c r="J4" s="1">
        <f>'004 T-'!D10</f>
        <v>5</v>
      </c>
      <c r="K4" s="1">
        <f>'005 D-'!D10</f>
        <v>6</v>
      </c>
      <c r="L4" s="1">
        <f>'005 D-'!D10</f>
        <v>6</v>
      </c>
      <c r="M4" s="1">
        <f>'005 D-'!AM10</f>
        <v>35</v>
      </c>
      <c r="N4" s="1">
        <f>'006 D-'!D10</f>
        <v>6</v>
      </c>
      <c r="O4" s="1">
        <f>'006 D-'!D10</f>
        <v>6</v>
      </c>
      <c r="P4" s="1">
        <f>'007 C-'!D10</f>
        <v>50</v>
      </c>
      <c r="Q4" s="1">
        <f>'007 C-'!D10</f>
        <v>50</v>
      </c>
      <c r="R4" s="1">
        <f>'008 C-'!D10</f>
        <v>19</v>
      </c>
      <c r="S4" s="1">
        <f>'009 C-'!D10</f>
        <v>19</v>
      </c>
      <c r="T4" s="1">
        <f>'009 C-'!D10</f>
        <v>19</v>
      </c>
      <c r="U4" s="4" t="s">
        <v>25</v>
      </c>
      <c r="V4" s="4" t="s">
        <v>25</v>
      </c>
      <c r="W4" s="4" t="s">
        <v>25</v>
      </c>
      <c r="X4" s="4" t="s">
        <v>25</v>
      </c>
      <c r="Y4" s="4" t="s">
        <v>25</v>
      </c>
      <c r="Z4" s="4" t="s">
        <v>25</v>
      </c>
      <c r="AA4" s="4" t="s">
        <v>25</v>
      </c>
      <c r="AB4" s="4" t="s">
        <v>25</v>
      </c>
      <c r="AC4" s="4" t="s">
        <v>25</v>
      </c>
      <c r="AD4" s="4" t="s">
        <v>25</v>
      </c>
      <c r="AE4" s="4" t="s">
        <v>25</v>
      </c>
      <c r="AF4" s="4" t="s">
        <v>25</v>
      </c>
      <c r="AG4" s="4" t="s">
        <v>25</v>
      </c>
      <c r="AH4" s="4" t="s">
        <v>25</v>
      </c>
      <c r="AI4" s="4" t="s">
        <v>25</v>
      </c>
      <c r="AJ4" s="4" t="s">
        <v>25</v>
      </c>
      <c r="AK4" s="4" t="s">
        <v>25</v>
      </c>
      <c r="AL4" s="4" t="s">
        <v>25</v>
      </c>
      <c r="AM4" s="4" t="s">
        <v>25</v>
      </c>
      <c r="AN4" s="4" t="s">
        <v>25</v>
      </c>
      <c r="AO4" s="4" t="s">
        <v>25</v>
      </c>
      <c r="AP4" s="4" t="s">
        <v>25</v>
      </c>
      <c r="AQ4" s="4" t="s">
        <v>25</v>
      </c>
      <c r="AR4" s="4" t="s">
        <v>25</v>
      </c>
      <c r="AS4" s="4" t="s">
        <v>25</v>
      </c>
      <c r="AT4" s="4" t="s">
        <v>25</v>
      </c>
      <c r="AU4" s="4" t="s">
        <v>25</v>
      </c>
      <c r="AV4" s="4" t="s">
        <v>25</v>
      </c>
      <c r="AW4" s="4" t="s">
        <v>25</v>
      </c>
      <c r="AX4" s="4" t="s">
        <v>25</v>
      </c>
      <c r="AY4" s="4" t="s">
        <v>25</v>
      </c>
      <c r="AZ4" s="4" t="s">
        <v>25</v>
      </c>
      <c r="BA4" s="4" t="s">
        <v>25</v>
      </c>
      <c r="BB4" s="4" t="s">
        <v>25</v>
      </c>
      <c r="BC4" s="4" t="s">
        <v>25</v>
      </c>
      <c r="BD4" s="4" t="s">
        <v>25</v>
      </c>
      <c r="BE4" s="4" t="s">
        <v>25</v>
      </c>
      <c r="BF4" s="4" t="s">
        <v>25</v>
      </c>
      <c r="BG4" s="4" t="s">
        <v>25</v>
      </c>
      <c r="BH4" s="4" t="s">
        <v>25</v>
      </c>
      <c r="BI4" s="4" t="s">
        <v>25</v>
      </c>
      <c r="BJ4" s="4" t="s">
        <v>25</v>
      </c>
      <c r="BK4" s="4" t="s">
        <v>25</v>
      </c>
      <c r="BL4" s="4" t="s">
        <v>25</v>
      </c>
      <c r="BM4" s="4" t="s">
        <v>25</v>
      </c>
      <c r="BN4" s="4" t="s">
        <v>25</v>
      </c>
      <c r="BO4" s="4" t="s">
        <v>25</v>
      </c>
      <c r="BP4" s="4" t="s">
        <v>25</v>
      </c>
      <c r="BQ4" s="4" t="s">
        <v>25</v>
      </c>
      <c r="BR4" s="4" t="s">
        <v>25</v>
      </c>
      <c r="BS4" s="4" t="s">
        <v>25</v>
      </c>
      <c r="BT4" s="4" t="s">
        <v>25</v>
      </c>
      <c r="BU4" s="4" t="s">
        <v>25</v>
      </c>
      <c r="BV4" s="4" t="s">
        <v>25</v>
      </c>
      <c r="BW4" s="4" t="s">
        <v>25</v>
      </c>
      <c r="BX4" s="4" t="s">
        <v>25</v>
      </c>
      <c r="BY4" s="4" t="s">
        <v>25</v>
      </c>
      <c r="BZ4" s="4" t="s">
        <v>25</v>
      </c>
      <c r="CA4" s="4" t="s">
        <v>25</v>
      </c>
      <c r="CB4" s="4" t="s">
        <v>25</v>
      </c>
      <c r="CC4" s="4" t="s">
        <v>25</v>
      </c>
      <c r="CD4" s="4" t="s">
        <v>25</v>
      </c>
      <c r="CE4" s="4" t="s">
        <v>25</v>
      </c>
      <c r="CF4" s="4" t="s">
        <v>25</v>
      </c>
      <c r="CG4" s="4" t="s">
        <v>25</v>
      </c>
      <c r="CH4" s="4" t="s">
        <v>25</v>
      </c>
      <c r="CI4" s="4" t="s">
        <v>25</v>
      </c>
      <c r="CJ4" s="4" t="s">
        <v>25</v>
      </c>
      <c r="CK4" s="4" t="s">
        <v>25</v>
      </c>
      <c r="CL4" s="4" t="s">
        <v>25</v>
      </c>
      <c r="CM4" s="4" t="s">
        <v>25</v>
      </c>
      <c r="CN4" s="4" t="s">
        <v>25</v>
      </c>
      <c r="CO4" s="4" t="s">
        <v>25</v>
      </c>
      <c r="CP4" s="4" t="s">
        <v>25</v>
      </c>
      <c r="CQ4" s="4" t="s">
        <v>25</v>
      </c>
      <c r="CR4" s="4" t="s">
        <v>25</v>
      </c>
      <c r="CS4" s="4" t="s">
        <v>25</v>
      </c>
      <c r="CT4" s="4" t="s">
        <v>25</v>
      </c>
      <c r="CU4" s="4" t="s">
        <v>25</v>
      </c>
      <c r="CV4" s="4" t="s">
        <v>25</v>
      </c>
      <c r="CW4" s="4" t="s">
        <v>25</v>
      </c>
      <c r="CX4" s="4" t="s">
        <v>25</v>
      </c>
      <c r="CY4" s="4" t="s">
        <v>25</v>
      </c>
      <c r="CZ4" s="4" t="s">
        <v>25</v>
      </c>
      <c r="DA4" s="4" t="s">
        <v>25</v>
      </c>
      <c r="DB4" s="4" t="s">
        <v>25</v>
      </c>
      <c r="DC4" s="4" t="s">
        <v>25</v>
      </c>
      <c r="DD4" s="4" t="s">
        <v>25</v>
      </c>
      <c r="DE4" s="4" t="s">
        <v>25</v>
      </c>
      <c r="DF4" s="4" t="s">
        <v>25</v>
      </c>
      <c r="DG4" s="4" t="s">
        <v>25</v>
      </c>
      <c r="DH4" s="4" t="s">
        <v>25</v>
      </c>
      <c r="DI4" s="4" t="s">
        <v>25</v>
      </c>
      <c r="DJ4" s="4" t="s">
        <v>25</v>
      </c>
      <c r="DK4" s="4" t="s">
        <v>25</v>
      </c>
    </row>
    <row r="5" spans="1:115" ht="15" x14ac:dyDescent="0.25">
      <c r="A5" s="1" t="s">
        <v>19</v>
      </c>
      <c r="B5" s="137" t="s">
        <v>26</v>
      </c>
      <c r="C5" s="6" t="s">
        <v>27</v>
      </c>
      <c r="D5" s="4">
        <f>'001 B-'!E10</f>
        <v>2</v>
      </c>
      <c r="E5" s="4">
        <f>'002 B-'!E10</f>
        <v>2</v>
      </c>
      <c r="F5" s="1">
        <f>'003 T-'!E10</f>
        <v>5</v>
      </c>
      <c r="G5" s="1">
        <f>'003 T-'!E10</f>
        <v>5</v>
      </c>
      <c r="H5" s="1">
        <f>'003 T-'!E10</f>
        <v>5</v>
      </c>
      <c r="I5" s="1">
        <f>'004 T-'!E10</f>
        <v>5</v>
      </c>
      <c r="J5" s="1">
        <f>'004 T-'!E10</f>
        <v>5</v>
      </c>
      <c r="K5" s="1">
        <f>'005 D-'!E10</f>
        <v>6</v>
      </c>
      <c r="L5" s="1">
        <f>'005 D-'!E10</f>
        <v>6</v>
      </c>
      <c r="M5" s="1">
        <f>'005 D-'!E10</f>
        <v>6</v>
      </c>
      <c r="N5" s="1">
        <f>'006 D-'!E10</f>
        <v>6</v>
      </c>
      <c r="O5" s="1">
        <f>'006 D-'!E10</f>
        <v>6</v>
      </c>
      <c r="P5" s="1">
        <f>'007 C-'!E10</f>
        <v>102</v>
      </c>
      <c r="Q5" s="1">
        <f>'007 C-'!E10</f>
        <v>102</v>
      </c>
      <c r="R5" s="1">
        <f>'008 C-'!E10</f>
        <v>19</v>
      </c>
      <c r="S5" s="1">
        <f>'009 C-'!E10</f>
        <v>19</v>
      </c>
      <c r="T5" s="1">
        <f>'009 C-'!E10</f>
        <v>19</v>
      </c>
      <c r="U5" s="4" t="s">
        <v>28</v>
      </c>
      <c r="V5" s="4" t="s">
        <v>28</v>
      </c>
      <c r="W5" s="4" t="s">
        <v>28</v>
      </c>
      <c r="X5" s="4" t="s">
        <v>28</v>
      </c>
      <c r="Y5" s="4" t="s">
        <v>28</v>
      </c>
      <c r="Z5" s="4" t="s">
        <v>28</v>
      </c>
      <c r="AA5" s="4" t="s">
        <v>28</v>
      </c>
      <c r="AB5" s="4" t="s">
        <v>28</v>
      </c>
      <c r="AC5" s="4" t="s">
        <v>28</v>
      </c>
      <c r="AD5" s="4" t="s">
        <v>28</v>
      </c>
      <c r="AE5" s="4" t="s">
        <v>28</v>
      </c>
      <c r="AF5" s="4" t="s">
        <v>28</v>
      </c>
      <c r="AG5" s="4" t="s">
        <v>28</v>
      </c>
      <c r="AH5" s="4" t="s">
        <v>28</v>
      </c>
      <c r="AI5" s="4" t="s">
        <v>28</v>
      </c>
      <c r="AJ5" s="4" t="s">
        <v>28</v>
      </c>
      <c r="AK5" s="4" t="s">
        <v>28</v>
      </c>
      <c r="AL5" s="4" t="s">
        <v>28</v>
      </c>
      <c r="AM5" s="4" t="s">
        <v>28</v>
      </c>
      <c r="AN5" s="4" t="s">
        <v>28</v>
      </c>
      <c r="AO5" s="4" t="s">
        <v>28</v>
      </c>
      <c r="AP5" s="4" t="s">
        <v>28</v>
      </c>
      <c r="AQ5" s="4" t="s">
        <v>28</v>
      </c>
      <c r="AR5" s="4" t="s">
        <v>28</v>
      </c>
      <c r="AS5" s="4" t="s">
        <v>28</v>
      </c>
      <c r="AT5" s="4" t="s">
        <v>28</v>
      </c>
      <c r="AU5" s="4" t="s">
        <v>28</v>
      </c>
      <c r="AV5" s="4" t="s">
        <v>28</v>
      </c>
      <c r="AW5" s="4" t="s">
        <v>28</v>
      </c>
      <c r="AX5" s="4" t="s">
        <v>28</v>
      </c>
      <c r="AY5" s="4" t="s">
        <v>28</v>
      </c>
      <c r="AZ5" s="4" t="s">
        <v>28</v>
      </c>
      <c r="BA5" s="4" t="s">
        <v>28</v>
      </c>
      <c r="BB5" s="4" t="s">
        <v>28</v>
      </c>
      <c r="BC5" s="4" t="s">
        <v>28</v>
      </c>
      <c r="BD5" s="4" t="s">
        <v>28</v>
      </c>
      <c r="BE5" s="4" t="s">
        <v>28</v>
      </c>
      <c r="BF5" s="4" t="s">
        <v>28</v>
      </c>
      <c r="BG5" s="4" t="s">
        <v>28</v>
      </c>
      <c r="BH5" s="4" t="s">
        <v>28</v>
      </c>
      <c r="BI5" s="4" t="s">
        <v>28</v>
      </c>
      <c r="BJ5" s="4" t="s">
        <v>28</v>
      </c>
      <c r="BK5" s="4" t="s">
        <v>28</v>
      </c>
      <c r="BL5" s="4" t="s">
        <v>28</v>
      </c>
      <c r="BM5" s="4" t="s">
        <v>28</v>
      </c>
      <c r="BN5" s="4" t="s">
        <v>28</v>
      </c>
      <c r="BO5" s="4" t="s">
        <v>28</v>
      </c>
      <c r="BP5" s="4" t="s">
        <v>28</v>
      </c>
      <c r="BQ5" s="4" t="s">
        <v>28</v>
      </c>
      <c r="BR5" s="4" t="s">
        <v>28</v>
      </c>
      <c r="BS5" s="4" t="s">
        <v>28</v>
      </c>
      <c r="BT5" s="4" t="s">
        <v>28</v>
      </c>
      <c r="BU5" s="4" t="s">
        <v>28</v>
      </c>
      <c r="BV5" s="4" t="s">
        <v>28</v>
      </c>
      <c r="BW5" s="4" t="s">
        <v>28</v>
      </c>
      <c r="BX5" s="4" t="s">
        <v>28</v>
      </c>
      <c r="BY5" s="4" t="s">
        <v>28</v>
      </c>
      <c r="BZ5" s="4" t="s">
        <v>28</v>
      </c>
      <c r="CA5" s="4" t="s">
        <v>28</v>
      </c>
      <c r="CB5" s="4" t="s">
        <v>28</v>
      </c>
      <c r="CC5" s="4" t="s">
        <v>28</v>
      </c>
      <c r="CD5" s="4" t="s">
        <v>28</v>
      </c>
      <c r="CE5" s="4" t="s">
        <v>28</v>
      </c>
      <c r="CF5" s="4" t="s">
        <v>28</v>
      </c>
      <c r="CG5" s="4" t="s">
        <v>28</v>
      </c>
      <c r="CH5" s="4" t="s">
        <v>28</v>
      </c>
      <c r="CI5" s="4" t="s">
        <v>28</v>
      </c>
      <c r="CJ5" s="4" t="s">
        <v>28</v>
      </c>
      <c r="CK5" s="4" t="s">
        <v>28</v>
      </c>
      <c r="CL5" s="4" t="s">
        <v>28</v>
      </c>
      <c r="CM5" s="4" t="s">
        <v>28</v>
      </c>
      <c r="CN5" s="4" t="s">
        <v>28</v>
      </c>
      <c r="CO5" s="4" t="s">
        <v>28</v>
      </c>
      <c r="CP5" s="4" t="s">
        <v>28</v>
      </c>
      <c r="CQ5" s="4" t="s">
        <v>28</v>
      </c>
      <c r="CR5" s="4" t="s">
        <v>28</v>
      </c>
      <c r="CS5" s="4" t="s">
        <v>28</v>
      </c>
      <c r="CT5" s="4" t="s">
        <v>28</v>
      </c>
      <c r="CU5" s="4" t="s">
        <v>28</v>
      </c>
      <c r="CV5" s="4" t="s">
        <v>28</v>
      </c>
      <c r="CW5" s="4" t="s">
        <v>28</v>
      </c>
      <c r="CX5" s="4" t="s">
        <v>28</v>
      </c>
      <c r="CY5" s="4" t="s">
        <v>28</v>
      </c>
      <c r="CZ5" s="4" t="s">
        <v>28</v>
      </c>
      <c r="DA5" s="4" t="s">
        <v>28</v>
      </c>
      <c r="DB5" s="4" t="s">
        <v>28</v>
      </c>
      <c r="DC5" s="4" t="s">
        <v>28</v>
      </c>
      <c r="DD5" s="4" t="s">
        <v>28</v>
      </c>
      <c r="DE5" s="4" t="s">
        <v>28</v>
      </c>
      <c r="DF5" s="4" t="s">
        <v>28</v>
      </c>
      <c r="DG5" s="4" t="s">
        <v>28</v>
      </c>
      <c r="DH5" s="4" t="s">
        <v>28</v>
      </c>
      <c r="DI5" s="4" t="s">
        <v>28</v>
      </c>
      <c r="DJ5" s="4" t="s">
        <v>28</v>
      </c>
      <c r="DK5" s="4" t="s">
        <v>28</v>
      </c>
    </row>
    <row r="6" spans="1:115" ht="15" x14ac:dyDescent="0.25">
      <c r="B6" s="138" t="s">
        <v>29</v>
      </c>
      <c r="C6" s="7" t="s">
        <v>30</v>
      </c>
      <c r="D6" s="4">
        <f>'001 B-'!F10</f>
        <v>2</v>
      </c>
      <c r="E6" s="4">
        <f>'002 B-'!F10</f>
        <v>2</v>
      </c>
      <c r="F6" s="1">
        <f>'003 T-'!F10</f>
        <v>5</v>
      </c>
      <c r="G6" s="1">
        <f>'003 T-'!F10</f>
        <v>5</v>
      </c>
      <c r="H6" s="1">
        <f>'003 T-'!F10</f>
        <v>5</v>
      </c>
      <c r="I6" s="1">
        <f>'004 T-'!F10</f>
        <v>5</v>
      </c>
      <c r="J6" s="1">
        <f>'004 T-'!F10</f>
        <v>5</v>
      </c>
      <c r="K6" s="1">
        <f>'005 D-'!F10</f>
        <v>6</v>
      </c>
      <c r="L6" s="1">
        <f>'005 D-'!F10</f>
        <v>6</v>
      </c>
      <c r="M6" s="1">
        <f>'005 D-'!F10</f>
        <v>6</v>
      </c>
      <c r="N6" s="1">
        <f>'006 D-'!F10</f>
        <v>6</v>
      </c>
      <c r="O6" s="1">
        <f>'006 D-'!F10</f>
        <v>6</v>
      </c>
      <c r="P6" s="1">
        <f>'007 C-'!F10</f>
        <v>44</v>
      </c>
      <c r="Q6" s="1">
        <f>'007 C-'!F10</f>
        <v>44</v>
      </c>
      <c r="R6" s="1">
        <f>'008 C-'!F10</f>
        <v>19</v>
      </c>
      <c r="S6" s="1">
        <f>'009 C-'!F10</f>
        <v>19</v>
      </c>
      <c r="T6" s="1">
        <f>'009 C-'!F10</f>
        <v>19</v>
      </c>
      <c r="U6" s="4" t="s">
        <v>31</v>
      </c>
      <c r="V6" s="4" t="s">
        <v>31</v>
      </c>
      <c r="W6" s="4" t="s">
        <v>31</v>
      </c>
      <c r="X6" s="4" t="s">
        <v>31</v>
      </c>
      <c r="Y6" s="4" t="s">
        <v>31</v>
      </c>
      <c r="Z6" s="4" t="s">
        <v>31</v>
      </c>
      <c r="AA6" s="4" t="s">
        <v>31</v>
      </c>
      <c r="AB6" s="4" t="s">
        <v>31</v>
      </c>
      <c r="AC6" s="4" t="s">
        <v>31</v>
      </c>
      <c r="AD6" s="4" t="s">
        <v>31</v>
      </c>
      <c r="AE6" s="4" t="s">
        <v>31</v>
      </c>
      <c r="AF6" s="4" t="s">
        <v>31</v>
      </c>
      <c r="AG6" s="4" t="s">
        <v>31</v>
      </c>
      <c r="AH6" s="4" t="s">
        <v>31</v>
      </c>
      <c r="AI6" s="4" t="s">
        <v>31</v>
      </c>
      <c r="AJ6" s="4" t="s">
        <v>31</v>
      </c>
      <c r="AK6" s="4" t="s">
        <v>31</v>
      </c>
      <c r="AL6" s="4" t="s">
        <v>31</v>
      </c>
      <c r="AM6" s="4" t="s">
        <v>31</v>
      </c>
      <c r="AN6" s="4" t="s">
        <v>31</v>
      </c>
      <c r="AO6" s="4" t="s">
        <v>31</v>
      </c>
      <c r="AP6" s="4" t="s">
        <v>31</v>
      </c>
      <c r="AQ6" s="4" t="s">
        <v>31</v>
      </c>
      <c r="AR6" s="4" t="s">
        <v>31</v>
      </c>
      <c r="AS6" s="4" t="s">
        <v>31</v>
      </c>
      <c r="AT6" s="4" t="s">
        <v>31</v>
      </c>
      <c r="AU6" s="4" t="s">
        <v>31</v>
      </c>
      <c r="AV6" s="4" t="s">
        <v>31</v>
      </c>
      <c r="AW6" s="4" t="s">
        <v>31</v>
      </c>
      <c r="AX6" s="4" t="s">
        <v>31</v>
      </c>
      <c r="AY6" s="4" t="s">
        <v>31</v>
      </c>
      <c r="AZ6" s="4" t="s">
        <v>31</v>
      </c>
      <c r="BA6" s="4" t="s">
        <v>31</v>
      </c>
      <c r="BB6" s="4" t="s">
        <v>31</v>
      </c>
      <c r="BC6" s="4" t="s">
        <v>31</v>
      </c>
      <c r="BD6" s="4" t="s">
        <v>31</v>
      </c>
      <c r="BE6" s="4" t="s">
        <v>31</v>
      </c>
      <c r="BF6" s="4" t="s">
        <v>31</v>
      </c>
      <c r="BG6" s="4" t="s">
        <v>31</v>
      </c>
      <c r="BH6" s="4" t="s">
        <v>31</v>
      </c>
      <c r="BI6" s="4" t="s">
        <v>31</v>
      </c>
      <c r="BJ6" s="4" t="s">
        <v>31</v>
      </c>
      <c r="BK6" s="4" t="s">
        <v>31</v>
      </c>
      <c r="BL6" s="4" t="s">
        <v>31</v>
      </c>
      <c r="BM6" s="4" t="s">
        <v>31</v>
      </c>
      <c r="BN6" s="4" t="s">
        <v>31</v>
      </c>
      <c r="BO6" s="4" t="s">
        <v>31</v>
      </c>
      <c r="BP6" s="4" t="s">
        <v>31</v>
      </c>
      <c r="BQ6" s="4" t="s">
        <v>31</v>
      </c>
      <c r="BR6" s="4" t="s">
        <v>31</v>
      </c>
      <c r="BS6" s="4" t="s">
        <v>31</v>
      </c>
      <c r="BT6" s="4" t="s">
        <v>31</v>
      </c>
      <c r="BU6" s="4" t="s">
        <v>31</v>
      </c>
      <c r="BV6" s="4" t="s">
        <v>31</v>
      </c>
      <c r="BW6" s="4" t="s">
        <v>31</v>
      </c>
      <c r="BX6" s="4" t="s">
        <v>31</v>
      </c>
      <c r="BY6" s="4" t="s">
        <v>31</v>
      </c>
      <c r="BZ6" s="4" t="s">
        <v>31</v>
      </c>
      <c r="CA6" s="4" t="s">
        <v>31</v>
      </c>
      <c r="CB6" s="4" t="s">
        <v>31</v>
      </c>
      <c r="CC6" s="4" t="s">
        <v>31</v>
      </c>
      <c r="CD6" s="4" t="s">
        <v>31</v>
      </c>
      <c r="CE6" s="4" t="s">
        <v>31</v>
      </c>
      <c r="CF6" s="4" t="s">
        <v>31</v>
      </c>
      <c r="CG6" s="4" t="s">
        <v>31</v>
      </c>
      <c r="CH6" s="4" t="s">
        <v>31</v>
      </c>
      <c r="CI6" s="4" t="s">
        <v>31</v>
      </c>
      <c r="CJ6" s="4" t="s">
        <v>31</v>
      </c>
      <c r="CK6" s="4" t="s">
        <v>31</v>
      </c>
      <c r="CL6" s="4" t="s">
        <v>31</v>
      </c>
      <c r="CM6" s="4" t="s">
        <v>31</v>
      </c>
      <c r="CN6" s="4" t="s">
        <v>31</v>
      </c>
      <c r="CO6" s="4" t="s">
        <v>31</v>
      </c>
      <c r="CP6" s="4" t="s">
        <v>31</v>
      </c>
      <c r="CQ6" s="4" t="s">
        <v>31</v>
      </c>
      <c r="CR6" s="4" t="s">
        <v>31</v>
      </c>
      <c r="CS6" s="4" t="s">
        <v>31</v>
      </c>
      <c r="CT6" s="4" t="s">
        <v>31</v>
      </c>
      <c r="CU6" s="4" t="s">
        <v>31</v>
      </c>
      <c r="CV6" s="4" t="s">
        <v>31</v>
      </c>
      <c r="CW6" s="4" t="s">
        <v>31</v>
      </c>
      <c r="CX6" s="4" t="s">
        <v>31</v>
      </c>
      <c r="CY6" s="4" t="s">
        <v>31</v>
      </c>
      <c r="CZ6" s="4" t="s">
        <v>31</v>
      </c>
      <c r="DA6" s="4" t="s">
        <v>31</v>
      </c>
      <c r="DB6" s="4" t="s">
        <v>31</v>
      </c>
      <c r="DC6" s="4" t="s">
        <v>31</v>
      </c>
      <c r="DD6" s="4" t="s">
        <v>31</v>
      </c>
      <c r="DE6" s="4" t="s">
        <v>31</v>
      </c>
      <c r="DF6" s="4" t="s">
        <v>31</v>
      </c>
      <c r="DG6" s="4" t="s">
        <v>31</v>
      </c>
      <c r="DH6" s="4" t="s">
        <v>31</v>
      </c>
      <c r="DI6" s="4" t="s">
        <v>31</v>
      </c>
      <c r="DJ6" s="4" t="s">
        <v>31</v>
      </c>
      <c r="DK6" s="4" t="s">
        <v>31</v>
      </c>
    </row>
    <row r="7" spans="1:115" ht="15" x14ac:dyDescent="0.25">
      <c r="A7" s="1" t="s">
        <v>19</v>
      </c>
      <c r="B7" s="139" t="s">
        <v>32</v>
      </c>
      <c r="C7" s="8" t="s">
        <v>33</v>
      </c>
      <c r="D7" s="4">
        <f>'001 B-'!G10</f>
        <v>2</v>
      </c>
      <c r="E7" s="4">
        <f>'002 B-'!G10</f>
        <v>2</v>
      </c>
      <c r="F7" s="1">
        <f>'003 T-'!G10</f>
        <v>5</v>
      </c>
      <c r="G7" s="1">
        <f>'003 T-'!G10</f>
        <v>5</v>
      </c>
      <c r="H7" s="1">
        <f>'003 T-'!G10</f>
        <v>5</v>
      </c>
      <c r="I7" s="1">
        <f>'004 T-'!G10</f>
        <v>5</v>
      </c>
      <c r="J7" s="1">
        <f>'004 T-'!G10</f>
        <v>5</v>
      </c>
      <c r="K7" s="1">
        <f>'005 D-'!G10</f>
        <v>6</v>
      </c>
      <c r="L7" s="1">
        <f>'005 D-'!G10</f>
        <v>6</v>
      </c>
      <c r="M7" s="1">
        <f>'005 D-'!G10</f>
        <v>6</v>
      </c>
      <c r="N7" s="1">
        <f>'006 D-'!G10</f>
        <v>6</v>
      </c>
      <c r="O7" s="1">
        <f>'006 D-'!G10</f>
        <v>6</v>
      </c>
      <c r="P7" s="1">
        <f>'007 C-'!G10</f>
        <v>44</v>
      </c>
      <c r="Q7" s="1">
        <f>'007 C-'!G10</f>
        <v>44</v>
      </c>
      <c r="R7" s="1">
        <f>'008 C-'!G10</f>
        <v>19</v>
      </c>
      <c r="S7" s="1">
        <f>'009 C-'!G10</f>
        <v>19</v>
      </c>
      <c r="T7" s="1">
        <f>'009 C-'!G10</f>
        <v>19</v>
      </c>
      <c r="U7" s="4" t="s">
        <v>34</v>
      </c>
      <c r="V7" s="4" t="s">
        <v>34</v>
      </c>
      <c r="W7" s="4" t="s">
        <v>34</v>
      </c>
      <c r="X7" s="4" t="s">
        <v>34</v>
      </c>
      <c r="Y7" s="4" t="s">
        <v>34</v>
      </c>
      <c r="Z7" s="4" t="s">
        <v>34</v>
      </c>
      <c r="AA7" s="4" t="s">
        <v>34</v>
      </c>
      <c r="AB7" s="4" t="s">
        <v>34</v>
      </c>
      <c r="AC7" s="4" t="s">
        <v>34</v>
      </c>
      <c r="AD7" s="4" t="s">
        <v>34</v>
      </c>
      <c r="AE7" s="4" t="s">
        <v>34</v>
      </c>
      <c r="AF7" s="4" t="s">
        <v>34</v>
      </c>
      <c r="AG7" s="4" t="s">
        <v>34</v>
      </c>
      <c r="AH7" s="4" t="s">
        <v>34</v>
      </c>
      <c r="AI7" s="4" t="s">
        <v>34</v>
      </c>
      <c r="AJ7" s="4" t="s">
        <v>34</v>
      </c>
      <c r="AK7" s="4" t="s">
        <v>34</v>
      </c>
      <c r="AL7" s="4" t="s">
        <v>34</v>
      </c>
      <c r="AM7" s="4" t="s">
        <v>34</v>
      </c>
      <c r="AN7" s="4" t="s">
        <v>34</v>
      </c>
      <c r="AO7" s="4" t="s">
        <v>34</v>
      </c>
      <c r="AP7" s="4" t="s">
        <v>34</v>
      </c>
      <c r="AQ7" s="4" t="s">
        <v>34</v>
      </c>
      <c r="AR7" s="4" t="s">
        <v>34</v>
      </c>
      <c r="AS7" s="4" t="s">
        <v>34</v>
      </c>
      <c r="AT7" s="4" t="s">
        <v>34</v>
      </c>
      <c r="AU7" s="4" t="s">
        <v>34</v>
      </c>
      <c r="AV7" s="4" t="s">
        <v>34</v>
      </c>
      <c r="AW7" s="4" t="s">
        <v>34</v>
      </c>
      <c r="AX7" s="4" t="s">
        <v>34</v>
      </c>
      <c r="AY7" s="4" t="s">
        <v>34</v>
      </c>
      <c r="AZ7" s="4" t="s">
        <v>34</v>
      </c>
      <c r="BA7" s="4" t="s">
        <v>34</v>
      </c>
      <c r="BB7" s="4" t="s">
        <v>34</v>
      </c>
      <c r="BC7" s="4" t="s">
        <v>34</v>
      </c>
      <c r="BD7" s="4" t="s">
        <v>34</v>
      </c>
      <c r="BE7" s="4" t="s">
        <v>34</v>
      </c>
      <c r="BF7" s="4" t="s">
        <v>34</v>
      </c>
      <c r="BG7" s="4" t="s">
        <v>34</v>
      </c>
      <c r="BH7" s="4" t="s">
        <v>34</v>
      </c>
      <c r="BI7" s="4" t="s">
        <v>34</v>
      </c>
      <c r="BJ7" s="4" t="s">
        <v>34</v>
      </c>
      <c r="BK7" s="4" t="s">
        <v>34</v>
      </c>
      <c r="BL7" s="4" t="s">
        <v>34</v>
      </c>
      <c r="BM7" s="4" t="s">
        <v>34</v>
      </c>
      <c r="BN7" s="4" t="s">
        <v>34</v>
      </c>
      <c r="BO7" s="4" t="s">
        <v>34</v>
      </c>
      <c r="BP7" s="4" t="s">
        <v>34</v>
      </c>
      <c r="BQ7" s="4" t="s">
        <v>34</v>
      </c>
      <c r="BR7" s="4" t="s">
        <v>34</v>
      </c>
      <c r="BS7" s="4" t="s">
        <v>34</v>
      </c>
      <c r="BT7" s="4" t="s">
        <v>34</v>
      </c>
      <c r="BU7" s="4" t="s">
        <v>34</v>
      </c>
      <c r="BV7" s="4" t="s">
        <v>34</v>
      </c>
      <c r="BW7" s="4" t="s">
        <v>34</v>
      </c>
      <c r="BX7" s="4" t="s">
        <v>34</v>
      </c>
      <c r="BY7" s="4" t="s">
        <v>34</v>
      </c>
      <c r="BZ7" s="4" t="s">
        <v>34</v>
      </c>
      <c r="CA7" s="4" t="s">
        <v>34</v>
      </c>
      <c r="CB7" s="4" t="s">
        <v>34</v>
      </c>
      <c r="CC7" s="4" t="s">
        <v>34</v>
      </c>
      <c r="CD7" s="4" t="s">
        <v>34</v>
      </c>
      <c r="CE7" s="4" t="s">
        <v>34</v>
      </c>
      <c r="CF7" s="4" t="s">
        <v>34</v>
      </c>
      <c r="CG7" s="4" t="s">
        <v>34</v>
      </c>
      <c r="CH7" s="4" t="s">
        <v>34</v>
      </c>
      <c r="CI7" s="4" t="s">
        <v>34</v>
      </c>
      <c r="CJ7" s="4" t="s">
        <v>34</v>
      </c>
      <c r="CK7" s="4" t="s">
        <v>34</v>
      </c>
      <c r="CL7" s="4" t="s">
        <v>34</v>
      </c>
      <c r="CM7" s="4" t="s">
        <v>34</v>
      </c>
      <c r="CN7" s="4" t="s">
        <v>34</v>
      </c>
      <c r="CO7" s="4" t="s">
        <v>34</v>
      </c>
      <c r="CP7" s="4" t="s">
        <v>34</v>
      </c>
      <c r="CQ7" s="4" t="s">
        <v>34</v>
      </c>
      <c r="CR7" s="4" t="s">
        <v>34</v>
      </c>
      <c r="CS7" s="4" t="s">
        <v>34</v>
      </c>
      <c r="CT7" s="4" t="s">
        <v>34</v>
      </c>
      <c r="CU7" s="4" t="s">
        <v>34</v>
      </c>
      <c r="CV7" s="4" t="s">
        <v>34</v>
      </c>
      <c r="CW7" s="4" t="s">
        <v>34</v>
      </c>
      <c r="CX7" s="4" t="s">
        <v>34</v>
      </c>
      <c r="CY7" s="4" t="s">
        <v>34</v>
      </c>
      <c r="CZ7" s="4" t="s">
        <v>34</v>
      </c>
      <c r="DA7" s="4" t="s">
        <v>34</v>
      </c>
      <c r="DB7" s="4" t="s">
        <v>34</v>
      </c>
      <c r="DC7" s="4" t="s">
        <v>34</v>
      </c>
      <c r="DD7" s="4" t="s">
        <v>34</v>
      </c>
      <c r="DE7" s="4" t="s">
        <v>34</v>
      </c>
      <c r="DF7" s="4" t="s">
        <v>34</v>
      </c>
      <c r="DG7" s="4" t="s">
        <v>34</v>
      </c>
      <c r="DH7" s="4" t="s">
        <v>34</v>
      </c>
      <c r="DI7" s="4" t="s">
        <v>34</v>
      </c>
      <c r="DJ7" s="4" t="s">
        <v>34</v>
      </c>
      <c r="DK7" s="4" t="s">
        <v>34</v>
      </c>
    </row>
    <row r="8" spans="1:115" ht="15" x14ac:dyDescent="0.25">
      <c r="B8" s="139" t="s">
        <v>35</v>
      </c>
      <c r="C8" s="8" t="s">
        <v>36</v>
      </c>
      <c r="D8" s="4">
        <f>'001 B-'!H10</f>
        <v>2</v>
      </c>
      <c r="E8" s="4">
        <f>'002 B-'!H10</f>
        <v>2</v>
      </c>
      <c r="F8" s="1">
        <f>'003 T-'!H10</f>
        <v>5</v>
      </c>
      <c r="G8" s="1">
        <f>'003 T-'!H10</f>
        <v>5</v>
      </c>
      <c r="H8" s="1">
        <f>'003 T-'!H10</f>
        <v>5</v>
      </c>
      <c r="I8" s="1">
        <f>'004 T-'!H10</f>
        <v>5</v>
      </c>
      <c r="J8" s="1">
        <f>'004 T-'!H10</f>
        <v>5</v>
      </c>
      <c r="K8" s="1">
        <f>'005 D-'!H10</f>
        <v>6</v>
      </c>
      <c r="L8" s="1">
        <f>'005 D-'!H10</f>
        <v>6</v>
      </c>
      <c r="M8" s="1">
        <f>'005 D-'!H10</f>
        <v>6</v>
      </c>
      <c r="N8" s="1">
        <f>'006 D-'!H10</f>
        <v>6</v>
      </c>
      <c r="O8" s="1">
        <f>'006 D-'!H10</f>
        <v>6</v>
      </c>
      <c r="P8" s="1">
        <f>'007 C-'!H10</f>
        <v>46</v>
      </c>
      <c r="Q8" s="1">
        <f>'007 C-'!H10</f>
        <v>46</v>
      </c>
      <c r="R8" s="1">
        <f>'008 C-'!H10</f>
        <v>19</v>
      </c>
      <c r="S8" s="1">
        <f>'009 C-'!H10</f>
        <v>19</v>
      </c>
      <c r="T8" s="1">
        <f>'009 C-'!H10</f>
        <v>19</v>
      </c>
      <c r="U8" s="4" t="s">
        <v>37</v>
      </c>
      <c r="V8" s="4" t="s">
        <v>37</v>
      </c>
      <c r="W8" s="4" t="s">
        <v>37</v>
      </c>
      <c r="X8" s="4" t="s">
        <v>37</v>
      </c>
      <c r="Y8" s="4" t="s">
        <v>37</v>
      </c>
      <c r="Z8" s="4" t="s">
        <v>37</v>
      </c>
      <c r="AA8" s="4" t="s">
        <v>37</v>
      </c>
      <c r="AB8" s="4" t="s">
        <v>37</v>
      </c>
      <c r="AC8" s="4" t="s">
        <v>37</v>
      </c>
      <c r="AD8" s="4" t="s">
        <v>37</v>
      </c>
      <c r="AE8" s="4" t="s">
        <v>37</v>
      </c>
      <c r="AF8" s="4" t="s">
        <v>37</v>
      </c>
      <c r="AG8" s="4" t="s">
        <v>37</v>
      </c>
      <c r="AH8" s="4" t="s">
        <v>37</v>
      </c>
      <c r="AI8" s="4" t="s">
        <v>37</v>
      </c>
      <c r="AJ8" s="4" t="s">
        <v>37</v>
      </c>
      <c r="AK8" s="4" t="s">
        <v>37</v>
      </c>
      <c r="AL8" s="4" t="s">
        <v>37</v>
      </c>
      <c r="AM8" s="4" t="s">
        <v>37</v>
      </c>
      <c r="AN8" s="4" t="s">
        <v>37</v>
      </c>
      <c r="AO8" s="4" t="s">
        <v>37</v>
      </c>
      <c r="AP8" s="4" t="s">
        <v>37</v>
      </c>
      <c r="AQ8" s="4" t="s">
        <v>37</v>
      </c>
      <c r="AR8" s="4" t="s">
        <v>37</v>
      </c>
      <c r="AS8" s="4" t="s">
        <v>37</v>
      </c>
      <c r="AT8" s="4" t="s">
        <v>37</v>
      </c>
      <c r="AU8" s="4" t="s">
        <v>37</v>
      </c>
      <c r="AV8" s="4" t="s">
        <v>37</v>
      </c>
      <c r="AW8" s="4" t="s">
        <v>37</v>
      </c>
      <c r="AX8" s="4" t="s">
        <v>37</v>
      </c>
      <c r="AY8" s="4" t="s">
        <v>37</v>
      </c>
      <c r="AZ8" s="4" t="s">
        <v>37</v>
      </c>
      <c r="BA8" s="4" t="s">
        <v>37</v>
      </c>
      <c r="BB8" s="4" t="s">
        <v>37</v>
      </c>
      <c r="BC8" s="4" t="s">
        <v>37</v>
      </c>
      <c r="BD8" s="4" t="s">
        <v>37</v>
      </c>
      <c r="BE8" s="4" t="s">
        <v>37</v>
      </c>
      <c r="BF8" s="4" t="s">
        <v>37</v>
      </c>
      <c r="BG8" s="4" t="s">
        <v>37</v>
      </c>
      <c r="BH8" s="4" t="s">
        <v>37</v>
      </c>
      <c r="BI8" s="4" t="s">
        <v>37</v>
      </c>
      <c r="BJ8" s="4" t="s">
        <v>37</v>
      </c>
      <c r="BK8" s="4" t="s">
        <v>37</v>
      </c>
      <c r="BL8" s="4" t="s">
        <v>37</v>
      </c>
      <c r="BM8" s="4" t="s">
        <v>37</v>
      </c>
      <c r="BN8" s="4" t="s">
        <v>37</v>
      </c>
      <c r="BO8" s="4" t="s">
        <v>37</v>
      </c>
      <c r="BP8" s="4" t="s">
        <v>37</v>
      </c>
      <c r="BQ8" s="4" t="s">
        <v>37</v>
      </c>
      <c r="BR8" s="4" t="s">
        <v>37</v>
      </c>
      <c r="BS8" s="4" t="s">
        <v>37</v>
      </c>
      <c r="BT8" s="4" t="s">
        <v>37</v>
      </c>
      <c r="BU8" s="4" t="s">
        <v>37</v>
      </c>
      <c r="BV8" s="4" t="s">
        <v>37</v>
      </c>
      <c r="BW8" s="4" t="s">
        <v>37</v>
      </c>
      <c r="BX8" s="4" t="s">
        <v>37</v>
      </c>
      <c r="BY8" s="4" t="s">
        <v>37</v>
      </c>
      <c r="BZ8" s="4" t="s">
        <v>37</v>
      </c>
      <c r="CA8" s="4" t="s">
        <v>37</v>
      </c>
      <c r="CB8" s="4" t="s">
        <v>37</v>
      </c>
      <c r="CC8" s="4" t="s">
        <v>37</v>
      </c>
      <c r="CD8" s="4" t="s">
        <v>37</v>
      </c>
      <c r="CE8" s="4" t="s">
        <v>37</v>
      </c>
      <c r="CF8" s="4" t="s">
        <v>37</v>
      </c>
      <c r="CG8" s="4" t="s">
        <v>37</v>
      </c>
      <c r="CH8" s="4" t="s">
        <v>37</v>
      </c>
      <c r="CI8" s="4" t="s">
        <v>37</v>
      </c>
      <c r="CJ8" s="4" t="s">
        <v>37</v>
      </c>
      <c r="CK8" s="4" t="s">
        <v>37</v>
      </c>
      <c r="CL8" s="4" t="s">
        <v>37</v>
      </c>
      <c r="CM8" s="4" t="s">
        <v>37</v>
      </c>
      <c r="CN8" s="4" t="s">
        <v>37</v>
      </c>
      <c r="CO8" s="4" t="s">
        <v>37</v>
      </c>
      <c r="CP8" s="4" t="s">
        <v>37</v>
      </c>
      <c r="CQ8" s="4" t="s">
        <v>37</v>
      </c>
      <c r="CR8" s="4" t="s">
        <v>37</v>
      </c>
      <c r="CS8" s="4" t="s">
        <v>37</v>
      </c>
      <c r="CT8" s="4" t="s">
        <v>37</v>
      </c>
      <c r="CU8" s="4" t="s">
        <v>37</v>
      </c>
      <c r="CV8" s="4" t="s">
        <v>37</v>
      </c>
      <c r="CW8" s="4" t="s">
        <v>37</v>
      </c>
      <c r="CX8" s="4" t="s">
        <v>37</v>
      </c>
      <c r="CY8" s="4" t="s">
        <v>37</v>
      </c>
      <c r="CZ8" s="4" t="s">
        <v>37</v>
      </c>
      <c r="DA8" s="4" t="s">
        <v>37</v>
      </c>
      <c r="DB8" s="4" t="s">
        <v>37</v>
      </c>
      <c r="DC8" s="4" t="s">
        <v>37</v>
      </c>
      <c r="DD8" s="4" t="s">
        <v>37</v>
      </c>
      <c r="DE8" s="4" t="s">
        <v>37</v>
      </c>
      <c r="DF8" s="4" t="s">
        <v>37</v>
      </c>
      <c r="DG8" s="4" t="s">
        <v>37</v>
      </c>
      <c r="DH8" s="4" t="s">
        <v>37</v>
      </c>
      <c r="DI8" s="4" t="s">
        <v>37</v>
      </c>
      <c r="DJ8" s="4" t="s">
        <v>37</v>
      </c>
      <c r="DK8" s="4" t="s">
        <v>37</v>
      </c>
    </row>
    <row r="9" spans="1:115" ht="22.5" x14ac:dyDescent="0.25">
      <c r="B9" s="140" t="s">
        <v>38</v>
      </c>
      <c r="C9" s="9" t="s">
        <v>39</v>
      </c>
      <c r="D9" s="4">
        <f>'001 B-'!I10</f>
        <v>2</v>
      </c>
      <c r="E9" s="4">
        <f>'002 B-'!I10</f>
        <v>2</v>
      </c>
      <c r="F9" s="1">
        <f>'003 T-'!I10</f>
        <v>5</v>
      </c>
      <c r="G9" s="1">
        <f>'003 T-'!I10</f>
        <v>5</v>
      </c>
      <c r="H9" s="1">
        <f>'003 T-'!I10</f>
        <v>5</v>
      </c>
      <c r="I9" s="1">
        <f>'004 T-'!I10</f>
        <v>5</v>
      </c>
      <c r="J9" s="1">
        <f>'004 T-'!I10</f>
        <v>5</v>
      </c>
      <c r="K9" s="1">
        <f>'005 D-'!I10</f>
        <v>6</v>
      </c>
      <c r="L9" s="1">
        <f>'005 D-'!I10</f>
        <v>6</v>
      </c>
      <c r="M9" s="1">
        <f>'005 D-'!I10</f>
        <v>6</v>
      </c>
      <c r="N9" s="1">
        <f>'006 D-'!I10</f>
        <v>6</v>
      </c>
      <c r="O9" s="1">
        <f>'006 D-'!I10</f>
        <v>6</v>
      </c>
      <c r="P9" s="1">
        <f>'007 C-'!I10</f>
        <v>50</v>
      </c>
      <c r="Q9" s="1">
        <f>'007 C-'!I10</f>
        <v>50</v>
      </c>
      <c r="R9" s="1">
        <f>'008 C-'!I10</f>
        <v>19</v>
      </c>
      <c r="S9" s="1">
        <f>'009 C-'!I10</f>
        <v>19</v>
      </c>
      <c r="T9" s="1">
        <f>'009 C-'!I10</f>
        <v>19</v>
      </c>
      <c r="U9" s="4" t="s">
        <v>40</v>
      </c>
      <c r="V9" s="4" t="s">
        <v>40</v>
      </c>
      <c r="W9" s="4" t="s">
        <v>40</v>
      </c>
      <c r="X9" s="4" t="s">
        <v>40</v>
      </c>
      <c r="Y9" s="4" t="s">
        <v>40</v>
      </c>
      <c r="Z9" s="4" t="s">
        <v>40</v>
      </c>
      <c r="AA9" s="4" t="s">
        <v>40</v>
      </c>
      <c r="AB9" s="4" t="s">
        <v>40</v>
      </c>
      <c r="AC9" s="4" t="s">
        <v>40</v>
      </c>
      <c r="AD9" s="4" t="s">
        <v>40</v>
      </c>
      <c r="AE9" s="4" t="s">
        <v>40</v>
      </c>
      <c r="AF9" s="4" t="s">
        <v>40</v>
      </c>
      <c r="AG9" s="4" t="s">
        <v>40</v>
      </c>
      <c r="AH9" s="4" t="s">
        <v>40</v>
      </c>
      <c r="AI9" s="4" t="s">
        <v>40</v>
      </c>
      <c r="AJ9" s="4" t="s">
        <v>40</v>
      </c>
      <c r="AK9" s="4" t="s">
        <v>40</v>
      </c>
      <c r="AL9" s="4" t="s">
        <v>40</v>
      </c>
      <c r="AM9" s="4" t="s">
        <v>40</v>
      </c>
      <c r="AN9" s="4" t="s">
        <v>40</v>
      </c>
      <c r="AO9" s="4" t="s">
        <v>40</v>
      </c>
      <c r="AP9" s="4" t="s">
        <v>40</v>
      </c>
      <c r="AQ9" s="4" t="s">
        <v>40</v>
      </c>
      <c r="AR9" s="4" t="s">
        <v>40</v>
      </c>
      <c r="AS9" s="4" t="s">
        <v>40</v>
      </c>
      <c r="AT9" s="4" t="s">
        <v>40</v>
      </c>
      <c r="AU9" s="4" t="s">
        <v>40</v>
      </c>
      <c r="AV9" s="4" t="s">
        <v>40</v>
      </c>
      <c r="AW9" s="4" t="s">
        <v>40</v>
      </c>
      <c r="AX9" s="4" t="s">
        <v>40</v>
      </c>
      <c r="AY9" s="4" t="s">
        <v>40</v>
      </c>
      <c r="AZ9" s="4" t="s">
        <v>40</v>
      </c>
      <c r="BA9" s="4" t="s">
        <v>40</v>
      </c>
      <c r="BB9" s="4" t="s">
        <v>40</v>
      </c>
      <c r="BC9" s="4" t="s">
        <v>40</v>
      </c>
      <c r="BD9" s="4" t="s">
        <v>40</v>
      </c>
      <c r="BE9" s="4" t="s">
        <v>40</v>
      </c>
      <c r="BF9" s="4" t="s">
        <v>40</v>
      </c>
      <c r="BG9" s="4" t="s">
        <v>40</v>
      </c>
      <c r="BH9" s="4" t="s">
        <v>40</v>
      </c>
      <c r="BI9" s="4" t="s">
        <v>40</v>
      </c>
      <c r="BJ9" s="4" t="s">
        <v>40</v>
      </c>
      <c r="BK9" s="4" t="s">
        <v>40</v>
      </c>
      <c r="BL9" s="4" t="s">
        <v>40</v>
      </c>
      <c r="BM9" s="4" t="s">
        <v>40</v>
      </c>
      <c r="BN9" s="4" t="s">
        <v>40</v>
      </c>
      <c r="BO9" s="4" t="s">
        <v>40</v>
      </c>
      <c r="BP9" s="4" t="s">
        <v>40</v>
      </c>
      <c r="BQ9" s="4" t="s">
        <v>40</v>
      </c>
      <c r="BR9" s="4" t="s">
        <v>40</v>
      </c>
      <c r="BS9" s="4" t="s">
        <v>40</v>
      </c>
      <c r="BT9" s="4" t="s">
        <v>40</v>
      </c>
      <c r="BU9" s="4" t="s">
        <v>40</v>
      </c>
      <c r="BV9" s="4" t="s">
        <v>40</v>
      </c>
      <c r="BW9" s="4" t="s">
        <v>40</v>
      </c>
      <c r="BX9" s="4" t="s">
        <v>40</v>
      </c>
      <c r="BY9" s="4" t="s">
        <v>40</v>
      </c>
      <c r="BZ9" s="4" t="s">
        <v>40</v>
      </c>
      <c r="CA9" s="4" t="s">
        <v>40</v>
      </c>
      <c r="CB9" s="4" t="s">
        <v>40</v>
      </c>
      <c r="CC9" s="4" t="s">
        <v>40</v>
      </c>
      <c r="CD9" s="4" t="s">
        <v>40</v>
      </c>
      <c r="CE9" s="4" t="s">
        <v>40</v>
      </c>
      <c r="CF9" s="4" t="s">
        <v>40</v>
      </c>
      <c r="CG9" s="4" t="s">
        <v>40</v>
      </c>
      <c r="CH9" s="4" t="s">
        <v>40</v>
      </c>
      <c r="CI9" s="4" t="s">
        <v>40</v>
      </c>
      <c r="CJ9" s="4" t="s">
        <v>40</v>
      </c>
      <c r="CK9" s="4" t="s">
        <v>40</v>
      </c>
      <c r="CL9" s="4" t="s">
        <v>40</v>
      </c>
      <c r="CM9" s="4" t="s">
        <v>40</v>
      </c>
      <c r="CN9" s="4" t="s">
        <v>40</v>
      </c>
      <c r="CO9" s="4" t="s">
        <v>40</v>
      </c>
      <c r="CP9" s="4" t="s">
        <v>40</v>
      </c>
      <c r="CQ9" s="4" t="s">
        <v>40</v>
      </c>
      <c r="CR9" s="4" t="s">
        <v>40</v>
      </c>
      <c r="CS9" s="4" t="s">
        <v>40</v>
      </c>
      <c r="CT9" s="4" t="s">
        <v>40</v>
      </c>
      <c r="CU9" s="4" t="s">
        <v>40</v>
      </c>
      <c r="CV9" s="4" t="s">
        <v>40</v>
      </c>
      <c r="CW9" s="4" t="s">
        <v>40</v>
      </c>
      <c r="CX9" s="4" t="s">
        <v>40</v>
      </c>
      <c r="CY9" s="4" t="s">
        <v>40</v>
      </c>
      <c r="CZ9" s="4" t="s">
        <v>40</v>
      </c>
      <c r="DA9" s="4" t="s">
        <v>40</v>
      </c>
      <c r="DB9" s="4" t="s">
        <v>40</v>
      </c>
      <c r="DC9" s="4" t="s">
        <v>40</v>
      </c>
      <c r="DD9" s="4" t="s">
        <v>40</v>
      </c>
      <c r="DE9" s="4" t="s">
        <v>40</v>
      </c>
      <c r="DF9" s="4" t="s">
        <v>40</v>
      </c>
      <c r="DG9" s="4" t="s">
        <v>40</v>
      </c>
      <c r="DH9" s="4" t="s">
        <v>40</v>
      </c>
      <c r="DI9" s="4" t="s">
        <v>40</v>
      </c>
      <c r="DJ9" s="4" t="s">
        <v>40</v>
      </c>
      <c r="DK9" s="4" t="s">
        <v>40</v>
      </c>
    </row>
    <row r="10" spans="1:115" ht="15" x14ac:dyDescent="0.25">
      <c r="B10" s="141" t="s">
        <v>41</v>
      </c>
      <c r="C10" s="10" t="s">
        <v>42</v>
      </c>
      <c r="D10" s="4">
        <f>'001 B-'!J10</f>
        <v>2</v>
      </c>
      <c r="E10" s="4">
        <f>'002 B-'!J10</f>
        <v>2</v>
      </c>
      <c r="F10" s="1">
        <f>'003 T-'!J10</f>
        <v>5</v>
      </c>
      <c r="G10" s="1">
        <f>'003 T-'!J10</f>
        <v>5</v>
      </c>
      <c r="H10" s="1">
        <f>'003 T-'!J10</f>
        <v>5</v>
      </c>
      <c r="I10" s="1">
        <f>'004 T-'!J10</f>
        <v>5</v>
      </c>
      <c r="J10" s="1">
        <f>'004 T-'!J10</f>
        <v>5</v>
      </c>
      <c r="K10" s="1">
        <f>'005 D-'!J10</f>
        <v>6</v>
      </c>
      <c r="L10" s="1">
        <f>'005 D-'!J10</f>
        <v>6</v>
      </c>
      <c r="M10" s="1">
        <f>'005 D-'!J10</f>
        <v>6</v>
      </c>
      <c r="N10" s="1">
        <f>'006 D-'!J10</f>
        <v>6</v>
      </c>
      <c r="O10" s="1">
        <f>'006 D-'!J10</f>
        <v>6</v>
      </c>
      <c r="P10" s="1">
        <f>'007 C-'!J10</f>
        <v>44</v>
      </c>
      <c r="Q10" s="1">
        <f>'007 C-'!J10</f>
        <v>44</v>
      </c>
      <c r="R10" s="1">
        <f>'008 C-'!J10</f>
        <v>19</v>
      </c>
      <c r="S10" s="1">
        <f>'009 C-'!J10</f>
        <v>19</v>
      </c>
      <c r="T10" s="1">
        <f>'009 C-'!J10</f>
        <v>19</v>
      </c>
      <c r="U10" s="4" t="s">
        <v>43</v>
      </c>
      <c r="V10" s="4" t="s">
        <v>43</v>
      </c>
      <c r="W10" s="4" t="s">
        <v>43</v>
      </c>
      <c r="X10" s="4" t="s">
        <v>43</v>
      </c>
      <c r="Y10" s="4" t="s">
        <v>43</v>
      </c>
      <c r="Z10" s="4" t="s">
        <v>43</v>
      </c>
      <c r="AA10" s="4" t="s">
        <v>43</v>
      </c>
      <c r="AB10" s="4" t="s">
        <v>43</v>
      </c>
      <c r="AC10" s="4" t="s">
        <v>43</v>
      </c>
      <c r="AD10" s="4" t="s">
        <v>43</v>
      </c>
      <c r="AE10" s="4" t="s">
        <v>43</v>
      </c>
      <c r="AF10" s="4" t="s">
        <v>43</v>
      </c>
      <c r="AG10" s="4" t="s">
        <v>43</v>
      </c>
      <c r="AH10" s="4" t="s">
        <v>43</v>
      </c>
      <c r="AI10" s="4" t="s">
        <v>43</v>
      </c>
      <c r="AJ10" s="4" t="s">
        <v>43</v>
      </c>
      <c r="AK10" s="4" t="s">
        <v>43</v>
      </c>
      <c r="AL10" s="4" t="s">
        <v>43</v>
      </c>
      <c r="AM10" s="4" t="s">
        <v>43</v>
      </c>
      <c r="AN10" s="4" t="s">
        <v>43</v>
      </c>
      <c r="AO10" s="4" t="s">
        <v>43</v>
      </c>
      <c r="AP10" s="4" t="s">
        <v>43</v>
      </c>
      <c r="AQ10" s="4" t="s">
        <v>43</v>
      </c>
      <c r="AR10" s="4" t="s">
        <v>43</v>
      </c>
      <c r="AS10" s="4" t="s">
        <v>43</v>
      </c>
      <c r="AT10" s="4" t="s">
        <v>43</v>
      </c>
      <c r="AU10" s="4" t="s">
        <v>43</v>
      </c>
      <c r="AV10" s="4" t="s">
        <v>43</v>
      </c>
      <c r="AW10" s="4" t="s">
        <v>43</v>
      </c>
      <c r="AX10" s="4" t="s">
        <v>43</v>
      </c>
      <c r="AY10" s="4" t="s">
        <v>43</v>
      </c>
      <c r="AZ10" s="4" t="s">
        <v>43</v>
      </c>
      <c r="BA10" s="4" t="s">
        <v>43</v>
      </c>
      <c r="BB10" s="4" t="s">
        <v>43</v>
      </c>
      <c r="BC10" s="4" t="s">
        <v>43</v>
      </c>
      <c r="BD10" s="4" t="s">
        <v>43</v>
      </c>
      <c r="BE10" s="4" t="s">
        <v>43</v>
      </c>
      <c r="BF10" s="4" t="s">
        <v>43</v>
      </c>
      <c r="BG10" s="4" t="s">
        <v>43</v>
      </c>
      <c r="BH10" s="4" t="s">
        <v>43</v>
      </c>
      <c r="BI10" s="4" t="s">
        <v>43</v>
      </c>
      <c r="BJ10" s="4" t="s">
        <v>43</v>
      </c>
      <c r="BK10" s="4" t="s">
        <v>43</v>
      </c>
      <c r="BL10" s="4" t="s">
        <v>43</v>
      </c>
      <c r="BM10" s="4" t="s">
        <v>43</v>
      </c>
      <c r="BN10" s="4" t="s">
        <v>43</v>
      </c>
      <c r="BO10" s="4" t="s">
        <v>43</v>
      </c>
      <c r="BP10" s="4" t="s">
        <v>43</v>
      </c>
      <c r="BQ10" s="4" t="s">
        <v>43</v>
      </c>
      <c r="BR10" s="4" t="s">
        <v>43</v>
      </c>
      <c r="BS10" s="4" t="s">
        <v>43</v>
      </c>
      <c r="BT10" s="4" t="s">
        <v>43</v>
      </c>
      <c r="BU10" s="4" t="s">
        <v>43</v>
      </c>
      <c r="BV10" s="4" t="s">
        <v>43</v>
      </c>
      <c r="BW10" s="4" t="s">
        <v>43</v>
      </c>
      <c r="BX10" s="4" t="s">
        <v>43</v>
      </c>
      <c r="BY10" s="4" t="s">
        <v>43</v>
      </c>
      <c r="BZ10" s="4" t="s">
        <v>43</v>
      </c>
      <c r="CA10" s="4" t="s">
        <v>43</v>
      </c>
      <c r="CB10" s="4" t="s">
        <v>43</v>
      </c>
      <c r="CC10" s="4" t="s">
        <v>43</v>
      </c>
      <c r="CD10" s="4" t="s">
        <v>43</v>
      </c>
      <c r="CE10" s="4" t="s">
        <v>43</v>
      </c>
      <c r="CF10" s="4" t="s">
        <v>43</v>
      </c>
      <c r="CG10" s="4" t="s">
        <v>43</v>
      </c>
      <c r="CH10" s="4" t="s">
        <v>43</v>
      </c>
      <c r="CI10" s="4" t="s">
        <v>43</v>
      </c>
      <c r="CJ10" s="4" t="s">
        <v>43</v>
      </c>
      <c r="CK10" s="4" t="s">
        <v>43</v>
      </c>
      <c r="CL10" s="4" t="s">
        <v>43</v>
      </c>
      <c r="CM10" s="4" t="s">
        <v>43</v>
      </c>
      <c r="CN10" s="4" t="s">
        <v>43</v>
      </c>
      <c r="CO10" s="4" t="s">
        <v>43</v>
      </c>
      <c r="CP10" s="4" t="s">
        <v>43</v>
      </c>
      <c r="CQ10" s="4" t="s">
        <v>43</v>
      </c>
      <c r="CR10" s="4" t="s">
        <v>43</v>
      </c>
      <c r="CS10" s="4" t="s">
        <v>43</v>
      </c>
      <c r="CT10" s="4" t="s">
        <v>43</v>
      </c>
      <c r="CU10" s="4" t="s">
        <v>43</v>
      </c>
      <c r="CV10" s="4" t="s">
        <v>43</v>
      </c>
      <c r="CW10" s="4" t="s">
        <v>43</v>
      </c>
      <c r="CX10" s="4" t="s">
        <v>43</v>
      </c>
      <c r="CY10" s="4" t="s">
        <v>43</v>
      </c>
      <c r="CZ10" s="4" t="s">
        <v>43</v>
      </c>
      <c r="DA10" s="4" t="s">
        <v>43</v>
      </c>
      <c r="DB10" s="4" t="s">
        <v>43</v>
      </c>
      <c r="DC10" s="4" t="s">
        <v>43</v>
      </c>
      <c r="DD10" s="4" t="s">
        <v>43</v>
      </c>
      <c r="DE10" s="4" t="s">
        <v>43</v>
      </c>
      <c r="DF10" s="4" t="s">
        <v>43</v>
      </c>
      <c r="DG10" s="4" t="s">
        <v>43</v>
      </c>
      <c r="DH10" s="4" t="s">
        <v>43</v>
      </c>
      <c r="DI10" s="4" t="s">
        <v>43</v>
      </c>
      <c r="DJ10" s="4" t="s">
        <v>43</v>
      </c>
      <c r="DK10" s="4" t="s">
        <v>43</v>
      </c>
    </row>
    <row r="11" spans="1:115" ht="15" x14ac:dyDescent="0.25">
      <c r="A11" s="1" t="s">
        <v>19</v>
      </c>
      <c r="B11" s="142" t="s">
        <v>44</v>
      </c>
      <c r="C11" s="11" t="s">
        <v>45</v>
      </c>
      <c r="D11" s="4">
        <f>'001 B-'!K10</f>
        <v>2</v>
      </c>
      <c r="E11" s="4">
        <f>'002 B-'!K10</f>
        <v>2</v>
      </c>
      <c r="F11" s="1">
        <f>'003 T-'!K10</f>
        <v>5</v>
      </c>
      <c r="G11" s="1">
        <f>'003 T-'!K10</f>
        <v>5</v>
      </c>
      <c r="H11" s="1">
        <f>'003 T-'!K10</f>
        <v>5</v>
      </c>
      <c r="I11" s="1">
        <f>'004 T-'!K10</f>
        <v>5</v>
      </c>
      <c r="J11" s="1">
        <f>'004 T-'!K10</f>
        <v>5</v>
      </c>
      <c r="K11" s="1">
        <f>'005 D-'!K10</f>
        <v>6</v>
      </c>
      <c r="L11" s="1">
        <f>'005 D-'!K10</f>
        <v>6</v>
      </c>
      <c r="M11" s="1">
        <f>'005 D-'!K10</f>
        <v>6</v>
      </c>
      <c r="N11" s="1">
        <f>'006 D-'!K10</f>
        <v>6</v>
      </c>
      <c r="O11" s="1">
        <f>'006 D-'!K10</f>
        <v>6</v>
      </c>
      <c r="P11" s="1">
        <f>'007 C-'!K10</f>
        <v>52</v>
      </c>
      <c r="Q11" s="1">
        <f>'007 C-'!K10</f>
        <v>52</v>
      </c>
      <c r="R11" s="1">
        <f>'008 C-'!K10</f>
        <v>19</v>
      </c>
      <c r="S11" s="1">
        <f>'009 C-'!K10</f>
        <v>19</v>
      </c>
      <c r="T11" s="1">
        <f>'009 C-'!K10</f>
        <v>19</v>
      </c>
      <c r="U11" s="4" t="s">
        <v>46</v>
      </c>
      <c r="V11" s="4" t="s">
        <v>46</v>
      </c>
      <c r="W11" s="4" t="s">
        <v>46</v>
      </c>
      <c r="X11" s="4" t="s">
        <v>46</v>
      </c>
      <c r="Y11" s="4" t="s">
        <v>46</v>
      </c>
      <c r="Z11" s="4" t="s">
        <v>46</v>
      </c>
      <c r="AA11" s="4" t="s">
        <v>46</v>
      </c>
      <c r="AB11" s="4" t="s">
        <v>46</v>
      </c>
      <c r="AC11" s="4" t="s">
        <v>46</v>
      </c>
      <c r="AD11" s="4" t="s">
        <v>46</v>
      </c>
      <c r="AE11" s="4" t="s">
        <v>46</v>
      </c>
      <c r="AF11" s="4" t="s">
        <v>46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46</v>
      </c>
      <c r="AO11" s="4" t="s">
        <v>46</v>
      </c>
      <c r="AP11" s="4" t="s">
        <v>46</v>
      </c>
      <c r="AQ11" s="4" t="s">
        <v>46</v>
      </c>
      <c r="AR11" s="4" t="s">
        <v>46</v>
      </c>
      <c r="AS11" s="4" t="s">
        <v>46</v>
      </c>
      <c r="AT11" s="4" t="s">
        <v>46</v>
      </c>
      <c r="AU11" s="4" t="s">
        <v>46</v>
      </c>
      <c r="AV11" s="4" t="s">
        <v>46</v>
      </c>
      <c r="AW11" s="4" t="s">
        <v>46</v>
      </c>
      <c r="AX11" s="4" t="s">
        <v>46</v>
      </c>
      <c r="AY11" s="4" t="s">
        <v>46</v>
      </c>
      <c r="AZ11" s="4" t="s">
        <v>46</v>
      </c>
      <c r="BA11" s="4" t="s">
        <v>46</v>
      </c>
      <c r="BB11" s="4" t="s">
        <v>46</v>
      </c>
      <c r="BC11" s="4" t="s">
        <v>46</v>
      </c>
      <c r="BD11" s="4" t="s">
        <v>46</v>
      </c>
      <c r="BE11" s="4" t="s">
        <v>46</v>
      </c>
      <c r="BF11" s="4" t="s">
        <v>46</v>
      </c>
      <c r="BG11" s="4" t="s">
        <v>46</v>
      </c>
      <c r="BH11" s="4" t="s">
        <v>46</v>
      </c>
      <c r="BI11" s="4" t="s">
        <v>46</v>
      </c>
      <c r="BJ11" s="4" t="s">
        <v>46</v>
      </c>
      <c r="BK11" s="4" t="s">
        <v>46</v>
      </c>
      <c r="BL11" s="4" t="s">
        <v>46</v>
      </c>
      <c r="BM11" s="4" t="s">
        <v>46</v>
      </c>
      <c r="BN11" s="4" t="s">
        <v>46</v>
      </c>
      <c r="BO11" s="4" t="s">
        <v>46</v>
      </c>
      <c r="BP11" s="4" t="s">
        <v>46</v>
      </c>
      <c r="BQ11" s="4" t="s">
        <v>46</v>
      </c>
      <c r="BR11" s="4" t="s">
        <v>46</v>
      </c>
      <c r="BS11" s="4" t="s">
        <v>46</v>
      </c>
      <c r="BT11" s="4" t="s">
        <v>46</v>
      </c>
      <c r="BU11" s="4" t="s">
        <v>46</v>
      </c>
      <c r="BV11" s="4" t="s">
        <v>46</v>
      </c>
      <c r="BW11" s="4" t="s">
        <v>46</v>
      </c>
      <c r="BX11" s="4" t="s">
        <v>46</v>
      </c>
      <c r="BY11" s="4" t="s">
        <v>46</v>
      </c>
      <c r="BZ11" s="4" t="s">
        <v>46</v>
      </c>
      <c r="CA11" s="4" t="s">
        <v>46</v>
      </c>
      <c r="CB11" s="4" t="s">
        <v>46</v>
      </c>
      <c r="CC11" s="4" t="s">
        <v>46</v>
      </c>
      <c r="CD11" s="4" t="s">
        <v>46</v>
      </c>
      <c r="CE11" s="4" t="s">
        <v>46</v>
      </c>
      <c r="CF11" s="4" t="s">
        <v>46</v>
      </c>
      <c r="CG11" s="4" t="s">
        <v>46</v>
      </c>
      <c r="CH11" s="4" t="s">
        <v>46</v>
      </c>
      <c r="CI11" s="4" t="s">
        <v>46</v>
      </c>
      <c r="CJ11" s="4" t="s">
        <v>46</v>
      </c>
      <c r="CK11" s="4" t="s">
        <v>46</v>
      </c>
      <c r="CL11" s="4" t="s">
        <v>46</v>
      </c>
      <c r="CM11" s="4" t="s">
        <v>46</v>
      </c>
      <c r="CN11" s="4" t="s">
        <v>46</v>
      </c>
      <c r="CO11" s="4" t="s">
        <v>46</v>
      </c>
      <c r="CP11" s="4" t="s">
        <v>46</v>
      </c>
      <c r="CQ11" s="4" t="s">
        <v>46</v>
      </c>
      <c r="CR11" s="4" t="s">
        <v>46</v>
      </c>
      <c r="CS11" s="4" t="s">
        <v>46</v>
      </c>
      <c r="CT11" s="4" t="s">
        <v>46</v>
      </c>
      <c r="CU11" s="4" t="s">
        <v>46</v>
      </c>
      <c r="CV11" s="4" t="s">
        <v>46</v>
      </c>
      <c r="CW11" s="4" t="s">
        <v>46</v>
      </c>
      <c r="CX11" s="4" t="s">
        <v>46</v>
      </c>
      <c r="CY11" s="4" t="s">
        <v>46</v>
      </c>
      <c r="CZ11" s="4" t="s">
        <v>46</v>
      </c>
      <c r="DA11" s="4" t="s">
        <v>46</v>
      </c>
      <c r="DB11" s="4" t="s">
        <v>46</v>
      </c>
      <c r="DC11" s="4" t="s">
        <v>46</v>
      </c>
      <c r="DD11" s="4" t="s">
        <v>46</v>
      </c>
      <c r="DE11" s="4" t="s">
        <v>46</v>
      </c>
      <c r="DF11" s="4" t="s">
        <v>46</v>
      </c>
      <c r="DG11" s="4" t="s">
        <v>46</v>
      </c>
      <c r="DH11" s="4" t="s">
        <v>46</v>
      </c>
      <c r="DI11" s="4" t="s">
        <v>46</v>
      </c>
      <c r="DJ11" s="4" t="s">
        <v>46</v>
      </c>
      <c r="DK11" s="4" t="s">
        <v>46</v>
      </c>
    </row>
    <row r="12" spans="1:115" ht="15" x14ac:dyDescent="0.25">
      <c r="B12" s="142" t="s">
        <v>47</v>
      </c>
      <c r="C12" s="11" t="s">
        <v>48</v>
      </c>
      <c r="D12" s="4">
        <f>'001 B-'!L10</f>
        <v>2</v>
      </c>
      <c r="E12" s="4">
        <f>'002 B-'!L10</f>
        <v>2</v>
      </c>
      <c r="F12" s="1">
        <f>'003 T-'!L10</f>
        <v>5</v>
      </c>
      <c r="G12" s="1">
        <f>'003 T-'!L10</f>
        <v>5</v>
      </c>
      <c r="H12" s="1">
        <f>'003 T-'!L10</f>
        <v>5</v>
      </c>
      <c r="I12" s="1">
        <f>'004 T-'!L10</f>
        <v>5</v>
      </c>
      <c r="J12" s="1">
        <f>'004 T-'!L10</f>
        <v>5</v>
      </c>
      <c r="K12" s="1">
        <f>'005 D-'!L10</f>
        <v>6</v>
      </c>
      <c r="L12" s="1">
        <f>'005 D-'!L10</f>
        <v>6</v>
      </c>
      <c r="M12" s="1">
        <f>'005 D-'!L10</f>
        <v>6</v>
      </c>
      <c r="N12" s="1">
        <f>'006 D-'!L10</f>
        <v>6</v>
      </c>
      <c r="O12" s="1">
        <f>'006 D-'!L10</f>
        <v>6</v>
      </c>
      <c r="P12" s="1">
        <f>'007 C-'!L10</f>
        <v>52</v>
      </c>
      <c r="Q12" s="1">
        <f>'007 C-'!L10</f>
        <v>52</v>
      </c>
      <c r="R12" s="1">
        <f>'008 C-'!L10</f>
        <v>19</v>
      </c>
      <c r="S12" s="1">
        <f>'009 C-'!L10</f>
        <v>19</v>
      </c>
      <c r="T12" s="1">
        <f>'009 C-'!L10</f>
        <v>19</v>
      </c>
      <c r="U12" s="4" t="s">
        <v>49</v>
      </c>
      <c r="V12" s="4" t="s">
        <v>49</v>
      </c>
      <c r="W12" s="4" t="s">
        <v>49</v>
      </c>
      <c r="X12" s="4" t="s">
        <v>49</v>
      </c>
      <c r="Y12" s="4" t="s">
        <v>49</v>
      </c>
      <c r="Z12" s="4" t="s">
        <v>49</v>
      </c>
      <c r="AA12" s="4" t="s">
        <v>49</v>
      </c>
      <c r="AB12" s="4" t="s">
        <v>49</v>
      </c>
      <c r="AC12" s="4" t="s">
        <v>49</v>
      </c>
      <c r="AD12" s="4" t="s">
        <v>49</v>
      </c>
      <c r="AE12" s="4" t="s">
        <v>49</v>
      </c>
      <c r="AF12" s="4" t="s">
        <v>49</v>
      </c>
      <c r="AG12" s="4" t="s">
        <v>49</v>
      </c>
      <c r="AH12" s="4" t="s">
        <v>49</v>
      </c>
      <c r="AI12" s="4" t="s">
        <v>49</v>
      </c>
      <c r="AJ12" s="4" t="s">
        <v>49</v>
      </c>
      <c r="AK12" s="4" t="s">
        <v>49</v>
      </c>
      <c r="AL12" s="4" t="s">
        <v>49</v>
      </c>
      <c r="AM12" s="4" t="s">
        <v>49</v>
      </c>
      <c r="AN12" s="4" t="s">
        <v>49</v>
      </c>
      <c r="AO12" s="4" t="s">
        <v>49</v>
      </c>
      <c r="AP12" s="4" t="s">
        <v>49</v>
      </c>
      <c r="AQ12" s="4" t="s">
        <v>49</v>
      </c>
      <c r="AR12" s="4" t="s">
        <v>49</v>
      </c>
      <c r="AS12" s="4" t="s">
        <v>49</v>
      </c>
      <c r="AT12" s="4" t="s">
        <v>49</v>
      </c>
      <c r="AU12" s="4" t="s">
        <v>49</v>
      </c>
      <c r="AV12" s="4" t="s">
        <v>49</v>
      </c>
      <c r="AW12" s="4" t="s">
        <v>49</v>
      </c>
      <c r="AX12" s="4" t="s">
        <v>49</v>
      </c>
      <c r="AY12" s="4" t="s">
        <v>49</v>
      </c>
      <c r="AZ12" s="4" t="s">
        <v>49</v>
      </c>
      <c r="BA12" s="4" t="s">
        <v>49</v>
      </c>
      <c r="BB12" s="4" t="s">
        <v>49</v>
      </c>
      <c r="BC12" s="4" t="s">
        <v>49</v>
      </c>
      <c r="BD12" s="4" t="s">
        <v>49</v>
      </c>
      <c r="BE12" s="4" t="s">
        <v>49</v>
      </c>
      <c r="BF12" s="4" t="s">
        <v>49</v>
      </c>
      <c r="BG12" s="4" t="s">
        <v>49</v>
      </c>
      <c r="BH12" s="4" t="s">
        <v>49</v>
      </c>
      <c r="BI12" s="4" t="s">
        <v>49</v>
      </c>
      <c r="BJ12" s="4" t="s">
        <v>49</v>
      </c>
      <c r="BK12" s="4" t="s">
        <v>49</v>
      </c>
      <c r="BL12" s="4" t="s">
        <v>49</v>
      </c>
      <c r="BM12" s="4" t="s">
        <v>49</v>
      </c>
      <c r="BN12" s="4" t="s">
        <v>49</v>
      </c>
      <c r="BO12" s="4" t="s">
        <v>49</v>
      </c>
      <c r="BP12" s="4" t="s">
        <v>49</v>
      </c>
      <c r="BQ12" s="4" t="s">
        <v>49</v>
      </c>
      <c r="BR12" s="4" t="s">
        <v>49</v>
      </c>
      <c r="BS12" s="4" t="s">
        <v>49</v>
      </c>
      <c r="BT12" s="4" t="s">
        <v>49</v>
      </c>
      <c r="BU12" s="4" t="s">
        <v>49</v>
      </c>
      <c r="BV12" s="4" t="s">
        <v>49</v>
      </c>
      <c r="BW12" s="4" t="s">
        <v>49</v>
      </c>
      <c r="BX12" s="4" t="s">
        <v>49</v>
      </c>
      <c r="BY12" s="4" t="s">
        <v>49</v>
      </c>
      <c r="BZ12" s="4" t="s">
        <v>49</v>
      </c>
      <c r="CA12" s="4" t="s">
        <v>49</v>
      </c>
      <c r="CB12" s="4" t="s">
        <v>49</v>
      </c>
      <c r="CC12" s="4" t="s">
        <v>49</v>
      </c>
      <c r="CD12" s="4" t="s">
        <v>49</v>
      </c>
      <c r="CE12" s="4" t="s">
        <v>49</v>
      </c>
      <c r="CF12" s="4" t="s">
        <v>49</v>
      </c>
      <c r="CG12" s="4" t="s">
        <v>49</v>
      </c>
      <c r="CH12" s="4" t="s">
        <v>49</v>
      </c>
      <c r="CI12" s="4" t="s">
        <v>49</v>
      </c>
      <c r="CJ12" s="4" t="s">
        <v>49</v>
      </c>
      <c r="CK12" s="4" t="s">
        <v>49</v>
      </c>
      <c r="CL12" s="4" t="s">
        <v>49</v>
      </c>
      <c r="CM12" s="4" t="s">
        <v>49</v>
      </c>
      <c r="CN12" s="4" t="s">
        <v>49</v>
      </c>
      <c r="CO12" s="4" t="s">
        <v>49</v>
      </c>
      <c r="CP12" s="4" t="s">
        <v>49</v>
      </c>
      <c r="CQ12" s="4" t="s">
        <v>49</v>
      </c>
      <c r="CR12" s="4" t="s">
        <v>49</v>
      </c>
      <c r="CS12" s="4" t="s">
        <v>49</v>
      </c>
      <c r="CT12" s="4" t="s">
        <v>49</v>
      </c>
      <c r="CU12" s="4" t="s">
        <v>49</v>
      </c>
      <c r="CV12" s="4" t="s">
        <v>49</v>
      </c>
      <c r="CW12" s="4" t="s">
        <v>49</v>
      </c>
      <c r="CX12" s="4" t="s">
        <v>49</v>
      </c>
      <c r="CY12" s="4" t="s">
        <v>49</v>
      </c>
      <c r="CZ12" s="4" t="s">
        <v>49</v>
      </c>
      <c r="DA12" s="4" t="s">
        <v>49</v>
      </c>
      <c r="DB12" s="4" t="s">
        <v>49</v>
      </c>
      <c r="DC12" s="4" t="s">
        <v>49</v>
      </c>
      <c r="DD12" s="4" t="s">
        <v>49</v>
      </c>
      <c r="DE12" s="4" t="s">
        <v>49</v>
      </c>
      <c r="DF12" s="4" t="s">
        <v>49</v>
      </c>
      <c r="DG12" s="4" t="s">
        <v>49</v>
      </c>
      <c r="DH12" s="4" t="s">
        <v>49</v>
      </c>
      <c r="DI12" s="4" t="s">
        <v>49</v>
      </c>
      <c r="DJ12" s="4" t="s">
        <v>49</v>
      </c>
      <c r="DK12" s="4" t="s">
        <v>49</v>
      </c>
    </row>
    <row r="13" spans="1:115" ht="15" x14ac:dyDescent="0.25">
      <c r="B13" s="142" t="s">
        <v>50</v>
      </c>
      <c r="C13" s="11" t="s">
        <v>51</v>
      </c>
      <c r="D13" s="4">
        <f>'001 B-'!M10</f>
        <v>2</v>
      </c>
      <c r="E13" s="4">
        <f>'002 B-'!M10</f>
        <v>2</v>
      </c>
      <c r="F13" s="1">
        <f>'003 T-'!M10</f>
        <v>5</v>
      </c>
      <c r="G13" s="1">
        <f>'003 T-'!M10</f>
        <v>5</v>
      </c>
      <c r="H13" s="1">
        <f>'003 T-'!M10</f>
        <v>5</v>
      </c>
      <c r="I13" s="1">
        <f>'004 T-'!M10</f>
        <v>5</v>
      </c>
      <c r="J13" s="1">
        <f>'004 T-'!M10</f>
        <v>5</v>
      </c>
      <c r="K13" s="1">
        <f>'005 D-'!M10</f>
        <v>6</v>
      </c>
      <c r="L13" s="1">
        <f>'005 D-'!M10</f>
        <v>6</v>
      </c>
      <c r="M13" s="1">
        <f>'005 D-'!M10</f>
        <v>6</v>
      </c>
      <c r="N13" s="1">
        <f>'006 D-'!M10</f>
        <v>6</v>
      </c>
      <c r="O13" s="1">
        <f>'006 D-'!M10</f>
        <v>6</v>
      </c>
      <c r="P13" s="1">
        <f>'007 C-'!M10</f>
        <v>52</v>
      </c>
      <c r="Q13" s="1">
        <f>'007 C-'!M10</f>
        <v>52</v>
      </c>
      <c r="R13" s="1">
        <f>'008 C-'!M10</f>
        <v>19</v>
      </c>
      <c r="S13" s="1">
        <f>'009 C-'!M10</f>
        <v>19</v>
      </c>
      <c r="T13" s="1">
        <f>'009 C-'!M10</f>
        <v>19</v>
      </c>
      <c r="U13" s="4" t="s">
        <v>52</v>
      </c>
      <c r="V13" s="4" t="s">
        <v>52</v>
      </c>
      <c r="W13" s="4" t="s">
        <v>52</v>
      </c>
      <c r="X13" s="4" t="s">
        <v>52</v>
      </c>
      <c r="Y13" s="4" t="s">
        <v>52</v>
      </c>
      <c r="Z13" s="4" t="s">
        <v>52</v>
      </c>
      <c r="AA13" s="4" t="s">
        <v>52</v>
      </c>
      <c r="AB13" s="4" t="s">
        <v>52</v>
      </c>
      <c r="AC13" s="4" t="s">
        <v>52</v>
      </c>
      <c r="AD13" s="4" t="s">
        <v>52</v>
      </c>
      <c r="AE13" s="4" t="s">
        <v>52</v>
      </c>
      <c r="AF13" s="4" t="s">
        <v>52</v>
      </c>
      <c r="AG13" s="4" t="s">
        <v>52</v>
      </c>
      <c r="AH13" s="4" t="s">
        <v>52</v>
      </c>
      <c r="AI13" s="4" t="s">
        <v>52</v>
      </c>
      <c r="AJ13" s="4" t="s">
        <v>52</v>
      </c>
      <c r="AK13" s="4" t="s">
        <v>52</v>
      </c>
      <c r="AL13" s="4" t="s">
        <v>52</v>
      </c>
      <c r="AM13" s="4" t="s">
        <v>52</v>
      </c>
      <c r="AN13" s="4" t="s">
        <v>52</v>
      </c>
      <c r="AO13" s="4" t="s">
        <v>52</v>
      </c>
      <c r="AP13" s="4" t="s">
        <v>52</v>
      </c>
      <c r="AQ13" s="4" t="s">
        <v>52</v>
      </c>
      <c r="AR13" s="4" t="s">
        <v>52</v>
      </c>
      <c r="AS13" s="4" t="s">
        <v>52</v>
      </c>
      <c r="AT13" s="4" t="s">
        <v>52</v>
      </c>
      <c r="AU13" s="4" t="s">
        <v>52</v>
      </c>
      <c r="AV13" s="4" t="s">
        <v>52</v>
      </c>
      <c r="AW13" s="4" t="s">
        <v>52</v>
      </c>
      <c r="AX13" s="4" t="s">
        <v>52</v>
      </c>
      <c r="AY13" s="4" t="s">
        <v>52</v>
      </c>
      <c r="AZ13" s="4" t="s">
        <v>52</v>
      </c>
      <c r="BA13" s="4" t="s">
        <v>52</v>
      </c>
      <c r="BB13" s="4" t="s">
        <v>52</v>
      </c>
      <c r="BC13" s="4" t="s">
        <v>52</v>
      </c>
      <c r="BD13" s="4" t="s">
        <v>52</v>
      </c>
      <c r="BE13" s="4" t="s">
        <v>52</v>
      </c>
      <c r="BF13" s="4" t="s">
        <v>52</v>
      </c>
      <c r="BG13" s="4" t="s">
        <v>52</v>
      </c>
      <c r="BH13" s="4" t="s">
        <v>52</v>
      </c>
      <c r="BI13" s="4" t="s">
        <v>52</v>
      </c>
      <c r="BJ13" s="4" t="s">
        <v>52</v>
      </c>
      <c r="BK13" s="4" t="s">
        <v>52</v>
      </c>
      <c r="BL13" s="4" t="s">
        <v>52</v>
      </c>
      <c r="BM13" s="4" t="s">
        <v>52</v>
      </c>
      <c r="BN13" s="4" t="s">
        <v>52</v>
      </c>
      <c r="BO13" s="4" t="s">
        <v>52</v>
      </c>
      <c r="BP13" s="4" t="s">
        <v>52</v>
      </c>
      <c r="BQ13" s="4" t="s">
        <v>52</v>
      </c>
      <c r="BR13" s="4" t="s">
        <v>52</v>
      </c>
      <c r="BS13" s="4" t="s">
        <v>52</v>
      </c>
      <c r="BT13" s="4" t="s">
        <v>52</v>
      </c>
      <c r="BU13" s="4" t="s">
        <v>52</v>
      </c>
      <c r="BV13" s="4" t="s">
        <v>52</v>
      </c>
      <c r="BW13" s="4" t="s">
        <v>52</v>
      </c>
      <c r="BX13" s="4" t="s">
        <v>52</v>
      </c>
      <c r="BY13" s="4" t="s">
        <v>52</v>
      </c>
      <c r="BZ13" s="4" t="s">
        <v>52</v>
      </c>
      <c r="CA13" s="4" t="s">
        <v>52</v>
      </c>
      <c r="CB13" s="4" t="s">
        <v>52</v>
      </c>
      <c r="CC13" s="4" t="s">
        <v>52</v>
      </c>
      <c r="CD13" s="4" t="s">
        <v>52</v>
      </c>
      <c r="CE13" s="4" t="s">
        <v>52</v>
      </c>
      <c r="CF13" s="4" t="s">
        <v>52</v>
      </c>
      <c r="CG13" s="4" t="s">
        <v>52</v>
      </c>
      <c r="CH13" s="4" t="s">
        <v>52</v>
      </c>
      <c r="CI13" s="4" t="s">
        <v>52</v>
      </c>
      <c r="CJ13" s="4" t="s">
        <v>52</v>
      </c>
      <c r="CK13" s="4" t="s">
        <v>52</v>
      </c>
      <c r="CL13" s="4" t="s">
        <v>52</v>
      </c>
      <c r="CM13" s="4" t="s">
        <v>52</v>
      </c>
      <c r="CN13" s="4" t="s">
        <v>52</v>
      </c>
      <c r="CO13" s="4" t="s">
        <v>52</v>
      </c>
      <c r="CP13" s="4" t="s">
        <v>52</v>
      </c>
      <c r="CQ13" s="4" t="s">
        <v>52</v>
      </c>
      <c r="CR13" s="4" t="s">
        <v>52</v>
      </c>
      <c r="CS13" s="4" t="s">
        <v>52</v>
      </c>
      <c r="CT13" s="4" t="s">
        <v>52</v>
      </c>
      <c r="CU13" s="4" t="s">
        <v>52</v>
      </c>
      <c r="CV13" s="4" t="s">
        <v>52</v>
      </c>
      <c r="CW13" s="4" t="s">
        <v>52</v>
      </c>
      <c r="CX13" s="4" t="s">
        <v>52</v>
      </c>
      <c r="CY13" s="4" t="s">
        <v>52</v>
      </c>
      <c r="CZ13" s="4" t="s">
        <v>52</v>
      </c>
      <c r="DA13" s="4" t="s">
        <v>52</v>
      </c>
      <c r="DB13" s="4" t="s">
        <v>52</v>
      </c>
      <c r="DC13" s="4" t="s">
        <v>52</v>
      </c>
      <c r="DD13" s="4" t="s">
        <v>52</v>
      </c>
      <c r="DE13" s="4" t="s">
        <v>52</v>
      </c>
      <c r="DF13" s="4" t="s">
        <v>52</v>
      </c>
      <c r="DG13" s="4" t="s">
        <v>52</v>
      </c>
      <c r="DH13" s="4" t="s">
        <v>52</v>
      </c>
      <c r="DI13" s="4" t="s">
        <v>52</v>
      </c>
      <c r="DJ13" s="4" t="s">
        <v>52</v>
      </c>
      <c r="DK13" s="4" t="s">
        <v>52</v>
      </c>
    </row>
    <row r="14" spans="1:115" ht="15" x14ac:dyDescent="0.25">
      <c r="A14" s="1" t="s">
        <v>19</v>
      </c>
      <c r="B14" s="143" t="s">
        <v>53</v>
      </c>
      <c r="C14" s="12" t="s">
        <v>54</v>
      </c>
      <c r="D14" s="4">
        <f>'001 B-'!N10</f>
        <v>2</v>
      </c>
      <c r="E14" s="4">
        <f>'002 B-'!N10</f>
        <v>2</v>
      </c>
      <c r="F14" s="1">
        <f>'003 T-'!N10</f>
        <v>5</v>
      </c>
      <c r="G14" s="1">
        <f>'003 T-'!N10</f>
        <v>5</v>
      </c>
      <c r="H14" s="1">
        <f>'003 T-'!N10</f>
        <v>5</v>
      </c>
      <c r="I14" s="1">
        <f>'004 T-'!N10</f>
        <v>5</v>
      </c>
      <c r="J14" s="1">
        <f>'004 T-'!N10</f>
        <v>5</v>
      </c>
      <c r="K14" s="1">
        <f>'005 D-'!N10</f>
        <v>6</v>
      </c>
      <c r="L14" s="1">
        <f>'005 D-'!N10</f>
        <v>6</v>
      </c>
      <c r="M14" s="1">
        <f>'005 D-'!N10</f>
        <v>6</v>
      </c>
      <c r="N14" s="1">
        <f>'006 D-'!N10</f>
        <v>6</v>
      </c>
      <c r="O14" s="1">
        <f>'006 D-'!N10</f>
        <v>6</v>
      </c>
      <c r="P14" s="1">
        <f>'007 C-'!N10</f>
        <v>52</v>
      </c>
      <c r="Q14" s="1">
        <f>'007 C-'!N10</f>
        <v>52</v>
      </c>
      <c r="R14" s="1">
        <f>'008 C-'!N10</f>
        <v>105</v>
      </c>
      <c r="S14" s="1">
        <f>'009 C-'!N10</f>
        <v>19</v>
      </c>
      <c r="T14" s="1">
        <f>'009 C-'!N10</f>
        <v>19</v>
      </c>
      <c r="U14" s="4" t="s">
        <v>55</v>
      </c>
      <c r="V14" s="4" t="s">
        <v>55</v>
      </c>
      <c r="W14" s="4" t="s">
        <v>55</v>
      </c>
      <c r="X14" s="4" t="s">
        <v>55</v>
      </c>
      <c r="Y14" s="4" t="s">
        <v>55</v>
      </c>
      <c r="Z14" s="4" t="s">
        <v>55</v>
      </c>
      <c r="AA14" s="4" t="s">
        <v>55</v>
      </c>
      <c r="AB14" s="4" t="s">
        <v>55</v>
      </c>
      <c r="AC14" s="4" t="s">
        <v>55</v>
      </c>
      <c r="AD14" s="4" t="s">
        <v>55</v>
      </c>
      <c r="AE14" s="4" t="s">
        <v>55</v>
      </c>
      <c r="AF14" s="4" t="s">
        <v>55</v>
      </c>
      <c r="AG14" s="4" t="s">
        <v>55</v>
      </c>
      <c r="AH14" s="4" t="s">
        <v>55</v>
      </c>
      <c r="AI14" s="4" t="s">
        <v>55</v>
      </c>
      <c r="AJ14" s="4" t="s">
        <v>55</v>
      </c>
      <c r="AK14" s="4" t="s">
        <v>55</v>
      </c>
      <c r="AL14" s="4" t="s">
        <v>55</v>
      </c>
      <c r="AM14" s="4" t="s">
        <v>55</v>
      </c>
      <c r="AN14" s="4" t="s">
        <v>55</v>
      </c>
      <c r="AO14" s="4" t="s">
        <v>55</v>
      </c>
      <c r="AP14" s="4" t="s">
        <v>55</v>
      </c>
      <c r="AQ14" s="4" t="s">
        <v>55</v>
      </c>
      <c r="AR14" s="4" t="s">
        <v>55</v>
      </c>
      <c r="AS14" s="4" t="s">
        <v>55</v>
      </c>
      <c r="AT14" s="4" t="s">
        <v>55</v>
      </c>
      <c r="AU14" s="4" t="s">
        <v>55</v>
      </c>
      <c r="AV14" s="4" t="s">
        <v>55</v>
      </c>
      <c r="AW14" s="4" t="s">
        <v>55</v>
      </c>
      <c r="AX14" s="4" t="s">
        <v>55</v>
      </c>
      <c r="AY14" s="4" t="s">
        <v>55</v>
      </c>
      <c r="AZ14" s="4" t="s">
        <v>55</v>
      </c>
      <c r="BA14" s="4" t="s">
        <v>55</v>
      </c>
      <c r="BB14" s="4" t="s">
        <v>55</v>
      </c>
      <c r="BC14" s="4" t="s">
        <v>55</v>
      </c>
      <c r="BD14" s="4" t="s">
        <v>55</v>
      </c>
      <c r="BE14" s="4" t="s">
        <v>55</v>
      </c>
      <c r="BF14" s="4" t="s">
        <v>55</v>
      </c>
      <c r="BG14" s="4" t="s">
        <v>55</v>
      </c>
      <c r="BH14" s="4" t="s">
        <v>55</v>
      </c>
      <c r="BI14" s="4" t="s">
        <v>55</v>
      </c>
      <c r="BJ14" s="4" t="s">
        <v>55</v>
      </c>
      <c r="BK14" s="4" t="s">
        <v>55</v>
      </c>
      <c r="BL14" s="4" t="s">
        <v>55</v>
      </c>
      <c r="BM14" s="4" t="s">
        <v>55</v>
      </c>
      <c r="BN14" s="4" t="s">
        <v>55</v>
      </c>
      <c r="BO14" s="4" t="s">
        <v>55</v>
      </c>
      <c r="BP14" s="4" t="s">
        <v>55</v>
      </c>
      <c r="BQ14" s="4" t="s">
        <v>55</v>
      </c>
      <c r="BR14" s="4" t="s">
        <v>55</v>
      </c>
      <c r="BS14" s="4" t="s">
        <v>55</v>
      </c>
      <c r="BT14" s="4" t="s">
        <v>55</v>
      </c>
      <c r="BU14" s="4" t="s">
        <v>55</v>
      </c>
      <c r="BV14" s="4" t="s">
        <v>55</v>
      </c>
      <c r="BW14" s="4" t="s">
        <v>55</v>
      </c>
      <c r="BX14" s="4" t="s">
        <v>55</v>
      </c>
      <c r="BY14" s="4" t="s">
        <v>55</v>
      </c>
      <c r="BZ14" s="4" t="s">
        <v>55</v>
      </c>
      <c r="CA14" s="4" t="s">
        <v>55</v>
      </c>
      <c r="CB14" s="4" t="s">
        <v>55</v>
      </c>
      <c r="CC14" s="4" t="s">
        <v>55</v>
      </c>
      <c r="CD14" s="4" t="s">
        <v>55</v>
      </c>
      <c r="CE14" s="4" t="s">
        <v>55</v>
      </c>
      <c r="CF14" s="4" t="s">
        <v>55</v>
      </c>
      <c r="CG14" s="4" t="s">
        <v>55</v>
      </c>
      <c r="CH14" s="4" t="s">
        <v>55</v>
      </c>
      <c r="CI14" s="4" t="s">
        <v>55</v>
      </c>
      <c r="CJ14" s="4" t="s">
        <v>55</v>
      </c>
      <c r="CK14" s="4" t="s">
        <v>55</v>
      </c>
      <c r="CL14" s="4" t="s">
        <v>55</v>
      </c>
      <c r="CM14" s="4" t="s">
        <v>55</v>
      </c>
      <c r="CN14" s="4" t="s">
        <v>55</v>
      </c>
      <c r="CO14" s="4" t="s">
        <v>55</v>
      </c>
      <c r="CP14" s="4" t="s">
        <v>55</v>
      </c>
      <c r="CQ14" s="4" t="s">
        <v>55</v>
      </c>
      <c r="CR14" s="4" t="s">
        <v>55</v>
      </c>
      <c r="CS14" s="4" t="s">
        <v>55</v>
      </c>
      <c r="CT14" s="4" t="s">
        <v>55</v>
      </c>
      <c r="CU14" s="4" t="s">
        <v>55</v>
      </c>
      <c r="CV14" s="4" t="s">
        <v>55</v>
      </c>
      <c r="CW14" s="4" t="s">
        <v>55</v>
      </c>
      <c r="CX14" s="4" t="s">
        <v>55</v>
      </c>
      <c r="CY14" s="4" t="s">
        <v>55</v>
      </c>
      <c r="CZ14" s="4" t="s">
        <v>55</v>
      </c>
      <c r="DA14" s="4" t="s">
        <v>55</v>
      </c>
      <c r="DB14" s="4" t="s">
        <v>55</v>
      </c>
      <c r="DC14" s="4" t="s">
        <v>55</v>
      </c>
      <c r="DD14" s="4" t="s">
        <v>55</v>
      </c>
      <c r="DE14" s="4" t="s">
        <v>55</v>
      </c>
      <c r="DF14" s="4" t="s">
        <v>55</v>
      </c>
      <c r="DG14" s="4" t="s">
        <v>55</v>
      </c>
      <c r="DH14" s="4" t="s">
        <v>55</v>
      </c>
      <c r="DI14" s="4" t="s">
        <v>55</v>
      </c>
      <c r="DJ14" s="4" t="s">
        <v>55</v>
      </c>
      <c r="DK14" s="4" t="s">
        <v>55</v>
      </c>
    </row>
    <row r="15" spans="1:115" ht="15" x14ac:dyDescent="0.25">
      <c r="B15" s="143" t="s">
        <v>56</v>
      </c>
      <c r="C15" s="12" t="s">
        <v>57</v>
      </c>
      <c r="D15" s="4">
        <f>'001 B-'!O10</f>
        <v>2</v>
      </c>
      <c r="E15" s="4">
        <f>'002 B-'!O10</f>
        <v>2</v>
      </c>
      <c r="F15" s="1">
        <f>'003 T-'!O10</f>
        <v>5</v>
      </c>
      <c r="G15" s="1">
        <f>'003 T-'!O10</f>
        <v>5</v>
      </c>
      <c r="H15" s="1">
        <f>'003 T-'!O10</f>
        <v>5</v>
      </c>
      <c r="I15" s="1">
        <f>'004 T-'!O10</f>
        <v>5</v>
      </c>
      <c r="J15" s="1">
        <f>'004 T-'!O10</f>
        <v>5</v>
      </c>
      <c r="K15" s="1">
        <f>'005 D-'!O10</f>
        <v>6</v>
      </c>
      <c r="L15" s="1">
        <f>'005 D-'!O10</f>
        <v>6</v>
      </c>
      <c r="M15" s="1">
        <f>'005 D-'!O10</f>
        <v>6</v>
      </c>
      <c r="N15" s="1">
        <f>'006 D-'!O10</f>
        <v>6</v>
      </c>
      <c r="O15" s="1">
        <f>'006 D-'!O10</f>
        <v>6</v>
      </c>
      <c r="P15" s="1">
        <f>'007 C-'!O10</f>
        <v>52</v>
      </c>
      <c r="Q15" s="1">
        <f>'007 C-'!O10</f>
        <v>52</v>
      </c>
      <c r="R15" s="1">
        <f>'008 C-'!O10</f>
        <v>19</v>
      </c>
      <c r="S15" s="1">
        <f>'009 C-'!O10</f>
        <v>19</v>
      </c>
      <c r="T15" s="1">
        <f>'009 C-'!O10</f>
        <v>19</v>
      </c>
      <c r="U15" s="4" t="s">
        <v>58</v>
      </c>
      <c r="V15" s="4" t="s">
        <v>58</v>
      </c>
      <c r="W15" s="4" t="s">
        <v>58</v>
      </c>
      <c r="X15" s="4" t="s">
        <v>58</v>
      </c>
      <c r="Y15" s="4" t="s">
        <v>58</v>
      </c>
      <c r="Z15" s="4" t="s">
        <v>58</v>
      </c>
      <c r="AA15" s="4" t="s">
        <v>58</v>
      </c>
      <c r="AB15" s="4" t="s">
        <v>58</v>
      </c>
      <c r="AC15" s="4" t="s">
        <v>58</v>
      </c>
      <c r="AD15" s="4" t="s">
        <v>58</v>
      </c>
      <c r="AE15" s="4" t="s">
        <v>58</v>
      </c>
      <c r="AF15" s="4" t="s">
        <v>58</v>
      </c>
      <c r="AG15" s="4" t="s">
        <v>58</v>
      </c>
      <c r="AH15" s="4" t="s">
        <v>58</v>
      </c>
      <c r="AI15" s="4" t="s">
        <v>58</v>
      </c>
      <c r="AJ15" s="4" t="s">
        <v>58</v>
      </c>
      <c r="AK15" s="4" t="s">
        <v>58</v>
      </c>
      <c r="AL15" s="4" t="s">
        <v>58</v>
      </c>
      <c r="AM15" s="4" t="s">
        <v>58</v>
      </c>
      <c r="AN15" s="4" t="s">
        <v>58</v>
      </c>
      <c r="AO15" s="4" t="s">
        <v>58</v>
      </c>
      <c r="AP15" s="4" t="s">
        <v>58</v>
      </c>
      <c r="AQ15" s="4" t="s">
        <v>58</v>
      </c>
      <c r="AR15" s="4" t="s">
        <v>58</v>
      </c>
      <c r="AS15" s="4" t="s">
        <v>58</v>
      </c>
      <c r="AT15" s="4" t="s">
        <v>58</v>
      </c>
      <c r="AU15" s="4" t="s">
        <v>58</v>
      </c>
      <c r="AV15" s="4" t="s">
        <v>58</v>
      </c>
      <c r="AW15" s="4" t="s">
        <v>58</v>
      </c>
      <c r="AX15" s="4" t="s">
        <v>58</v>
      </c>
      <c r="AY15" s="4" t="s">
        <v>58</v>
      </c>
      <c r="AZ15" s="4" t="s">
        <v>58</v>
      </c>
      <c r="BA15" s="4" t="s">
        <v>58</v>
      </c>
      <c r="BB15" s="4" t="s">
        <v>58</v>
      </c>
      <c r="BC15" s="4" t="s">
        <v>58</v>
      </c>
      <c r="BD15" s="4" t="s">
        <v>58</v>
      </c>
      <c r="BE15" s="4" t="s">
        <v>58</v>
      </c>
      <c r="BF15" s="4" t="s">
        <v>58</v>
      </c>
      <c r="BG15" s="4" t="s">
        <v>58</v>
      </c>
      <c r="BH15" s="4" t="s">
        <v>58</v>
      </c>
      <c r="BI15" s="4" t="s">
        <v>58</v>
      </c>
      <c r="BJ15" s="4" t="s">
        <v>58</v>
      </c>
      <c r="BK15" s="4" t="s">
        <v>58</v>
      </c>
      <c r="BL15" s="4" t="s">
        <v>58</v>
      </c>
      <c r="BM15" s="4" t="s">
        <v>58</v>
      </c>
      <c r="BN15" s="4" t="s">
        <v>58</v>
      </c>
      <c r="BO15" s="4" t="s">
        <v>58</v>
      </c>
      <c r="BP15" s="4" t="s">
        <v>58</v>
      </c>
      <c r="BQ15" s="4" t="s">
        <v>58</v>
      </c>
      <c r="BR15" s="4" t="s">
        <v>58</v>
      </c>
      <c r="BS15" s="4" t="s">
        <v>58</v>
      </c>
      <c r="BT15" s="4" t="s">
        <v>58</v>
      </c>
      <c r="BU15" s="4" t="s">
        <v>58</v>
      </c>
      <c r="BV15" s="4" t="s">
        <v>58</v>
      </c>
      <c r="BW15" s="4" t="s">
        <v>58</v>
      </c>
      <c r="BX15" s="4" t="s">
        <v>58</v>
      </c>
      <c r="BY15" s="4" t="s">
        <v>58</v>
      </c>
      <c r="BZ15" s="4" t="s">
        <v>58</v>
      </c>
      <c r="CA15" s="4" t="s">
        <v>58</v>
      </c>
      <c r="CB15" s="4" t="s">
        <v>58</v>
      </c>
      <c r="CC15" s="4" t="s">
        <v>58</v>
      </c>
      <c r="CD15" s="4" t="s">
        <v>58</v>
      </c>
      <c r="CE15" s="4" t="s">
        <v>58</v>
      </c>
      <c r="CF15" s="4" t="s">
        <v>58</v>
      </c>
      <c r="CG15" s="4" t="s">
        <v>58</v>
      </c>
      <c r="CH15" s="4" t="s">
        <v>58</v>
      </c>
      <c r="CI15" s="4" t="s">
        <v>58</v>
      </c>
      <c r="CJ15" s="4" t="s">
        <v>58</v>
      </c>
      <c r="CK15" s="4" t="s">
        <v>58</v>
      </c>
      <c r="CL15" s="4" t="s">
        <v>58</v>
      </c>
      <c r="CM15" s="4" t="s">
        <v>58</v>
      </c>
      <c r="CN15" s="4" t="s">
        <v>58</v>
      </c>
      <c r="CO15" s="4" t="s">
        <v>58</v>
      </c>
      <c r="CP15" s="4" t="s">
        <v>58</v>
      </c>
      <c r="CQ15" s="4" t="s">
        <v>58</v>
      </c>
      <c r="CR15" s="4" t="s">
        <v>58</v>
      </c>
      <c r="CS15" s="4" t="s">
        <v>58</v>
      </c>
      <c r="CT15" s="4" t="s">
        <v>58</v>
      </c>
      <c r="CU15" s="4" t="s">
        <v>58</v>
      </c>
      <c r="CV15" s="4" t="s">
        <v>58</v>
      </c>
      <c r="CW15" s="4" t="s">
        <v>58</v>
      </c>
      <c r="CX15" s="4" t="s">
        <v>58</v>
      </c>
      <c r="CY15" s="4" t="s">
        <v>58</v>
      </c>
      <c r="CZ15" s="4" t="s">
        <v>58</v>
      </c>
      <c r="DA15" s="4" t="s">
        <v>58</v>
      </c>
      <c r="DB15" s="4" t="s">
        <v>58</v>
      </c>
      <c r="DC15" s="4" t="s">
        <v>58</v>
      </c>
      <c r="DD15" s="4" t="s">
        <v>58</v>
      </c>
      <c r="DE15" s="4" t="s">
        <v>58</v>
      </c>
      <c r="DF15" s="4" t="s">
        <v>58</v>
      </c>
      <c r="DG15" s="4" t="s">
        <v>58</v>
      </c>
      <c r="DH15" s="4" t="s">
        <v>58</v>
      </c>
      <c r="DI15" s="4" t="s">
        <v>58</v>
      </c>
      <c r="DJ15" s="4" t="s">
        <v>58</v>
      </c>
      <c r="DK15" s="4" t="s">
        <v>58</v>
      </c>
    </row>
    <row r="16" spans="1:115" ht="15" x14ac:dyDescent="0.25">
      <c r="B16" s="144" t="s">
        <v>59</v>
      </c>
      <c r="C16" s="13" t="s">
        <v>60</v>
      </c>
      <c r="D16" s="4">
        <f>'001 B-'!P10</f>
        <v>2</v>
      </c>
      <c r="E16" s="4">
        <f>'002 B-'!P10</f>
        <v>2</v>
      </c>
      <c r="F16" s="1">
        <f>'003 T-'!P10</f>
        <v>5</v>
      </c>
      <c r="G16" s="1">
        <f>'003 T-'!P10</f>
        <v>5</v>
      </c>
      <c r="H16" s="1">
        <f>'003 T-'!P10</f>
        <v>5</v>
      </c>
      <c r="I16" s="1">
        <f>'004 T-'!P10</f>
        <v>5</v>
      </c>
      <c r="J16" s="1">
        <f>'004 T-'!P10</f>
        <v>5</v>
      </c>
      <c r="K16" s="1">
        <f>'005 D-'!P10</f>
        <v>6</v>
      </c>
      <c r="L16" s="1">
        <f>'005 D-'!P10</f>
        <v>6</v>
      </c>
      <c r="M16" s="1">
        <f>'005 D-'!P10</f>
        <v>6</v>
      </c>
      <c r="N16" s="1">
        <f>'006 D-'!P10</f>
        <v>6</v>
      </c>
      <c r="O16" s="1">
        <f>'006 D-'!P10</f>
        <v>6</v>
      </c>
      <c r="P16" s="1">
        <f>'007 C-'!P10</f>
        <v>48</v>
      </c>
      <c r="Q16" s="1">
        <f>'007 C-'!P10</f>
        <v>48</v>
      </c>
      <c r="R16" s="1">
        <f>'008 C-'!P10</f>
        <v>56</v>
      </c>
      <c r="S16" s="1">
        <f>'009 C-'!P10</f>
        <v>19</v>
      </c>
      <c r="T16" s="1">
        <f>'009 C-'!P10</f>
        <v>19</v>
      </c>
      <c r="U16" s="4" t="s">
        <v>61</v>
      </c>
      <c r="V16" s="4" t="s">
        <v>61</v>
      </c>
      <c r="W16" s="4" t="s">
        <v>61</v>
      </c>
      <c r="X16" s="4" t="s">
        <v>61</v>
      </c>
      <c r="Y16" s="4" t="s">
        <v>61</v>
      </c>
      <c r="Z16" s="4" t="s">
        <v>61</v>
      </c>
      <c r="AA16" s="4" t="s">
        <v>61</v>
      </c>
      <c r="AB16" s="4" t="s">
        <v>61</v>
      </c>
      <c r="AC16" s="4" t="s">
        <v>61</v>
      </c>
      <c r="AD16" s="4" t="s">
        <v>61</v>
      </c>
      <c r="AE16" s="4" t="s">
        <v>61</v>
      </c>
      <c r="AF16" s="4" t="s">
        <v>61</v>
      </c>
      <c r="AG16" s="4" t="s">
        <v>61</v>
      </c>
      <c r="AH16" s="4" t="s">
        <v>61</v>
      </c>
      <c r="AI16" s="4" t="s">
        <v>61</v>
      </c>
      <c r="AJ16" s="4" t="s">
        <v>61</v>
      </c>
      <c r="AK16" s="4" t="s">
        <v>61</v>
      </c>
      <c r="AL16" s="4" t="s">
        <v>61</v>
      </c>
      <c r="AM16" s="4" t="s">
        <v>61</v>
      </c>
      <c r="AN16" s="4" t="s">
        <v>61</v>
      </c>
      <c r="AO16" s="4" t="s">
        <v>61</v>
      </c>
      <c r="AP16" s="4" t="s">
        <v>61</v>
      </c>
      <c r="AQ16" s="4" t="s">
        <v>61</v>
      </c>
      <c r="AR16" s="4" t="s">
        <v>61</v>
      </c>
      <c r="AS16" s="4" t="s">
        <v>61</v>
      </c>
      <c r="AT16" s="4" t="s">
        <v>61</v>
      </c>
      <c r="AU16" s="4" t="s">
        <v>61</v>
      </c>
      <c r="AV16" s="4" t="s">
        <v>61</v>
      </c>
      <c r="AW16" s="4" t="s">
        <v>61</v>
      </c>
      <c r="AX16" s="4" t="s">
        <v>61</v>
      </c>
      <c r="AY16" s="4" t="s">
        <v>61</v>
      </c>
      <c r="AZ16" s="4" t="s">
        <v>61</v>
      </c>
      <c r="BA16" s="4" t="s">
        <v>61</v>
      </c>
      <c r="BB16" s="4" t="s">
        <v>61</v>
      </c>
      <c r="BC16" s="4" t="s">
        <v>61</v>
      </c>
      <c r="BD16" s="4" t="s">
        <v>61</v>
      </c>
      <c r="BE16" s="4" t="s">
        <v>61</v>
      </c>
      <c r="BF16" s="4" t="s">
        <v>61</v>
      </c>
      <c r="BG16" s="4" t="s">
        <v>61</v>
      </c>
      <c r="BH16" s="4" t="s">
        <v>61</v>
      </c>
      <c r="BI16" s="4" t="s">
        <v>61</v>
      </c>
      <c r="BJ16" s="4" t="s">
        <v>61</v>
      </c>
      <c r="BK16" s="4" t="s">
        <v>61</v>
      </c>
      <c r="BL16" s="4" t="s">
        <v>61</v>
      </c>
      <c r="BM16" s="4" t="s">
        <v>61</v>
      </c>
      <c r="BN16" s="4" t="s">
        <v>61</v>
      </c>
      <c r="BO16" s="4" t="s">
        <v>61</v>
      </c>
      <c r="BP16" s="4" t="s">
        <v>61</v>
      </c>
      <c r="BQ16" s="4" t="s">
        <v>61</v>
      </c>
      <c r="BR16" s="4" t="s">
        <v>61</v>
      </c>
      <c r="BS16" s="4" t="s">
        <v>61</v>
      </c>
      <c r="BT16" s="4" t="s">
        <v>61</v>
      </c>
      <c r="BU16" s="4" t="s">
        <v>61</v>
      </c>
      <c r="BV16" s="4" t="s">
        <v>61</v>
      </c>
      <c r="BW16" s="4" t="s">
        <v>61</v>
      </c>
      <c r="BX16" s="4" t="s">
        <v>61</v>
      </c>
      <c r="BY16" s="4" t="s">
        <v>61</v>
      </c>
      <c r="BZ16" s="4" t="s">
        <v>61</v>
      </c>
      <c r="CA16" s="4" t="s">
        <v>61</v>
      </c>
      <c r="CB16" s="4" t="s">
        <v>61</v>
      </c>
      <c r="CC16" s="4" t="s">
        <v>61</v>
      </c>
      <c r="CD16" s="4" t="s">
        <v>61</v>
      </c>
      <c r="CE16" s="4" t="s">
        <v>61</v>
      </c>
      <c r="CF16" s="4" t="s">
        <v>61</v>
      </c>
      <c r="CG16" s="4" t="s">
        <v>61</v>
      </c>
      <c r="CH16" s="4" t="s">
        <v>61</v>
      </c>
      <c r="CI16" s="4" t="s">
        <v>61</v>
      </c>
      <c r="CJ16" s="4" t="s">
        <v>61</v>
      </c>
      <c r="CK16" s="4" t="s">
        <v>61</v>
      </c>
      <c r="CL16" s="4" t="s">
        <v>61</v>
      </c>
      <c r="CM16" s="4" t="s">
        <v>61</v>
      </c>
      <c r="CN16" s="4" t="s">
        <v>61</v>
      </c>
      <c r="CO16" s="4" t="s">
        <v>61</v>
      </c>
      <c r="CP16" s="4" t="s">
        <v>61</v>
      </c>
      <c r="CQ16" s="4" t="s">
        <v>61</v>
      </c>
      <c r="CR16" s="4" t="s">
        <v>61</v>
      </c>
      <c r="CS16" s="4" t="s">
        <v>61</v>
      </c>
      <c r="CT16" s="4" t="s">
        <v>61</v>
      </c>
      <c r="CU16" s="4" t="s">
        <v>61</v>
      </c>
      <c r="CV16" s="4" t="s">
        <v>61</v>
      </c>
      <c r="CW16" s="4" t="s">
        <v>61</v>
      </c>
      <c r="CX16" s="4" t="s">
        <v>61</v>
      </c>
      <c r="CY16" s="4" t="s">
        <v>61</v>
      </c>
      <c r="CZ16" s="4" t="s">
        <v>61</v>
      </c>
      <c r="DA16" s="4" t="s">
        <v>61</v>
      </c>
      <c r="DB16" s="4" t="s">
        <v>61</v>
      </c>
      <c r="DC16" s="4" t="s">
        <v>61</v>
      </c>
      <c r="DD16" s="4" t="s">
        <v>61</v>
      </c>
      <c r="DE16" s="4" t="s">
        <v>61</v>
      </c>
      <c r="DF16" s="4" t="s">
        <v>61</v>
      </c>
      <c r="DG16" s="4" t="s">
        <v>61</v>
      </c>
      <c r="DH16" s="4" t="s">
        <v>61</v>
      </c>
      <c r="DI16" s="4" t="s">
        <v>61</v>
      </c>
      <c r="DJ16" s="4" t="s">
        <v>61</v>
      </c>
      <c r="DK16" s="4" t="s">
        <v>61</v>
      </c>
    </row>
    <row r="17" spans="1:115" ht="15" x14ac:dyDescent="0.25">
      <c r="A17" s="1" t="s">
        <v>19</v>
      </c>
      <c r="B17" s="144" t="s">
        <v>62</v>
      </c>
      <c r="C17" s="13" t="s">
        <v>63</v>
      </c>
      <c r="D17" s="4">
        <f>'001 B-'!Q10</f>
        <v>2</v>
      </c>
      <c r="E17" s="4">
        <f>'002 B-'!Q10</f>
        <v>2</v>
      </c>
      <c r="F17" s="1">
        <f>'003 T-'!Q10</f>
        <v>5</v>
      </c>
      <c r="G17" s="1">
        <f>'003 T-'!Q10</f>
        <v>5</v>
      </c>
      <c r="H17" s="1">
        <f>'003 T-'!Q10</f>
        <v>5</v>
      </c>
      <c r="I17" s="1">
        <f>'004 T-'!Q10</f>
        <v>5</v>
      </c>
      <c r="J17" s="1">
        <f>'004 T-'!Q10</f>
        <v>5</v>
      </c>
      <c r="K17" s="1">
        <f>'005 D-'!Q10</f>
        <v>6</v>
      </c>
      <c r="L17" s="1">
        <f>'005 D-'!Q10</f>
        <v>6</v>
      </c>
      <c r="M17" s="1">
        <f>'005 D-'!Q10</f>
        <v>6</v>
      </c>
      <c r="N17" s="1">
        <f>'006 D-'!Q10</f>
        <v>6</v>
      </c>
      <c r="O17" s="1">
        <f>'006 D-'!Q10</f>
        <v>6</v>
      </c>
      <c r="P17" s="1">
        <f>'007 C-'!Q10</f>
        <v>48</v>
      </c>
      <c r="Q17" s="1">
        <f>'007 C-'!Q10</f>
        <v>48</v>
      </c>
      <c r="R17" s="1">
        <f>'008 C-'!Q10</f>
        <v>56</v>
      </c>
      <c r="S17" s="1">
        <f>'009 C-'!Q10</f>
        <v>19</v>
      </c>
      <c r="T17" s="1">
        <f>'009 C-'!Q10</f>
        <v>19</v>
      </c>
      <c r="U17" s="4" t="s">
        <v>64</v>
      </c>
      <c r="V17" s="4" t="s">
        <v>64</v>
      </c>
      <c r="W17" s="4" t="s">
        <v>64</v>
      </c>
      <c r="X17" s="4" t="s">
        <v>64</v>
      </c>
      <c r="Y17" s="4" t="s">
        <v>64</v>
      </c>
      <c r="Z17" s="4" t="s">
        <v>64</v>
      </c>
      <c r="AA17" s="4" t="s">
        <v>64</v>
      </c>
      <c r="AB17" s="4" t="s">
        <v>64</v>
      </c>
      <c r="AC17" s="4" t="s">
        <v>64</v>
      </c>
      <c r="AD17" s="4" t="s">
        <v>64</v>
      </c>
      <c r="AE17" s="4" t="s">
        <v>64</v>
      </c>
      <c r="AF17" s="4" t="s">
        <v>64</v>
      </c>
      <c r="AG17" s="4" t="s">
        <v>64</v>
      </c>
      <c r="AH17" s="4" t="s">
        <v>64</v>
      </c>
      <c r="AI17" s="4" t="s">
        <v>64</v>
      </c>
      <c r="AJ17" s="4" t="s">
        <v>64</v>
      </c>
      <c r="AK17" s="4" t="s">
        <v>64</v>
      </c>
      <c r="AL17" s="4" t="s">
        <v>64</v>
      </c>
      <c r="AM17" s="4" t="s">
        <v>64</v>
      </c>
      <c r="AN17" s="4" t="s">
        <v>64</v>
      </c>
      <c r="AO17" s="4" t="s">
        <v>64</v>
      </c>
      <c r="AP17" s="4" t="s">
        <v>64</v>
      </c>
      <c r="AQ17" s="4" t="s">
        <v>64</v>
      </c>
      <c r="AR17" s="4" t="s">
        <v>64</v>
      </c>
      <c r="AS17" s="4" t="s">
        <v>64</v>
      </c>
      <c r="AT17" s="4" t="s">
        <v>64</v>
      </c>
      <c r="AU17" s="4" t="s">
        <v>64</v>
      </c>
      <c r="AV17" s="4" t="s">
        <v>64</v>
      </c>
      <c r="AW17" s="4" t="s">
        <v>64</v>
      </c>
      <c r="AX17" s="4" t="s">
        <v>64</v>
      </c>
      <c r="AY17" s="4" t="s">
        <v>64</v>
      </c>
      <c r="AZ17" s="4" t="s">
        <v>64</v>
      </c>
      <c r="BA17" s="4" t="s">
        <v>64</v>
      </c>
      <c r="BB17" s="4" t="s">
        <v>64</v>
      </c>
      <c r="BC17" s="4" t="s">
        <v>64</v>
      </c>
      <c r="BD17" s="4" t="s">
        <v>64</v>
      </c>
      <c r="BE17" s="4" t="s">
        <v>64</v>
      </c>
      <c r="BF17" s="4" t="s">
        <v>64</v>
      </c>
      <c r="BG17" s="4" t="s">
        <v>64</v>
      </c>
      <c r="BH17" s="4" t="s">
        <v>64</v>
      </c>
      <c r="BI17" s="4" t="s">
        <v>64</v>
      </c>
      <c r="BJ17" s="4" t="s">
        <v>64</v>
      </c>
      <c r="BK17" s="4" t="s">
        <v>64</v>
      </c>
      <c r="BL17" s="4" t="s">
        <v>64</v>
      </c>
      <c r="BM17" s="4" t="s">
        <v>64</v>
      </c>
      <c r="BN17" s="4" t="s">
        <v>64</v>
      </c>
      <c r="BO17" s="4" t="s">
        <v>64</v>
      </c>
      <c r="BP17" s="4" t="s">
        <v>64</v>
      </c>
      <c r="BQ17" s="4" t="s">
        <v>64</v>
      </c>
      <c r="BR17" s="4" t="s">
        <v>64</v>
      </c>
      <c r="BS17" s="4" t="s">
        <v>64</v>
      </c>
      <c r="BT17" s="4" t="s">
        <v>64</v>
      </c>
      <c r="BU17" s="4" t="s">
        <v>64</v>
      </c>
      <c r="BV17" s="4" t="s">
        <v>64</v>
      </c>
      <c r="BW17" s="4" t="s">
        <v>64</v>
      </c>
      <c r="BX17" s="4" t="s">
        <v>64</v>
      </c>
      <c r="BY17" s="4" t="s">
        <v>64</v>
      </c>
      <c r="BZ17" s="4" t="s">
        <v>64</v>
      </c>
      <c r="CA17" s="4" t="s">
        <v>64</v>
      </c>
      <c r="CB17" s="4" t="s">
        <v>64</v>
      </c>
      <c r="CC17" s="4" t="s">
        <v>64</v>
      </c>
      <c r="CD17" s="4" t="s">
        <v>64</v>
      </c>
      <c r="CE17" s="4" t="s">
        <v>64</v>
      </c>
      <c r="CF17" s="4" t="s">
        <v>64</v>
      </c>
      <c r="CG17" s="4" t="s">
        <v>64</v>
      </c>
      <c r="CH17" s="4" t="s">
        <v>64</v>
      </c>
      <c r="CI17" s="4" t="s">
        <v>64</v>
      </c>
      <c r="CJ17" s="4" t="s">
        <v>64</v>
      </c>
      <c r="CK17" s="4" t="s">
        <v>64</v>
      </c>
      <c r="CL17" s="4" t="s">
        <v>64</v>
      </c>
      <c r="CM17" s="4" t="s">
        <v>64</v>
      </c>
      <c r="CN17" s="4" t="s">
        <v>64</v>
      </c>
      <c r="CO17" s="4" t="s">
        <v>64</v>
      </c>
      <c r="CP17" s="4" t="s">
        <v>64</v>
      </c>
      <c r="CQ17" s="4" t="s">
        <v>64</v>
      </c>
      <c r="CR17" s="4" t="s">
        <v>64</v>
      </c>
      <c r="CS17" s="4" t="s">
        <v>64</v>
      </c>
      <c r="CT17" s="4" t="s">
        <v>64</v>
      </c>
      <c r="CU17" s="4" t="s">
        <v>64</v>
      </c>
      <c r="CV17" s="4" t="s">
        <v>64</v>
      </c>
      <c r="CW17" s="4" t="s">
        <v>64</v>
      </c>
      <c r="CX17" s="4" t="s">
        <v>64</v>
      </c>
      <c r="CY17" s="4" t="s">
        <v>64</v>
      </c>
      <c r="CZ17" s="4" t="s">
        <v>64</v>
      </c>
      <c r="DA17" s="4" t="s">
        <v>64</v>
      </c>
      <c r="DB17" s="4" t="s">
        <v>64</v>
      </c>
      <c r="DC17" s="4" t="s">
        <v>64</v>
      </c>
      <c r="DD17" s="4" t="s">
        <v>64</v>
      </c>
      <c r="DE17" s="4" t="s">
        <v>64</v>
      </c>
      <c r="DF17" s="4" t="s">
        <v>64</v>
      </c>
      <c r="DG17" s="4" t="s">
        <v>64</v>
      </c>
      <c r="DH17" s="4" t="s">
        <v>64</v>
      </c>
      <c r="DI17" s="4" t="s">
        <v>64</v>
      </c>
      <c r="DJ17" s="4" t="s">
        <v>64</v>
      </c>
      <c r="DK17" s="4" t="s">
        <v>64</v>
      </c>
    </row>
    <row r="18" spans="1:115" ht="15" x14ac:dyDescent="0.25">
      <c r="B18" s="144" t="s">
        <v>65</v>
      </c>
      <c r="C18" s="13" t="s">
        <v>66</v>
      </c>
      <c r="D18" s="4">
        <f>'001 B-'!R10</f>
        <v>2</v>
      </c>
      <c r="E18" s="4">
        <f>'002 B-'!R10</f>
        <v>2</v>
      </c>
      <c r="F18" s="1">
        <f>'003 T-'!R10</f>
        <v>5</v>
      </c>
      <c r="G18" s="1">
        <f>'003 T-'!R10</f>
        <v>5</v>
      </c>
      <c r="H18" s="1">
        <f>'003 T-'!AN10</f>
        <v>26</v>
      </c>
      <c r="I18" s="1">
        <f>'004 T-'!R10</f>
        <v>5</v>
      </c>
      <c r="J18" s="1">
        <f>'004 T-'!AJ10</f>
        <v>26</v>
      </c>
      <c r="K18" s="1">
        <f>'005 D-'!R10</f>
        <v>6</v>
      </c>
      <c r="L18" s="1">
        <f>'005 D-'!R10</f>
        <v>6</v>
      </c>
      <c r="M18" s="1">
        <f>'005 D-'!AN10</f>
        <v>27</v>
      </c>
      <c r="N18" s="1">
        <f>'006 D-'!R10</f>
        <v>6</v>
      </c>
      <c r="O18" s="1">
        <f>'006 D-'!AJ10</f>
        <v>27</v>
      </c>
      <c r="P18" s="1">
        <f>'007 C-'!R10</f>
        <v>48</v>
      </c>
      <c r="Q18" s="1">
        <f>'007 C-'!R10</f>
        <v>48</v>
      </c>
      <c r="R18" s="1">
        <f>'008 C-'!R10</f>
        <v>34</v>
      </c>
      <c r="S18" s="1">
        <f>'009 C-'!R10</f>
        <v>19</v>
      </c>
      <c r="T18" s="1">
        <f>'009 C-'!R10</f>
        <v>19</v>
      </c>
      <c r="U18" s="4" t="s">
        <v>67</v>
      </c>
      <c r="V18" s="4" t="s">
        <v>67</v>
      </c>
      <c r="W18" s="4" t="s">
        <v>67</v>
      </c>
      <c r="X18" s="4" t="s">
        <v>67</v>
      </c>
      <c r="Y18" s="4" t="s">
        <v>67</v>
      </c>
      <c r="Z18" s="4" t="s">
        <v>67</v>
      </c>
      <c r="AA18" s="4" t="s">
        <v>67</v>
      </c>
      <c r="AB18" s="4" t="s">
        <v>67</v>
      </c>
      <c r="AC18" s="4" t="s">
        <v>67</v>
      </c>
      <c r="AD18" s="4" t="s">
        <v>67</v>
      </c>
      <c r="AE18" s="4" t="s">
        <v>67</v>
      </c>
      <c r="AF18" s="4" t="s">
        <v>67</v>
      </c>
      <c r="AG18" s="4" t="s">
        <v>67</v>
      </c>
      <c r="AH18" s="4" t="s">
        <v>67</v>
      </c>
      <c r="AI18" s="4" t="s">
        <v>67</v>
      </c>
      <c r="AJ18" s="4" t="s">
        <v>67</v>
      </c>
      <c r="AK18" s="4" t="s">
        <v>67</v>
      </c>
      <c r="AL18" s="4" t="s">
        <v>67</v>
      </c>
      <c r="AM18" s="4" t="s">
        <v>67</v>
      </c>
      <c r="AN18" s="4" t="s">
        <v>67</v>
      </c>
      <c r="AO18" s="4" t="s">
        <v>67</v>
      </c>
      <c r="AP18" s="4" t="s">
        <v>67</v>
      </c>
      <c r="AQ18" s="4" t="s">
        <v>67</v>
      </c>
      <c r="AR18" s="4" t="s">
        <v>67</v>
      </c>
      <c r="AS18" s="4" t="s">
        <v>67</v>
      </c>
      <c r="AT18" s="4" t="s">
        <v>67</v>
      </c>
      <c r="AU18" s="4" t="s">
        <v>67</v>
      </c>
      <c r="AV18" s="4" t="s">
        <v>67</v>
      </c>
      <c r="AW18" s="4" t="s">
        <v>67</v>
      </c>
      <c r="AX18" s="4" t="s">
        <v>67</v>
      </c>
      <c r="AY18" s="4" t="s">
        <v>67</v>
      </c>
      <c r="AZ18" s="4" t="s">
        <v>67</v>
      </c>
      <c r="BA18" s="4" t="s">
        <v>67</v>
      </c>
      <c r="BB18" s="4" t="s">
        <v>67</v>
      </c>
      <c r="BC18" s="4" t="s">
        <v>67</v>
      </c>
      <c r="BD18" s="4" t="s">
        <v>67</v>
      </c>
      <c r="BE18" s="4" t="s">
        <v>67</v>
      </c>
      <c r="BF18" s="4" t="s">
        <v>67</v>
      </c>
      <c r="BG18" s="4" t="s">
        <v>67</v>
      </c>
      <c r="BH18" s="4" t="s">
        <v>67</v>
      </c>
      <c r="BI18" s="4" t="s">
        <v>67</v>
      </c>
      <c r="BJ18" s="4" t="s">
        <v>67</v>
      </c>
      <c r="BK18" s="4" t="s">
        <v>67</v>
      </c>
      <c r="BL18" s="4" t="s">
        <v>67</v>
      </c>
      <c r="BM18" s="4" t="s">
        <v>67</v>
      </c>
      <c r="BN18" s="4" t="s">
        <v>67</v>
      </c>
      <c r="BO18" s="4" t="s">
        <v>67</v>
      </c>
      <c r="BP18" s="4" t="s">
        <v>67</v>
      </c>
      <c r="BQ18" s="4" t="s">
        <v>67</v>
      </c>
      <c r="BR18" s="4" t="s">
        <v>67</v>
      </c>
      <c r="BS18" s="4" t="s">
        <v>67</v>
      </c>
      <c r="BT18" s="4" t="s">
        <v>67</v>
      </c>
      <c r="BU18" s="4" t="s">
        <v>67</v>
      </c>
      <c r="BV18" s="4" t="s">
        <v>67</v>
      </c>
      <c r="BW18" s="4" t="s">
        <v>67</v>
      </c>
      <c r="BX18" s="4" t="s">
        <v>67</v>
      </c>
      <c r="BY18" s="4" t="s">
        <v>67</v>
      </c>
      <c r="BZ18" s="4" t="s">
        <v>67</v>
      </c>
      <c r="CA18" s="4" t="s">
        <v>67</v>
      </c>
      <c r="CB18" s="4" t="s">
        <v>67</v>
      </c>
      <c r="CC18" s="4" t="s">
        <v>67</v>
      </c>
      <c r="CD18" s="4" t="s">
        <v>67</v>
      </c>
      <c r="CE18" s="4" t="s">
        <v>67</v>
      </c>
      <c r="CF18" s="4" t="s">
        <v>67</v>
      </c>
      <c r="CG18" s="4" t="s">
        <v>67</v>
      </c>
      <c r="CH18" s="4" t="s">
        <v>67</v>
      </c>
      <c r="CI18" s="4" t="s">
        <v>67</v>
      </c>
      <c r="CJ18" s="4" t="s">
        <v>67</v>
      </c>
      <c r="CK18" s="4" t="s">
        <v>67</v>
      </c>
      <c r="CL18" s="4" t="s">
        <v>67</v>
      </c>
      <c r="CM18" s="4" t="s">
        <v>67</v>
      </c>
      <c r="CN18" s="4" t="s">
        <v>67</v>
      </c>
      <c r="CO18" s="4" t="s">
        <v>67</v>
      </c>
      <c r="CP18" s="4" t="s">
        <v>67</v>
      </c>
      <c r="CQ18" s="4" t="s">
        <v>67</v>
      </c>
      <c r="CR18" s="4" t="s">
        <v>67</v>
      </c>
      <c r="CS18" s="4" t="s">
        <v>67</v>
      </c>
      <c r="CT18" s="4" t="s">
        <v>67</v>
      </c>
      <c r="CU18" s="4" t="s">
        <v>67</v>
      </c>
      <c r="CV18" s="4" t="s">
        <v>67</v>
      </c>
      <c r="CW18" s="4" t="s">
        <v>67</v>
      </c>
      <c r="CX18" s="4" t="s">
        <v>67</v>
      </c>
      <c r="CY18" s="4" t="s">
        <v>67</v>
      </c>
      <c r="CZ18" s="4" t="s">
        <v>67</v>
      </c>
      <c r="DA18" s="4" t="s">
        <v>67</v>
      </c>
      <c r="DB18" s="4" t="s">
        <v>67</v>
      </c>
      <c r="DC18" s="4" t="s">
        <v>67</v>
      </c>
      <c r="DD18" s="4" t="s">
        <v>67</v>
      </c>
      <c r="DE18" s="4" t="s">
        <v>67</v>
      </c>
      <c r="DF18" s="4" t="s">
        <v>67</v>
      </c>
      <c r="DG18" s="4" t="s">
        <v>67</v>
      </c>
      <c r="DH18" s="4" t="s">
        <v>67</v>
      </c>
      <c r="DI18" s="4" t="s">
        <v>67</v>
      </c>
      <c r="DJ18" s="4" t="s">
        <v>67</v>
      </c>
      <c r="DK18" s="4" t="s">
        <v>67</v>
      </c>
    </row>
    <row r="19" spans="1:115" ht="15" x14ac:dyDescent="0.25">
      <c r="A19" s="1" t="s">
        <v>19</v>
      </c>
      <c r="B19" s="145" t="s">
        <v>68</v>
      </c>
      <c r="C19" s="14" t="s">
        <v>69</v>
      </c>
      <c r="D19" s="4">
        <f>'001 B-'!S10</f>
        <v>2</v>
      </c>
      <c r="E19" s="4">
        <f>'002 B-'!S10</f>
        <v>2</v>
      </c>
      <c r="F19" s="1">
        <f>'003 T-'!S10</f>
        <v>5</v>
      </c>
      <c r="G19" s="1">
        <f>'003 T-'!S10</f>
        <v>5</v>
      </c>
      <c r="H19" s="1">
        <f>'003 T-'!S10</f>
        <v>5</v>
      </c>
      <c r="I19" s="1">
        <f>'004 T-'!S10</f>
        <v>5</v>
      </c>
      <c r="J19" s="1">
        <f>'004 T-'!S10</f>
        <v>5</v>
      </c>
      <c r="K19" s="1">
        <f>'005 D-'!S10</f>
        <v>6</v>
      </c>
      <c r="L19" s="1">
        <f>'005 D-'!S10</f>
        <v>6</v>
      </c>
      <c r="M19" s="1">
        <f>'005 D-'!S10</f>
        <v>6</v>
      </c>
      <c r="N19" s="1">
        <f>'006 D-'!S10</f>
        <v>6</v>
      </c>
      <c r="O19" s="1">
        <f>'006 D-'!S10</f>
        <v>6</v>
      </c>
      <c r="P19" s="1">
        <f>'007 C-'!S10</f>
        <v>48</v>
      </c>
      <c r="Q19" s="1">
        <f>'007 C-'!S10</f>
        <v>48</v>
      </c>
      <c r="R19" s="1">
        <f>'008 C-'!S10</f>
        <v>106</v>
      </c>
      <c r="S19" s="1">
        <f>'009 C-'!S10</f>
        <v>19</v>
      </c>
      <c r="T19" s="1">
        <f>'009 C-'!S10</f>
        <v>19</v>
      </c>
      <c r="U19" s="4" t="s">
        <v>70</v>
      </c>
      <c r="V19" s="4" t="s">
        <v>70</v>
      </c>
      <c r="W19" s="4" t="s">
        <v>70</v>
      </c>
      <c r="X19" s="4" t="s">
        <v>70</v>
      </c>
      <c r="Y19" s="4" t="s">
        <v>70</v>
      </c>
      <c r="Z19" s="4" t="s">
        <v>70</v>
      </c>
      <c r="AA19" s="4" t="s">
        <v>70</v>
      </c>
      <c r="AB19" s="4" t="s">
        <v>70</v>
      </c>
      <c r="AC19" s="4" t="s">
        <v>70</v>
      </c>
      <c r="AD19" s="4" t="s">
        <v>70</v>
      </c>
      <c r="AE19" s="4" t="s">
        <v>70</v>
      </c>
      <c r="AF19" s="4" t="s">
        <v>70</v>
      </c>
      <c r="AG19" s="4" t="s">
        <v>70</v>
      </c>
      <c r="AH19" s="4" t="s">
        <v>70</v>
      </c>
      <c r="AI19" s="4" t="s">
        <v>70</v>
      </c>
      <c r="AJ19" s="4" t="s">
        <v>70</v>
      </c>
      <c r="AK19" s="4" t="s">
        <v>70</v>
      </c>
      <c r="AL19" s="4" t="s">
        <v>70</v>
      </c>
      <c r="AM19" s="4" t="s">
        <v>70</v>
      </c>
      <c r="AN19" s="4" t="s">
        <v>70</v>
      </c>
      <c r="AO19" s="4" t="s">
        <v>70</v>
      </c>
      <c r="AP19" s="4" t="s">
        <v>70</v>
      </c>
      <c r="AQ19" s="4" t="s">
        <v>70</v>
      </c>
      <c r="AR19" s="4" t="s">
        <v>70</v>
      </c>
      <c r="AS19" s="4" t="s">
        <v>70</v>
      </c>
      <c r="AT19" s="4" t="s">
        <v>70</v>
      </c>
      <c r="AU19" s="4" t="s">
        <v>70</v>
      </c>
      <c r="AV19" s="4" t="s">
        <v>70</v>
      </c>
      <c r="AW19" s="4" t="s">
        <v>70</v>
      </c>
      <c r="AX19" s="4" t="s">
        <v>70</v>
      </c>
      <c r="AY19" s="4" t="s">
        <v>70</v>
      </c>
      <c r="AZ19" s="4" t="s">
        <v>70</v>
      </c>
      <c r="BA19" s="4" t="s">
        <v>70</v>
      </c>
      <c r="BB19" s="4" t="s">
        <v>70</v>
      </c>
      <c r="BC19" s="4" t="s">
        <v>70</v>
      </c>
      <c r="BD19" s="4" t="s">
        <v>70</v>
      </c>
      <c r="BE19" s="4" t="s">
        <v>70</v>
      </c>
      <c r="BF19" s="4" t="s">
        <v>70</v>
      </c>
      <c r="BG19" s="4" t="s">
        <v>70</v>
      </c>
      <c r="BH19" s="4" t="s">
        <v>70</v>
      </c>
      <c r="BI19" s="4" t="s">
        <v>70</v>
      </c>
      <c r="BJ19" s="4" t="s">
        <v>70</v>
      </c>
      <c r="BK19" s="4" t="s">
        <v>70</v>
      </c>
      <c r="BL19" s="4" t="s">
        <v>70</v>
      </c>
      <c r="BM19" s="4" t="s">
        <v>70</v>
      </c>
      <c r="BN19" s="4" t="s">
        <v>70</v>
      </c>
      <c r="BO19" s="4" t="s">
        <v>70</v>
      </c>
      <c r="BP19" s="4" t="s">
        <v>70</v>
      </c>
      <c r="BQ19" s="4" t="s">
        <v>70</v>
      </c>
      <c r="BR19" s="4" t="s">
        <v>70</v>
      </c>
      <c r="BS19" s="4" t="s">
        <v>70</v>
      </c>
      <c r="BT19" s="4" t="s">
        <v>70</v>
      </c>
      <c r="BU19" s="4" t="s">
        <v>70</v>
      </c>
      <c r="BV19" s="4" t="s">
        <v>70</v>
      </c>
      <c r="BW19" s="4" t="s">
        <v>70</v>
      </c>
      <c r="BX19" s="4" t="s">
        <v>70</v>
      </c>
      <c r="BY19" s="4" t="s">
        <v>70</v>
      </c>
      <c r="BZ19" s="4" t="s">
        <v>70</v>
      </c>
      <c r="CA19" s="4" t="s">
        <v>70</v>
      </c>
      <c r="CB19" s="4" t="s">
        <v>70</v>
      </c>
      <c r="CC19" s="4" t="s">
        <v>70</v>
      </c>
      <c r="CD19" s="4" t="s">
        <v>70</v>
      </c>
      <c r="CE19" s="4" t="s">
        <v>70</v>
      </c>
      <c r="CF19" s="4" t="s">
        <v>70</v>
      </c>
      <c r="CG19" s="4" t="s">
        <v>70</v>
      </c>
      <c r="CH19" s="4" t="s">
        <v>70</v>
      </c>
      <c r="CI19" s="4" t="s">
        <v>70</v>
      </c>
      <c r="CJ19" s="4" t="s">
        <v>70</v>
      </c>
      <c r="CK19" s="4" t="s">
        <v>70</v>
      </c>
      <c r="CL19" s="4" t="s">
        <v>70</v>
      </c>
      <c r="CM19" s="4" t="s">
        <v>70</v>
      </c>
      <c r="CN19" s="4" t="s">
        <v>70</v>
      </c>
      <c r="CO19" s="4" t="s">
        <v>70</v>
      </c>
      <c r="CP19" s="4" t="s">
        <v>70</v>
      </c>
      <c r="CQ19" s="4" t="s">
        <v>70</v>
      </c>
      <c r="CR19" s="4" t="s">
        <v>70</v>
      </c>
      <c r="CS19" s="4" t="s">
        <v>70</v>
      </c>
      <c r="CT19" s="4" t="s">
        <v>70</v>
      </c>
      <c r="CU19" s="4" t="s">
        <v>70</v>
      </c>
      <c r="CV19" s="4" t="s">
        <v>70</v>
      </c>
      <c r="CW19" s="4" t="s">
        <v>70</v>
      </c>
      <c r="CX19" s="4" t="s">
        <v>70</v>
      </c>
      <c r="CY19" s="4" t="s">
        <v>70</v>
      </c>
      <c r="CZ19" s="4" t="s">
        <v>70</v>
      </c>
      <c r="DA19" s="4" t="s">
        <v>70</v>
      </c>
      <c r="DB19" s="4" t="s">
        <v>70</v>
      </c>
      <c r="DC19" s="4" t="s">
        <v>70</v>
      </c>
      <c r="DD19" s="4" t="s">
        <v>70</v>
      </c>
      <c r="DE19" s="4" t="s">
        <v>70</v>
      </c>
      <c r="DF19" s="4" t="s">
        <v>70</v>
      </c>
      <c r="DG19" s="4" t="s">
        <v>70</v>
      </c>
      <c r="DH19" s="4" t="s">
        <v>70</v>
      </c>
      <c r="DI19" s="4" t="s">
        <v>70</v>
      </c>
      <c r="DJ19" s="4" t="s">
        <v>70</v>
      </c>
      <c r="DK19" s="4" t="s">
        <v>70</v>
      </c>
    </row>
    <row r="20" spans="1:115" ht="15" x14ac:dyDescent="0.25">
      <c r="B20" s="146" t="s">
        <v>71</v>
      </c>
      <c r="C20" s="15" t="s">
        <v>72</v>
      </c>
      <c r="D20" s="4">
        <f>'001 B-'!T10</f>
        <v>2</v>
      </c>
      <c r="E20" s="4">
        <f>'002 B-'!T10</f>
        <v>2</v>
      </c>
      <c r="F20" s="1">
        <f>'003 T-'!T10</f>
        <v>5</v>
      </c>
      <c r="G20" s="1">
        <f>'003 T-'!T10</f>
        <v>5</v>
      </c>
      <c r="H20" s="1">
        <f>'003 T-'!T10</f>
        <v>5</v>
      </c>
      <c r="I20" s="1">
        <f>'004 T-'!T10</f>
        <v>5</v>
      </c>
      <c r="J20" s="1">
        <f>'004 T-'!T10</f>
        <v>5</v>
      </c>
      <c r="K20" s="1">
        <f>'005 D-'!T10</f>
        <v>6</v>
      </c>
      <c r="L20" s="1">
        <f>'005 D-'!T10</f>
        <v>6</v>
      </c>
      <c r="M20" s="1">
        <f>'005 D-'!T10</f>
        <v>6</v>
      </c>
      <c r="N20" s="1">
        <f>'006 D-'!T10</f>
        <v>6</v>
      </c>
      <c r="O20" s="1">
        <f>'006 D-'!T10</f>
        <v>6</v>
      </c>
      <c r="P20" s="1">
        <f>'007 C-'!T10</f>
        <v>274</v>
      </c>
      <c r="Q20" s="1">
        <f>'007 C-'!T10</f>
        <v>274</v>
      </c>
      <c r="R20" s="1">
        <f>'008 C-'!T10</f>
        <v>19</v>
      </c>
      <c r="S20" s="1">
        <f>'009 C-'!T10</f>
        <v>19</v>
      </c>
      <c r="T20" s="1">
        <f>'009 C-'!T10</f>
        <v>19</v>
      </c>
      <c r="U20" s="4" t="s">
        <v>73</v>
      </c>
      <c r="V20" s="4" t="s">
        <v>73</v>
      </c>
      <c r="W20" s="4" t="s">
        <v>73</v>
      </c>
      <c r="X20" s="4" t="s">
        <v>73</v>
      </c>
      <c r="Y20" s="4" t="s">
        <v>73</v>
      </c>
      <c r="Z20" s="4" t="s">
        <v>73</v>
      </c>
      <c r="AA20" s="4" t="s">
        <v>73</v>
      </c>
      <c r="AB20" s="4" t="s">
        <v>73</v>
      </c>
      <c r="AC20" s="4" t="s">
        <v>73</v>
      </c>
      <c r="AD20" s="4" t="s">
        <v>73</v>
      </c>
      <c r="AE20" s="4" t="s">
        <v>73</v>
      </c>
      <c r="AF20" s="4" t="s">
        <v>73</v>
      </c>
      <c r="AG20" s="4" t="s">
        <v>73</v>
      </c>
      <c r="AH20" s="4" t="s">
        <v>73</v>
      </c>
      <c r="AI20" s="4" t="s">
        <v>73</v>
      </c>
      <c r="AJ20" s="4" t="s">
        <v>73</v>
      </c>
      <c r="AK20" s="4" t="s">
        <v>73</v>
      </c>
      <c r="AL20" s="4" t="s">
        <v>73</v>
      </c>
      <c r="AM20" s="4" t="s">
        <v>73</v>
      </c>
      <c r="AN20" s="4" t="s">
        <v>73</v>
      </c>
      <c r="AO20" s="4" t="s">
        <v>73</v>
      </c>
      <c r="AP20" s="4" t="s">
        <v>73</v>
      </c>
      <c r="AQ20" s="4" t="s">
        <v>73</v>
      </c>
      <c r="AR20" s="4" t="s">
        <v>73</v>
      </c>
      <c r="AS20" s="4" t="s">
        <v>73</v>
      </c>
      <c r="AT20" s="4" t="s">
        <v>73</v>
      </c>
      <c r="AU20" s="4" t="s">
        <v>73</v>
      </c>
      <c r="AV20" s="4" t="s">
        <v>73</v>
      </c>
      <c r="AW20" s="4" t="s">
        <v>73</v>
      </c>
      <c r="AX20" s="4" t="s">
        <v>73</v>
      </c>
      <c r="AY20" s="4" t="s">
        <v>73</v>
      </c>
      <c r="AZ20" s="4" t="s">
        <v>73</v>
      </c>
      <c r="BA20" s="4" t="s">
        <v>73</v>
      </c>
      <c r="BB20" s="4" t="s">
        <v>73</v>
      </c>
      <c r="BC20" s="4" t="s">
        <v>73</v>
      </c>
      <c r="BD20" s="4" t="s">
        <v>73</v>
      </c>
      <c r="BE20" s="4" t="s">
        <v>73</v>
      </c>
      <c r="BF20" s="4" t="s">
        <v>73</v>
      </c>
      <c r="BG20" s="4" t="s">
        <v>73</v>
      </c>
      <c r="BH20" s="4" t="s">
        <v>73</v>
      </c>
      <c r="BI20" s="4" t="s">
        <v>73</v>
      </c>
      <c r="BJ20" s="4" t="s">
        <v>73</v>
      </c>
      <c r="BK20" s="4" t="s">
        <v>73</v>
      </c>
      <c r="BL20" s="4" t="s">
        <v>73</v>
      </c>
      <c r="BM20" s="4" t="s">
        <v>73</v>
      </c>
      <c r="BN20" s="4" t="s">
        <v>73</v>
      </c>
      <c r="BO20" s="4" t="s">
        <v>73</v>
      </c>
      <c r="BP20" s="4" t="s">
        <v>73</v>
      </c>
      <c r="BQ20" s="4" t="s">
        <v>73</v>
      </c>
      <c r="BR20" s="4" t="s">
        <v>73</v>
      </c>
      <c r="BS20" s="4" t="s">
        <v>73</v>
      </c>
      <c r="BT20" s="4" t="s">
        <v>73</v>
      </c>
      <c r="BU20" s="4" t="s">
        <v>73</v>
      </c>
      <c r="BV20" s="4" t="s">
        <v>73</v>
      </c>
      <c r="BW20" s="4" t="s">
        <v>73</v>
      </c>
      <c r="BX20" s="4" t="s">
        <v>73</v>
      </c>
      <c r="BY20" s="4" t="s">
        <v>73</v>
      </c>
      <c r="BZ20" s="4" t="s">
        <v>73</v>
      </c>
      <c r="CA20" s="4" t="s">
        <v>73</v>
      </c>
      <c r="CB20" s="4" t="s">
        <v>73</v>
      </c>
      <c r="CC20" s="4" t="s">
        <v>73</v>
      </c>
      <c r="CD20" s="4" t="s">
        <v>73</v>
      </c>
      <c r="CE20" s="4" t="s">
        <v>73</v>
      </c>
      <c r="CF20" s="4" t="s">
        <v>73</v>
      </c>
      <c r="CG20" s="4" t="s">
        <v>73</v>
      </c>
      <c r="CH20" s="4" t="s">
        <v>73</v>
      </c>
      <c r="CI20" s="4" t="s">
        <v>73</v>
      </c>
      <c r="CJ20" s="4" t="s">
        <v>73</v>
      </c>
      <c r="CK20" s="4" t="s">
        <v>73</v>
      </c>
      <c r="CL20" s="4" t="s">
        <v>73</v>
      </c>
      <c r="CM20" s="4" t="s">
        <v>73</v>
      </c>
      <c r="CN20" s="4" t="s">
        <v>73</v>
      </c>
      <c r="CO20" s="4" t="s">
        <v>73</v>
      </c>
      <c r="CP20" s="4" t="s">
        <v>73</v>
      </c>
      <c r="CQ20" s="4" t="s">
        <v>73</v>
      </c>
      <c r="CR20" s="4" t="s">
        <v>73</v>
      </c>
      <c r="CS20" s="4" t="s">
        <v>73</v>
      </c>
      <c r="CT20" s="4" t="s">
        <v>73</v>
      </c>
      <c r="CU20" s="4" t="s">
        <v>73</v>
      </c>
      <c r="CV20" s="4" t="s">
        <v>73</v>
      </c>
      <c r="CW20" s="4" t="s">
        <v>73</v>
      </c>
      <c r="CX20" s="4" t="s">
        <v>73</v>
      </c>
      <c r="CY20" s="4" t="s">
        <v>73</v>
      </c>
      <c r="CZ20" s="4" t="s">
        <v>73</v>
      </c>
      <c r="DA20" s="4" t="s">
        <v>73</v>
      </c>
      <c r="DB20" s="4" t="s">
        <v>73</v>
      </c>
      <c r="DC20" s="4" t="s">
        <v>73</v>
      </c>
      <c r="DD20" s="4" t="s">
        <v>73</v>
      </c>
      <c r="DE20" s="4" t="s">
        <v>73</v>
      </c>
      <c r="DF20" s="4" t="s">
        <v>73</v>
      </c>
      <c r="DG20" s="4" t="s">
        <v>73</v>
      </c>
      <c r="DH20" s="4" t="s">
        <v>73</v>
      </c>
      <c r="DI20" s="4" t="s">
        <v>73</v>
      </c>
      <c r="DJ20" s="4" t="s">
        <v>73</v>
      </c>
      <c r="DK20" s="4" t="s">
        <v>73</v>
      </c>
    </row>
    <row r="21" spans="1:115" ht="15" x14ac:dyDescent="0.25">
      <c r="A21" s="1" t="s">
        <v>19</v>
      </c>
      <c r="B21" s="146" t="s">
        <v>74</v>
      </c>
      <c r="C21" s="15" t="s">
        <v>75</v>
      </c>
      <c r="D21" s="4">
        <f>'001 B-'!U10</f>
        <v>2</v>
      </c>
      <c r="E21" s="4">
        <f>'002 B-'!U10</f>
        <v>2</v>
      </c>
      <c r="F21" s="1">
        <f>'003 T-'!U10</f>
        <v>5</v>
      </c>
      <c r="G21" s="1">
        <f>'003 T-'!U10</f>
        <v>5</v>
      </c>
      <c r="H21" s="1">
        <f>'003 T-'!U10</f>
        <v>5</v>
      </c>
      <c r="I21" s="1">
        <f>'004 T-'!U10</f>
        <v>5</v>
      </c>
      <c r="J21" s="1">
        <f>'004 T-'!U10</f>
        <v>5</v>
      </c>
      <c r="K21" s="1">
        <f>'005 D-'!U10</f>
        <v>6</v>
      </c>
      <c r="L21" s="1">
        <f>'005 D-'!U10</f>
        <v>6</v>
      </c>
      <c r="M21" s="1">
        <f>'005 D-'!U10</f>
        <v>6</v>
      </c>
      <c r="N21" s="1">
        <f>'006 D-'!U10</f>
        <v>6</v>
      </c>
      <c r="O21" s="1">
        <f>'006 D-'!U10</f>
        <v>6</v>
      </c>
      <c r="P21" s="1">
        <f>'007 C-'!U10</f>
        <v>103</v>
      </c>
      <c r="Q21" s="1">
        <f>'007 C-'!U10</f>
        <v>103</v>
      </c>
      <c r="R21" s="1">
        <f>'008 C-'!U10</f>
        <v>19</v>
      </c>
      <c r="S21" s="1">
        <f>'009 C-'!U10</f>
        <v>19</v>
      </c>
      <c r="T21" s="1">
        <f>'009 C-'!U10</f>
        <v>19</v>
      </c>
      <c r="U21" s="4" t="s">
        <v>76</v>
      </c>
      <c r="V21" s="4" t="s">
        <v>76</v>
      </c>
      <c r="W21" s="4" t="s">
        <v>76</v>
      </c>
      <c r="X21" s="4" t="s">
        <v>76</v>
      </c>
      <c r="Y21" s="4" t="s">
        <v>76</v>
      </c>
      <c r="Z21" s="4" t="s">
        <v>76</v>
      </c>
      <c r="AA21" s="4" t="s">
        <v>76</v>
      </c>
      <c r="AB21" s="4" t="s">
        <v>76</v>
      </c>
      <c r="AC21" s="4" t="s">
        <v>76</v>
      </c>
      <c r="AD21" s="4" t="s">
        <v>76</v>
      </c>
      <c r="AE21" s="4" t="s">
        <v>76</v>
      </c>
      <c r="AF21" s="4" t="s">
        <v>76</v>
      </c>
      <c r="AG21" s="4" t="s">
        <v>76</v>
      </c>
      <c r="AH21" s="4" t="s">
        <v>76</v>
      </c>
      <c r="AI21" s="4" t="s">
        <v>76</v>
      </c>
      <c r="AJ21" s="4" t="s">
        <v>76</v>
      </c>
      <c r="AK21" s="4" t="s">
        <v>76</v>
      </c>
      <c r="AL21" s="4" t="s">
        <v>76</v>
      </c>
      <c r="AM21" s="4" t="s">
        <v>76</v>
      </c>
      <c r="AN21" s="4" t="s">
        <v>76</v>
      </c>
      <c r="AO21" s="4" t="s">
        <v>76</v>
      </c>
      <c r="AP21" s="4" t="s">
        <v>76</v>
      </c>
      <c r="AQ21" s="4" t="s">
        <v>76</v>
      </c>
      <c r="AR21" s="4" t="s">
        <v>76</v>
      </c>
      <c r="AS21" s="4" t="s">
        <v>76</v>
      </c>
      <c r="AT21" s="4" t="s">
        <v>76</v>
      </c>
      <c r="AU21" s="4" t="s">
        <v>76</v>
      </c>
      <c r="AV21" s="4" t="s">
        <v>76</v>
      </c>
      <c r="AW21" s="4" t="s">
        <v>76</v>
      </c>
      <c r="AX21" s="4" t="s">
        <v>76</v>
      </c>
      <c r="AY21" s="4" t="s">
        <v>76</v>
      </c>
      <c r="AZ21" s="4" t="s">
        <v>76</v>
      </c>
      <c r="BA21" s="4" t="s">
        <v>76</v>
      </c>
      <c r="BB21" s="4" t="s">
        <v>76</v>
      </c>
      <c r="BC21" s="4" t="s">
        <v>76</v>
      </c>
      <c r="BD21" s="4" t="s">
        <v>76</v>
      </c>
      <c r="BE21" s="4" t="s">
        <v>76</v>
      </c>
      <c r="BF21" s="4" t="s">
        <v>76</v>
      </c>
      <c r="BG21" s="4" t="s">
        <v>76</v>
      </c>
      <c r="BH21" s="4" t="s">
        <v>76</v>
      </c>
      <c r="BI21" s="4" t="s">
        <v>76</v>
      </c>
      <c r="BJ21" s="4" t="s">
        <v>76</v>
      </c>
      <c r="BK21" s="4" t="s">
        <v>76</v>
      </c>
      <c r="BL21" s="4" t="s">
        <v>76</v>
      </c>
      <c r="BM21" s="4" t="s">
        <v>76</v>
      </c>
      <c r="BN21" s="4" t="s">
        <v>76</v>
      </c>
      <c r="BO21" s="4" t="s">
        <v>76</v>
      </c>
      <c r="BP21" s="4" t="s">
        <v>76</v>
      </c>
      <c r="BQ21" s="4" t="s">
        <v>76</v>
      </c>
      <c r="BR21" s="4" t="s">
        <v>76</v>
      </c>
      <c r="BS21" s="4" t="s">
        <v>76</v>
      </c>
      <c r="BT21" s="4" t="s">
        <v>76</v>
      </c>
      <c r="BU21" s="4" t="s">
        <v>76</v>
      </c>
      <c r="BV21" s="4" t="s">
        <v>76</v>
      </c>
      <c r="BW21" s="4" t="s">
        <v>76</v>
      </c>
      <c r="BX21" s="4" t="s">
        <v>76</v>
      </c>
      <c r="BY21" s="4" t="s">
        <v>76</v>
      </c>
      <c r="BZ21" s="4" t="s">
        <v>76</v>
      </c>
      <c r="CA21" s="4" t="s">
        <v>76</v>
      </c>
      <c r="CB21" s="4" t="s">
        <v>76</v>
      </c>
      <c r="CC21" s="4" t="s">
        <v>76</v>
      </c>
      <c r="CD21" s="4" t="s">
        <v>76</v>
      </c>
      <c r="CE21" s="4" t="s">
        <v>76</v>
      </c>
      <c r="CF21" s="4" t="s">
        <v>76</v>
      </c>
      <c r="CG21" s="4" t="s">
        <v>76</v>
      </c>
      <c r="CH21" s="4" t="s">
        <v>76</v>
      </c>
      <c r="CI21" s="4" t="s">
        <v>76</v>
      </c>
      <c r="CJ21" s="4" t="s">
        <v>76</v>
      </c>
      <c r="CK21" s="4" t="s">
        <v>76</v>
      </c>
      <c r="CL21" s="4" t="s">
        <v>76</v>
      </c>
      <c r="CM21" s="4" t="s">
        <v>76</v>
      </c>
      <c r="CN21" s="4" t="s">
        <v>76</v>
      </c>
      <c r="CO21" s="4" t="s">
        <v>76</v>
      </c>
      <c r="CP21" s="4" t="s">
        <v>76</v>
      </c>
      <c r="CQ21" s="4" t="s">
        <v>76</v>
      </c>
      <c r="CR21" s="4" t="s">
        <v>76</v>
      </c>
      <c r="CS21" s="4" t="s">
        <v>76</v>
      </c>
      <c r="CT21" s="4" t="s">
        <v>76</v>
      </c>
      <c r="CU21" s="4" t="s">
        <v>76</v>
      </c>
      <c r="CV21" s="4" t="s">
        <v>76</v>
      </c>
      <c r="CW21" s="4" t="s">
        <v>76</v>
      </c>
      <c r="CX21" s="4" t="s">
        <v>76</v>
      </c>
      <c r="CY21" s="4" t="s">
        <v>76</v>
      </c>
      <c r="CZ21" s="4" t="s">
        <v>76</v>
      </c>
      <c r="DA21" s="4" t="s">
        <v>76</v>
      </c>
      <c r="DB21" s="4" t="s">
        <v>76</v>
      </c>
      <c r="DC21" s="4" t="s">
        <v>76</v>
      </c>
      <c r="DD21" s="4" t="s">
        <v>76</v>
      </c>
      <c r="DE21" s="4" t="s">
        <v>76</v>
      </c>
      <c r="DF21" s="4" t="s">
        <v>76</v>
      </c>
      <c r="DG21" s="4" t="s">
        <v>76</v>
      </c>
      <c r="DH21" s="4" t="s">
        <v>76</v>
      </c>
      <c r="DI21" s="4" t="s">
        <v>76</v>
      </c>
      <c r="DJ21" s="4" t="s">
        <v>76</v>
      </c>
      <c r="DK21" s="4" t="s">
        <v>76</v>
      </c>
    </row>
    <row r="22" spans="1:115" ht="15" x14ac:dyDescent="0.25">
      <c r="B22" s="147" t="s">
        <v>77</v>
      </c>
      <c r="C22" s="16" t="s">
        <v>78</v>
      </c>
      <c r="D22" s="4">
        <f>'001 B-'!V10</f>
        <v>2</v>
      </c>
      <c r="E22" s="4">
        <f>'002 B-'!V10</f>
        <v>2</v>
      </c>
      <c r="F22" s="1">
        <f>'003 T-'!V10</f>
        <v>5</v>
      </c>
      <c r="G22" s="1">
        <f>'003 T-'!V10</f>
        <v>5</v>
      </c>
      <c r="H22" s="1">
        <f>'003 T-'!V10</f>
        <v>5</v>
      </c>
      <c r="I22" s="1">
        <f>'004 T-'!V10</f>
        <v>5</v>
      </c>
      <c r="J22" s="1">
        <f>'004 T-'!V10</f>
        <v>5</v>
      </c>
      <c r="K22" s="1">
        <f>'005 D-'!V10</f>
        <v>6</v>
      </c>
      <c r="L22" s="1">
        <f>'005 D-'!V10</f>
        <v>6</v>
      </c>
      <c r="M22" s="1">
        <f>'005 D-'!V10</f>
        <v>6</v>
      </c>
      <c r="N22" s="1">
        <f>'006 D-'!V10</f>
        <v>6</v>
      </c>
      <c r="O22" s="1">
        <f>'006 D-'!V10</f>
        <v>6</v>
      </c>
      <c r="P22" s="1">
        <f>'007 C-'!V10</f>
        <v>34</v>
      </c>
      <c r="Q22" s="1">
        <f>'007 C-'!V10</f>
        <v>34</v>
      </c>
      <c r="R22" s="1">
        <f>'008 C-'!V10</f>
        <v>150</v>
      </c>
      <c r="S22" s="1">
        <f>'009 C-'!V10</f>
        <v>0</v>
      </c>
      <c r="T22" s="1">
        <f>'009 C-'!V10</f>
        <v>0</v>
      </c>
      <c r="U22" s="4" t="s">
        <v>79</v>
      </c>
      <c r="V22" s="4" t="s">
        <v>79</v>
      </c>
      <c r="W22" s="4" t="s">
        <v>79</v>
      </c>
      <c r="X22" s="4" t="s">
        <v>79</v>
      </c>
      <c r="Y22" s="4" t="s">
        <v>79</v>
      </c>
      <c r="Z22" s="4" t="s">
        <v>79</v>
      </c>
      <c r="AA22" s="4" t="s">
        <v>79</v>
      </c>
      <c r="AB22" s="4" t="s">
        <v>79</v>
      </c>
      <c r="AC22" s="4" t="s">
        <v>79</v>
      </c>
      <c r="AD22" s="4" t="s">
        <v>79</v>
      </c>
      <c r="AE22" s="4" t="s">
        <v>79</v>
      </c>
      <c r="AF22" s="4" t="s">
        <v>79</v>
      </c>
      <c r="AG22" s="4" t="s">
        <v>79</v>
      </c>
      <c r="AH22" s="4" t="s">
        <v>79</v>
      </c>
      <c r="AI22" s="4" t="s">
        <v>79</v>
      </c>
      <c r="AJ22" s="4" t="s">
        <v>79</v>
      </c>
      <c r="AK22" s="4" t="s">
        <v>79</v>
      </c>
      <c r="AL22" s="4" t="s">
        <v>79</v>
      </c>
      <c r="AM22" s="4" t="s">
        <v>79</v>
      </c>
      <c r="AN22" s="4" t="s">
        <v>79</v>
      </c>
      <c r="AO22" s="4" t="s">
        <v>79</v>
      </c>
      <c r="AP22" s="4" t="s">
        <v>79</v>
      </c>
      <c r="AQ22" s="4" t="s">
        <v>79</v>
      </c>
      <c r="AR22" s="4" t="s">
        <v>79</v>
      </c>
      <c r="AS22" s="4" t="s">
        <v>79</v>
      </c>
      <c r="AT22" s="4" t="s">
        <v>79</v>
      </c>
      <c r="AU22" s="4" t="s">
        <v>79</v>
      </c>
      <c r="AV22" s="4" t="s">
        <v>79</v>
      </c>
      <c r="AW22" s="4" t="s">
        <v>79</v>
      </c>
      <c r="AX22" s="4" t="s">
        <v>79</v>
      </c>
      <c r="AY22" s="4" t="s">
        <v>79</v>
      </c>
      <c r="AZ22" s="4" t="s">
        <v>79</v>
      </c>
      <c r="BA22" s="4" t="s">
        <v>79</v>
      </c>
      <c r="BB22" s="4" t="s">
        <v>79</v>
      </c>
      <c r="BC22" s="4" t="s">
        <v>79</v>
      </c>
      <c r="BD22" s="4" t="s">
        <v>79</v>
      </c>
      <c r="BE22" s="4" t="s">
        <v>79</v>
      </c>
      <c r="BF22" s="4" t="s">
        <v>79</v>
      </c>
      <c r="BG22" s="4" t="s">
        <v>79</v>
      </c>
      <c r="BH22" s="4" t="s">
        <v>79</v>
      </c>
      <c r="BI22" s="4" t="s">
        <v>79</v>
      </c>
      <c r="BJ22" s="4" t="s">
        <v>79</v>
      </c>
      <c r="BK22" s="4" t="s">
        <v>79</v>
      </c>
      <c r="BL22" s="4" t="s">
        <v>79</v>
      </c>
      <c r="BM22" s="4" t="s">
        <v>79</v>
      </c>
      <c r="BN22" s="4" t="s">
        <v>79</v>
      </c>
      <c r="BO22" s="4" t="s">
        <v>79</v>
      </c>
      <c r="BP22" s="4" t="s">
        <v>79</v>
      </c>
      <c r="BQ22" s="4" t="s">
        <v>79</v>
      </c>
      <c r="BR22" s="4" t="s">
        <v>79</v>
      </c>
      <c r="BS22" s="4" t="s">
        <v>79</v>
      </c>
      <c r="BT22" s="4" t="s">
        <v>79</v>
      </c>
      <c r="BU22" s="4" t="s">
        <v>79</v>
      </c>
      <c r="BV22" s="4" t="s">
        <v>79</v>
      </c>
      <c r="BW22" s="4" t="s">
        <v>79</v>
      </c>
      <c r="BX22" s="4" t="s">
        <v>79</v>
      </c>
      <c r="BY22" s="4" t="s">
        <v>79</v>
      </c>
      <c r="BZ22" s="4" t="s">
        <v>79</v>
      </c>
      <c r="CA22" s="4" t="s">
        <v>79</v>
      </c>
      <c r="CB22" s="4" t="s">
        <v>79</v>
      </c>
      <c r="CC22" s="4" t="s">
        <v>79</v>
      </c>
      <c r="CD22" s="4" t="s">
        <v>79</v>
      </c>
      <c r="CE22" s="4" t="s">
        <v>79</v>
      </c>
      <c r="CF22" s="4" t="s">
        <v>79</v>
      </c>
      <c r="CG22" s="4" t="s">
        <v>79</v>
      </c>
      <c r="CH22" s="4" t="s">
        <v>79</v>
      </c>
      <c r="CI22" s="4" t="s">
        <v>79</v>
      </c>
      <c r="CJ22" s="4" t="s">
        <v>79</v>
      </c>
      <c r="CK22" s="4" t="s">
        <v>79</v>
      </c>
      <c r="CL22" s="4" t="s">
        <v>79</v>
      </c>
      <c r="CM22" s="4" t="s">
        <v>79</v>
      </c>
      <c r="CN22" s="4" t="s">
        <v>79</v>
      </c>
      <c r="CO22" s="4" t="s">
        <v>79</v>
      </c>
      <c r="CP22" s="4" t="s">
        <v>79</v>
      </c>
      <c r="CQ22" s="4" t="s">
        <v>79</v>
      </c>
      <c r="CR22" s="4" t="s">
        <v>79</v>
      </c>
      <c r="CS22" s="4" t="s">
        <v>79</v>
      </c>
      <c r="CT22" s="4" t="s">
        <v>79</v>
      </c>
      <c r="CU22" s="4" t="s">
        <v>79</v>
      </c>
      <c r="CV22" s="4" t="s">
        <v>79</v>
      </c>
      <c r="CW22" s="4" t="s">
        <v>79</v>
      </c>
      <c r="CX22" s="4" t="s">
        <v>79</v>
      </c>
      <c r="CY22" s="4" t="s">
        <v>79</v>
      </c>
      <c r="CZ22" s="4" t="s">
        <v>79</v>
      </c>
      <c r="DA22" s="4" t="s">
        <v>79</v>
      </c>
      <c r="DB22" s="4" t="s">
        <v>79</v>
      </c>
      <c r="DC22" s="4" t="s">
        <v>79</v>
      </c>
      <c r="DD22" s="4" t="s">
        <v>79</v>
      </c>
      <c r="DE22" s="4" t="s">
        <v>79</v>
      </c>
      <c r="DF22" s="4" t="s">
        <v>79</v>
      </c>
      <c r="DG22" s="4" t="s">
        <v>79</v>
      </c>
      <c r="DH22" s="4" t="s">
        <v>79</v>
      </c>
      <c r="DI22" s="4" t="s">
        <v>79</v>
      </c>
      <c r="DJ22" s="4" t="s">
        <v>79</v>
      </c>
      <c r="DK22" s="4" t="s">
        <v>79</v>
      </c>
    </row>
    <row r="23" spans="1:115" ht="15" x14ac:dyDescent="0.25">
      <c r="B23" s="147" t="s">
        <v>80</v>
      </c>
      <c r="C23" s="16" t="s">
        <v>81</v>
      </c>
      <c r="D23" s="4">
        <f>'001 B-'!W10</f>
        <v>2</v>
      </c>
      <c r="E23" s="4">
        <f>'002 B-'!W10</f>
        <v>2</v>
      </c>
      <c r="F23" s="1">
        <f>'003 T-'!W10</f>
        <v>5</v>
      </c>
      <c r="G23" s="1">
        <f>'003 T-'!W10</f>
        <v>5</v>
      </c>
      <c r="H23" s="1">
        <f>'003 T-'!W10</f>
        <v>5</v>
      </c>
      <c r="I23" s="1">
        <f>'004 T-'!W10</f>
        <v>5</v>
      </c>
      <c r="J23" s="1">
        <f>'004 T-'!W10</f>
        <v>5</v>
      </c>
      <c r="K23" s="1">
        <f>'005 D-'!W10</f>
        <v>6</v>
      </c>
      <c r="L23" s="1">
        <f>'005 D-'!W10</f>
        <v>6</v>
      </c>
      <c r="M23" s="1">
        <f>'005 D-'!W10</f>
        <v>6</v>
      </c>
      <c r="N23" s="1">
        <f>'006 D-'!W10</f>
        <v>6</v>
      </c>
      <c r="O23" s="1">
        <f>'006 D-'!W10</f>
        <v>6</v>
      </c>
      <c r="P23" s="1">
        <f>'007 C-'!W10</f>
        <v>0</v>
      </c>
      <c r="Q23" s="1">
        <f>'007 C-'!W10</f>
        <v>0</v>
      </c>
      <c r="R23" s="1">
        <f>'008 C-'!W10</f>
        <v>152</v>
      </c>
      <c r="S23" s="1">
        <f>'009 C-'!W10</f>
        <v>0</v>
      </c>
      <c r="T23" s="1">
        <f>'009 C-'!W10</f>
        <v>0</v>
      </c>
      <c r="U23" s="4" t="s">
        <v>82</v>
      </c>
      <c r="V23" s="4" t="s">
        <v>82</v>
      </c>
      <c r="W23" s="4" t="s">
        <v>82</v>
      </c>
      <c r="X23" s="4" t="s">
        <v>82</v>
      </c>
      <c r="Y23" s="4" t="s">
        <v>82</v>
      </c>
      <c r="Z23" s="4" t="s">
        <v>82</v>
      </c>
      <c r="AA23" s="4" t="s">
        <v>82</v>
      </c>
      <c r="AB23" s="4" t="s">
        <v>82</v>
      </c>
      <c r="AC23" s="4" t="s">
        <v>82</v>
      </c>
      <c r="AD23" s="4" t="s">
        <v>82</v>
      </c>
      <c r="AE23" s="4" t="s">
        <v>82</v>
      </c>
      <c r="AF23" s="4" t="s">
        <v>82</v>
      </c>
      <c r="AG23" s="4" t="s">
        <v>82</v>
      </c>
      <c r="AH23" s="4" t="s">
        <v>82</v>
      </c>
      <c r="AI23" s="4" t="s">
        <v>82</v>
      </c>
      <c r="AJ23" s="4" t="s">
        <v>82</v>
      </c>
      <c r="AK23" s="4" t="s">
        <v>82</v>
      </c>
      <c r="AL23" s="4" t="s">
        <v>82</v>
      </c>
      <c r="AM23" s="4" t="s">
        <v>82</v>
      </c>
      <c r="AN23" s="4" t="s">
        <v>82</v>
      </c>
      <c r="AO23" s="4" t="s">
        <v>82</v>
      </c>
      <c r="AP23" s="4" t="s">
        <v>82</v>
      </c>
      <c r="AQ23" s="4" t="s">
        <v>82</v>
      </c>
      <c r="AR23" s="4" t="s">
        <v>82</v>
      </c>
      <c r="AS23" s="4" t="s">
        <v>82</v>
      </c>
      <c r="AT23" s="4" t="s">
        <v>82</v>
      </c>
      <c r="AU23" s="4" t="s">
        <v>82</v>
      </c>
      <c r="AV23" s="4" t="s">
        <v>82</v>
      </c>
      <c r="AW23" s="4" t="s">
        <v>82</v>
      </c>
      <c r="AX23" s="4" t="s">
        <v>82</v>
      </c>
      <c r="AY23" s="4" t="s">
        <v>82</v>
      </c>
      <c r="AZ23" s="4" t="s">
        <v>82</v>
      </c>
      <c r="BA23" s="4" t="s">
        <v>82</v>
      </c>
      <c r="BB23" s="4" t="s">
        <v>82</v>
      </c>
      <c r="BC23" s="4" t="s">
        <v>82</v>
      </c>
      <c r="BD23" s="4" t="s">
        <v>82</v>
      </c>
      <c r="BE23" s="4" t="s">
        <v>82</v>
      </c>
      <c r="BF23" s="4" t="s">
        <v>82</v>
      </c>
      <c r="BG23" s="4" t="s">
        <v>82</v>
      </c>
      <c r="BH23" s="4" t="s">
        <v>82</v>
      </c>
      <c r="BI23" s="4" t="s">
        <v>82</v>
      </c>
      <c r="BJ23" s="4" t="s">
        <v>82</v>
      </c>
      <c r="BK23" s="4" t="s">
        <v>82</v>
      </c>
      <c r="BL23" s="4" t="s">
        <v>82</v>
      </c>
      <c r="BM23" s="4" t="s">
        <v>82</v>
      </c>
      <c r="BN23" s="4" t="s">
        <v>82</v>
      </c>
      <c r="BO23" s="4" t="s">
        <v>82</v>
      </c>
      <c r="BP23" s="4" t="s">
        <v>82</v>
      </c>
      <c r="BQ23" s="4" t="s">
        <v>82</v>
      </c>
      <c r="BR23" s="4" t="s">
        <v>82</v>
      </c>
      <c r="BS23" s="4" t="s">
        <v>82</v>
      </c>
      <c r="BT23" s="4" t="s">
        <v>82</v>
      </c>
      <c r="BU23" s="4" t="s">
        <v>82</v>
      </c>
      <c r="BV23" s="4" t="s">
        <v>82</v>
      </c>
      <c r="BW23" s="4" t="s">
        <v>82</v>
      </c>
      <c r="BX23" s="4" t="s">
        <v>82</v>
      </c>
      <c r="BY23" s="4" t="s">
        <v>82</v>
      </c>
      <c r="BZ23" s="4" t="s">
        <v>82</v>
      </c>
      <c r="CA23" s="4" t="s">
        <v>82</v>
      </c>
      <c r="CB23" s="4" t="s">
        <v>82</v>
      </c>
      <c r="CC23" s="4" t="s">
        <v>82</v>
      </c>
      <c r="CD23" s="4" t="s">
        <v>82</v>
      </c>
      <c r="CE23" s="4" t="s">
        <v>82</v>
      </c>
      <c r="CF23" s="4" t="s">
        <v>82</v>
      </c>
      <c r="CG23" s="4" t="s">
        <v>82</v>
      </c>
      <c r="CH23" s="4" t="s">
        <v>82</v>
      </c>
      <c r="CI23" s="4" t="s">
        <v>82</v>
      </c>
      <c r="CJ23" s="4" t="s">
        <v>82</v>
      </c>
      <c r="CK23" s="4" t="s">
        <v>82</v>
      </c>
      <c r="CL23" s="4" t="s">
        <v>82</v>
      </c>
      <c r="CM23" s="4" t="s">
        <v>82</v>
      </c>
      <c r="CN23" s="4" t="s">
        <v>82</v>
      </c>
      <c r="CO23" s="4" t="s">
        <v>82</v>
      </c>
      <c r="CP23" s="4" t="s">
        <v>82</v>
      </c>
      <c r="CQ23" s="4" t="s">
        <v>82</v>
      </c>
      <c r="CR23" s="4" t="s">
        <v>82</v>
      </c>
      <c r="CS23" s="4" t="s">
        <v>82</v>
      </c>
      <c r="CT23" s="4" t="s">
        <v>82</v>
      </c>
      <c r="CU23" s="4" t="s">
        <v>82</v>
      </c>
      <c r="CV23" s="4" t="s">
        <v>82</v>
      </c>
      <c r="CW23" s="4" t="s">
        <v>82</v>
      </c>
      <c r="CX23" s="4" t="s">
        <v>82</v>
      </c>
      <c r="CY23" s="4" t="s">
        <v>82</v>
      </c>
      <c r="CZ23" s="4" t="s">
        <v>82</v>
      </c>
      <c r="DA23" s="4" t="s">
        <v>82</v>
      </c>
      <c r="DB23" s="4" t="s">
        <v>82</v>
      </c>
      <c r="DC23" s="4" t="s">
        <v>82</v>
      </c>
      <c r="DD23" s="4" t="s">
        <v>82</v>
      </c>
      <c r="DE23" s="4" t="s">
        <v>82</v>
      </c>
      <c r="DF23" s="4" t="s">
        <v>82</v>
      </c>
      <c r="DG23" s="4" t="s">
        <v>82</v>
      </c>
      <c r="DH23" s="4" t="s">
        <v>82</v>
      </c>
      <c r="DI23" s="4" t="s">
        <v>82</v>
      </c>
      <c r="DJ23" s="4" t="s">
        <v>82</v>
      </c>
      <c r="DK23" s="4" t="s">
        <v>82</v>
      </c>
    </row>
    <row r="24" spans="1:115" ht="15" x14ac:dyDescent="0.25">
      <c r="B24" s="148" t="s">
        <v>83</v>
      </c>
      <c r="C24" s="17" t="s">
        <v>84</v>
      </c>
      <c r="D24" s="4">
        <f>'001 B-'!X10</f>
        <v>273</v>
      </c>
      <c r="E24" s="4">
        <f>'002 B-'!X10</f>
        <v>273</v>
      </c>
      <c r="F24" s="1">
        <f>'003 T-'!X10</f>
        <v>5</v>
      </c>
      <c r="G24" s="1">
        <f>'003 T-'!X10</f>
        <v>5</v>
      </c>
      <c r="H24" s="1">
        <f>'003 T-'!X10</f>
        <v>5</v>
      </c>
      <c r="I24" s="1">
        <f>'004 T-'!X10</f>
        <v>5</v>
      </c>
      <c r="J24" s="1">
        <f>'004 T-'!X10</f>
        <v>5</v>
      </c>
      <c r="K24" s="1">
        <f>'005 D-'!X10</f>
        <v>6</v>
      </c>
      <c r="L24" s="1">
        <f>'005 D-'!X10</f>
        <v>6</v>
      </c>
      <c r="M24" s="1">
        <f>'005 D-'!X10</f>
        <v>6</v>
      </c>
      <c r="N24" s="1">
        <f>'006 D-'!X10</f>
        <v>6</v>
      </c>
      <c r="O24" s="1">
        <f>'006 D-'!X10</f>
        <v>6</v>
      </c>
      <c r="P24" s="1">
        <f>'007 C-'!X10</f>
        <v>19</v>
      </c>
      <c r="Q24" s="1">
        <f>'007 C-'!X10</f>
        <v>19</v>
      </c>
      <c r="R24" s="1">
        <f>'008 C-'!X10</f>
        <v>19</v>
      </c>
      <c r="S24" s="1">
        <f>'009 C-'!X10</f>
        <v>19</v>
      </c>
      <c r="T24" s="1">
        <f>'009 C-'!X10</f>
        <v>19</v>
      </c>
      <c r="U24" s="4" t="s">
        <v>85</v>
      </c>
      <c r="V24" s="4" t="s">
        <v>85</v>
      </c>
      <c r="W24" s="4" t="s">
        <v>85</v>
      </c>
      <c r="X24" s="4" t="s">
        <v>85</v>
      </c>
      <c r="Y24" s="4" t="s">
        <v>85</v>
      </c>
      <c r="Z24" s="4" t="s">
        <v>85</v>
      </c>
      <c r="AA24" s="4" t="s">
        <v>85</v>
      </c>
      <c r="AB24" s="4" t="s">
        <v>85</v>
      </c>
      <c r="AC24" s="4" t="s">
        <v>85</v>
      </c>
      <c r="AD24" s="4" t="s">
        <v>85</v>
      </c>
      <c r="AE24" s="4" t="s">
        <v>85</v>
      </c>
      <c r="AF24" s="4" t="s">
        <v>85</v>
      </c>
      <c r="AG24" s="4" t="s">
        <v>85</v>
      </c>
      <c r="AH24" s="4" t="s">
        <v>85</v>
      </c>
      <c r="AI24" s="4" t="s">
        <v>85</v>
      </c>
      <c r="AJ24" s="4" t="s">
        <v>85</v>
      </c>
      <c r="AK24" s="4" t="s">
        <v>85</v>
      </c>
      <c r="AL24" s="4" t="s">
        <v>85</v>
      </c>
      <c r="AM24" s="4" t="s">
        <v>85</v>
      </c>
      <c r="AN24" s="4" t="s">
        <v>85</v>
      </c>
      <c r="AO24" s="4" t="s">
        <v>85</v>
      </c>
      <c r="AP24" s="4" t="s">
        <v>85</v>
      </c>
      <c r="AQ24" s="4" t="s">
        <v>85</v>
      </c>
      <c r="AR24" s="4" t="s">
        <v>85</v>
      </c>
      <c r="AS24" s="4" t="s">
        <v>85</v>
      </c>
      <c r="AT24" s="4" t="s">
        <v>85</v>
      </c>
      <c r="AU24" s="4" t="s">
        <v>85</v>
      </c>
      <c r="AV24" s="4" t="s">
        <v>85</v>
      </c>
      <c r="AW24" s="4" t="s">
        <v>85</v>
      </c>
      <c r="AX24" s="4" t="s">
        <v>85</v>
      </c>
      <c r="AY24" s="4" t="s">
        <v>85</v>
      </c>
      <c r="AZ24" s="4" t="s">
        <v>85</v>
      </c>
      <c r="BA24" s="4" t="s">
        <v>85</v>
      </c>
      <c r="BB24" s="4" t="s">
        <v>85</v>
      </c>
      <c r="BC24" s="4" t="s">
        <v>85</v>
      </c>
      <c r="BD24" s="4" t="s">
        <v>85</v>
      </c>
      <c r="BE24" s="4" t="s">
        <v>85</v>
      </c>
      <c r="BF24" s="4" t="s">
        <v>85</v>
      </c>
      <c r="BG24" s="4" t="s">
        <v>85</v>
      </c>
      <c r="BH24" s="4" t="s">
        <v>85</v>
      </c>
      <c r="BI24" s="4" t="s">
        <v>85</v>
      </c>
      <c r="BJ24" s="4" t="s">
        <v>85</v>
      </c>
      <c r="BK24" s="4" t="s">
        <v>85</v>
      </c>
      <c r="BL24" s="4" t="s">
        <v>85</v>
      </c>
      <c r="BM24" s="4" t="s">
        <v>85</v>
      </c>
      <c r="BN24" s="4" t="s">
        <v>85</v>
      </c>
      <c r="BO24" s="4" t="s">
        <v>85</v>
      </c>
      <c r="BP24" s="4" t="s">
        <v>85</v>
      </c>
      <c r="BQ24" s="4" t="s">
        <v>85</v>
      </c>
      <c r="BR24" s="4" t="s">
        <v>85</v>
      </c>
      <c r="BS24" s="4" t="s">
        <v>85</v>
      </c>
      <c r="BT24" s="4" t="s">
        <v>85</v>
      </c>
      <c r="BU24" s="4" t="s">
        <v>85</v>
      </c>
      <c r="BV24" s="4" t="s">
        <v>85</v>
      </c>
      <c r="BW24" s="4" t="s">
        <v>85</v>
      </c>
      <c r="BX24" s="4" t="s">
        <v>85</v>
      </c>
      <c r="BY24" s="4" t="s">
        <v>85</v>
      </c>
      <c r="BZ24" s="4" t="s">
        <v>85</v>
      </c>
      <c r="CA24" s="4" t="s">
        <v>85</v>
      </c>
      <c r="CB24" s="4" t="s">
        <v>85</v>
      </c>
      <c r="CC24" s="4" t="s">
        <v>85</v>
      </c>
      <c r="CD24" s="4" t="s">
        <v>85</v>
      </c>
      <c r="CE24" s="4" t="s">
        <v>85</v>
      </c>
      <c r="CF24" s="4" t="s">
        <v>85</v>
      </c>
      <c r="CG24" s="4" t="s">
        <v>85</v>
      </c>
      <c r="CH24" s="4" t="s">
        <v>85</v>
      </c>
      <c r="CI24" s="4" t="s">
        <v>85</v>
      </c>
      <c r="CJ24" s="4" t="s">
        <v>85</v>
      </c>
      <c r="CK24" s="4" t="s">
        <v>85</v>
      </c>
      <c r="CL24" s="4" t="s">
        <v>85</v>
      </c>
      <c r="CM24" s="4" t="s">
        <v>85</v>
      </c>
      <c r="CN24" s="4" t="s">
        <v>85</v>
      </c>
      <c r="CO24" s="4" t="s">
        <v>85</v>
      </c>
      <c r="CP24" s="4" t="s">
        <v>85</v>
      </c>
      <c r="CQ24" s="4" t="s">
        <v>85</v>
      </c>
      <c r="CR24" s="4" t="s">
        <v>85</v>
      </c>
      <c r="CS24" s="4" t="s">
        <v>85</v>
      </c>
      <c r="CT24" s="4" t="s">
        <v>85</v>
      </c>
      <c r="CU24" s="4" t="s">
        <v>85</v>
      </c>
      <c r="CV24" s="4" t="s">
        <v>85</v>
      </c>
      <c r="CW24" s="4" t="s">
        <v>85</v>
      </c>
      <c r="CX24" s="4" t="s">
        <v>85</v>
      </c>
      <c r="CY24" s="4" t="s">
        <v>85</v>
      </c>
      <c r="CZ24" s="4" t="s">
        <v>85</v>
      </c>
      <c r="DA24" s="4" t="s">
        <v>85</v>
      </c>
      <c r="DB24" s="4" t="s">
        <v>85</v>
      </c>
      <c r="DC24" s="4" t="s">
        <v>85</v>
      </c>
      <c r="DD24" s="4" t="s">
        <v>85</v>
      </c>
      <c r="DE24" s="4" t="s">
        <v>85</v>
      </c>
      <c r="DF24" s="4" t="s">
        <v>85</v>
      </c>
      <c r="DG24" s="4" t="s">
        <v>85</v>
      </c>
      <c r="DH24" s="4" t="s">
        <v>85</v>
      </c>
      <c r="DI24" s="4" t="s">
        <v>85</v>
      </c>
      <c r="DJ24" s="4" t="s">
        <v>85</v>
      </c>
      <c r="DK24" s="4" t="s">
        <v>85</v>
      </c>
    </row>
    <row r="25" spans="1:115" ht="15" x14ac:dyDescent="0.25">
      <c r="A25" s="1" t="s">
        <v>19</v>
      </c>
      <c r="B25" s="148" t="s">
        <v>86</v>
      </c>
      <c r="C25" s="17" t="s">
        <v>87</v>
      </c>
      <c r="D25" s="4">
        <f>'001 B-'!Y10</f>
        <v>2</v>
      </c>
      <c r="E25" s="4">
        <f>'002 B-'!Y10</f>
        <v>2</v>
      </c>
      <c r="F25" s="1">
        <f>'003 T-'!Y10</f>
        <v>5</v>
      </c>
      <c r="G25" s="1">
        <f>'003 T-'!Y10</f>
        <v>5</v>
      </c>
      <c r="H25" s="1">
        <f>'003 T-'!Y10</f>
        <v>5</v>
      </c>
      <c r="I25" s="1">
        <f>'004 T-'!Y10</f>
        <v>5</v>
      </c>
      <c r="J25" s="1">
        <f>'004 T-'!Y10</f>
        <v>5</v>
      </c>
      <c r="K25" s="1">
        <f>'005 D-'!Y10</f>
        <v>6</v>
      </c>
      <c r="L25" s="1">
        <f>'005 D-'!Y10</f>
        <v>6</v>
      </c>
      <c r="M25" s="1">
        <f>'005 D-'!Y10</f>
        <v>6</v>
      </c>
      <c r="N25" s="1">
        <f>'006 D-'!Y10</f>
        <v>6</v>
      </c>
      <c r="O25" s="1">
        <f>'006 D-'!Y10</f>
        <v>6</v>
      </c>
      <c r="P25" s="1">
        <f>'007 C-'!Y10</f>
        <v>34</v>
      </c>
      <c r="Q25" s="1">
        <f>'007 C-'!Y10</f>
        <v>34</v>
      </c>
      <c r="R25" s="1">
        <f>'008 C-'!Y10</f>
        <v>19</v>
      </c>
      <c r="S25" s="1">
        <f>'009 C-'!Y10</f>
        <v>19</v>
      </c>
      <c r="T25" s="1">
        <f>'009 C-'!Y10</f>
        <v>19</v>
      </c>
      <c r="U25" s="4" t="s">
        <v>88</v>
      </c>
      <c r="V25" s="4" t="s">
        <v>88</v>
      </c>
      <c r="W25" s="4" t="s">
        <v>88</v>
      </c>
      <c r="X25" s="4" t="s">
        <v>88</v>
      </c>
      <c r="Y25" s="4" t="s">
        <v>88</v>
      </c>
      <c r="Z25" s="4" t="s">
        <v>88</v>
      </c>
      <c r="AA25" s="4" t="s">
        <v>88</v>
      </c>
      <c r="AB25" s="4" t="s">
        <v>88</v>
      </c>
      <c r="AC25" s="4" t="s">
        <v>88</v>
      </c>
      <c r="AD25" s="4" t="s">
        <v>88</v>
      </c>
      <c r="AE25" s="4" t="s">
        <v>88</v>
      </c>
      <c r="AF25" s="4" t="s">
        <v>88</v>
      </c>
      <c r="AG25" s="4" t="s">
        <v>88</v>
      </c>
      <c r="AH25" s="4" t="s">
        <v>88</v>
      </c>
      <c r="AI25" s="4" t="s">
        <v>88</v>
      </c>
      <c r="AJ25" s="4" t="s">
        <v>88</v>
      </c>
      <c r="AK25" s="4" t="s">
        <v>88</v>
      </c>
      <c r="AL25" s="4" t="s">
        <v>88</v>
      </c>
      <c r="AM25" s="4" t="s">
        <v>88</v>
      </c>
      <c r="AN25" s="4" t="s">
        <v>88</v>
      </c>
      <c r="AO25" s="4" t="s">
        <v>88</v>
      </c>
      <c r="AP25" s="4" t="s">
        <v>88</v>
      </c>
      <c r="AQ25" s="4" t="s">
        <v>88</v>
      </c>
      <c r="AR25" s="4" t="s">
        <v>88</v>
      </c>
      <c r="AS25" s="4" t="s">
        <v>88</v>
      </c>
      <c r="AT25" s="4" t="s">
        <v>88</v>
      </c>
      <c r="AU25" s="4" t="s">
        <v>88</v>
      </c>
      <c r="AV25" s="4" t="s">
        <v>88</v>
      </c>
      <c r="AW25" s="4" t="s">
        <v>88</v>
      </c>
      <c r="AX25" s="4" t="s">
        <v>88</v>
      </c>
      <c r="AY25" s="4" t="s">
        <v>88</v>
      </c>
      <c r="AZ25" s="4" t="s">
        <v>88</v>
      </c>
      <c r="BA25" s="4" t="s">
        <v>88</v>
      </c>
      <c r="BB25" s="4" t="s">
        <v>88</v>
      </c>
      <c r="BC25" s="4" t="s">
        <v>88</v>
      </c>
      <c r="BD25" s="4" t="s">
        <v>88</v>
      </c>
      <c r="BE25" s="4" t="s">
        <v>88</v>
      </c>
      <c r="BF25" s="4" t="s">
        <v>88</v>
      </c>
      <c r="BG25" s="4" t="s">
        <v>88</v>
      </c>
      <c r="BH25" s="4" t="s">
        <v>88</v>
      </c>
      <c r="BI25" s="4" t="s">
        <v>88</v>
      </c>
      <c r="BJ25" s="4" t="s">
        <v>88</v>
      </c>
      <c r="BK25" s="4" t="s">
        <v>88</v>
      </c>
      <c r="BL25" s="4" t="s">
        <v>88</v>
      </c>
      <c r="BM25" s="4" t="s">
        <v>88</v>
      </c>
      <c r="BN25" s="4" t="s">
        <v>88</v>
      </c>
      <c r="BO25" s="4" t="s">
        <v>88</v>
      </c>
      <c r="BP25" s="4" t="s">
        <v>88</v>
      </c>
      <c r="BQ25" s="4" t="s">
        <v>88</v>
      </c>
      <c r="BR25" s="4" t="s">
        <v>88</v>
      </c>
      <c r="BS25" s="4" t="s">
        <v>88</v>
      </c>
      <c r="BT25" s="4" t="s">
        <v>88</v>
      </c>
      <c r="BU25" s="4" t="s">
        <v>88</v>
      </c>
      <c r="BV25" s="4" t="s">
        <v>88</v>
      </c>
      <c r="BW25" s="4" t="s">
        <v>88</v>
      </c>
      <c r="BX25" s="4" t="s">
        <v>88</v>
      </c>
      <c r="BY25" s="4" t="s">
        <v>88</v>
      </c>
      <c r="BZ25" s="4" t="s">
        <v>88</v>
      </c>
      <c r="CA25" s="4" t="s">
        <v>88</v>
      </c>
      <c r="CB25" s="4" t="s">
        <v>88</v>
      </c>
      <c r="CC25" s="4" t="s">
        <v>88</v>
      </c>
      <c r="CD25" s="4" t="s">
        <v>88</v>
      </c>
      <c r="CE25" s="4" t="s">
        <v>88</v>
      </c>
      <c r="CF25" s="4" t="s">
        <v>88</v>
      </c>
      <c r="CG25" s="4" t="s">
        <v>88</v>
      </c>
      <c r="CH25" s="4" t="s">
        <v>88</v>
      </c>
      <c r="CI25" s="4" t="s">
        <v>88</v>
      </c>
      <c r="CJ25" s="4" t="s">
        <v>88</v>
      </c>
      <c r="CK25" s="4" t="s">
        <v>88</v>
      </c>
      <c r="CL25" s="4" t="s">
        <v>88</v>
      </c>
      <c r="CM25" s="4" t="s">
        <v>88</v>
      </c>
      <c r="CN25" s="4" t="s">
        <v>88</v>
      </c>
      <c r="CO25" s="4" t="s">
        <v>88</v>
      </c>
      <c r="CP25" s="4" t="s">
        <v>88</v>
      </c>
      <c r="CQ25" s="4" t="s">
        <v>88</v>
      </c>
      <c r="CR25" s="4" t="s">
        <v>88</v>
      </c>
      <c r="CS25" s="4" t="s">
        <v>88</v>
      </c>
      <c r="CT25" s="4" t="s">
        <v>88</v>
      </c>
      <c r="CU25" s="4" t="s">
        <v>88</v>
      </c>
      <c r="CV25" s="4" t="s">
        <v>88</v>
      </c>
      <c r="CW25" s="4" t="s">
        <v>88</v>
      </c>
      <c r="CX25" s="4" t="s">
        <v>88</v>
      </c>
      <c r="CY25" s="4" t="s">
        <v>88</v>
      </c>
      <c r="CZ25" s="4" t="s">
        <v>88</v>
      </c>
      <c r="DA25" s="4" t="s">
        <v>88</v>
      </c>
      <c r="DB25" s="4" t="s">
        <v>88</v>
      </c>
      <c r="DC25" s="4" t="s">
        <v>88</v>
      </c>
      <c r="DD25" s="4" t="s">
        <v>88</v>
      </c>
      <c r="DE25" s="4" t="s">
        <v>88</v>
      </c>
      <c r="DF25" s="4" t="s">
        <v>88</v>
      </c>
      <c r="DG25" s="4" t="s">
        <v>88</v>
      </c>
      <c r="DH25" s="4" t="s">
        <v>88</v>
      </c>
      <c r="DI25" s="4" t="s">
        <v>88</v>
      </c>
      <c r="DJ25" s="4" t="s">
        <v>88</v>
      </c>
      <c r="DK25" s="4" t="s">
        <v>88</v>
      </c>
    </row>
    <row r="26" spans="1:115" ht="15" x14ac:dyDescent="0.25">
      <c r="B26" s="149" t="s">
        <v>89</v>
      </c>
      <c r="C26" s="18" t="s">
        <v>90</v>
      </c>
      <c r="D26" s="4">
        <f>'001 B-'!Z10</f>
        <v>2</v>
      </c>
      <c r="E26" s="4">
        <f>'002 B-'!Z10</f>
        <v>2</v>
      </c>
      <c r="F26" s="1">
        <f>'003 T-'!Z10</f>
        <v>5</v>
      </c>
      <c r="G26" s="1">
        <f>'003 T-'!Z10</f>
        <v>5</v>
      </c>
      <c r="H26" s="1">
        <f>'003 T-'!Z10</f>
        <v>5</v>
      </c>
      <c r="I26" s="1">
        <f>'004 T-'!Z10</f>
        <v>5</v>
      </c>
      <c r="J26" s="1">
        <f>'004 T-'!Z10</f>
        <v>5</v>
      </c>
      <c r="K26" s="1">
        <f>'005 D-'!Z10</f>
        <v>6</v>
      </c>
      <c r="L26" s="1">
        <f>'005 D-'!Z10</f>
        <v>6</v>
      </c>
      <c r="M26" s="1">
        <f>'005 D-'!Z10</f>
        <v>6</v>
      </c>
      <c r="N26" s="1">
        <f>'006 D-'!Z10</f>
        <v>6</v>
      </c>
      <c r="O26" s="1">
        <f>'006 D-'!Z10</f>
        <v>6</v>
      </c>
      <c r="P26" s="1">
        <f>'007 C-'!Z10</f>
        <v>0</v>
      </c>
      <c r="Q26" s="1">
        <f>'007 C-'!Z10</f>
        <v>0</v>
      </c>
      <c r="R26" s="1">
        <f>'008 C-'!Z10</f>
        <v>19</v>
      </c>
      <c r="S26" s="1">
        <f>'009 C-'!Z10</f>
        <v>19</v>
      </c>
      <c r="T26" s="1">
        <f>'009 C-'!Z10</f>
        <v>19</v>
      </c>
      <c r="U26" s="4" t="s">
        <v>91</v>
      </c>
      <c r="V26" s="4" t="s">
        <v>91</v>
      </c>
      <c r="W26" s="4" t="s">
        <v>91</v>
      </c>
      <c r="X26" s="4" t="s">
        <v>91</v>
      </c>
      <c r="Y26" s="4" t="s">
        <v>91</v>
      </c>
      <c r="Z26" s="4" t="s">
        <v>91</v>
      </c>
      <c r="AA26" s="4" t="s">
        <v>91</v>
      </c>
      <c r="AB26" s="4" t="s">
        <v>91</v>
      </c>
      <c r="AC26" s="4" t="s">
        <v>91</v>
      </c>
      <c r="AD26" s="4" t="s">
        <v>91</v>
      </c>
      <c r="AE26" s="4" t="s">
        <v>91</v>
      </c>
      <c r="AF26" s="4" t="s">
        <v>91</v>
      </c>
      <c r="AG26" s="4" t="s">
        <v>91</v>
      </c>
      <c r="AH26" s="4" t="s">
        <v>91</v>
      </c>
      <c r="AI26" s="4" t="s">
        <v>91</v>
      </c>
      <c r="AJ26" s="4" t="s">
        <v>91</v>
      </c>
      <c r="AK26" s="4" t="s">
        <v>91</v>
      </c>
      <c r="AL26" s="4" t="s">
        <v>91</v>
      </c>
      <c r="AM26" s="4" t="s">
        <v>91</v>
      </c>
      <c r="AN26" s="4" t="s">
        <v>91</v>
      </c>
      <c r="AO26" s="4" t="s">
        <v>91</v>
      </c>
      <c r="AP26" s="4" t="s">
        <v>91</v>
      </c>
      <c r="AQ26" s="4" t="s">
        <v>91</v>
      </c>
      <c r="AR26" s="4" t="s">
        <v>91</v>
      </c>
      <c r="AS26" s="4" t="s">
        <v>91</v>
      </c>
      <c r="AT26" s="4" t="s">
        <v>91</v>
      </c>
      <c r="AU26" s="4" t="s">
        <v>91</v>
      </c>
      <c r="AV26" s="4" t="s">
        <v>91</v>
      </c>
      <c r="AW26" s="4" t="s">
        <v>91</v>
      </c>
      <c r="AX26" s="4" t="s">
        <v>91</v>
      </c>
      <c r="AY26" s="4" t="s">
        <v>91</v>
      </c>
      <c r="AZ26" s="4" t="s">
        <v>91</v>
      </c>
      <c r="BA26" s="4" t="s">
        <v>91</v>
      </c>
      <c r="BB26" s="4" t="s">
        <v>91</v>
      </c>
      <c r="BC26" s="4" t="s">
        <v>91</v>
      </c>
      <c r="BD26" s="4" t="s">
        <v>91</v>
      </c>
      <c r="BE26" s="4" t="s">
        <v>91</v>
      </c>
      <c r="BF26" s="4" t="s">
        <v>91</v>
      </c>
      <c r="BG26" s="4" t="s">
        <v>91</v>
      </c>
      <c r="BH26" s="4" t="s">
        <v>91</v>
      </c>
      <c r="BI26" s="4" t="s">
        <v>91</v>
      </c>
      <c r="BJ26" s="4" t="s">
        <v>91</v>
      </c>
      <c r="BK26" s="4" t="s">
        <v>91</v>
      </c>
      <c r="BL26" s="4" t="s">
        <v>91</v>
      </c>
      <c r="BM26" s="4" t="s">
        <v>91</v>
      </c>
      <c r="BN26" s="4" t="s">
        <v>91</v>
      </c>
      <c r="BO26" s="4" t="s">
        <v>91</v>
      </c>
      <c r="BP26" s="4" t="s">
        <v>91</v>
      </c>
      <c r="BQ26" s="4" t="s">
        <v>91</v>
      </c>
      <c r="BR26" s="4" t="s">
        <v>91</v>
      </c>
      <c r="BS26" s="4" t="s">
        <v>91</v>
      </c>
      <c r="BT26" s="4" t="s">
        <v>91</v>
      </c>
      <c r="BU26" s="4" t="s">
        <v>91</v>
      </c>
      <c r="BV26" s="4" t="s">
        <v>91</v>
      </c>
      <c r="BW26" s="4" t="s">
        <v>91</v>
      </c>
      <c r="BX26" s="4" t="s">
        <v>91</v>
      </c>
      <c r="BY26" s="4" t="s">
        <v>91</v>
      </c>
      <c r="BZ26" s="4" t="s">
        <v>91</v>
      </c>
      <c r="CA26" s="4" t="s">
        <v>91</v>
      </c>
      <c r="CB26" s="4" t="s">
        <v>91</v>
      </c>
      <c r="CC26" s="4" t="s">
        <v>91</v>
      </c>
      <c r="CD26" s="4" t="s">
        <v>91</v>
      </c>
      <c r="CE26" s="4" t="s">
        <v>91</v>
      </c>
      <c r="CF26" s="4" t="s">
        <v>91</v>
      </c>
      <c r="CG26" s="4" t="s">
        <v>91</v>
      </c>
      <c r="CH26" s="4" t="s">
        <v>91</v>
      </c>
      <c r="CI26" s="4" t="s">
        <v>91</v>
      </c>
      <c r="CJ26" s="4" t="s">
        <v>91</v>
      </c>
      <c r="CK26" s="4" t="s">
        <v>91</v>
      </c>
      <c r="CL26" s="4" t="s">
        <v>91</v>
      </c>
      <c r="CM26" s="4" t="s">
        <v>91</v>
      </c>
      <c r="CN26" s="4" t="s">
        <v>91</v>
      </c>
      <c r="CO26" s="4" t="s">
        <v>91</v>
      </c>
      <c r="CP26" s="4" t="s">
        <v>91</v>
      </c>
      <c r="CQ26" s="4" t="s">
        <v>91</v>
      </c>
      <c r="CR26" s="4" t="s">
        <v>91</v>
      </c>
      <c r="CS26" s="4" t="s">
        <v>91</v>
      </c>
      <c r="CT26" s="4" t="s">
        <v>91</v>
      </c>
      <c r="CU26" s="4" t="s">
        <v>91</v>
      </c>
      <c r="CV26" s="4" t="s">
        <v>91</v>
      </c>
      <c r="CW26" s="4" t="s">
        <v>91</v>
      </c>
      <c r="CX26" s="4" t="s">
        <v>91</v>
      </c>
      <c r="CY26" s="4" t="s">
        <v>91</v>
      </c>
      <c r="CZ26" s="4" t="s">
        <v>91</v>
      </c>
      <c r="DA26" s="4" t="s">
        <v>91</v>
      </c>
      <c r="DB26" s="4" t="s">
        <v>91</v>
      </c>
      <c r="DC26" s="4" t="s">
        <v>91</v>
      </c>
      <c r="DD26" s="4" t="s">
        <v>91</v>
      </c>
      <c r="DE26" s="4" t="s">
        <v>91</v>
      </c>
      <c r="DF26" s="4" t="s">
        <v>91</v>
      </c>
      <c r="DG26" s="4" t="s">
        <v>91</v>
      </c>
      <c r="DH26" s="4" t="s">
        <v>91</v>
      </c>
      <c r="DI26" s="4" t="s">
        <v>91</v>
      </c>
      <c r="DJ26" s="4" t="s">
        <v>91</v>
      </c>
      <c r="DK26" s="4" t="s">
        <v>91</v>
      </c>
    </row>
    <row r="27" spans="1:115" ht="15" x14ac:dyDescent="0.25">
      <c r="A27" s="1" t="s">
        <v>19</v>
      </c>
      <c r="B27" s="149" t="s">
        <v>92</v>
      </c>
      <c r="C27" s="18" t="s">
        <v>93</v>
      </c>
      <c r="D27" s="4">
        <f>'001 B-'!AA10</f>
        <v>2</v>
      </c>
      <c r="E27" s="4">
        <f>'002 B-'!AA10</f>
        <v>2</v>
      </c>
      <c r="F27" s="1">
        <f>'003 T-'!AA10</f>
        <v>5</v>
      </c>
      <c r="G27" s="1">
        <f>'003 T-'!AA10</f>
        <v>5</v>
      </c>
      <c r="H27" s="1">
        <f>'003 T-'!AA10</f>
        <v>5</v>
      </c>
      <c r="I27" s="1">
        <f>'004 T-'!AA10</f>
        <v>5</v>
      </c>
      <c r="J27" s="1">
        <f>'004 T-'!AA10</f>
        <v>5</v>
      </c>
      <c r="K27" s="1">
        <f>'005 D-'!AA10</f>
        <v>6</v>
      </c>
      <c r="L27" s="1">
        <f>'005 D-'!AA10</f>
        <v>6</v>
      </c>
      <c r="M27" s="1">
        <f>'005 D-'!AA10</f>
        <v>6</v>
      </c>
      <c r="N27" s="1">
        <f>'006 D-'!AA10</f>
        <v>6</v>
      </c>
      <c r="O27" s="1">
        <f>'006 D-'!AA10</f>
        <v>6</v>
      </c>
      <c r="P27" s="1">
        <f>'007 C-'!AA10</f>
        <v>34</v>
      </c>
      <c r="Q27" s="1">
        <f>'007 C-'!AA10</f>
        <v>34</v>
      </c>
      <c r="R27" s="1">
        <f>'008 C-'!AA10</f>
        <v>19</v>
      </c>
      <c r="S27" s="1">
        <f>'009 C-'!AA10</f>
        <v>19</v>
      </c>
      <c r="T27" s="1">
        <f>'009 C-'!AJ10</f>
        <v>20</v>
      </c>
      <c r="U27" s="4" t="s">
        <v>94</v>
      </c>
      <c r="V27" s="4" t="s">
        <v>94</v>
      </c>
      <c r="W27" s="4" t="s">
        <v>94</v>
      </c>
      <c r="X27" s="4" t="s">
        <v>94</v>
      </c>
      <c r="Y27" s="4" t="s">
        <v>94</v>
      </c>
      <c r="Z27" s="4" t="s">
        <v>94</v>
      </c>
      <c r="AA27" s="4" t="s">
        <v>94</v>
      </c>
      <c r="AB27" s="4" t="s">
        <v>94</v>
      </c>
      <c r="AC27" s="4" t="s">
        <v>94</v>
      </c>
      <c r="AD27" s="4" t="s">
        <v>94</v>
      </c>
      <c r="AE27" s="4" t="s">
        <v>94</v>
      </c>
      <c r="AF27" s="4" t="s">
        <v>94</v>
      </c>
      <c r="AG27" s="4" t="s">
        <v>94</v>
      </c>
      <c r="AH27" s="4" t="s">
        <v>94</v>
      </c>
      <c r="AI27" s="4" t="s">
        <v>94</v>
      </c>
      <c r="AJ27" s="4" t="s">
        <v>94</v>
      </c>
      <c r="AK27" s="4" t="s">
        <v>94</v>
      </c>
      <c r="AL27" s="4" t="s">
        <v>94</v>
      </c>
      <c r="AM27" s="4" t="s">
        <v>94</v>
      </c>
      <c r="AN27" s="4" t="s">
        <v>94</v>
      </c>
      <c r="AO27" s="4" t="s">
        <v>94</v>
      </c>
      <c r="AP27" s="4" t="s">
        <v>94</v>
      </c>
      <c r="AQ27" s="4" t="s">
        <v>94</v>
      </c>
      <c r="AR27" s="4" t="s">
        <v>94</v>
      </c>
      <c r="AS27" s="4" t="s">
        <v>94</v>
      </c>
      <c r="AT27" s="4" t="s">
        <v>94</v>
      </c>
      <c r="AU27" s="4" t="s">
        <v>94</v>
      </c>
      <c r="AV27" s="4" t="s">
        <v>94</v>
      </c>
      <c r="AW27" s="4" t="s">
        <v>94</v>
      </c>
      <c r="AX27" s="4" t="s">
        <v>94</v>
      </c>
      <c r="AY27" s="4" t="s">
        <v>94</v>
      </c>
      <c r="AZ27" s="4" t="s">
        <v>94</v>
      </c>
      <c r="BA27" s="4" t="s">
        <v>94</v>
      </c>
      <c r="BB27" s="4" t="s">
        <v>94</v>
      </c>
      <c r="BC27" s="4" t="s">
        <v>94</v>
      </c>
      <c r="BD27" s="4" t="s">
        <v>94</v>
      </c>
      <c r="BE27" s="4" t="s">
        <v>94</v>
      </c>
      <c r="BF27" s="4" t="s">
        <v>94</v>
      </c>
      <c r="BG27" s="4" t="s">
        <v>94</v>
      </c>
      <c r="BH27" s="4" t="s">
        <v>94</v>
      </c>
      <c r="BI27" s="4" t="s">
        <v>94</v>
      </c>
      <c r="BJ27" s="4" t="s">
        <v>94</v>
      </c>
      <c r="BK27" s="4" t="s">
        <v>94</v>
      </c>
      <c r="BL27" s="4" t="s">
        <v>94</v>
      </c>
      <c r="BM27" s="4" t="s">
        <v>94</v>
      </c>
      <c r="BN27" s="4" t="s">
        <v>94</v>
      </c>
      <c r="BO27" s="4" t="s">
        <v>94</v>
      </c>
      <c r="BP27" s="4" t="s">
        <v>94</v>
      </c>
      <c r="BQ27" s="4" t="s">
        <v>94</v>
      </c>
      <c r="BR27" s="4" t="s">
        <v>94</v>
      </c>
      <c r="BS27" s="4" t="s">
        <v>94</v>
      </c>
      <c r="BT27" s="4" t="s">
        <v>94</v>
      </c>
      <c r="BU27" s="4" t="s">
        <v>94</v>
      </c>
      <c r="BV27" s="4" t="s">
        <v>94</v>
      </c>
      <c r="BW27" s="4" t="s">
        <v>94</v>
      </c>
      <c r="BX27" s="4" t="s">
        <v>94</v>
      </c>
      <c r="BY27" s="4" t="s">
        <v>94</v>
      </c>
      <c r="BZ27" s="4" t="s">
        <v>94</v>
      </c>
      <c r="CA27" s="4" t="s">
        <v>94</v>
      </c>
      <c r="CB27" s="4" t="s">
        <v>94</v>
      </c>
      <c r="CC27" s="4" t="s">
        <v>94</v>
      </c>
      <c r="CD27" s="4" t="s">
        <v>94</v>
      </c>
      <c r="CE27" s="4" t="s">
        <v>94</v>
      </c>
      <c r="CF27" s="4" t="s">
        <v>94</v>
      </c>
      <c r="CG27" s="4" t="s">
        <v>94</v>
      </c>
      <c r="CH27" s="4" t="s">
        <v>94</v>
      </c>
      <c r="CI27" s="4" t="s">
        <v>94</v>
      </c>
      <c r="CJ27" s="4" t="s">
        <v>94</v>
      </c>
      <c r="CK27" s="4" t="s">
        <v>94</v>
      </c>
      <c r="CL27" s="4" t="s">
        <v>94</v>
      </c>
      <c r="CM27" s="4" t="s">
        <v>94</v>
      </c>
      <c r="CN27" s="4" t="s">
        <v>94</v>
      </c>
      <c r="CO27" s="4" t="s">
        <v>94</v>
      </c>
      <c r="CP27" s="4" t="s">
        <v>94</v>
      </c>
      <c r="CQ27" s="4" t="s">
        <v>94</v>
      </c>
      <c r="CR27" s="4" t="s">
        <v>94</v>
      </c>
      <c r="CS27" s="4" t="s">
        <v>94</v>
      </c>
      <c r="CT27" s="4" t="s">
        <v>94</v>
      </c>
      <c r="CU27" s="4" t="s">
        <v>94</v>
      </c>
      <c r="CV27" s="4" t="s">
        <v>94</v>
      </c>
      <c r="CW27" s="4" t="s">
        <v>94</v>
      </c>
      <c r="CX27" s="4" t="s">
        <v>94</v>
      </c>
      <c r="CY27" s="4" t="s">
        <v>94</v>
      </c>
      <c r="CZ27" s="4" t="s">
        <v>94</v>
      </c>
      <c r="DA27" s="4" t="s">
        <v>94</v>
      </c>
      <c r="DB27" s="4" t="s">
        <v>94</v>
      </c>
      <c r="DC27" s="4" t="s">
        <v>94</v>
      </c>
      <c r="DD27" s="4" t="s">
        <v>94</v>
      </c>
      <c r="DE27" s="4" t="s">
        <v>94</v>
      </c>
      <c r="DF27" s="4" t="s">
        <v>94</v>
      </c>
      <c r="DG27" s="4" t="s">
        <v>94</v>
      </c>
      <c r="DH27" s="4" t="s">
        <v>94</v>
      </c>
      <c r="DI27" s="4" t="s">
        <v>94</v>
      </c>
      <c r="DJ27" s="4" t="s">
        <v>94</v>
      </c>
      <c r="DK27" s="4" t="s">
        <v>94</v>
      </c>
    </row>
    <row r="28" spans="1:115" ht="15" x14ac:dyDescent="0.25">
      <c r="B28" s="150" t="s">
        <v>95</v>
      </c>
      <c r="C28" s="19" t="s">
        <v>96</v>
      </c>
      <c r="D28" s="4">
        <f>'001 B-'!AB10</f>
        <v>117</v>
      </c>
      <c r="E28" s="4">
        <f>'002 B-'!AB10</f>
        <v>117</v>
      </c>
      <c r="F28" s="1">
        <f>'003 T-'!AB10</f>
        <v>5</v>
      </c>
      <c r="G28" s="1">
        <f>'003 T-'!AB10</f>
        <v>5</v>
      </c>
      <c r="H28" s="1">
        <f>'003 T-'!AB10</f>
        <v>5</v>
      </c>
      <c r="I28" s="1">
        <f>'004 T-'!AB10</f>
        <v>5</v>
      </c>
      <c r="J28" s="1">
        <f>'004 T-'!AB10</f>
        <v>5</v>
      </c>
      <c r="K28" s="1">
        <f>'005 D-'!AB10</f>
        <v>6</v>
      </c>
      <c r="L28" s="1">
        <f>'005 D-'!AB10</f>
        <v>6</v>
      </c>
      <c r="M28" s="1">
        <f>'005 D-'!AB10</f>
        <v>6</v>
      </c>
      <c r="N28" s="1">
        <f>'006 D-'!AB10</f>
        <v>6</v>
      </c>
      <c r="O28" s="1">
        <f>'006 D-'!AB10</f>
        <v>6</v>
      </c>
      <c r="P28" s="1">
        <f>'007 C-'!AB10</f>
        <v>0</v>
      </c>
      <c r="Q28" s="1">
        <f>'007 C-'!AB10</f>
        <v>0</v>
      </c>
      <c r="R28" s="1">
        <f>'008 C-'!AB10</f>
        <v>19</v>
      </c>
      <c r="S28" s="1">
        <f>'009 C-'!AB10</f>
        <v>19</v>
      </c>
      <c r="T28" s="1">
        <f>'009 C-'!AB10</f>
        <v>19</v>
      </c>
      <c r="U28" s="4" t="s">
        <v>97</v>
      </c>
      <c r="V28" s="4" t="s">
        <v>97</v>
      </c>
      <c r="W28" s="4" t="s">
        <v>97</v>
      </c>
      <c r="X28" s="4" t="s">
        <v>97</v>
      </c>
      <c r="Y28" s="4" t="s">
        <v>97</v>
      </c>
      <c r="Z28" s="4" t="s">
        <v>97</v>
      </c>
      <c r="AA28" s="4" t="s">
        <v>97</v>
      </c>
      <c r="AB28" s="4" t="s">
        <v>97</v>
      </c>
      <c r="AC28" s="4" t="s">
        <v>97</v>
      </c>
      <c r="AD28" s="4" t="s">
        <v>97</v>
      </c>
      <c r="AE28" s="4" t="s">
        <v>97</v>
      </c>
      <c r="AF28" s="4" t="s">
        <v>97</v>
      </c>
      <c r="AG28" s="4" t="s">
        <v>97</v>
      </c>
      <c r="AH28" s="4" t="s">
        <v>97</v>
      </c>
      <c r="AI28" s="4" t="s">
        <v>97</v>
      </c>
      <c r="AJ28" s="4" t="s">
        <v>97</v>
      </c>
      <c r="AK28" s="4" t="s">
        <v>97</v>
      </c>
      <c r="AL28" s="4" t="s">
        <v>97</v>
      </c>
      <c r="AM28" s="4" t="s">
        <v>97</v>
      </c>
      <c r="AN28" s="4" t="s">
        <v>97</v>
      </c>
      <c r="AO28" s="4" t="s">
        <v>97</v>
      </c>
      <c r="AP28" s="4" t="s">
        <v>97</v>
      </c>
      <c r="AQ28" s="4" t="s">
        <v>97</v>
      </c>
      <c r="AR28" s="4" t="s">
        <v>97</v>
      </c>
      <c r="AS28" s="4" t="s">
        <v>97</v>
      </c>
      <c r="AT28" s="4" t="s">
        <v>97</v>
      </c>
      <c r="AU28" s="4" t="s">
        <v>97</v>
      </c>
      <c r="AV28" s="4" t="s">
        <v>97</v>
      </c>
      <c r="AW28" s="4" t="s">
        <v>97</v>
      </c>
      <c r="AX28" s="4" t="s">
        <v>97</v>
      </c>
      <c r="AY28" s="4" t="s">
        <v>97</v>
      </c>
      <c r="AZ28" s="4" t="s">
        <v>97</v>
      </c>
      <c r="BA28" s="4" t="s">
        <v>97</v>
      </c>
      <c r="BB28" s="4" t="s">
        <v>97</v>
      </c>
      <c r="BC28" s="4" t="s">
        <v>97</v>
      </c>
      <c r="BD28" s="4" t="s">
        <v>97</v>
      </c>
      <c r="BE28" s="4" t="s">
        <v>97</v>
      </c>
      <c r="BF28" s="4" t="s">
        <v>97</v>
      </c>
      <c r="BG28" s="4" t="s">
        <v>97</v>
      </c>
      <c r="BH28" s="4" t="s">
        <v>97</v>
      </c>
      <c r="BI28" s="4" t="s">
        <v>97</v>
      </c>
      <c r="BJ28" s="4" t="s">
        <v>97</v>
      </c>
      <c r="BK28" s="4" t="s">
        <v>97</v>
      </c>
      <c r="BL28" s="4" t="s">
        <v>97</v>
      </c>
      <c r="BM28" s="4" t="s">
        <v>97</v>
      </c>
      <c r="BN28" s="4" t="s">
        <v>97</v>
      </c>
      <c r="BO28" s="4" t="s">
        <v>97</v>
      </c>
      <c r="BP28" s="4" t="s">
        <v>97</v>
      </c>
      <c r="BQ28" s="4" t="s">
        <v>97</v>
      </c>
      <c r="BR28" s="4" t="s">
        <v>97</v>
      </c>
      <c r="BS28" s="4" t="s">
        <v>97</v>
      </c>
      <c r="BT28" s="4" t="s">
        <v>97</v>
      </c>
      <c r="BU28" s="4" t="s">
        <v>97</v>
      </c>
      <c r="BV28" s="4" t="s">
        <v>97</v>
      </c>
      <c r="BW28" s="4" t="s">
        <v>97</v>
      </c>
      <c r="BX28" s="4" t="s">
        <v>97</v>
      </c>
      <c r="BY28" s="4" t="s">
        <v>97</v>
      </c>
      <c r="BZ28" s="4" t="s">
        <v>97</v>
      </c>
      <c r="CA28" s="4" t="s">
        <v>97</v>
      </c>
      <c r="CB28" s="4" t="s">
        <v>97</v>
      </c>
      <c r="CC28" s="4" t="s">
        <v>97</v>
      </c>
      <c r="CD28" s="4" t="s">
        <v>97</v>
      </c>
      <c r="CE28" s="4" t="s">
        <v>97</v>
      </c>
      <c r="CF28" s="4" t="s">
        <v>97</v>
      </c>
      <c r="CG28" s="4" t="s">
        <v>97</v>
      </c>
      <c r="CH28" s="4" t="s">
        <v>97</v>
      </c>
      <c r="CI28" s="4" t="s">
        <v>97</v>
      </c>
      <c r="CJ28" s="4" t="s">
        <v>97</v>
      </c>
      <c r="CK28" s="4" t="s">
        <v>97</v>
      </c>
      <c r="CL28" s="4" t="s">
        <v>97</v>
      </c>
      <c r="CM28" s="4" t="s">
        <v>97</v>
      </c>
      <c r="CN28" s="4" t="s">
        <v>97</v>
      </c>
      <c r="CO28" s="4" t="s">
        <v>97</v>
      </c>
      <c r="CP28" s="4" t="s">
        <v>97</v>
      </c>
      <c r="CQ28" s="4" t="s">
        <v>97</v>
      </c>
      <c r="CR28" s="4" t="s">
        <v>97</v>
      </c>
      <c r="CS28" s="4" t="s">
        <v>97</v>
      </c>
      <c r="CT28" s="4" t="s">
        <v>97</v>
      </c>
      <c r="CU28" s="4" t="s">
        <v>97</v>
      </c>
      <c r="CV28" s="4" t="s">
        <v>97</v>
      </c>
      <c r="CW28" s="4" t="s">
        <v>97</v>
      </c>
      <c r="CX28" s="4" t="s">
        <v>97</v>
      </c>
      <c r="CY28" s="4" t="s">
        <v>97</v>
      </c>
      <c r="CZ28" s="4" t="s">
        <v>97</v>
      </c>
      <c r="DA28" s="4" t="s">
        <v>97</v>
      </c>
      <c r="DB28" s="4" t="s">
        <v>97</v>
      </c>
      <c r="DC28" s="4" t="s">
        <v>97</v>
      </c>
      <c r="DD28" s="4" t="s">
        <v>97</v>
      </c>
      <c r="DE28" s="4" t="s">
        <v>97</v>
      </c>
      <c r="DF28" s="4" t="s">
        <v>97</v>
      </c>
      <c r="DG28" s="4" t="s">
        <v>97</v>
      </c>
      <c r="DH28" s="4" t="s">
        <v>97</v>
      </c>
      <c r="DI28" s="4" t="s">
        <v>97</v>
      </c>
      <c r="DJ28" s="4" t="s">
        <v>97</v>
      </c>
      <c r="DK28" s="4" t="s">
        <v>97</v>
      </c>
    </row>
    <row r="29" spans="1:115" ht="15" x14ac:dyDescent="0.25">
      <c r="A29" s="1" t="s">
        <v>19</v>
      </c>
      <c r="B29" s="150" t="s">
        <v>98</v>
      </c>
      <c r="C29" s="19" t="s">
        <v>99</v>
      </c>
      <c r="D29" s="4">
        <f>'001 B-'!AC10</f>
        <v>43</v>
      </c>
      <c r="E29" s="4">
        <f>'002 B-'!AC10</f>
        <v>43</v>
      </c>
      <c r="F29" s="1">
        <f>'003 T-'!AC10</f>
        <v>5</v>
      </c>
      <c r="G29" s="1">
        <f>'003 T-'!AC10</f>
        <v>5</v>
      </c>
      <c r="H29" s="1">
        <f>'003 T-'!AC10</f>
        <v>5</v>
      </c>
      <c r="I29" s="1">
        <f>'004 T-'!AC10</f>
        <v>5</v>
      </c>
      <c r="J29" s="1">
        <f>'004 T-'!AC10</f>
        <v>5</v>
      </c>
      <c r="K29" s="1">
        <f>'005 D-'!AC10</f>
        <v>101</v>
      </c>
      <c r="L29" s="1">
        <f>'005 D-'!AC10</f>
        <v>101</v>
      </c>
      <c r="M29" s="1">
        <f>'005 D-'!AC10</f>
        <v>101</v>
      </c>
      <c r="N29" s="1">
        <f>'006 D-'!AC10</f>
        <v>101</v>
      </c>
      <c r="O29" s="1">
        <f>'006 D-'!AC10</f>
        <v>101</v>
      </c>
      <c r="P29" s="1">
        <f>'007 C-'!AC10</f>
        <v>34</v>
      </c>
      <c r="Q29" s="1">
        <f>'007 C-'!AC10</f>
        <v>34</v>
      </c>
      <c r="R29" s="1">
        <f>'008 C-'!AC10</f>
        <v>19</v>
      </c>
      <c r="S29" s="1">
        <f>'009 C-'!AC10</f>
        <v>19</v>
      </c>
      <c r="T29" s="1">
        <f>'009 C-'!AC10</f>
        <v>19</v>
      </c>
      <c r="U29" s="4" t="s">
        <v>100</v>
      </c>
      <c r="V29" s="4" t="s">
        <v>100</v>
      </c>
      <c r="W29" s="4" t="s">
        <v>100</v>
      </c>
      <c r="X29" s="4" t="s">
        <v>100</v>
      </c>
      <c r="Y29" s="4" t="s">
        <v>100</v>
      </c>
      <c r="Z29" s="4" t="s">
        <v>100</v>
      </c>
      <c r="AA29" s="4" t="s">
        <v>100</v>
      </c>
      <c r="AB29" s="4" t="s">
        <v>100</v>
      </c>
      <c r="AC29" s="4" t="s">
        <v>100</v>
      </c>
      <c r="AD29" s="4" t="s">
        <v>100</v>
      </c>
      <c r="AE29" s="4" t="s">
        <v>100</v>
      </c>
      <c r="AF29" s="4" t="s">
        <v>100</v>
      </c>
      <c r="AG29" s="4" t="s">
        <v>100</v>
      </c>
      <c r="AH29" s="4" t="s">
        <v>100</v>
      </c>
      <c r="AI29" s="4" t="s">
        <v>100</v>
      </c>
      <c r="AJ29" s="4" t="s">
        <v>100</v>
      </c>
      <c r="AK29" s="4" t="s">
        <v>100</v>
      </c>
      <c r="AL29" s="4" t="s">
        <v>100</v>
      </c>
      <c r="AM29" s="4" t="s">
        <v>100</v>
      </c>
      <c r="AN29" s="4" t="s">
        <v>100</v>
      </c>
      <c r="AO29" s="4" t="s">
        <v>100</v>
      </c>
      <c r="AP29" s="4" t="s">
        <v>100</v>
      </c>
      <c r="AQ29" s="4" t="s">
        <v>100</v>
      </c>
      <c r="AR29" s="4" t="s">
        <v>100</v>
      </c>
      <c r="AS29" s="4" t="s">
        <v>100</v>
      </c>
      <c r="AT29" s="4" t="s">
        <v>100</v>
      </c>
      <c r="AU29" s="4" t="s">
        <v>100</v>
      </c>
      <c r="AV29" s="4" t="s">
        <v>100</v>
      </c>
      <c r="AW29" s="4" t="s">
        <v>100</v>
      </c>
      <c r="AX29" s="4" t="s">
        <v>100</v>
      </c>
      <c r="AY29" s="4" t="s">
        <v>100</v>
      </c>
      <c r="AZ29" s="4" t="s">
        <v>100</v>
      </c>
      <c r="BA29" s="4" t="s">
        <v>100</v>
      </c>
      <c r="BB29" s="4" t="s">
        <v>100</v>
      </c>
      <c r="BC29" s="4" t="s">
        <v>100</v>
      </c>
      <c r="BD29" s="4" t="s">
        <v>100</v>
      </c>
      <c r="BE29" s="4" t="s">
        <v>100</v>
      </c>
      <c r="BF29" s="4" t="s">
        <v>100</v>
      </c>
      <c r="BG29" s="4" t="s">
        <v>100</v>
      </c>
      <c r="BH29" s="4" t="s">
        <v>100</v>
      </c>
      <c r="BI29" s="4" t="s">
        <v>100</v>
      </c>
      <c r="BJ29" s="4" t="s">
        <v>100</v>
      </c>
      <c r="BK29" s="4" t="s">
        <v>100</v>
      </c>
      <c r="BL29" s="4" t="s">
        <v>100</v>
      </c>
      <c r="BM29" s="4" t="s">
        <v>100</v>
      </c>
      <c r="BN29" s="4" t="s">
        <v>100</v>
      </c>
      <c r="BO29" s="4" t="s">
        <v>100</v>
      </c>
      <c r="BP29" s="4" t="s">
        <v>100</v>
      </c>
      <c r="BQ29" s="4" t="s">
        <v>100</v>
      </c>
      <c r="BR29" s="4" t="s">
        <v>100</v>
      </c>
      <c r="BS29" s="4" t="s">
        <v>100</v>
      </c>
      <c r="BT29" s="4" t="s">
        <v>100</v>
      </c>
      <c r="BU29" s="4" t="s">
        <v>100</v>
      </c>
      <c r="BV29" s="4" t="s">
        <v>100</v>
      </c>
      <c r="BW29" s="4" t="s">
        <v>100</v>
      </c>
      <c r="BX29" s="4" t="s">
        <v>100</v>
      </c>
      <c r="BY29" s="4" t="s">
        <v>100</v>
      </c>
      <c r="BZ29" s="4" t="s">
        <v>100</v>
      </c>
      <c r="CA29" s="4" t="s">
        <v>100</v>
      </c>
      <c r="CB29" s="4" t="s">
        <v>100</v>
      </c>
      <c r="CC29" s="4" t="s">
        <v>100</v>
      </c>
      <c r="CD29" s="4" t="s">
        <v>100</v>
      </c>
      <c r="CE29" s="4" t="s">
        <v>100</v>
      </c>
      <c r="CF29" s="4" t="s">
        <v>100</v>
      </c>
      <c r="CG29" s="4" t="s">
        <v>100</v>
      </c>
      <c r="CH29" s="4" t="s">
        <v>100</v>
      </c>
      <c r="CI29" s="4" t="s">
        <v>100</v>
      </c>
      <c r="CJ29" s="4" t="s">
        <v>100</v>
      </c>
      <c r="CK29" s="4" t="s">
        <v>100</v>
      </c>
      <c r="CL29" s="4" t="s">
        <v>100</v>
      </c>
      <c r="CM29" s="4" t="s">
        <v>100</v>
      </c>
      <c r="CN29" s="4" t="s">
        <v>100</v>
      </c>
      <c r="CO29" s="4" t="s">
        <v>100</v>
      </c>
      <c r="CP29" s="4" t="s">
        <v>100</v>
      </c>
      <c r="CQ29" s="4" t="s">
        <v>100</v>
      </c>
      <c r="CR29" s="4" t="s">
        <v>100</v>
      </c>
      <c r="CS29" s="4" t="s">
        <v>100</v>
      </c>
      <c r="CT29" s="4" t="s">
        <v>100</v>
      </c>
      <c r="CU29" s="4" t="s">
        <v>100</v>
      </c>
      <c r="CV29" s="4" t="s">
        <v>100</v>
      </c>
      <c r="CW29" s="4" t="s">
        <v>100</v>
      </c>
      <c r="CX29" s="4" t="s">
        <v>100</v>
      </c>
      <c r="CY29" s="4" t="s">
        <v>100</v>
      </c>
      <c r="CZ29" s="4" t="s">
        <v>100</v>
      </c>
      <c r="DA29" s="4" t="s">
        <v>100</v>
      </c>
      <c r="DB29" s="4" t="s">
        <v>100</v>
      </c>
      <c r="DC29" s="4" t="s">
        <v>100</v>
      </c>
      <c r="DD29" s="4" t="s">
        <v>100</v>
      </c>
      <c r="DE29" s="4" t="s">
        <v>100</v>
      </c>
      <c r="DF29" s="4" t="s">
        <v>100</v>
      </c>
      <c r="DG29" s="4" t="s">
        <v>100</v>
      </c>
      <c r="DH29" s="4" t="s">
        <v>100</v>
      </c>
      <c r="DI29" s="4" t="s">
        <v>100</v>
      </c>
      <c r="DJ29" s="4" t="s">
        <v>100</v>
      </c>
      <c r="DK29" s="4" t="s">
        <v>100</v>
      </c>
    </row>
    <row r="30" spans="1:115" ht="15" x14ac:dyDescent="0.25">
      <c r="B30" s="150" t="s">
        <v>101</v>
      </c>
      <c r="C30" s="19" t="s">
        <v>102</v>
      </c>
      <c r="D30" s="4">
        <f>'001 B-'!AD10</f>
        <v>43</v>
      </c>
      <c r="E30" s="4">
        <f>'002 B-'!AD10</f>
        <v>43</v>
      </c>
      <c r="F30" s="1">
        <f>'003 T-'!AD10</f>
        <v>5</v>
      </c>
      <c r="G30" s="1">
        <f>'003 T-'!AD10</f>
        <v>5</v>
      </c>
      <c r="H30" s="1">
        <f>'003 T-'!AD10</f>
        <v>5</v>
      </c>
      <c r="I30" s="1">
        <f>'004 T-'!AD10</f>
        <v>5</v>
      </c>
      <c r="J30" s="1">
        <f>'004 T-'!AD10</f>
        <v>5</v>
      </c>
      <c r="K30" s="1">
        <f>'005 D-'!AD10</f>
        <v>6</v>
      </c>
      <c r="L30" s="1">
        <f>'005 D-'!AD10</f>
        <v>6</v>
      </c>
      <c r="M30" s="1">
        <f>'005 D-'!AD10</f>
        <v>6</v>
      </c>
      <c r="N30" s="1">
        <f>'006 D-'!AD10</f>
        <v>6</v>
      </c>
      <c r="O30" s="1">
        <f>'006 D-'!AD10</f>
        <v>6</v>
      </c>
      <c r="P30" s="1">
        <f>'007 C-'!AD10</f>
        <v>0</v>
      </c>
      <c r="Q30" s="1">
        <f>'007 C-'!AD10</f>
        <v>0</v>
      </c>
      <c r="R30" s="1">
        <f>'008 C-'!AD10</f>
        <v>19</v>
      </c>
      <c r="S30" s="1">
        <f>'009 C-'!AD10</f>
        <v>19</v>
      </c>
      <c r="T30" s="1">
        <f>'009 C-'!AD10</f>
        <v>19</v>
      </c>
      <c r="U30" s="4" t="s">
        <v>103</v>
      </c>
      <c r="V30" s="4" t="s">
        <v>103</v>
      </c>
      <c r="W30" s="4" t="s">
        <v>103</v>
      </c>
      <c r="X30" s="4" t="s">
        <v>103</v>
      </c>
      <c r="Y30" s="4" t="s">
        <v>103</v>
      </c>
      <c r="Z30" s="4" t="s">
        <v>103</v>
      </c>
      <c r="AA30" s="4" t="s">
        <v>103</v>
      </c>
      <c r="AB30" s="4" t="s">
        <v>103</v>
      </c>
      <c r="AC30" s="4" t="s">
        <v>103</v>
      </c>
      <c r="AD30" s="4" t="s">
        <v>103</v>
      </c>
      <c r="AE30" s="4" t="s">
        <v>103</v>
      </c>
      <c r="AF30" s="4" t="s">
        <v>103</v>
      </c>
      <c r="AG30" s="4" t="s">
        <v>103</v>
      </c>
      <c r="AH30" s="4" t="s">
        <v>103</v>
      </c>
      <c r="AI30" s="4" t="s">
        <v>103</v>
      </c>
      <c r="AJ30" s="4" t="s">
        <v>103</v>
      </c>
      <c r="AK30" s="4" t="s">
        <v>103</v>
      </c>
      <c r="AL30" s="4" t="s">
        <v>103</v>
      </c>
      <c r="AM30" s="4" t="s">
        <v>103</v>
      </c>
      <c r="AN30" s="4" t="s">
        <v>103</v>
      </c>
      <c r="AO30" s="4" t="s">
        <v>103</v>
      </c>
      <c r="AP30" s="4" t="s">
        <v>103</v>
      </c>
      <c r="AQ30" s="4" t="s">
        <v>103</v>
      </c>
      <c r="AR30" s="4" t="s">
        <v>103</v>
      </c>
      <c r="AS30" s="4" t="s">
        <v>103</v>
      </c>
      <c r="AT30" s="4" t="s">
        <v>103</v>
      </c>
      <c r="AU30" s="4" t="s">
        <v>103</v>
      </c>
      <c r="AV30" s="4" t="s">
        <v>103</v>
      </c>
      <c r="AW30" s="4" t="s">
        <v>103</v>
      </c>
      <c r="AX30" s="4" t="s">
        <v>103</v>
      </c>
      <c r="AY30" s="4" t="s">
        <v>103</v>
      </c>
      <c r="AZ30" s="4" t="s">
        <v>103</v>
      </c>
      <c r="BA30" s="4" t="s">
        <v>103</v>
      </c>
      <c r="BB30" s="4" t="s">
        <v>103</v>
      </c>
      <c r="BC30" s="4" t="s">
        <v>103</v>
      </c>
      <c r="BD30" s="4" t="s">
        <v>103</v>
      </c>
      <c r="BE30" s="4" t="s">
        <v>103</v>
      </c>
      <c r="BF30" s="4" t="s">
        <v>103</v>
      </c>
      <c r="BG30" s="4" t="s">
        <v>103</v>
      </c>
      <c r="BH30" s="4" t="s">
        <v>103</v>
      </c>
      <c r="BI30" s="4" t="s">
        <v>103</v>
      </c>
      <c r="BJ30" s="4" t="s">
        <v>103</v>
      </c>
      <c r="BK30" s="4" t="s">
        <v>103</v>
      </c>
      <c r="BL30" s="4" t="s">
        <v>103</v>
      </c>
      <c r="BM30" s="4" t="s">
        <v>103</v>
      </c>
      <c r="BN30" s="4" t="s">
        <v>103</v>
      </c>
      <c r="BO30" s="4" t="s">
        <v>103</v>
      </c>
      <c r="BP30" s="4" t="s">
        <v>103</v>
      </c>
      <c r="BQ30" s="4" t="s">
        <v>103</v>
      </c>
      <c r="BR30" s="4" t="s">
        <v>103</v>
      </c>
      <c r="BS30" s="4" t="s">
        <v>103</v>
      </c>
      <c r="BT30" s="4" t="s">
        <v>103</v>
      </c>
      <c r="BU30" s="4" t="s">
        <v>103</v>
      </c>
      <c r="BV30" s="4" t="s">
        <v>103</v>
      </c>
      <c r="BW30" s="4" t="s">
        <v>103</v>
      </c>
      <c r="BX30" s="4" t="s">
        <v>103</v>
      </c>
      <c r="BY30" s="4" t="s">
        <v>103</v>
      </c>
      <c r="BZ30" s="4" t="s">
        <v>103</v>
      </c>
      <c r="CA30" s="4" t="s">
        <v>103</v>
      </c>
      <c r="CB30" s="4" t="s">
        <v>103</v>
      </c>
      <c r="CC30" s="4" t="s">
        <v>103</v>
      </c>
      <c r="CD30" s="4" t="s">
        <v>103</v>
      </c>
      <c r="CE30" s="4" t="s">
        <v>103</v>
      </c>
      <c r="CF30" s="4" t="s">
        <v>103</v>
      </c>
      <c r="CG30" s="4" t="s">
        <v>103</v>
      </c>
      <c r="CH30" s="4" t="s">
        <v>103</v>
      </c>
      <c r="CI30" s="4" t="s">
        <v>103</v>
      </c>
      <c r="CJ30" s="4" t="s">
        <v>103</v>
      </c>
      <c r="CK30" s="4" t="s">
        <v>103</v>
      </c>
      <c r="CL30" s="4" t="s">
        <v>103</v>
      </c>
      <c r="CM30" s="4" t="s">
        <v>103</v>
      </c>
      <c r="CN30" s="4" t="s">
        <v>103</v>
      </c>
      <c r="CO30" s="4" t="s">
        <v>103</v>
      </c>
      <c r="CP30" s="4" t="s">
        <v>103</v>
      </c>
      <c r="CQ30" s="4" t="s">
        <v>103</v>
      </c>
      <c r="CR30" s="4" t="s">
        <v>103</v>
      </c>
      <c r="CS30" s="4" t="s">
        <v>103</v>
      </c>
      <c r="CT30" s="4" t="s">
        <v>103</v>
      </c>
      <c r="CU30" s="4" t="s">
        <v>103</v>
      </c>
      <c r="CV30" s="4" t="s">
        <v>103</v>
      </c>
      <c r="CW30" s="4" t="s">
        <v>103</v>
      </c>
      <c r="CX30" s="4" t="s">
        <v>103</v>
      </c>
      <c r="CY30" s="4" t="s">
        <v>103</v>
      </c>
      <c r="CZ30" s="4" t="s">
        <v>103</v>
      </c>
      <c r="DA30" s="4" t="s">
        <v>103</v>
      </c>
      <c r="DB30" s="4" t="s">
        <v>103</v>
      </c>
      <c r="DC30" s="4" t="s">
        <v>103</v>
      </c>
      <c r="DD30" s="4" t="s">
        <v>103</v>
      </c>
      <c r="DE30" s="4" t="s">
        <v>103</v>
      </c>
      <c r="DF30" s="4" t="s">
        <v>103</v>
      </c>
      <c r="DG30" s="4" t="s">
        <v>103</v>
      </c>
      <c r="DH30" s="4" t="s">
        <v>103</v>
      </c>
      <c r="DI30" s="4" t="s">
        <v>103</v>
      </c>
      <c r="DJ30" s="4" t="s">
        <v>103</v>
      </c>
      <c r="DK30" s="4" t="s">
        <v>103</v>
      </c>
    </row>
    <row r="31" spans="1:115" ht="15" x14ac:dyDescent="0.25">
      <c r="A31" s="1" t="s">
        <v>19</v>
      </c>
      <c r="B31" s="151" t="s">
        <v>104</v>
      </c>
      <c r="C31" s="20" t="s">
        <v>105</v>
      </c>
      <c r="D31" s="4">
        <f>'001 B-'!AE10</f>
        <v>43</v>
      </c>
      <c r="E31" s="4">
        <f>'002 B-'!AE10</f>
        <v>43</v>
      </c>
      <c r="F31" s="1">
        <f>'003 T-'!AE10</f>
        <v>5</v>
      </c>
      <c r="G31" s="1">
        <f>'003 T-'!AE10</f>
        <v>5</v>
      </c>
      <c r="H31" s="1">
        <f>'003 T-'!AE10</f>
        <v>5</v>
      </c>
      <c r="I31" s="1">
        <f>'004 T-'!AE10</f>
        <v>5</v>
      </c>
      <c r="J31" s="1">
        <f>'004 T-'!AE10</f>
        <v>5</v>
      </c>
      <c r="K31" s="1">
        <f>'005 D-'!AE10</f>
        <v>101</v>
      </c>
      <c r="L31" s="1">
        <f>'005 D-'!AE10</f>
        <v>101</v>
      </c>
      <c r="M31" s="1">
        <f>'005 D-'!AE10</f>
        <v>101</v>
      </c>
      <c r="N31" s="1">
        <f>'006 D-'!AE10</f>
        <v>101</v>
      </c>
      <c r="O31" s="1">
        <f>'006 D-'!AE10</f>
        <v>101</v>
      </c>
      <c r="P31" s="1">
        <f>'007 C-'!AE10</f>
        <v>34</v>
      </c>
      <c r="Q31" s="1">
        <f>'007 C-'!AE10</f>
        <v>34</v>
      </c>
      <c r="R31" s="1">
        <f>'008 C-'!AE10</f>
        <v>19</v>
      </c>
      <c r="S31" s="1">
        <f>'009 C-'!AE10</f>
        <v>19</v>
      </c>
      <c r="T31" s="1">
        <f>'009 C-'!AE10</f>
        <v>19</v>
      </c>
      <c r="U31" s="4" t="s">
        <v>106</v>
      </c>
      <c r="V31" s="4" t="s">
        <v>106</v>
      </c>
      <c r="W31" s="4" t="s">
        <v>106</v>
      </c>
      <c r="X31" s="4" t="s">
        <v>106</v>
      </c>
      <c r="Y31" s="4" t="s">
        <v>106</v>
      </c>
      <c r="Z31" s="4" t="s">
        <v>106</v>
      </c>
      <c r="AA31" s="4" t="s">
        <v>106</v>
      </c>
      <c r="AB31" s="4" t="s">
        <v>106</v>
      </c>
      <c r="AC31" s="4" t="s">
        <v>106</v>
      </c>
      <c r="AD31" s="4" t="s">
        <v>106</v>
      </c>
      <c r="AE31" s="4" t="s">
        <v>106</v>
      </c>
      <c r="AF31" s="4" t="s">
        <v>106</v>
      </c>
      <c r="AG31" s="4" t="s">
        <v>106</v>
      </c>
      <c r="AH31" s="4" t="s">
        <v>106</v>
      </c>
      <c r="AI31" s="4" t="s">
        <v>106</v>
      </c>
      <c r="AJ31" s="4" t="s">
        <v>106</v>
      </c>
      <c r="AK31" s="4" t="s">
        <v>106</v>
      </c>
      <c r="AL31" s="4" t="s">
        <v>106</v>
      </c>
      <c r="AM31" s="4" t="s">
        <v>106</v>
      </c>
      <c r="AN31" s="4" t="s">
        <v>106</v>
      </c>
      <c r="AO31" s="4" t="s">
        <v>106</v>
      </c>
      <c r="AP31" s="4" t="s">
        <v>106</v>
      </c>
      <c r="AQ31" s="4" t="s">
        <v>106</v>
      </c>
      <c r="AR31" s="4" t="s">
        <v>106</v>
      </c>
      <c r="AS31" s="4" t="s">
        <v>106</v>
      </c>
      <c r="AT31" s="4" t="s">
        <v>106</v>
      </c>
      <c r="AU31" s="4" t="s">
        <v>106</v>
      </c>
      <c r="AV31" s="4" t="s">
        <v>106</v>
      </c>
      <c r="AW31" s="4" t="s">
        <v>106</v>
      </c>
      <c r="AX31" s="4" t="s">
        <v>106</v>
      </c>
      <c r="AY31" s="4" t="s">
        <v>106</v>
      </c>
      <c r="AZ31" s="4" t="s">
        <v>106</v>
      </c>
      <c r="BA31" s="4" t="s">
        <v>106</v>
      </c>
      <c r="BB31" s="4" t="s">
        <v>106</v>
      </c>
      <c r="BC31" s="4" t="s">
        <v>106</v>
      </c>
      <c r="BD31" s="4" t="s">
        <v>106</v>
      </c>
      <c r="BE31" s="4" t="s">
        <v>106</v>
      </c>
      <c r="BF31" s="4" t="s">
        <v>106</v>
      </c>
      <c r="BG31" s="4" t="s">
        <v>106</v>
      </c>
      <c r="BH31" s="4" t="s">
        <v>106</v>
      </c>
      <c r="BI31" s="4" t="s">
        <v>106</v>
      </c>
      <c r="BJ31" s="4" t="s">
        <v>106</v>
      </c>
      <c r="BK31" s="4" t="s">
        <v>106</v>
      </c>
      <c r="BL31" s="4" t="s">
        <v>106</v>
      </c>
      <c r="BM31" s="4" t="s">
        <v>106</v>
      </c>
      <c r="BN31" s="4" t="s">
        <v>106</v>
      </c>
      <c r="BO31" s="4" t="s">
        <v>106</v>
      </c>
      <c r="BP31" s="4" t="s">
        <v>106</v>
      </c>
      <c r="BQ31" s="4" t="s">
        <v>106</v>
      </c>
      <c r="BR31" s="4" t="s">
        <v>106</v>
      </c>
      <c r="BS31" s="4" t="s">
        <v>106</v>
      </c>
      <c r="BT31" s="4" t="s">
        <v>106</v>
      </c>
      <c r="BU31" s="4" t="s">
        <v>106</v>
      </c>
      <c r="BV31" s="4" t="s">
        <v>106</v>
      </c>
      <c r="BW31" s="4" t="s">
        <v>106</v>
      </c>
      <c r="BX31" s="4" t="s">
        <v>106</v>
      </c>
      <c r="BY31" s="4" t="s">
        <v>106</v>
      </c>
      <c r="BZ31" s="4" t="s">
        <v>106</v>
      </c>
      <c r="CA31" s="4" t="s">
        <v>106</v>
      </c>
      <c r="CB31" s="4" t="s">
        <v>106</v>
      </c>
      <c r="CC31" s="4" t="s">
        <v>106</v>
      </c>
      <c r="CD31" s="4" t="s">
        <v>106</v>
      </c>
      <c r="CE31" s="4" t="s">
        <v>106</v>
      </c>
      <c r="CF31" s="4" t="s">
        <v>106</v>
      </c>
      <c r="CG31" s="4" t="s">
        <v>106</v>
      </c>
      <c r="CH31" s="4" t="s">
        <v>106</v>
      </c>
      <c r="CI31" s="4" t="s">
        <v>106</v>
      </c>
      <c r="CJ31" s="4" t="s">
        <v>106</v>
      </c>
      <c r="CK31" s="4" t="s">
        <v>106</v>
      </c>
      <c r="CL31" s="4" t="s">
        <v>106</v>
      </c>
      <c r="CM31" s="4" t="s">
        <v>106</v>
      </c>
      <c r="CN31" s="4" t="s">
        <v>106</v>
      </c>
      <c r="CO31" s="4" t="s">
        <v>106</v>
      </c>
      <c r="CP31" s="4" t="s">
        <v>106</v>
      </c>
      <c r="CQ31" s="4" t="s">
        <v>106</v>
      </c>
      <c r="CR31" s="4" t="s">
        <v>106</v>
      </c>
      <c r="CS31" s="4" t="s">
        <v>106</v>
      </c>
      <c r="CT31" s="4" t="s">
        <v>106</v>
      </c>
      <c r="CU31" s="4" t="s">
        <v>106</v>
      </c>
      <c r="CV31" s="4" t="s">
        <v>106</v>
      </c>
      <c r="CW31" s="4" t="s">
        <v>106</v>
      </c>
      <c r="CX31" s="4" t="s">
        <v>106</v>
      </c>
      <c r="CY31" s="4" t="s">
        <v>106</v>
      </c>
      <c r="CZ31" s="4" t="s">
        <v>106</v>
      </c>
      <c r="DA31" s="4" t="s">
        <v>106</v>
      </c>
      <c r="DB31" s="4" t="s">
        <v>106</v>
      </c>
      <c r="DC31" s="4" t="s">
        <v>106</v>
      </c>
      <c r="DD31" s="4" t="s">
        <v>106</v>
      </c>
      <c r="DE31" s="4" t="s">
        <v>106</v>
      </c>
      <c r="DF31" s="4" t="s">
        <v>106</v>
      </c>
      <c r="DG31" s="4" t="s">
        <v>106</v>
      </c>
      <c r="DH31" s="4" t="s">
        <v>106</v>
      </c>
      <c r="DI31" s="4" t="s">
        <v>106</v>
      </c>
      <c r="DJ31" s="4" t="s">
        <v>106</v>
      </c>
      <c r="DK31" s="4" t="s">
        <v>106</v>
      </c>
    </row>
    <row r="32" spans="1:115" ht="15" x14ac:dyDescent="0.25">
      <c r="A32" s="1" t="s">
        <v>19</v>
      </c>
      <c r="B32" s="152" t="s">
        <v>107</v>
      </c>
      <c r="C32" s="21" t="s">
        <v>108</v>
      </c>
      <c r="D32" s="4">
        <f>'001 B-'!AF10</f>
        <v>2</v>
      </c>
      <c r="E32" s="4">
        <f>'002 B-'!AF10</f>
        <v>2</v>
      </c>
      <c r="F32" s="1">
        <f>'003 T-'!AF10</f>
        <v>5</v>
      </c>
      <c r="G32" s="1">
        <f>'003 T-'!AF10</f>
        <v>5</v>
      </c>
      <c r="H32" s="1">
        <f>'003 T-'!AF10</f>
        <v>5</v>
      </c>
      <c r="I32" s="1">
        <f>'004 T-'!AF10</f>
        <v>5</v>
      </c>
      <c r="J32" s="1">
        <f>'004 T-'!AF10</f>
        <v>5</v>
      </c>
      <c r="K32" s="1">
        <f>'005 D-'!AF10</f>
        <v>6</v>
      </c>
      <c r="L32" s="1">
        <f>'005 D-'!AF10</f>
        <v>6</v>
      </c>
      <c r="M32" s="1">
        <f>'005 D-'!AF10</f>
        <v>6</v>
      </c>
      <c r="N32" s="1">
        <f>'006 D-'!AF10</f>
        <v>6</v>
      </c>
      <c r="O32" s="1">
        <f>'006 D-'!AF10</f>
        <v>6</v>
      </c>
      <c r="P32" s="1">
        <f>'007 C-'!AF10</f>
        <v>104</v>
      </c>
      <c r="Q32" s="1">
        <f>'007 C-'!AF10</f>
        <v>104</v>
      </c>
      <c r="R32" s="1">
        <f>'008 C-'!AF10</f>
        <v>19</v>
      </c>
      <c r="S32" s="1">
        <f>'009 C-'!AF10</f>
        <v>19</v>
      </c>
      <c r="T32" s="1">
        <f>'009 C-'!AF10</f>
        <v>19</v>
      </c>
      <c r="U32" s="4" t="s">
        <v>109</v>
      </c>
      <c r="V32" s="4" t="s">
        <v>109</v>
      </c>
      <c r="W32" s="4" t="s">
        <v>109</v>
      </c>
      <c r="X32" s="4" t="s">
        <v>109</v>
      </c>
      <c r="Y32" s="4" t="s">
        <v>109</v>
      </c>
      <c r="Z32" s="4" t="s">
        <v>109</v>
      </c>
      <c r="AA32" s="4" t="s">
        <v>109</v>
      </c>
      <c r="AB32" s="4" t="s">
        <v>109</v>
      </c>
      <c r="AC32" s="4" t="s">
        <v>109</v>
      </c>
      <c r="AD32" s="4" t="s">
        <v>109</v>
      </c>
      <c r="AE32" s="4" t="s">
        <v>109</v>
      </c>
      <c r="AF32" s="4" t="s">
        <v>109</v>
      </c>
      <c r="AG32" s="4" t="s">
        <v>109</v>
      </c>
      <c r="AH32" s="4" t="s">
        <v>109</v>
      </c>
      <c r="AI32" s="4" t="s">
        <v>109</v>
      </c>
      <c r="AJ32" s="4" t="s">
        <v>109</v>
      </c>
      <c r="AK32" s="4" t="s">
        <v>109</v>
      </c>
      <c r="AL32" s="4" t="s">
        <v>109</v>
      </c>
      <c r="AM32" s="4" t="s">
        <v>109</v>
      </c>
      <c r="AN32" s="4" t="s">
        <v>109</v>
      </c>
      <c r="AO32" s="4" t="s">
        <v>109</v>
      </c>
      <c r="AP32" s="4" t="s">
        <v>109</v>
      </c>
      <c r="AQ32" s="4" t="s">
        <v>109</v>
      </c>
      <c r="AR32" s="4" t="s">
        <v>109</v>
      </c>
      <c r="AS32" s="4" t="s">
        <v>109</v>
      </c>
      <c r="AT32" s="4" t="s">
        <v>109</v>
      </c>
      <c r="AU32" s="4" t="s">
        <v>109</v>
      </c>
      <c r="AV32" s="4" t="s">
        <v>109</v>
      </c>
      <c r="AW32" s="4" t="s">
        <v>109</v>
      </c>
      <c r="AX32" s="4" t="s">
        <v>109</v>
      </c>
      <c r="AY32" s="4" t="s">
        <v>109</v>
      </c>
      <c r="AZ32" s="4" t="s">
        <v>109</v>
      </c>
      <c r="BA32" s="4" t="s">
        <v>109</v>
      </c>
      <c r="BB32" s="4" t="s">
        <v>109</v>
      </c>
      <c r="BC32" s="4" t="s">
        <v>109</v>
      </c>
      <c r="BD32" s="4" t="s">
        <v>109</v>
      </c>
      <c r="BE32" s="4" t="s">
        <v>109</v>
      </c>
      <c r="BF32" s="4" t="s">
        <v>109</v>
      </c>
      <c r="BG32" s="4" t="s">
        <v>109</v>
      </c>
      <c r="BH32" s="4" t="s">
        <v>109</v>
      </c>
      <c r="BI32" s="4" t="s">
        <v>109</v>
      </c>
      <c r="BJ32" s="4" t="s">
        <v>109</v>
      </c>
      <c r="BK32" s="4" t="s">
        <v>109</v>
      </c>
      <c r="BL32" s="4" t="s">
        <v>109</v>
      </c>
      <c r="BM32" s="4" t="s">
        <v>109</v>
      </c>
      <c r="BN32" s="4" t="s">
        <v>109</v>
      </c>
      <c r="BO32" s="4" t="s">
        <v>109</v>
      </c>
      <c r="BP32" s="4" t="s">
        <v>109</v>
      </c>
      <c r="BQ32" s="4" t="s">
        <v>109</v>
      </c>
      <c r="BR32" s="4" t="s">
        <v>109</v>
      </c>
      <c r="BS32" s="4" t="s">
        <v>109</v>
      </c>
      <c r="BT32" s="4" t="s">
        <v>109</v>
      </c>
      <c r="BU32" s="4" t="s">
        <v>109</v>
      </c>
      <c r="BV32" s="4" t="s">
        <v>109</v>
      </c>
      <c r="BW32" s="4" t="s">
        <v>109</v>
      </c>
      <c r="BX32" s="4" t="s">
        <v>109</v>
      </c>
      <c r="BY32" s="4" t="s">
        <v>109</v>
      </c>
      <c r="BZ32" s="4" t="s">
        <v>109</v>
      </c>
      <c r="CA32" s="4" t="s">
        <v>109</v>
      </c>
      <c r="CB32" s="4" t="s">
        <v>109</v>
      </c>
      <c r="CC32" s="4" t="s">
        <v>109</v>
      </c>
      <c r="CD32" s="4" t="s">
        <v>109</v>
      </c>
      <c r="CE32" s="4" t="s">
        <v>109</v>
      </c>
      <c r="CF32" s="4" t="s">
        <v>109</v>
      </c>
      <c r="CG32" s="4" t="s">
        <v>109</v>
      </c>
      <c r="CH32" s="4" t="s">
        <v>109</v>
      </c>
      <c r="CI32" s="4" t="s">
        <v>109</v>
      </c>
      <c r="CJ32" s="4" t="s">
        <v>109</v>
      </c>
      <c r="CK32" s="4" t="s">
        <v>109</v>
      </c>
      <c r="CL32" s="4" t="s">
        <v>109</v>
      </c>
      <c r="CM32" s="4" t="s">
        <v>109</v>
      </c>
      <c r="CN32" s="4" t="s">
        <v>109</v>
      </c>
      <c r="CO32" s="4" t="s">
        <v>109</v>
      </c>
      <c r="CP32" s="4" t="s">
        <v>109</v>
      </c>
      <c r="CQ32" s="4" t="s">
        <v>109</v>
      </c>
      <c r="CR32" s="4" t="s">
        <v>109</v>
      </c>
      <c r="CS32" s="4" t="s">
        <v>109</v>
      </c>
      <c r="CT32" s="4" t="s">
        <v>109</v>
      </c>
      <c r="CU32" s="4" t="s">
        <v>109</v>
      </c>
      <c r="CV32" s="4" t="s">
        <v>109</v>
      </c>
      <c r="CW32" s="4" t="s">
        <v>109</v>
      </c>
      <c r="CX32" s="4" t="s">
        <v>109</v>
      </c>
      <c r="CY32" s="4" t="s">
        <v>109</v>
      </c>
      <c r="CZ32" s="4" t="s">
        <v>109</v>
      </c>
      <c r="DA32" s="4" t="s">
        <v>109</v>
      </c>
      <c r="DB32" s="4" t="s">
        <v>109</v>
      </c>
      <c r="DC32" s="4" t="s">
        <v>109</v>
      </c>
      <c r="DD32" s="4" t="s">
        <v>109</v>
      </c>
      <c r="DE32" s="4" t="s">
        <v>109</v>
      </c>
      <c r="DF32" s="4" t="s">
        <v>109</v>
      </c>
      <c r="DG32" s="4" t="s">
        <v>109</v>
      </c>
      <c r="DH32" s="4" t="s">
        <v>109</v>
      </c>
      <c r="DI32" s="4" t="s">
        <v>109</v>
      </c>
      <c r="DJ32" s="4" t="s">
        <v>109</v>
      </c>
      <c r="DK32" s="4" t="s">
        <v>109</v>
      </c>
    </row>
    <row r="33" spans="1:115" ht="15" x14ac:dyDescent="0.25">
      <c r="A33" s="1" t="s">
        <v>19</v>
      </c>
      <c r="B33" s="153" t="s">
        <v>110</v>
      </c>
      <c r="C33" s="22" t="s">
        <v>111</v>
      </c>
      <c r="D33" s="4">
        <f>'001 B-'!AG10</f>
        <v>2</v>
      </c>
      <c r="E33" s="4">
        <f>'002 B-'!AG10</f>
        <v>2</v>
      </c>
      <c r="F33" s="1">
        <f>'003 T-'!AG10</f>
        <v>5</v>
      </c>
      <c r="G33" s="1">
        <f>'003 T-'!AJ10</f>
        <v>26</v>
      </c>
      <c r="H33" s="1">
        <f>'003 T-'!AJ10</f>
        <v>26</v>
      </c>
      <c r="I33" s="1">
        <f>'004 T-'!AG10</f>
        <v>5</v>
      </c>
      <c r="J33" s="1">
        <f>'004 T-'!AG10</f>
        <v>5</v>
      </c>
      <c r="K33" s="1">
        <f>'005 D-'!AG10</f>
        <v>6</v>
      </c>
      <c r="L33" s="1">
        <f>'005 D-'!AJ10</f>
        <v>27</v>
      </c>
      <c r="M33" s="1">
        <f>'005 D-'!AG10</f>
        <v>6</v>
      </c>
      <c r="N33" s="1">
        <f>'006 D-'!AG10</f>
        <v>6</v>
      </c>
      <c r="O33" s="1">
        <f>'006 D-'!AG10</f>
        <v>6</v>
      </c>
      <c r="P33" s="1">
        <f>'007 C-'!AG10</f>
        <v>26</v>
      </c>
      <c r="Q33" s="1">
        <f>'007 C-'!AG10</f>
        <v>26</v>
      </c>
      <c r="R33" s="1">
        <f>'008 C-'!AG10</f>
        <v>19</v>
      </c>
      <c r="S33" s="1">
        <f>'009 C-'!AG10</f>
        <v>19</v>
      </c>
      <c r="T33" s="1">
        <f>'009 C-'!AG10</f>
        <v>19</v>
      </c>
      <c r="U33" s="4" t="s">
        <v>112</v>
      </c>
      <c r="V33" s="4" t="s">
        <v>112</v>
      </c>
      <c r="W33" s="4" t="s">
        <v>112</v>
      </c>
      <c r="X33" s="4" t="s">
        <v>112</v>
      </c>
      <c r="Y33" s="4" t="s">
        <v>112</v>
      </c>
      <c r="Z33" s="4" t="s">
        <v>112</v>
      </c>
      <c r="AA33" s="4" t="s">
        <v>112</v>
      </c>
      <c r="AB33" s="4" t="s">
        <v>112</v>
      </c>
      <c r="AC33" s="4" t="s">
        <v>112</v>
      </c>
      <c r="AD33" s="4" t="s">
        <v>112</v>
      </c>
      <c r="AE33" s="4" t="s">
        <v>112</v>
      </c>
      <c r="AF33" s="4" t="s">
        <v>112</v>
      </c>
      <c r="AG33" s="4" t="s">
        <v>112</v>
      </c>
      <c r="AH33" s="4" t="s">
        <v>112</v>
      </c>
      <c r="AI33" s="4" t="s">
        <v>112</v>
      </c>
      <c r="AJ33" s="4" t="s">
        <v>112</v>
      </c>
      <c r="AK33" s="4" t="s">
        <v>112</v>
      </c>
      <c r="AL33" s="4" t="s">
        <v>112</v>
      </c>
      <c r="AM33" s="4" t="s">
        <v>112</v>
      </c>
      <c r="AN33" s="4" t="s">
        <v>112</v>
      </c>
      <c r="AO33" s="4" t="s">
        <v>112</v>
      </c>
      <c r="AP33" s="4" t="s">
        <v>112</v>
      </c>
      <c r="AQ33" s="4" t="s">
        <v>112</v>
      </c>
      <c r="AR33" s="4" t="s">
        <v>112</v>
      </c>
      <c r="AS33" s="4" t="s">
        <v>112</v>
      </c>
      <c r="AT33" s="4" t="s">
        <v>112</v>
      </c>
      <c r="AU33" s="4" t="s">
        <v>112</v>
      </c>
      <c r="AV33" s="4" t="s">
        <v>112</v>
      </c>
      <c r="AW33" s="4" t="s">
        <v>112</v>
      </c>
      <c r="AX33" s="4" t="s">
        <v>112</v>
      </c>
      <c r="AY33" s="4" t="s">
        <v>112</v>
      </c>
      <c r="AZ33" s="4" t="s">
        <v>112</v>
      </c>
      <c r="BA33" s="4" t="s">
        <v>112</v>
      </c>
      <c r="BB33" s="4" t="s">
        <v>112</v>
      </c>
      <c r="BC33" s="4" t="s">
        <v>112</v>
      </c>
      <c r="BD33" s="4" t="s">
        <v>112</v>
      </c>
      <c r="BE33" s="4" t="s">
        <v>112</v>
      </c>
      <c r="BF33" s="4" t="s">
        <v>112</v>
      </c>
      <c r="BG33" s="4" t="s">
        <v>112</v>
      </c>
      <c r="BH33" s="4" t="s">
        <v>112</v>
      </c>
      <c r="BI33" s="4" t="s">
        <v>112</v>
      </c>
      <c r="BJ33" s="4" t="s">
        <v>112</v>
      </c>
      <c r="BK33" s="4" t="s">
        <v>112</v>
      </c>
      <c r="BL33" s="4" t="s">
        <v>112</v>
      </c>
      <c r="BM33" s="4" t="s">
        <v>112</v>
      </c>
      <c r="BN33" s="4" t="s">
        <v>112</v>
      </c>
      <c r="BO33" s="4" t="s">
        <v>112</v>
      </c>
      <c r="BP33" s="4" t="s">
        <v>112</v>
      </c>
      <c r="BQ33" s="4" t="s">
        <v>112</v>
      </c>
      <c r="BR33" s="4" t="s">
        <v>112</v>
      </c>
      <c r="BS33" s="4" t="s">
        <v>112</v>
      </c>
      <c r="BT33" s="4" t="s">
        <v>112</v>
      </c>
      <c r="BU33" s="4" t="s">
        <v>112</v>
      </c>
      <c r="BV33" s="4" t="s">
        <v>112</v>
      </c>
      <c r="BW33" s="4" t="s">
        <v>112</v>
      </c>
      <c r="BX33" s="4" t="s">
        <v>112</v>
      </c>
      <c r="BY33" s="4" t="s">
        <v>112</v>
      </c>
      <c r="BZ33" s="4" t="s">
        <v>112</v>
      </c>
      <c r="CA33" s="4" t="s">
        <v>112</v>
      </c>
      <c r="CB33" s="4" t="s">
        <v>112</v>
      </c>
      <c r="CC33" s="4" t="s">
        <v>112</v>
      </c>
      <c r="CD33" s="4" t="s">
        <v>112</v>
      </c>
      <c r="CE33" s="4" t="s">
        <v>112</v>
      </c>
      <c r="CF33" s="4" t="s">
        <v>112</v>
      </c>
      <c r="CG33" s="4" t="s">
        <v>112</v>
      </c>
      <c r="CH33" s="4" t="s">
        <v>112</v>
      </c>
      <c r="CI33" s="4" t="s">
        <v>112</v>
      </c>
      <c r="CJ33" s="4" t="s">
        <v>112</v>
      </c>
      <c r="CK33" s="4" t="s">
        <v>112</v>
      </c>
      <c r="CL33" s="4" t="s">
        <v>112</v>
      </c>
      <c r="CM33" s="4" t="s">
        <v>112</v>
      </c>
      <c r="CN33" s="4" t="s">
        <v>112</v>
      </c>
      <c r="CO33" s="4" t="s">
        <v>112</v>
      </c>
      <c r="CP33" s="4" t="s">
        <v>112</v>
      </c>
      <c r="CQ33" s="4" t="s">
        <v>112</v>
      </c>
      <c r="CR33" s="4" t="s">
        <v>112</v>
      </c>
      <c r="CS33" s="4" t="s">
        <v>112</v>
      </c>
      <c r="CT33" s="4" t="s">
        <v>112</v>
      </c>
      <c r="CU33" s="4" t="s">
        <v>112</v>
      </c>
      <c r="CV33" s="4" t="s">
        <v>112</v>
      </c>
      <c r="CW33" s="4" t="s">
        <v>112</v>
      </c>
      <c r="CX33" s="4" t="s">
        <v>112</v>
      </c>
      <c r="CY33" s="4" t="s">
        <v>112</v>
      </c>
      <c r="CZ33" s="4" t="s">
        <v>112</v>
      </c>
      <c r="DA33" s="4" t="s">
        <v>112</v>
      </c>
      <c r="DB33" s="4" t="s">
        <v>112</v>
      </c>
      <c r="DC33" s="4" t="s">
        <v>112</v>
      </c>
      <c r="DD33" s="4" t="s">
        <v>112</v>
      </c>
      <c r="DE33" s="4" t="s">
        <v>112</v>
      </c>
      <c r="DF33" s="4" t="s">
        <v>112</v>
      </c>
      <c r="DG33" s="4" t="s">
        <v>112</v>
      </c>
      <c r="DH33" s="4" t="s">
        <v>112</v>
      </c>
      <c r="DI33" s="4" t="s">
        <v>112</v>
      </c>
      <c r="DJ33" s="4" t="s">
        <v>112</v>
      </c>
      <c r="DK33" s="4" t="s">
        <v>112</v>
      </c>
    </row>
    <row r="34" spans="1:115" ht="15" x14ac:dyDescent="0.25">
      <c r="A34" s="1" t="s">
        <v>19</v>
      </c>
      <c r="B34" s="154" t="s">
        <v>113</v>
      </c>
      <c r="C34" s="23" t="s">
        <v>114</v>
      </c>
      <c r="D34" s="4">
        <f>'001 B-'!AH10</f>
        <v>2</v>
      </c>
      <c r="E34" s="4">
        <f>'002 B-'!AH10</f>
        <v>2</v>
      </c>
      <c r="F34" s="1">
        <f>'003 T-'!AH10</f>
        <v>5</v>
      </c>
      <c r="G34" s="1">
        <f>'003 T-'!AK10</f>
        <v>26</v>
      </c>
      <c r="H34" s="1">
        <f>'003 T-'!AK10</f>
        <v>26</v>
      </c>
      <c r="I34" s="1">
        <f>'004 T-'!AH10</f>
        <v>5</v>
      </c>
      <c r="J34" s="1">
        <f>'004 T-'!AH10</f>
        <v>5</v>
      </c>
      <c r="K34" s="1">
        <f>'005 D-'!AH10</f>
        <v>6</v>
      </c>
      <c r="L34" s="1">
        <f>'005 D-'!AK10</f>
        <v>49</v>
      </c>
      <c r="M34" s="1">
        <f>'005 D-'!AH10</f>
        <v>6</v>
      </c>
      <c r="N34" s="1">
        <f>'006 D-'!AH10</f>
        <v>6</v>
      </c>
      <c r="O34" s="1">
        <f>'006 D-'!AH10</f>
        <v>6</v>
      </c>
      <c r="P34" s="1">
        <f>'007 C-'!AH10</f>
        <v>34</v>
      </c>
      <c r="Q34" s="1">
        <f>'007 C-'!AH10</f>
        <v>34</v>
      </c>
      <c r="R34" s="1">
        <f>'008 C-'!AH10</f>
        <v>19</v>
      </c>
      <c r="S34" s="1">
        <f>'009 C-'!AH10</f>
        <v>19</v>
      </c>
      <c r="T34" s="1">
        <f>'009 C-'!AH10</f>
        <v>19</v>
      </c>
      <c r="U34" s="4" t="s">
        <v>115</v>
      </c>
      <c r="V34" s="4" t="s">
        <v>115</v>
      </c>
      <c r="W34" s="4" t="s">
        <v>115</v>
      </c>
      <c r="X34" s="4" t="s">
        <v>115</v>
      </c>
      <c r="Y34" s="4" t="s">
        <v>115</v>
      </c>
      <c r="Z34" s="4" t="s">
        <v>115</v>
      </c>
      <c r="AA34" s="4" t="s">
        <v>115</v>
      </c>
      <c r="AB34" s="4" t="s">
        <v>115</v>
      </c>
      <c r="AC34" s="4" t="s">
        <v>115</v>
      </c>
      <c r="AD34" s="4" t="s">
        <v>115</v>
      </c>
      <c r="AE34" s="4" t="s">
        <v>115</v>
      </c>
      <c r="AF34" s="4" t="s">
        <v>115</v>
      </c>
      <c r="AG34" s="4" t="s">
        <v>115</v>
      </c>
      <c r="AH34" s="4" t="s">
        <v>115</v>
      </c>
      <c r="AI34" s="4" t="s">
        <v>115</v>
      </c>
      <c r="AJ34" s="4" t="s">
        <v>115</v>
      </c>
      <c r="AK34" s="4" t="s">
        <v>115</v>
      </c>
      <c r="AL34" s="4" t="s">
        <v>115</v>
      </c>
      <c r="AM34" s="4" t="s">
        <v>115</v>
      </c>
      <c r="AN34" s="4" t="s">
        <v>115</v>
      </c>
      <c r="AO34" s="4" t="s">
        <v>115</v>
      </c>
      <c r="AP34" s="4" t="s">
        <v>115</v>
      </c>
      <c r="AQ34" s="4" t="s">
        <v>115</v>
      </c>
      <c r="AR34" s="4" t="s">
        <v>115</v>
      </c>
      <c r="AS34" s="4" t="s">
        <v>115</v>
      </c>
      <c r="AT34" s="4" t="s">
        <v>115</v>
      </c>
      <c r="AU34" s="4" t="s">
        <v>115</v>
      </c>
      <c r="AV34" s="4" t="s">
        <v>115</v>
      </c>
      <c r="AW34" s="4" t="s">
        <v>115</v>
      </c>
      <c r="AX34" s="4" t="s">
        <v>115</v>
      </c>
      <c r="AY34" s="4" t="s">
        <v>115</v>
      </c>
      <c r="AZ34" s="4" t="s">
        <v>115</v>
      </c>
      <c r="BA34" s="4" t="s">
        <v>115</v>
      </c>
      <c r="BB34" s="4" t="s">
        <v>115</v>
      </c>
      <c r="BC34" s="4" t="s">
        <v>115</v>
      </c>
      <c r="BD34" s="4" t="s">
        <v>115</v>
      </c>
      <c r="BE34" s="4" t="s">
        <v>115</v>
      </c>
      <c r="BF34" s="4" t="s">
        <v>115</v>
      </c>
      <c r="BG34" s="4" t="s">
        <v>115</v>
      </c>
      <c r="BH34" s="4" t="s">
        <v>115</v>
      </c>
      <c r="BI34" s="4" t="s">
        <v>115</v>
      </c>
      <c r="BJ34" s="4" t="s">
        <v>115</v>
      </c>
      <c r="BK34" s="4" t="s">
        <v>115</v>
      </c>
      <c r="BL34" s="4" t="s">
        <v>115</v>
      </c>
      <c r="BM34" s="4" t="s">
        <v>115</v>
      </c>
      <c r="BN34" s="4" t="s">
        <v>115</v>
      </c>
      <c r="BO34" s="4" t="s">
        <v>115</v>
      </c>
      <c r="BP34" s="4" t="s">
        <v>115</v>
      </c>
      <c r="BQ34" s="4" t="s">
        <v>115</v>
      </c>
      <c r="BR34" s="4" t="s">
        <v>115</v>
      </c>
      <c r="BS34" s="4" t="s">
        <v>115</v>
      </c>
      <c r="BT34" s="4" t="s">
        <v>115</v>
      </c>
      <c r="BU34" s="4" t="s">
        <v>115</v>
      </c>
      <c r="BV34" s="4" t="s">
        <v>115</v>
      </c>
      <c r="BW34" s="4" t="s">
        <v>115</v>
      </c>
      <c r="BX34" s="4" t="s">
        <v>115</v>
      </c>
      <c r="BY34" s="4" t="s">
        <v>115</v>
      </c>
      <c r="BZ34" s="4" t="s">
        <v>115</v>
      </c>
      <c r="CA34" s="4" t="s">
        <v>115</v>
      </c>
      <c r="CB34" s="4" t="s">
        <v>115</v>
      </c>
      <c r="CC34" s="4" t="s">
        <v>115</v>
      </c>
      <c r="CD34" s="4" t="s">
        <v>115</v>
      </c>
      <c r="CE34" s="4" t="s">
        <v>115</v>
      </c>
      <c r="CF34" s="4" t="s">
        <v>115</v>
      </c>
      <c r="CG34" s="4" t="s">
        <v>115</v>
      </c>
      <c r="CH34" s="4" t="s">
        <v>115</v>
      </c>
      <c r="CI34" s="4" t="s">
        <v>115</v>
      </c>
      <c r="CJ34" s="4" t="s">
        <v>115</v>
      </c>
      <c r="CK34" s="4" t="s">
        <v>115</v>
      </c>
      <c r="CL34" s="4" t="s">
        <v>115</v>
      </c>
      <c r="CM34" s="4" t="s">
        <v>115</v>
      </c>
      <c r="CN34" s="4" t="s">
        <v>115</v>
      </c>
      <c r="CO34" s="4" t="s">
        <v>115</v>
      </c>
      <c r="CP34" s="4" t="s">
        <v>115</v>
      </c>
      <c r="CQ34" s="4" t="s">
        <v>115</v>
      </c>
      <c r="CR34" s="4" t="s">
        <v>115</v>
      </c>
      <c r="CS34" s="4" t="s">
        <v>115</v>
      </c>
      <c r="CT34" s="4" t="s">
        <v>115</v>
      </c>
      <c r="CU34" s="4" t="s">
        <v>115</v>
      </c>
      <c r="CV34" s="4" t="s">
        <v>115</v>
      </c>
      <c r="CW34" s="4" t="s">
        <v>115</v>
      </c>
      <c r="CX34" s="4" t="s">
        <v>115</v>
      </c>
      <c r="CY34" s="4" t="s">
        <v>115</v>
      </c>
      <c r="CZ34" s="4" t="s">
        <v>115</v>
      </c>
      <c r="DA34" s="4" t="s">
        <v>115</v>
      </c>
      <c r="DB34" s="4" t="s">
        <v>115</v>
      </c>
      <c r="DC34" s="4" t="s">
        <v>115</v>
      </c>
      <c r="DD34" s="4" t="s">
        <v>115</v>
      </c>
      <c r="DE34" s="4" t="s">
        <v>115</v>
      </c>
      <c r="DF34" s="4" t="s">
        <v>115</v>
      </c>
      <c r="DG34" s="4" t="s">
        <v>115</v>
      </c>
      <c r="DH34" s="4" t="s">
        <v>115</v>
      </c>
      <c r="DI34" s="4" t="s">
        <v>115</v>
      </c>
      <c r="DJ34" s="4" t="s">
        <v>115</v>
      </c>
      <c r="DK34" s="4" t="s">
        <v>115</v>
      </c>
    </row>
    <row r="35" spans="1:115" x14ac:dyDescent="0.25"/>
    <row r="36" spans="1:115" x14ac:dyDescent="0.25"/>
    <row r="37" spans="1:115" x14ac:dyDescent="0.25"/>
    <row r="38" spans="1:115" x14ac:dyDescent="0.25"/>
    <row r="39" spans="1:115" x14ac:dyDescent="0.25"/>
    <row r="40" spans="1:115" x14ac:dyDescent="0.25"/>
    <row r="41" spans="1:115" x14ac:dyDescent="0.25"/>
    <row r="42" spans="1:115" x14ac:dyDescent="0.25"/>
    <row r="43" spans="1:115" x14ac:dyDescent="0.25"/>
    <row r="44" spans="1:115" x14ac:dyDescent="0.25"/>
    <row r="45" spans="1:115" x14ac:dyDescent="0.25"/>
    <row r="46" spans="1:115" x14ac:dyDescent="0.25"/>
    <row r="47" spans="1:115" x14ac:dyDescent="0.25"/>
    <row r="48" spans="1:115" x14ac:dyDescent="0.25"/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A1E7C-792E-41C1-B83F-28F4D0390C17}">
  <dimension ref="A1:AH21"/>
  <sheetViews>
    <sheetView workbookViewId="0">
      <selection activeCell="B7" sqref="B7"/>
    </sheetView>
  </sheetViews>
  <sheetFormatPr defaultColWidth="9.140625" defaultRowHeight="15" x14ac:dyDescent="0.25"/>
  <cols>
    <col min="1" max="1" width="23.28515625" style="26" bestFit="1" customWidth="1"/>
    <col min="2" max="34" width="5.7109375" style="26" customWidth="1"/>
    <col min="35" max="16384" width="9.140625" style="26"/>
  </cols>
  <sheetData>
    <row r="1" spans="1:34" x14ac:dyDescent="0.25">
      <c r="A1" s="25" t="s">
        <v>116</v>
      </c>
      <c r="D1" s="25" t="s">
        <v>117</v>
      </c>
      <c r="I1" s="25" t="s">
        <v>118</v>
      </c>
    </row>
    <row r="3" spans="1:34" ht="18" x14ac:dyDescent="0.25">
      <c r="A3" s="25" t="s">
        <v>119</v>
      </c>
      <c r="B3" s="215">
        <v>1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122</v>
      </c>
      <c r="C4" s="215"/>
      <c r="D4" s="215"/>
      <c r="F4" s="216" t="s">
        <v>123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125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29" t="s">
        <v>160</v>
      </c>
      <c r="C8" s="29" t="s">
        <v>161</v>
      </c>
      <c r="D8" s="29" t="s">
        <v>161</v>
      </c>
      <c r="E8" s="29" t="s">
        <v>161</v>
      </c>
      <c r="F8" s="29" t="s">
        <v>161</v>
      </c>
      <c r="G8" s="29" t="s">
        <v>161</v>
      </c>
      <c r="H8" s="29" t="s">
        <v>161</v>
      </c>
      <c r="I8" s="29" t="s">
        <v>161</v>
      </c>
      <c r="J8" s="29" t="s">
        <v>161</v>
      </c>
      <c r="K8" s="29" t="s">
        <v>161</v>
      </c>
      <c r="L8" s="29" t="s">
        <v>161</v>
      </c>
      <c r="M8" s="29" t="s">
        <v>161</v>
      </c>
      <c r="N8" s="29" t="s">
        <v>161</v>
      </c>
      <c r="O8" s="29" t="s">
        <v>161</v>
      </c>
      <c r="P8" s="29" t="s">
        <v>161</v>
      </c>
      <c r="Q8" s="29" t="s">
        <v>161</v>
      </c>
      <c r="R8" s="29" t="s">
        <v>161</v>
      </c>
      <c r="S8" s="29" t="s">
        <v>161</v>
      </c>
      <c r="T8" s="29" t="s">
        <v>161</v>
      </c>
      <c r="U8" s="29" t="s">
        <v>161</v>
      </c>
      <c r="V8" s="29" t="s">
        <v>161</v>
      </c>
      <c r="W8" s="29" t="s">
        <v>161</v>
      </c>
      <c r="X8" s="111" t="s">
        <v>162</v>
      </c>
      <c r="Y8" s="29" t="s">
        <v>161</v>
      </c>
      <c r="Z8" s="29" t="s">
        <v>161</v>
      </c>
      <c r="AA8" s="29" t="s">
        <v>161</v>
      </c>
      <c r="AB8" s="29" t="s">
        <v>163</v>
      </c>
      <c r="AC8" s="29" t="s">
        <v>164</v>
      </c>
      <c r="AD8" s="29" t="s">
        <v>164</v>
      </c>
      <c r="AE8" s="29" t="s">
        <v>164</v>
      </c>
      <c r="AF8" s="29" t="s">
        <v>161</v>
      </c>
      <c r="AG8" s="29" t="s">
        <v>161</v>
      </c>
      <c r="AH8" s="29" t="s">
        <v>161</v>
      </c>
    </row>
    <row r="9" spans="1:34" x14ac:dyDescent="0.25">
      <c r="A9" s="26" t="s">
        <v>165</v>
      </c>
      <c r="B9" s="29" t="s">
        <v>161</v>
      </c>
      <c r="C9" s="29" t="s">
        <v>161</v>
      </c>
      <c r="D9" s="29" t="s">
        <v>161</v>
      </c>
      <c r="E9" s="29" t="s">
        <v>161</v>
      </c>
      <c r="F9" s="29" t="s">
        <v>161</v>
      </c>
      <c r="G9" s="29" t="s">
        <v>161</v>
      </c>
      <c r="H9" s="29" t="s">
        <v>161</v>
      </c>
      <c r="I9" s="29" t="s">
        <v>161</v>
      </c>
      <c r="J9" s="29" t="s">
        <v>161</v>
      </c>
      <c r="K9" s="29" t="s">
        <v>161</v>
      </c>
      <c r="L9" s="29" t="s">
        <v>161</v>
      </c>
      <c r="M9" s="29" t="s">
        <v>161</v>
      </c>
      <c r="N9" s="29" t="s">
        <v>161</v>
      </c>
      <c r="O9" s="29" t="s">
        <v>161</v>
      </c>
      <c r="P9" s="29" t="s">
        <v>161</v>
      </c>
      <c r="Q9" s="29" t="s">
        <v>161</v>
      </c>
      <c r="R9" s="29" t="s">
        <v>161</v>
      </c>
      <c r="S9" s="29" t="s">
        <v>161</v>
      </c>
      <c r="T9" s="29" t="s">
        <v>161</v>
      </c>
      <c r="U9" s="29" t="s">
        <v>161</v>
      </c>
      <c r="V9" s="29" t="s">
        <v>161</v>
      </c>
      <c r="W9" s="29" t="s">
        <v>161</v>
      </c>
      <c r="X9" s="29" t="s">
        <v>166</v>
      </c>
      <c r="Y9" s="29" t="s">
        <v>161</v>
      </c>
      <c r="Z9" s="29" t="s">
        <v>161</v>
      </c>
      <c r="AA9" s="29" t="s">
        <v>161</v>
      </c>
      <c r="AB9" s="29" t="s">
        <v>167</v>
      </c>
      <c r="AC9" s="28" t="s">
        <v>164</v>
      </c>
      <c r="AD9" s="28" t="s">
        <v>164</v>
      </c>
      <c r="AE9" s="28" t="s">
        <v>164</v>
      </c>
      <c r="AF9" s="29" t="s">
        <v>161</v>
      </c>
      <c r="AG9" s="29" t="s">
        <v>161</v>
      </c>
      <c r="AH9" s="29" t="s">
        <v>161</v>
      </c>
    </row>
    <row r="10" spans="1:34" x14ac:dyDescent="0.25">
      <c r="A10" s="131" t="s">
        <v>168</v>
      </c>
      <c r="B10" s="132">
        <v>2</v>
      </c>
      <c r="C10" s="132">
        <v>2</v>
      </c>
      <c r="D10" s="132">
        <v>2</v>
      </c>
      <c r="E10" s="132">
        <v>2</v>
      </c>
      <c r="F10" s="132">
        <v>2</v>
      </c>
      <c r="G10" s="132">
        <v>2</v>
      </c>
      <c r="H10" s="132">
        <v>2</v>
      </c>
      <c r="I10" s="132">
        <v>2</v>
      </c>
      <c r="J10" s="132">
        <v>2</v>
      </c>
      <c r="K10" s="132">
        <v>2</v>
      </c>
      <c r="L10" s="132">
        <v>2</v>
      </c>
      <c r="M10" s="132">
        <v>2</v>
      </c>
      <c r="N10" s="132">
        <v>2</v>
      </c>
      <c r="O10" s="132">
        <v>2</v>
      </c>
      <c r="P10" s="132">
        <v>2</v>
      </c>
      <c r="Q10" s="132">
        <v>2</v>
      </c>
      <c r="R10" s="132">
        <v>2</v>
      </c>
      <c r="S10" s="132">
        <v>2</v>
      </c>
      <c r="T10" s="132">
        <v>2</v>
      </c>
      <c r="U10" s="132">
        <v>2</v>
      </c>
      <c r="V10" s="132">
        <v>2</v>
      </c>
      <c r="W10" s="132">
        <v>2</v>
      </c>
      <c r="X10" s="132">
        <v>273</v>
      </c>
      <c r="Y10" s="132">
        <v>2</v>
      </c>
      <c r="Z10" s="132">
        <v>2</v>
      </c>
      <c r="AA10" s="132">
        <v>2</v>
      </c>
      <c r="AB10" s="157">
        <v>117</v>
      </c>
      <c r="AC10" s="157">
        <v>43</v>
      </c>
      <c r="AD10" s="157">
        <v>43</v>
      </c>
      <c r="AE10" s="157">
        <v>43</v>
      </c>
      <c r="AF10" s="132">
        <v>2</v>
      </c>
      <c r="AG10" s="132">
        <v>2</v>
      </c>
      <c r="AH10" s="132">
        <v>2</v>
      </c>
    </row>
    <row r="11" spans="1:34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28" t="s">
        <v>170</v>
      </c>
      <c r="O11" s="28" t="s">
        <v>170</v>
      </c>
      <c r="P11" s="28" t="s">
        <v>170</v>
      </c>
      <c r="Q11" s="28" t="s">
        <v>170</v>
      </c>
      <c r="R11" s="28" t="s">
        <v>170</v>
      </c>
      <c r="S11" s="28" t="s">
        <v>170</v>
      </c>
      <c r="T11" s="28" t="s">
        <v>170</v>
      </c>
      <c r="U11" s="28" t="s">
        <v>170</v>
      </c>
      <c r="V11" s="28" t="s">
        <v>170</v>
      </c>
      <c r="W11" s="28" t="s">
        <v>170</v>
      </c>
      <c r="X11" s="28" t="s">
        <v>170</v>
      </c>
      <c r="Y11" s="28" t="s">
        <v>170</v>
      </c>
      <c r="Z11" s="28" t="s">
        <v>170</v>
      </c>
      <c r="AA11" s="28" t="s">
        <v>170</v>
      </c>
      <c r="AB11" s="28" t="s">
        <v>170</v>
      </c>
      <c r="AC11" s="29" t="s">
        <v>170</v>
      </c>
      <c r="AD11" s="29" t="s">
        <v>170</v>
      </c>
      <c r="AE11" s="29" t="s">
        <v>170</v>
      </c>
      <c r="AF11" s="28" t="s">
        <v>170</v>
      </c>
      <c r="AG11" s="28" t="s">
        <v>170</v>
      </c>
      <c r="AH11" s="28" t="s">
        <v>170</v>
      </c>
    </row>
    <row r="12" spans="1:34" x14ac:dyDescent="0.25">
      <c r="A12" s="26" t="s">
        <v>171</v>
      </c>
      <c r="B12" s="28" t="s">
        <v>170</v>
      </c>
      <c r="C12" s="28" t="s">
        <v>170</v>
      </c>
      <c r="D12" s="28" t="s">
        <v>170</v>
      </c>
      <c r="E12" s="28" t="s">
        <v>170</v>
      </c>
      <c r="F12" s="28" t="s">
        <v>170</v>
      </c>
      <c r="G12" s="28" t="s">
        <v>170</v>
      </c>
      <c r="H12" s="28" t="s">
        <v>170</v>
      </c>
      <c r="I12" s="28" t="s">
        <v>170</v>
      </c>
      <c r="J12" s="28" t="s">
        <v>170</v>
      </c>
      <c r="K12" s="28" t="s">
        <v>170</v>
      </c>
      <c r="L12" s="28" t="s">
        <v>170</v>
      </c>
      <c r="M12" s="28" t="s">
        <v>170</v>
      </c>
      <c r="N12" s="28" t="s">
        <v>170</v>
      </c>
      <c r="O12" s="28" t="s">
        <v>170</v>
      </c>
      <c r="P12" s="28" t="s">
        <v>170</v>
      </c>
      <c r="Q12" s="28" t="s">
        <v>170</v>
      </c>
      <c r="R12" s="28" t="s">
        <v>170</v>
      </c>
      <c r="S12" s="28" t="s">
        <v>170</v>
      </c>
      <c r="T12" s="28" t="s">
        <v>170</v>
      </c>
      <c r="U12" s="28" t="s">
        <v>170</v>
      </c>
      <c r="V12" s="28" t="s">
        <v>170</v>
      </c>
      <c r="W12" s="28" t="s">
        <v>170</v>
      </c>
      <c r="X12" s="28" t="s">
        <v>170</v>
      </c>
      <c r="Y12" s="28" t="s">
        <v>170</v>
      </c>
      <c r="Z12" s="28" t="s">
        <v>170</v>
      </c>
      <c r="AA12" s="28" t="s">
        <v>170</v>
      </c>
      <c r="AB12" s="28" t="s">
        <v>170</v>
      </c>
      <c r="AC12" s="28" t="s">
        <v>170</v>
      </c>
      <c r="AD12" s="28" t="s">
        <v>170</v>
      </c>
      <c r="AE12" s="28" t="s">
        <v>170</v>
      </c>
      <c r="AF12" s="28" t="s">
        <v>170</v>
      </c>
      <c r="AG12" s="28" t="s">
        <v>170</v>
      </c>
      <c r="AH12" s="28" t="s">
        <v>170</v>
      </c>
    </row>
    <row r="13" spans="1:34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 t="s">
        <v>173</v>
      </c>
      <c r="S13" s="28" t="s">
        <v>173</v>
      </c>
      <c r="T13" s="28" t="s">
        <v>173</v>
      </c>
      <c r="U13" s="28" t="s">
        <v>173</v>
      </c>
      <c r="V13" s="28" t="s">
        <v>173</v>
      </c>
      <c r="W13" s="28" t="s">
        <v>173</v>
      </c>
      <c r="X13" s="28" t="s">
        <v>173</v>
      </c>
      <c r="Y13" s="28" t="s">
        <v>173</v>
      </c>
      <c r="Z13" s="28" t="s">
        <v>173</v>
      </c>
      <c r="AA13" s="28" t="s">
        <v>173</v>
      </c>
      <c r="AB13" s="28" t="s">
        <v>173</v>
      </c>
      <c r="AC13" s="28" t="s">
        <v>173</v>
      </c>
      <c r="AD13" s="28" t="s">
        <v>173</v>
      </c>
      <c r="AE13" s="28" t="s">
        <v>173</v>
      </c>
      <c r="AF13" s="28" t="s">
        <v>173</v>
      </c>
      <c r="AG13" s="28" t="s">
        <v>173</v>
      </c>
      <c r="AH13" s="28" t="s">
        <v>173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 t="s">
        <v>173</v>
      </c>
      <c r="V14" s="28" t="s">
        <v>173</v>
      </c>
      <c r="W14" s="28" t="s">
        <v>173</v>
      </c>
      <c r="X14" s="28" t="s">
        <v>173</v>
      </c>
      <c r="Y14" s="28" t="s">
        <v>173</v>
      </c>
      <c r="Z14" s="28" t="s">
        <v>173</v>
      </c>
      <c r="AA14" s="28" t="s">
        <v>173</v>
      </c>
      <c r="AB14" s="28" t="s">
        <v>173</v>
      </c>
      <c r="AC14" s="28" t="s">
        <v>173</v>
      </c>
      <c r="AD14" s="28" t="s">
        <v>173</v>
      </c>
      <c r="AE14" s="28" t="s">
        <v>173</v>
      </c>
      <c r="AF14" s="28" t="s">
        <v>173</v>
      </c>
      <c r="AG14" s="28" t="s">
        <v>173</v>
      </c>
      <c r="AH14" s="28" t="s">
        <v>173</v>
      </c>
    </row>
    <row r="15" spans="1:34" x14ac:dyDescent="0.25">
      <c r="A15" s="26" t="s">
        <v>175</v>
      </c>
      <c r="B15" s="28" t="s">
        <v>160</v>
      </c>
      <c r="C15" s="28" t="s">
        <v>160</v>
      </c>
      <c r="D15" s="28" t="s">
        <v>160</v>
      </c>
      <c r="E15" s="28" t="s">
        <v>160</v>
      </c>
      <c r="F15" s="28" t="s">
        <v>160</v>
      </c>
      <c r="G15" s="28" t="s">
        <v>160</v>
      </c>
      <c r="H15" s="28" t="s">
        <v>160</v>
      </c>
      <c r="I15" s="28" t="s">
        <v>160</v>
      </c>
      <c r="J15" s="28" t="s">
        <v>160</v>
      </c>
      <c r="K15" s="28" t="s">
        <v>160</v>
      </c>
      <c r="L15" s="28" t="s">
        <v>160</v>
      </c>
      <c r="M15" s="28" t="s">
        <v>160</v>
      </c>
      <c r="N15" s="28" t="s">
        <v>160</v>
      </c>
      <c r="O15" s="28" t="s">
        <v>160</v>
      </c>
      <c r="P15" s="28" t="s">
        <v>160</v>
      </c>
      <c r="Q15" s="28" t="s">
        <v>160</v>
      </c>
      <c r="R15" s="28" t="s">
        <v>160</v>
      </c>
      <c r="S15" s="28" t="s">
        <v>160</v>
      </c>
      <c r="T15" s="28" t="s">
        <v>160</v>
      </c>
      <c r="U15" s="28" t="s">
        <v>160</v>
      </c>
      <c r="V15" s="28" t="s">
        <v>160</v>
      </c>
      <c r="W15" s="28" t="s">
        <v>160</v>
      </c>
      <c r="X15" s="28" t="s">
        <v>160</v>
      </c>
      <c r="Y15" s="28" t="s">
        <v>160</v>
      </c>
      <c r="Z15" s="28" t="s">
        <v>160</v>
      </c>
      <c r="AA15" s="28" t="s">
        <v>160</v>
      </c>
      <c r="AB15" s="28" t="s">
        <v>160</v>
      </c>
      <c r="AC15" s="28" t="s">
        <v>160</v>
      </c>
      <c r="AD15" s="28" t="s">
        <v>160</v>
      </c>
      <c r="AE15" s="28" t="s">
        <v>160</v>
      </c>
      <c r="AF15" s="28" t="s">
        <v>160</v>
      </c>
      <c r="AG15" s="28" t="s">
        <v>160</v>
      </c>
      <c r="AH15" s="28" t="s">
        <v>160</v>
      </c>
    </row>
    <row r="16" spans="1:34" x14ac:dyDescent="0.25">
      <c r="A16" s="26" t="s">
        <v>176</v>
      </c>
      <c r="B16" s="30">
        <v>3</v>
      </c>
      <c r="C16" s="30">
        <v>3</v>
      </c>
      <c r="D16" s="30">
        <v>3</v>
      </c>
      <c r="E16" s="30">
        <v>3</v>
      </c>
      <c r="F16" s="30">
        <v>3</v>
      </c>
      <c r="G16" s="30">
        <v>3</v>
      </c>
      <c r="H16" s="30">
        <v>3</v>
      </c>
      <c r="I16" s="30">
        <v>3</v>
      </c>
      <c r="J16" s="30">
        <v>3</v>
      </c>
      <c r="K16" s="30">
        <v>3</v>
      </c>
      <c r="L16" s="30">
        <v>3</v>
      </c>
      <c r="M16" s="30">
        <v>3</v>
      </c>
      <c r="N16" s="30">
        <v>3</v>
      </c>
      <c r="O16" s="30">
        <v>3</v>
      </c>
      <c r="P16" s="30">
        <v>3</v>
      </c>
      <c r="Q16" s="30">
        <v>3</v>
      </c>
      <c r="R16" s="30">
        <v>3</v>
      </c>
      <c r="S16" s="30">
        <v>3</v>
      </c>
      <c r="T16" s="30">
        <v>3</v>
      </c>
      <c r="U16" s="30">
        <v>3</v>
      </c>
      <c r="V16" s="30">
        <v>3</v>
      </c>
      <c r="W16" s="30">
        <v>3</v>
      </c>
      <c r="X16" s="30">
        <f>AVERAGE(3,3,2.5)</f>
        <v>2.8333333333333335</v>
      </c>
      <c r="Y16" s="30">
        <v>3</v>
      </c>
      <c r="Z16" s="30">
        <v>3</v>
      </c>
      <c r="AA16" s="30">
        <v>3</v>
      </c>
      <c r="AB16" s="30">
        <f>AVERAGE(3,2.5)</f>
        <v>2.75</v>
      </c>
      <c r="AC16" s="30">
        <v>2.5</v>
      </c>
      <c r="AD16" s="30">
        <v>2.5</v>
      </c>
      <c r="AE16" s="30">
        <v>2.5</v>
      </c>
      <c r="AF16" s="30">
        <v>3</v>
      </c>
      <c r="AG16" s="30">
        <v>3</v>
      </c>
      <c r="AH16" s="30">
        <v>3</v>
      </c>
    </row>
    <row r="17" spans="1:34" x14ac:dyDescent="0.25">
      <c r="A17" s="26" t="s">
        <v>177</v>
      </c>
      <c r="B17" s="28" t="s">
        <v>178</v>
      </c>
      <c r="C17" s="28" t="s">
        <v>178</v>
      </c>
      <c r="D17" s="28" t="s">
        <v>178</v>
      </c>
      <c r="E17" s="28" t="s">
        <v>178</v>
      </c>
      <c r="F17" s="28" t="s">
        <v>178</v>
      </c>
      <c r="G17" s="28" t="s">
        <v>178</v>
      </c>
      <c r="H17" s="28" t="s">
        <v>178</v>
      </c>
      <c r="I17" s="28" t="s">
        <v>178</v>
      </c>
      <c r="J17" s="28" t="s">
        <v>178</v>
      </c>
      <c r="K17" s="28" t="s">
        <v>178</v>
      </c>
      <c r="L17" s="28" t="s">
        <v>178</v>
      </c>
      <c r="M17" s="28" t="s">
        <v>178</v>
      </c>
      <c r="N17" s="28" t="s">
        <v>178</v>
      </c>
      <c r="O17" s="28" t="s">
        <v>178</v>
      </c>
      <c r="P17" s="28" t="s">
        <v>178</v>
      </c>
      <c r="Q17" s="28" t="s">
        <v>178</v>
      </c>
      <c r="R17" s="28" t="s">
        <v>178</v>
      </c>
      <c r="S17" s="28" t="s">
        <v>178</v>
      </c>
      <c r="T17" s="28" t="s">
        <v>178</v>
      </c>
      <c r="U17" s="28" t="s">
        <v>178</v>
      </c>
      <c r="V17" s="28" t="s">
        <v>178</v>
      </c>
      <c r="W17" s="28" t="s">
        <v>178</v>
      </c>
      <c r="X17" s="28" t="s">
        <v>179</v>
      </c>
      <c r="Y17" s="28" t="s">
        <v>178</v>
      </c>
      <c r="Z17" s="28" t="s">
        <v>178</v>
      </c>
      <c r="AA17" s="28" t="s">
        <v>178</v>
      </c>
      <c r="AB17" s="28" t="s">
        <v>180</v>
      </c>
      <c r="AC17" s="28" t="s">
        <v>181</v>
      </c>
      <c r="AD17" s="28" t="s">
        <v>181</v>
      </c>
      <c r="AE17" s="28" t="s">
        <v>181</v>
      </c>
      <c r="AF17" s="28" t="s">
        <v>178</v>
      </c>
      <c r="AG17" s="28" t="s">
        <v>178</v>
      </c>
      <c r="AH17" s="28" t="s">
        <v>178</v>
      </c>
    </row>
    <row r="18" spans="1:34" x14ac:dyDescent="0.25">
      <c r="A18" s="26" t="s">
        <v>182</v>
      </c>
      <c r="B18" s="30">
        <v>4</v>
      </c>
      <c r="C18" s="30">
        <v>4</v>
      </c>
      <c r="D18" s="30">
        <v>4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30">
        <v>4</v>
      </c>
      <c r="S18" s="30">
        <v>4</v>
      </c>
      <c r="T18" s="30">
        <v>4</v>
      </c>
      <c r="U18" s="30">
        <v>4</v>
      </c>
      <c r="V18" s="30">
        <v>4</v>
      </c>
      <c r="W18" s="30">
        <v>4</v>
      </c>
      <c r="X18" s="30">
        <f>AVERAGE(4,4,2)</f>
        <v>3.3333333333333335</v>
      </c>
      <c r="Y18" s="30">
        <v>4</v>
      </c>
      <c r="Z18" s="30">
        <v>4</v>
      </c>
      <c r="AA18" s="30">
        <v>4</v>
      </c>
      <c r="AB18" s="30">
        <f>AVERAGE(4,2)</f>
        <v>3</v>
      </c>
      <c r="AC18" s="30">
        <v>2</v>
      </c>
      <c r="AD18" s="30">
        <v>2</v>
      </c>
      <c r="AE18" s="30">
        <v>2</v>
      </c>
      <c r="AF18" s="30">
        <v>4</v>
      </c>
      <c r="AG18" s="30">
        <v>4</v>
      </c>
      <c r="AH18" s="30">
        <v>4</v>
      </c>
    </row>
    <row r="20" spans="1:34" x14ac:dyDescent="0.25">
      <c r="A20" s="31" t="s">
        <v>183</v>
      </c>
    </row>
    <row r="21" spans="1:34" x14ac:dyDescent="0.25">
      <c r="A21" s="26" t="s">
        <v>184</v>
      </c>
      <c r="B21" s="56" t="s">
        <v>185</v>
      </c>
    </row>
  </sheetData>
  <mergeCells count="5">
    <mergeCell ref="B3:D3"/>
    <mergeCell ref="B4:D4"/>
    <mergeCell ref="B5:D5"/>
    <mergeCell ref="F4:O5"/>
    <mergeCell ref="F3:O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4C3C8-DE31-4D17-80E8-7EABEC142B1C}">
  <dimension ref="A1:AH21"/>
  <sheetViews>
    <sheetView workbookViewId="0">
      <selection activeCell="B7" sqref="B7"/>
    </sheetView>
  </sheetViews>
  <sheetFormatPr defaultColWidth="9.140625" defaultRowHeight="15" x14ac:dyDescent="0.25"/>
  <cols>
    <col min="1" max="1" width="23.28515625" style="26" bestFit="1" customWidth="1"/>
    <col min="2" max="36" width="5.7109375" style="26" customWidth="1"/>
    <col min="37" max="16384" width="9.140625" style="26"/>
  </cols>
  <sheetData>
    <row r="1" spans="1:34" x14ac:dyDescent="0.25">
      <c r="A1" s="25" t="s">
        <v>116</v>
      </c>
      <c r="D1" s="25" t="s">
        <v>117</v>
      </c>
      <c r="I1" s="25" t="s">
        <v>118</v>
      </c>
    </row>
    <row r="3" spans="1:34" ht="18" x14ac:dyDescent="0.25">
      <c r="A3" s="25" t="s">
        <v>119</v>
      </c>
      <c r="B3" s="215">
        <v>2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122</v>
      </c>
      <c r="C4" s="215"/>
      <c r="D4" s="215"/>
      <c r="F4" s="216" t="s">
        <v>186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187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29" t="s">
        <v>160</v>
      </c>
      <c r="C8" s="29" t="s">
        <v>161</v>
      </c>
      <c r="D8" s="29" t="s">
        <v>161</v>
      </c>
      <c r="E8" s="29" t="s">
        <v>161</v>
      </c>
      <c r="F8" s="29" t="s">
        <v>161</v>
      </c>
      <c r="G8" s="29" t="s">
        <v>161</v>
      </c>
      <c r="H8" s="29" t="s">
        <v>161</v>
      </c>
      <c r="I8" s="29" t="s">
        <v>161</v>
      </c>
      <c r="J8" s="29" t="s">
        <v>161</v>
      </c>
      <c r="K8" s="29" t="s">
        <v>161</v>
      </c>
      <c r="L8" s="29" t="s">
        <v>161</v>
      </c>
      <c r="M8" s="29" t="s">
        <v>161</v>
      </c>
      <c r="N8" s="29" t="s">
        <v>161</v>
      </c>
      <c r="O8" s="29" t="s">
        <v>161</v>
      </c>
      <c r="P8" s="29" t="s">
        <v>161</v>
      </c>
      <c r="Q8" s="29" t="s">
        <v>161</v>
      </c>
      <c r="R8" s="29" t="s">
        <v>161</v>
      </c>
      <c r="S8" s="29" t="s">
        <v>161</v>
      </c>
      <c r="T8" s="29" t="s">
        <v>161</v>
      </c>
      <c r="U8" s="29" t="s">
        <v>161</v>
      </c>
      <c r="V8" s="29" t="s">
        <v>161</v>
      </c>
      <c r="W8" s="29" t="s">
        <v>161</v>
      </c>
      <c r="X8" s="111" t="s">
        <v>162</v>
      </c>
      <c r="Y8" s="29" t="s">
        <v>161</v>
      </c>
      <c r="Z8" s="29" t="s">
        <v>161</v>
      </c>
      <c r="AA8" s="29" t="s">
        <v>161</v>
      </c>
      <c r="AB8" s="29" t="s">
        <v>163</v>
      </c>
      <c r="AC8" s="29" t="s">
        <v>164</v>
      </c>
      <c r="AD8" s="29" t="s">
        <v>164</v>
      </c>
      <c r="AE8" s="29" t="s">
        <v>164</v>
      </c>
      <c r="AF8" s="29" t="s">
        <v>161</v>
      </c>
      <c r="AG8" s="29" t="s">
        <v>161</v>
      </c>
      <c r="AH8" s="29" t="s">
        <v>161</v>
      </c>
    </row>
    <row r="9" spans="1:34" x14ac:dyDescent="0.25">
      <c r="A9" s="26" t="s">
        <v>165</v>
      </c>
      <c r="B9" s="29" t="s">
        <v>161</v>
      </c>
      <c r="C9" s="29" t="s">
        <v>161</v>
      </c>
      <c r="D9" s="29" t="s">
        <v>161</v>
      </c>
      <c r="E9" s="29" t="s">
        <v>161</v>
      </c>
      <c r="F9" s="29" t="s">
        <v>161</v>
      </c>
      <c r="G9" s="29" t="s">
        <v>161</v>
      </c>
      <c r="H9" s="29" t="s">
        <v>161</v>
      </c>
      <c r="I9" s="29" t="s">
        <v>161</v>
      </c>
      <c r="J9" s="29" t="s">
        <v>161</v>
      </c>
      <c r="K9" s="29" t="s">
        <v>161</v>
      </c>
      <c r="L9" s="29" t="s">
        <v>161</v>
      </c>
      <c r="M9" s="29" t="s">
        <v>161</v>
      </c>
      <c r="N9" s="29" t="s">
        <v>161</v>
      </c>
      <c r="O9" s="29" t="s">
        <v>161</v>
      </c>
      <c r="P9" s="29" t="s">
        <v>161</v>
      </c>
      <c r="Q9" s="29" t="s">
        <v>161</v>
      </c>
      <c r="R9" s="29" t="s">
        <v>161</v>
      </c>
      <c r="S9" s="29" t="s">
        <v>161</v>
      </c>
      <c r="T9" s="29" t="s">
        <v>161</v>
      </c>
      <c r="U9" s="29" t="s">
        <v>161</v>
      </c>
      <c r="V9" s="29" t="s">
        <v>161</v>
      </c>
      <c r="W9" s="29" t="s">
        <v>161</v>
      </c>
      <c r="X9" s="29" t="s">
        <v>166</v>
      </c>
      <c r="Y9" s="29" t="s">
        <v>161</v>
      </c>
      <c r="Z9" s="29" t="s">
        <v>161</v>
      </c>
      <c r="AA9" s="29" t="s">
        <v>161</v>
      </c>
      <c r="AB9" s="29" t="s">
        <v>167</v>
      </c>
      <c r="AC9" s="28" t="s">
        <v>164</v>
      </c>
      <c r="AD9" s="28" t="s">
        <v>164</v>
      </c>
      <c r="AE9" s="28" t="s">
        <v>164</v>
      </c>
      <c r="AF9" s="29" t="s">
        <v>161</v>
      </c>
      <c r="AG9" s="29" t="s">
        <v>161</v>
      </c>
      <c r="AH9" s="29" t="s">
        <v>161</v>
      </c>
    </row>
    <row r="10" spans="1:34" x14ac:dyDescent="0.25">
      <c r="A10" s="131" t="s">
        <v>168</v>
      </c>
      <c r="B10" s="132">
        <v>2</v>
      </c>
      <c r="C10" s="132">
        <v>2</v>
      </c>
      <c r="D10" s="132">
        <v>2</v>
      </c>
      <c r="E10" s="132">
        <v>2</v>
      </c>
      <c r="F10" s="132">
        <v>2</v>
      </c>
      <c r="G10" s="132">
        <v>2</v>
      </c>
      <c r="H10" s="132">
        <v>2</v>
      </c>
      <c r="I10" s="132">
        <v>2</v>
      </c>
      <c r="J10" s="132">
        <v>2</v>
      </c>
      <c r="K10" s="132">
        <v>2</v>
      </c>
      <c r="L10" s="132">
        <v>2</v>
      </c>
      <c r="M10" s="132">
        <v>2</v>
      </c>
      <c r="N10" s="132">
        <v>2</v>
      </c>
      <c r="O10" s="132">
        <v>2</v>
      </c>
      <c r="P10" s="132">
        <v>2</v>
      </c>
      <c r="Q10" s="132">
        <v>2</v>
      </c>
      <c r="R10" s="132">
        <v>2</v>
      </c>
      <c r="S10" s="132">
        <v>2</v>
      </c>
      <c r="T10" s="132">
        <v>2</v>
      </c>
      <c r="U10" s="132">
        <v>2</v>
      </c>
      <c r="V10" s="132">
        <v>2</v>
      </c>
      <c r="W10" s="132">
        <v>2</v>
      </c>
      <c r="X10" s="132">
        <v>273</v>
      </c>
      <c r="Y10" s="132">
        <v>2</v>
      </c>
      <c r="Z10" s="132">
        <v>2</v>
      </c>
      <c r="AA10" s="132">
        <v>2</v>
      </c>
      <c r="AB10" s="157">
        <v>117</v>
      </c>
      <c r="AC10" s="157">
        <v>43</v>
      </c>
      <c r="AD10" s="157">
        <v>43</v>
      </c>
      <c r="AE10" s="157">
        <v>43</v>
      </c>
      <c r="AF10" s="132">
        <v>2</v>
      </c>
      <c r="AG10" s="132">
        <v>2</v>
      </c>
      <c r="AH10" s="132">
        <v>2</v>
      </c>
    </row>
    <row r="11" spans="1:34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28" t="s">
        <v>170</v>
      </c>
      <c r="O11" s="28" t="s">
        <v>170</v>
      </c>
      <c r="P11" s="28" t="s">
        <v>170</v>
      </c>
      <c r="Q11" s="28" t="s">
        <v>170</v>
      </c>
      <c r="R11" s="28" t="s">
        <v>170</v>
      </c>
      <c r="S11" s="28" t="s">
        <v>170</v>
      </c>
      <c r="T11" s="28" t="s">
        <v>170</v>
      </c>
      <c r="U11" s="28" t="s">
        <v>170</v>
      </c>
      <c r="V11" s="28" t="s">
        <v>170</v>
      </c>
      <c r="W11" s="28" t="s">
        <v>170</v>
      </c>
      <c r="X11" s="28" t="s">
        <v>170</v>
      </c>
      <c r="Y11" s="28" t="s">
        <v>170</v>
      </c>
      <c r="Z11" s="28" t="s">
        <v>170</v>
      </c>
      <c r="AA11" s="28" t="s">
        <v>170</v>
      </c>
      <c r="AB11" s="28" t="s">
        <v>170</v>
      </c>
      <c r="AC11" s="29" t="s">
        <v>170</v>
      </c>
      <c r="AD11" s="29" t="s">
        <v>170</v>
      </c>
      <c r="AE11" s="29" t="s">
        <v>170</v>
      </c>
      <c r="AF11" s="28" t="s">
        <v>170</v>
      </c>
      <c r="AG11" s="28" t="s">
        <v>170</v>
      </c>
      <c r="AH11" s="28" t="s">
        <v>170</v>
      </c>
    </row>
    <row r="12" spans="1:34" x14ac:dyDescent="0.25">
      <c r="A12" s="26" t="s">
        <v>171</v>
      </c>
      <c r="B12" s="28" t="s">
        <v>170</v>
      </c>
      <c r="C12" s="28" t="s">
        <v>170</v>
      </c>
      <c r="D12" s="28" t="s">
        <v>170</v>
      </c>
      <c r="E12" s="28" t="s">
        <v>170</v>
      </c>
      <c r="F12" s="28" t="s">
        <v>170</v>
      </c>
      <c r="G12" s="28" t="s">
        <v>170</v>
      </c>
      <c r="H12" s="28" t="s">
        <v>170</v>
      </c>
      <c r="I12" s="28" t="s">
        <v>170</v>
      </c>
      <c r="J12" s="28" t="s">
        <v>170</v>
      </c>
      <c r="K12" s="28" t="s">
        <v>170</v>
      </c>
      <c r="L12" s="28" t="s">
        <v>170</v>
      </c>
      <c r="M12" s="28" t="s">
        <v>170</v>
      </c>
      <c r="N12" s="28" t="s">
        <v>170</v>
      </c>
      <c r="O12" s="28" t="s">
        <v>170</v>
      </c>
      <c r="P12" s="28" t="s">
        <v>170</v>
      </c>
      <c r="Q12" s="28" t="s">
        <v>170</v>
      </c>
      <c r="R12" s="28" t="s">
        <v>170</v>
      </c>
      <c r="S12" s="28" t="s">
        <v>170</v>
      </c>
      <c r="T12" s="28" t="s">
        <v>170</v>
      </c>
      <c r="U12" s="28" t="s">
        <v>170</v>
      </c>
      <c r="V12" s="28" t="s">
        <v>170</v>
      </c>
      <c r="W12" s="28" t="s">
        <v>170</v>
      </c>
      <c r="X12" s="28" t="s">
        <v>170</v>
      </c>
      <c r="Y12" s="28" t="s">
        <v>170</v>
      </c>
      <c r="Z12" s="28" t="s">
        <v>170</v>
      </c>
      <c r="AA12" s="28" t="s">
        <v>170</v>
      </c>
      <c r="AB12" s="28" t="s">
        <v>170</v>
      </c>
      <c r="AC12" s="28" t="s">
        <v>170</v>
      </c>
      <c r="AD12" s="28" t="s">
        <v>170</v>
      </c>
      <c r="AE12" s="28" t="s">
        <v>170</v>
      </c>
      <c r="AF12" s="28" t="s">
        <v>170</v>
      </c>
      <c r="AG12" s="28" t="s">
        <v>170</v>
      </c>
      <c r="AH12" s="28" t="s">
        <v>170</v>
      </c>
    </row>
    <row r="13" spans="1:34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 t="s">
        <v>173</v>
      </c>
      <c r="S13" s="28" t="s">
        <v>173</v>
      </c>
      <c r="T13" s="28" t="s">
        <v>173</v>
      </c>
      <c r="U13" s="28" t="s">
        <v>173</v>
      </c>
      <c r="V13" s="28" t="s">
        <v>173</v>
      </c>
      <c r="W13" s="28" t="s">
        <v>173</v>
      </c>
      <c r="X13" s="28" t="s">
        <v>173</v>
      </c>
      <c r="Y13" s="28" t="s">
        <v>173</v>
      </c>
      <c r="Z13" s="28" t="s">
        <v>173</v>
      </c>
      <c r="AA13" s="28" t="s">
        <v>173</v>
      </c>
      <c r="AB13" s="28" t="s">
        <v>173</v>
      </c>
      <c r="AC13" s="28" t="s">
        <v>173</v>
      </c>
      <c r="AD13" s="28" t="s">
        <v>173</v>
      </c>
      <c r="AE13" s="28" t="s">
        <v>173</v>
      </c>
      <c r="AF13" s="28" t="s">
        <v>173</v>
      </c>
      <c r="AG13" s="28" t="s">
        <v>173</v>
      </c>
      <c r="AH13" s="28" t="s">
        <v>173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 t="s">
        <v>173</v>
      </c>
      <c r="V14" s="28" t="s">
        <v>173</v>
      </c>
      <c r="W14" s="28" t="s">
        <v>173</v>
      </c>
      <c r="X14" s="28" t="s">
        <v>173</v>
      </c>
      <c r="Y14" s="28" t="s">
        <v>173</v>
      </c>
      <c r="Z14" s="28" t="s">
        <v>173</v>
      </c>
      <c r="AA14" s="28" t="s">
        <v>173</v>
      </c>
      <c r="AB14" s="28" t="s">
        <v>173</v>
      </c>
      <c r="AC14" s="28" t="s">
        <v>173</v>
      </c>
      <c r="AD14" s="28" t="s">
        <v>173</v>
      </c>
      <c r="AE14" s="28" t="s">
        <v>173</v>
      </c>
      <c r="AF14" s="28" t="s">
        <v>173</v>
      </c>
      <c r="AG14" s="28" t="s">
        <v>173</v>
      </c>
      <c r="AH14" s="28" t="s">
        <v>173</v>
      </c>
    </row>
    <row r="15" spans="1:34" x14ac:dyDescent="0.25">
      <c r="A15" s="26" t="s">
        <v>175</v>
      </c>
      <c r="B15" s="28" t="s">
        <v>160</v>
      </c>
      <c r="C15" s="28" t="s">
        <v>160</v>
      </c>
      <c r="D15" s="28" t="s">
        <v>160</v>
      </c>
      <c r="E15" s="28" t="s">
        <v>160</v>
      </c>
      <c r="F15" s="28" t="s">
        <v>160</v>
      </c>
      <c r="G15" s="28" t="s">
        <v>160</v>
      </c>
      <c r="H15" s="28" t="s">
        <v>160</v>
      </c>
      <c r="I15" s="28" t="s">
        <v>160</v>
      </c>
      <c r="J15" s="28" t="s">
        <v>160</v>
      </c>
      <c r="K15" s="28" t="s">
        <v>160</v>
      </c>
      <c r="L15" s="28" t="s">
        <v>160</v>
      </c>
      <c r="M15" s="28" t="s">
        <v>160</v>
      </c>
      <c r="N15" s="28" t="s">
        <v>160</v>
      </c>
      <c r="O15" s="28" t="s">
        <v>160</v>
      </c>
      <c r="P15" s="28" t="s">
        <v>160</v>
      </c>
      <c r="Q15" s="28" t="s">
        <v>160</v>
      </c>
      <c r="R15" s="28" t="s">
        <v>160</v>
      </c>
      <c r="S15" s="28" t="s">
        <v>160</v>
      </c>
      <c r="T15" s="28" t="s">
        <v>160</v>
      </c>
      <c r="U15" s="28" t="s">
        <v>160</v>
      </c>
      <c r="V15" s="28" t="s">
        <v>160</v>
      </c>
      <c r="W15" s="28" t="s">
        <v>160</v>
      </c>
      <c r="X15" s="28" t="s">
        <v>160</v>
      </c>
      <c r="Y15" s="28" t="s">
        <v>160</v>
      </c>
      <c r="Z15" s="28" t="s">
        <v>160</v>
      </c>
      <c r="AA15" s="28" t="s">
        <v>160</v>
      </c>
      <c r="AB15" s="28" t="s">
        <v>160</v>
      </c>
      <c r="AC15" s="28" t="s">
        <v>160</v>
      </c>
      <c r="AD15" s="28" t="s">
        <v>160</v>
      </c>
      <c r="AE15" s="28" t="s">
        <v>160</v>
      </c>
      <c r="AF15" s="28" t="s">
        <v>160</v>
      </c>
      <c r="AG15" s="28" t="s">
        <v>160</v>
      </c>
      <c r="AH15" s="28" t="s">
        <v>160</v>
      </c>
    </row>
    <row r="16" spans="1:34" x14ac:dyDescent="0.25">
      <c r="A16" s="26" t="s">
        <v>176</v>
      </c>
      <c r="B16" s="30">
        <v>3</v>
      </c>
      <c r="C16" s="30">
        <v>3</v>
      </c>
      <c r="D16" s="30">
        <v>3</v>
      </c>
      <c r="E16" s="30">
        <v>3</v>
      </c>
      <c r="F16" s="30">
        <v>3</v>
      </c>
      <c r="G16" s="30">
        <v>3</v>
      </c>
      <c r="H16" s="30">
        <v>3</v>
      </c>
      <c r="I16" s="30">
        <v>3</v>
      </c>
      <c r="J16" s="30">
        <v>3</v>
      </c>
      <c r="K16" s="30">
        <v>3</v>
      </c>
      <c r="L16" s="30">
        <v>3</v>
      </c>
      <c r="M16" s="30">
        <v>3</v>
      </c>
      <c r="N16" s="30">
        <v>3</v>
      </c>
      <c r="O16" s="30">
        <v>3</v>
      </c>
      <c r="P16" s="30">
        <v>3</v>
      </c>
      <c r="Q16" s="30">
        <v>3</v>
      </c>
      <c r="R16" s="30">
        <v>3</v>
      </c>
      <c r="S16" s="30">
        <v>3</v>
      </c>
      <c r="T16" s="30">
        <v>3</v>
      </c>
      <c r="U16" s="30">
        <v>3</v>
      </c>
      <c r="V16" s="30">
        <v>3</v>
      </c>
      <c r="W16" s="30">
        <v>3</v>
      </c>
      <c r="X16" s="30">
        <f>AVERAGE(3,3,2.5)</f>
        <v>2.8333333333333335</v>
      </c>
      <c r="Y16" s="30">
        <v>3</v>
      </c>
      <c r="Z16" s="30">
        <v>3</v>
      </c>
      <c r="AA16" s="30">
        <v>3</v>
      </c>
      <c r="AB16" s="30">
        <f>AVERAGE(3,2.5)</f>
        <v>2.75</v>
      </c>
      <c r="AC16" s="30">
        <v>2.5</v>
      </c>
      <c r="AD16" s="30">
        <v>2.5</v>
      </c>
      <c r="AE16" s="30">
        <v>2.5</v>
      </c>
      <c r="AF16" s="30">
        <v>3</v>
      </c>
      <c r="AG16" s="30">
        <v>3</v>
      </c>
      <c r="AH16" s="30">
        <v>3</v>
      </c>
    </row>
    <row r="17" spans="1:34" x14ac:dyDescent="0.25">
      <c r="A17" s="26" t="s">
        <v>177</v>
      </c>
      <c r="B17" s="28" t="s">
        <v>178</v>
      </c>
      <c r="C17" s="28" t="s">
        <v>178</v>
      </c>
      <c r="D17" s="28" t="s">
        <v>178</v>
      </c>
      <c r="E17" s="28" t="s">
        <v>178</v>
      </c>
      <c r="F17" s="28" t="s">
        <v>178</v>
      </c>
      <c r="G17" s="28" t="s">
        <v>178</v>
      </c>
      <c r="H17" s="28" t="s">
        <v>178</v>
      </c>
      <c r="I17" s="28" t="s">
        <v>178</v>
      </c>
      <c r="J17" s="28" t="s">
        <v>178</v>
      </c>
      <c r="K17" s="28" t="s">
        <v>178</v>
      </c>
      <c r="L17" s="28" t="s">
        <v>178</v>
      </c>
      <c r="M17" s="28" t="s">
        <v>178</v>
      </c>
      <c r="N17" s="28" t="s">
        <v>178</v>
      </c>
      <c r="O17" s="28" t="s">
        <v>178</v>
      </c>
      <c r="P17" s="28" t="s">
        <v>178</v>
      </c>
      <c r="Q17" s="28" t="s">
        <v>178</v>
      </c>
      <c r="R17" s="28" t="s">
        <v>178</v>
      </c>
      <c r="S17" s="28" t="s">
        <v>178</v>
      </c>
      <c r="T17" s="28" t="s">
        <v>178</v>
      </c>
      <c r="U17" s="28" t="s">
        <v>178</v>
      </c>
      <c r="V17" s="28" t="s">
        <v>178</v>
      </c>
      <c r="W17" s="28" t="s">
        <v>178</v>
      </c>
      <c r="X17" s="28" t="s">
        <v>179</v>
      </c>
      <c r="Y17" s="28" t="s">
        <v>178</v>
      </c>
      <c r="Z17" s="28" t="s">
        <v>178</v>
      </c>
      <c r="AA17" s="28" t="s">
        <v>178</v>
      </c>
      <c r="AB17" s="28" t="s">
        <v>180</v>
      </c>
      <c r="AC17" s="28" t="s">
        <v>181</v>
      </c>
      <c r="AD17" s="28" t="s">
        <v>181</v>
      </c>
      <c r="AE17" s="28" t="s">
        <v>181</v>
      </c>
      <c r="AF17" s="28" t="s">
        <v>178</v>
      </c>
      <c r="AG17" s="28" t="s">
        <v>178</v>
      </c>
      <c r="AH17" s="28" t="s">
        <v>178</v>
      </c>
    </row>
    <row r="18" spans="1:34" x14ac:dyDescent="0.25">
      <c r="A18" s="26" t="s">
        <v>182</v>
      </c>
      <c r="B18" s="30">
        <v>4</v>
      </c>
      <c r="C18" s="30">
        <v>4</v>
      </c>
      <c r="D18" s="30">
        <v>4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30">
        <v>4</v>
      </c>
      <c r="S18" s="30">
        <v>4</v>
      </c>
      <c r="T18" s="30">
        <v>4</v>
      </c>
      <c r="U18" s="30">
        <v>4</v>
      </c>
      <c r="V18" s="30">
        <v>4</v>
      </c>
      <c r="W18" s="30">
        <v>4</v>
      </c>
      <c r="X18" s="30">
        <f>AVERAGE(4,4,2)</f>
        <v>3.3333333333333335</v>
      </c>
      <c r="Y18" s="30">
        <v>4</v>
      </c>
      <c r="Z18" s="30">
        <v>4</v>
      </c>
      <c r="AA18" s="30">
        <v>4</v>
      </c>
      <c r="AB18" s="30">
        <f>AVERAGE(4,2)</f>
        <v>3</v>
      </c>
      <c r="AC18" s="30">
        <v>2</v>
      </c>
      <c r="AD18" s="30">
        <v>2</v>
      </c>
      <c r="AE18" s="30">
        <v>2</v>
      </c>
      <c r="AF18" s="30">
        <v>4</v>
      </c>
      <c r="AG18" s="30">
        <v>4</v>
      </c>
      <c r="AH18" s="30">
        <v>4</v>
      </c>
    </row>
    <row r="20" spans="1:34" x14ac:dyDescent="0.25">
      <c r="A20" s="31" t="s">
        <v>183</v>
      </c>
    </row>
    <row r="21" spans="1:34" x14ac:dyDescent="0.25">
      <c r="A21" s="26" t="s">
        <v>188</v>
      </c>
      <c r="B21" s="56" t="s">
        <v>185</v>
      </c>
    </row>
  </sheetData>
  <mergeCells count="5">
    <mergeCell ref="B3:D3"/>
    <mergeCell ref="B4:D4"/>
    <mergeCell ref="B5:D5"/>
    <mergeCell ref="F4:O5"/>
    <mergeCell ref="F3:O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1B384-748B-4BD3-B127-9C206832FDB5}">
  <dimension ref="A1:AN28"/>
  <sheetViews>
    <sheetView topLeftCell="S1" workbookViewId="0">
      <selection activeCell="AM9" sqref="AM9"/>
    </sheetView>
  </sheetViews>
  <sheetFormatPr defaultColWidth="9.140625" defaultRowHeight="15" x14ac:dyDescent="0.25"/>
  <cols>
    <col min="1" max="1" width="23.28515625" style="26" bestFit="1" customWidth="1"/>
    <col min="2" max="53" width="5.7109375" style="26" customWidth="1"/>
    <col min="54" max="16384" width="9.140625" style="26"/>
  </cols>
  <sheetData>
    <row r="1" spans="1:40" x14ac:dyDescent="0.25">
      <c r="A1" s="25" t="s">
        <v>116</v>
      </c>
      <c r="D1" s="25" t="s">
        <v>117</v>
      </c>
      <c r="I1" s="25" t="s">
        <v>118</v>
      </c>
    </row>
    <row r="3" spans="1:40" ht="18" x14ac:dyDescent="0.25">
      <c r="A3" s="25" t="s">
        <v>119</v>
      </c>
      <c r="B3" s="215">
        <v>3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40" ht="18" x14ac:dyDescent="0.25">
      <c r="A4" s="25" t="s">
        <v>121</v>
      </c>
      <c r="B4" s="215" t="s">
        <v>189</v>
      </c>
      <c r="C4" s="215"/>
      <c r="D4" s="215"/>
      <c r="F4" s="228" t="s">
        <v>190</v>
      </c>
      <c r="G4" s="229"/>
      <c r="H4" s="229"/>
      <c r="I4" s="229"/>
      <c r="J4" s="229"/>
      <c r="K4" s="229"/>
      <c r="L4" s="229"/>
      <c r="M4" s="229"/>
      <c r="N4" s="229"/>
      <c r="O4" s="230"/>
    </row>
    <row r="5" spans="1:40" ht="18" x14ac:dyDescent="0.25">
      <c r="A5" s="25" t="s">
        <v>124</v>
      </c>
      <c r="B5" s="215" t="s">
        <v>187</v>
      </c>
      <c r="C5" s="215"/>
      <c r="D5" s="215"/>
      <c r="F5" s="231"/>
      <c r="G5" s="232"/>
      <c r="H5" s="232"/>
      <c r="I5" s="232"/>
      <c r="J5" s="232"/>
      <c r="K5" s="232"/>
      <c r="L5" s="232"/>
      <c r="M5" s="232"/>
      <c r="N5" s="232"/>
      <c r="O5" s="233"/>
    </row>
    <row r="7" spans="1:40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  <c r="AJ7" s="53" t="s">
        <v>157</v>
      </c>
      <c r="AK7" s="53" t="s">
        <v>158</v>
      </c>
      <c r="AM7" s="32" t="s">
        <v>128</v>
      </c>
      <c r="AN7" s="42" t="s">
        <v>141</v>
      </c>
    </row>
    <row r="8" spans="1:40" x14ac:dyDescent="0.25">
      <c r="A8" s="26" t="s">
        <v>159</v>
      </c>
      <c r="B8" s="29" t="s">
        <v>191</v>
      </c>
      <c r="C8" s="29" t="s">
        <v>192</v>
      </c>
      <c r="D8" s="29" t="s">
        <v>192</v>
      </c>
      <c r="E8" s="29" t="s">
        <v>192</v>
      </c>
      <c r="F8" s="29" t="s">
        <v>192</v>
      </c>
      <c r="G8" s="29" t="s">
        <v>192</v>
      </c>
      <c r="H8" s="29" t="s">
        <v>192</v>
      </c>
      <c r="I8" s="29" t="s">
        <v>192</v>
      </c>
      <c r="J8" s="29" t="s">
        <v>192</v>
      </c>
      <c r="K8" s="29" t="s">
        <v>192</v>
      </c>
      <c r="L8" s="29" t="s">
        <v>192</v>
      </c>
      <c r="M8" s="29" t="s">
        <v>192</v>
      </c>
      <c r="N8" s="29" t="s">
        <v>192</v>
      </c>
      <c r="O8" s="29" t="s">
        <v>192</v>
      </c>
      <c r="P8" s="29" t="s">
        <v>192</v>
      </c>
      <c r="Q8" s="29" t="s">
        <v>192</v>
      </c>
      <c r="R8" s="29" t="s">
        <v>192</v>
      </c>
      <c r="S8" s="29" t="s">
        <v>192</v>
      </c>
      <c r="T8" s="29" t="s">
        <v>192</v>
      </c>
      <c r="U8" s="29" t="s">
        <v>192</v>
      </c>
      <c r="V8" s="29" t="s">
        <v>192</v>
      </c>
      <c r="W8" s="29" t="s">
        <v>192</v>
      </c>
      <c r="X8" s="29" t="s">
        <v>192</v>
      </c>
      <c r="Y8" s="29" t="s">
        <v>192</v>
      </c>
      <c r="Z8" s="29" t="s">
        <v>192</v>
      </c>
      <c r="AA8" s="29" t="s">
        <v>192</v>
      </c>
      <c r="AB8" s="29" t="s">
        <v>192</v>
      </c>
      <c r="AC8" s="29" t="s">
        <v>192</v>
      </c>
      <c r="AD8" s="29" t="s">
        <v>192</v>
      </c>
      <c r="AE8" s="29" t="s">
        <v>192</v>
      </c>
      <c r="AF8" s="29" t="s">
        <v>192</v>
      </c>
      <c r="AG8" s="29" t="s">
        <v>192</v>
      </c>
      <c r="AH8" s="29" t="s">
        <v>192</v>
      </c>
      <c r="AJ8" s="29" t="s">
        <v>193</v>
      </c>
      <c r="AK8" s="29" t="s">
        <v>194</v>
      </c>
      <c r="AM8" s="29" t="s">
        <v>192</v>
      </c>
      <c r="AN8" s="29" t="s">
        <v>192</v>
      </c>
    </row>
    <row r="9" spans="1:40" x14ac:dyDescent="0.25">
      <c r="A9" s="26" t="s">
        <v>165</v>
      </c>
      <c r="B9" s="29" t="s">
        <v>195</v>
      </c>
      <c r="C9" s="29" t="s">
        <v>195</v>
      </c>
      <c r="D9" s="29" t="s">
        <v>195</v>
      </c>
      <c r="E9" s="29" t="s">
        <v>195</v>
      </c>
      <c r="F9" s="29" t="s">
        <v>195</v>
      </c>
      <c r="G9" s="29" t="s">
        <v>195</v>
      </c>
      <c r="H9" s="29" t="s">
        <v>195</v>
      </c>
      <c r="I9" s="29" t="s">
        <v>195</v>
      </c>
      <c r="J9" s="29" t="s">
        <v>195</v>
      </c>
      <c r="K9" s="29" t="s">
        <v>195</v>
      </c>
      <c r="L9" s="29" t="s">
        <v>195</v>
      </c>
      <c r="M9" s="29" t="s">
        <v>195</v>
      </c>
      <c r="N9" s="29" t="s">
        <v>195</v>
      </c>
      <c r="O9" s="29" t="s">
        <v>195</v>
      </c>
      <c r="P9" s="29" t="s">
        <v>195</v>
      </c>
      <c r="Q9" s="29" t="s">
        <v>195</v>
      </c>
      <c r="R9" s="29" t="s">
        <v>195</v>
      </c>
      <c r="S9" s="29" t="s">
        <v>195</v>
      </c>
      <c r="T9" s="29" t="s">
        <v>195</v>
      </c>
      <c r="U9" s="29" t="s">
        <v>195</v>
      </c>
      <c r="V9" s="29" t="s">
        <v>195</v>
      </c>
      <c r="W9" s="29" t="s">
        <v>195</v>
      </c>
      <c r="X9" s="29" t="s">
        <v>195</v>
      </c>
      <c r="Y9" s="29" t="s">
        <v>195</v>
      </c>
      <c r="Z9" s="29" t="s">
        <v>195</v>
      </c>
      <c r="AA9" s="29" t="s">
        <v>195</v>
      </c>
      <c r="AB9" s="29" t="s">
        <v>195</v>
      </c>
      <c r="AC9" s="29" t="s">
        <v>195</v>
      </c>
      <c r="AD9" s="29" t="s">
        <v>195</v>
      </c>
      <c r="AE9" s="29" t="s">
        <v>195</v>
      </c>
      <c r="AF9" s="29" t="s">
        <v>195</v>
      </c>
      <c r="AG9" s="29" t="s">
        <v>195</v>
      </c>
      <c r="AH9" s="29" t="s">
        <v>195</v>
      </c>
      <c r="AJ9" s="29" t="s">
        <v>196</v>
      </c>
      <c r="AK9" s="29" t="s">
        <v>196</v>
      </c>
      <c r="AM9" s="28" t="s">
        <v>197</v>
      </c>
      <c r="AN9" s="29" t="s">
        <v>196</v>
      </c>
    </row>
    <row r="10" spans="1:40" x14ac:dyDescent="0.25">
      <c r="A10" s="131" t="s">
        <v>168</v>
      </c>
      <c r="B10" s="132">
        <v>5</v>
      </c>
      <c r="C10" s="132">
        <v>5</v>
      </c>
      <c r="D10" s="132">
        <v>5</v>
      </c>
      <c r="E10" s="132">
        <v>5</v>
      </c>
      <c r="F10" s="132">
        <v>5</v>
      </c>
      <c r="G10" s="132">
        <v>5</v>
      </c>
      <c r="H10" s="132">
        <v>5</v>
      </c>
      <c r="I10" s="132">
        <v>5</v>
      </c>
      <c r="J10" s="132">
        <v>5</v>
      </c>
      <c r="K10" s="132">
        <v>5</v>
      </c>
      <c r="L10" s="132">
        <v>5</v>
      </c>
      <c r="M10" s="132">
        <v>5</v>
      </c>
      <c r="N10" s="132">
        <v>5</v>
      </c>
      <c r="O10" s="132">
        <v>5</v>
      </c>
      <c r="P10" s="132">
        <v>5</v>
      </c>
      <c r="Q10" s="132">
        <v>5</v>
      </c>
      <c r="R10" s="132">
        <v>5</v>
      </c>
      <c r="S10" s="132">
        <v>5</v>
      </c>
      <c r="T10" s="132">
        <v>5</v>
      </c>
      <c r="U10" s="132">
        <v>5</v>
      </c>
      <c r="V10" s="132">
        <v>5</v>
      </c>
      <c r="W10" s="132">
        <v>5</v>
      </c>
      <c r="X10" s="132">
        <v>5</v>
      </c>
      <c r="Y10" s="132">
        <v>5</v>
      </c>
      <c r="Z10" s="132">
        <v>5</v>
      </c>
      <c r="AA10" s="132">
        <v>5</v>
      </c>
      <c r="AB10" s="132">
        <v>5</v>
      </c>
      <c r="AC10" s="132">
        <v>5</v>
      </c>
      <c r="AD10" s="132">
        <v>5</v>
      </c>
      <c r="AE10" s="132">
        <v>5</v>
      </c>
      <c r="AF10" s="132">
        <v>5</v>
      </c>
      <c r="AG10" s="132">
        <v>5</v>
      </c>
      <c r="AH10" s="132">
        <v>5</v>
      </c>
      <c r="AJ10" s="132">
        <v>26</v>
      </c>
      <c r="AK10" s="132">
        <v>26</v>
      </c>
      <c r="AM10" s="132">
        <v>34</v>
      </c>
      <c r="AN10" s="132">
        <v>26</v>
      </c>
    </row>
    <row r="11" spans="1:40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28" t="s">
        <v>170</v>
      </c>
      <c r="O11" s="28" t="s">
        <v>170</v>
      </c>
      <c r="P11" s="28" t="s">
        <v>170</v>
      </c>
      <c r="Q11" s="28" t="s">
        <v>170</v>
      </c>
      <c r="R11" s="28" t="s">
        <v>170</v>
      </c>
      <c r="S11" s="28" t="s">
        <v>170</v>
      </c>
      <c r="T11" s="28" t="s">
        <v>170</v>
      </c>
      <c r="U11" s="28" t="s">
        <v>170</v>
      </c>
      <c r="V11" s="28" t="s">
        <v>170</v>
      </c>
      <c r="W11" s="28" t="s">
        <v>170</v>
      </c>
      <c r="X11" s="28" t="s">
        <v>170</v>
      </c>
      <c r="Y11" s="28" t="s">
        <v>170</v>
      </c>
      <c r="Z11" s="28" t="s">
        <v>170</v>
      </c>
      <c r="AA11" s="28" t="s">
        <v>170</v>
      </c>
      <c r="AB11" s="28" t="s">
        <v>170</v>
      </c>
      <c r="AC11" s="28" t="s">
        <v>170</v>
      </c>
      <c r="AD11" s="28" t="s">
        <v>170</v>
      </c>
      <c r="AE11" s="28" t="s">
        <v>170</v>
      </c>
      <c r="AF11" s="28" t="s">
        <v>170</v>
      </c>
      <c r="AG11" s="28" t="s">
        <v>170</v>
      </c>
      <c r="AH11" s="28" t="s">
        <v>170</v>
      </c>
      <c r="AJ11" s="28" t="s">
        <v>170</v>
      </c>
      <c r="AK11" s="28" t="s">
        <v>170</v>
      </c>
      <c r="AM11" s="29" t="s">
        <v>170</v>
      </c>
      <c r="AN11" s="28" t="s">
        <v>170</v>
      </c>
    </row>
    <row r="12" spans="1:40" x14ac:dyDescent="0.25">
      <c r="A12" s="26" t="s">
        <v>171</v>
      </c>
      <c r="B12" s="28" t="s">
        <v>173</v>
      </c>
      <c r="C12" s="28" t="s">
        <v>173</v>
      </c>
      <c r="D12" s="28" t="s">
        <v>173</v>
      </c>
      <c r="E12" s="28" t="s">
        <v>173</v>
      </c>
      <c r="F12" s="28" t="s">
        <v>173</v>
      </c>
      <c r="G12" s="28" t="s">
        <v>173</v>
      </c>
      <c r="H12" s="28" t="s">
        <v>173</v>
      </c>
      <c r="I12" s="28" t="s">
        <v>173</v>
      </c>
      <c r="J12" s="28" t="s">
        <v>173</v>
      </c>
      <c r="K12" s="28" t="s">
        <v>173</v>
      </c>
      <c r="L12" s="28" t="s">
        <v>173</v>
      </c>
      <c r="M12" s="28" t="s">
        <v>173</v>
      </c>
      <c r="N12" s="28" t="s">
        <v>173</v>
      </c>
      <c r="O12" s="28" t="s">
        <v>173</v>
      </c>
      <c r="P12" s="28" t="s">
        <v>173</v>
      </c>
      <c r="Q12" s="28" t="s">
        <v>173</v>
      </c>
      <c r="R12" s="28" t="s">
        <v>173</v>
      </c>
      <c r="S12" s="28" t="s">
        <v>173</v>
      </c>
      <c r="T12" s="28" t="s">
        <v>173</v>
      </c>
      <c r="U12" s="28" t="s">
        <v>173</v>
      </c>
      <c r="V12" s="28" t="s">
        <v>173</v>
      </c>
      <c r="W12" s="28" t="s">
        <v>173</v>
      </c>
      <c r="X12" s="28" t="s">
        <v>173</v>
      </c>
      <c r="Y12" s="28" t="s">
        <v>173</v>
      </c>
      <c r="Z12" s="28" t="s">
        <v>173</v>
      </c>
      <c r="AA12" s="28" t="s">
        <v>173</v>
      </c>
      <c r="AB12" s="28" t="s">
        <v>173</v>
      </c>
      <c r="AC12" s="28" t="s">
        <v>173</v>
      </c>
      <c r="AD12" s="28" t="s">
        <v>173</v>
      </c>
      <c r="AE12" s="28" t="s">
        <v>173</v>
      </c>
      <c r="AF12" s="28" t="s">
        <v>173</v>
      </c>
      <c r="AG12" s="28" t="s">
        <v>173</v>
      </c>
      <c r="AH12" s="28" t="s">
        <v>173</v>
      </c>
      <c r="AJ12" s="28" t="s">
        <v>173</v>
      </c>
      <c r="AK12" s="28" t="s">
        <v>173</v>
      </c>
      <c r="AM12" s="28" t="s">
        <v>173</v>
      </c>
      <c r="AN12" s="28" t="s">
        <v>173</v>
      </c>
    </row>
    <row r="13" spans="1:40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 t="s">
        <v>173</v>
      </c>
      <c r="S13" s="28" t="s">
        <v>173</v>
      </c>
      <c r="T13" s="28" t="s">
        <v>173</v>
      </c>
      <c r="U13" s="28" t="s">
        <v>173</v>
      </c>
      <c r="V13" s="28" t="s">
        <v>173</v>
      </c>
      <c r="W13" s="28" t="s">
        <v>173</v>
      </c>
      <c r="X13" s="28" t="s">
        <v>173</v>
      </c>
      <c r="Y13" s="28" t="s">
        <v>173</v>
      </c>
      <c r="Z13" s="28" t="s">
        <v>173</v>
      </c>
      <c r="AA13" s="28" t="s">
        <v>173</v>
      </c>
      <c r="AB13" s="28" t="s">
        <v>173</v>
      </c>
      <c r="AC13" s="28" t="s">
        <v>173</v>
      </c>
      <c r="AD13" s="28" t="s">
        <v>173</v>
      </c>
      <c r="AE13" s="28" t="s">
        <v>173</v>
      </c>
      <c r="AF13" s="28" t="s">
        <v>173</v>
      </c>
      <c r="AG13" s="28" t="s">
        <v>173</v>
      </c>
      <c r="AH13" s="28" t="s">
        <v>173</v>
      </c>
      <c r="AJ13" s="28" t="s">
        <v>170</v>
      </c>
      <c r="AK13" s="28" t="s">
        <v>170</v>
      </c>
      <c r="AM13" s="28" t="s">
        <v>170</v>
      </c>
      <c r="AN13" s="28" t="s">
        <v>170</v>
      </c>
    </row>
    <row r="14" spans="1:40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 t="s">
        <v>173</v>
      </c>
      <c r="V14" s="28" t="s">
        <v>173</v>
      </c>
      <c r="W14" s="28" t="s">
        <v>173</v>
      </c>
      <c r="X14" s="28" t="s">
        <v>173</v>
      </c>
      <c r="Y14" s="28" t="s">
        <v>173</v>
      </c>
      <c r="Z14" s="28" t="s">
        <v>173</v>
      </c>
      <c r="AA14" s="28" t="s">
        <v>173</v>
      </c>
      <c r="AB14" s="28" t="s">
        <v>173</v>
      </c>
      <c r="AC14" s="28" t="s">
        <v>173</v>
      </c>
      <c r="AD14" s="28" t="s">
        <v>173</v>
      </c>
      <c r="AE14" s="28" t="s">
        <v>173</v>
      </c>
      <c r="AF14" s="28" t="s">
        <v>173</v>
      </c>
      <c r="AG14" s="28" t="s">
        <v>173</v>
      </c>
      <c r="AH14" s="28" t="s">
        <v>173</v>
      </c>
      <c r="AJ14" s="28" t="s">
        <v>173</v>
      </c>
      <c r="AK14" s="28" t="s">
        <v>173</v>
      </c>
      <c r="AM14" s="28" t="s">
        <v>173</v>
      </c>
      <c r="AN14" s="28" t="s">
        <v>173</v>
      </c>
    </row>
    <row r="15" spans="1:40" x14ac:dyDescent="0.25">
      <c r="A15" s="26" t="s">
        <v>175</v>
      </c>
      <c r="B15" s="28" t="s">
        <v>198</v>
      </c>
      <c r="C15" s="28" t="s">
        <v>198</v>
      </c>
      <c r="D15" s="28" t="s">
        <v>198</v>
      </c>
      <c r="E15" s="28" t="s">
        <v>198</v>
      </c>
      <c r="F15" s="28" t="s">
        <v>198</v>
      </c>
      <c r="G15" s="28" t="s">
        <v>198</v>
      </c>
      <c r="H15" s="28" t="s">
        <v>198</v>
      </c>
      <c r="I15" s="28" t="s">
        <v>198</v>
      </c>
      <c r="J15" s="28" t="s">
        <v>198</v>
      </c>
      <c r="K15" s="28" t="s">
        <v>198</v>
      </c>
      <c r="L15" s="28" t="s">
        <v>198</v>
      </c>
      <c r="M15" s="28" t="s">
        <v>198</v>
      </c>
      <c r="N15" s="28" t="s">
        <v>198</v>
      </c>
      <c r="O15" s="28" t="s">
        <v>198</v>
      </c>
      <c r="P15" s="28" t="s">
        <v>198</v>
      </c>
      <c r="Q15" s="28" t="s">
        <v>198</v>
      </c>
      <c r="R15" s="28" t="s">
        <v>198</v>
      </c>
      <c r="S15" s="28" t="s">
        <v>198</v>
      </c>
      <c r="T15" s="28" t="s">
        <v>198</v>
      </c>
      <c r="U15" s="28" t="s">
        <v>198</v>
      </c>
      <c r="V15" s="28" t="s">
        <v>198</v>
      </c>
      <c r="W15" s="28" t="s">
        <v>198</v>
      </c>
      <c r="X15" s="28" t="s">
        <v>198</v>
      </c>
      <c r="Y15" s="28" t="s">
        <v>198</v>
      </c>
      <c r="Z15" s="28" t="s">
        <v>198</v>
      </c>
      <c r="AA15" s="28" t="s">
        <v>198</v>
      </c>
      <c r="AB15" s="28" t="s">
        <v>198</v>
      </c>
      <c r="AC15" s="28" t="s">
        <v>198</v>
      </c>
      <c r="AD15" s="28" t="s">
        <v>198</v>
      </c>
      <c r="AE15" s="28" t="s">
        <v>198</v>
      </c>
      <c r="AF15" s="28" t="s">
        <v>198</v>
      </c>
      <c r="AG15" s="28" t="s">
        <v>198</v>
      </c>
      <c r="AH15" s="28" t="s">
        <v>198</v>
      </c>
      <c r="AJ15" s="28" t="s">
        <v>198</v>
      </c>
      <c r="AK15" s="28" t="s">
        <v>198</v>
      </c>
      <c r="AM15" s="28" t="s">
        <v>199</v>
      </c>
      <c r="AN15" s="28" t="s">
        <v>198</v>
      </c>
    </row>
    <row r="16" spans="1:40" x14ac:dyDescent="0.25">
      <c r="A16" s="26" t="s">
        <v>176</v>
      </c>
      <c r="B16" s="30">
        <f>5/3</f>
        <v>1.6666666666666667</v>
      </c>
      <c r="C16" s="30">
        <f t="shared" ref="C16:D16" si="0">5/3</f>
        <v>1.6666666666666667</v>
      </c>
      <c r="D16" s="30">
        <f t="shared" si="0"/>
        <v>1.6666666666666667</v>
      </c>
      <c r="E16" s="30">
        <f t="shared" ref="E16:J16" si="1">5/3</f>
        <v>1.6666666666666667</v>
      </c>
      <c r="F16" s="30">
        <f t="shared" si="1"/>
        <v>1.6666666666666667</v>
      </c>
      <c r="G16" s="30">
        <f t="shared" si="1"/>
        <v>1.6666666666666667</v>
      </c>
      <c r="H16" s="30">
        <f t="shared" si="1"/>
        <v>1.6666666666666667</v>
      </c>
      <c r="I16" s="30">
        <f t="shared" si="1"/>
        <v>1.6666666666666667</v>
      </c>
      <c r="J16" s="30">
        <f t="shared" si="1"/>
        <v>1.6666666666666667</v>
      </c>
      <c r="K16" s="30">
        <f t="shared" ref="K16:O16" si="2">5/3</f>
        <v>1.6666666666666667</v>
      </c>
      <c r="L16" s="30">
        <f t="shared" si="2"/>
        <v>1.6666666666666667</v>
      </c>
      <c r="M16" s="30">
        <f t="shared" si="2"/>
        <v>1.6666666666666667</v>
      </c>
      <c r="N16" s="30">
        <f t="shared" si="2"/>
        <v>1.6666666666666667</v>
      </c>
      <c r="O16" s="30">
        <f t="shared" si="2"/>
        <v>1.6666666666666667</v>
      </c>
      <c r="P16" s="30">
        <f t="shared" ref="P16:W16" si="3">5/3</f>
        <v>1.6666666666666667</v>
      </c>
      <c r="Q16" s="30">
        <f t="shared" si="3"/>
        <v>1.6666666666666667</v>
      </c>
      <c r="R16" s="30">
        <f t="shared" si="3"/>
        <v>1.6666666666666667</v>
      </c>
      <c r="S16" s="30">
        <f t="shared" si="3"/>
        <v>1.6666666666666667</v>
      </c>
      <c r="T16" s="30">
        <f t="shared" si="3"/>
        <v>1.6666666666666667</v>
      </c>
      <c r="U16" s="30">
        <f t="shared" si="3"/>
        <v>1.6666666666666667</v>
      </c>
      <c r="V16" s="30">
        <f t="shared" si="3"/>
        <v>1.6666666666666667</v>
      </c>
      <c r="W16" s="30">
        <f t="shared" si="3"/>
        <v>1.6666666666666667</v>
      </c>
      <c r="X16" s="30">
        <f t="shared" ref="X16:Y16" si="4">5/3</f>
        <v>1.6666666666666667</v>
      </c>
      <c r="Y16" s="30">
        <f t="shared" si="4"/>
        <v>1.6666666666666667</v>
      </c>
      <c r="Z16" s="30">
        <f>5/3</f>
        <v>1.6666666666666667</v>
      </c>
      <c r="AA16" s="30">
        <f>5/3</f>
        <v>1.6666666666666667</v>
      </c>
      <c r="AB16" s="30">
        <f>5/3</f>
        <v>1.6666666666666667</v>
      </c>
      <c r="AC16" s="30">
        <f>5/3</f>
        <v>1.6666666666666667</v>
      </c>
      <c r="AD16" s="30">
        <f>5/3</f>
        <v>1.6666666666666667</v>
      </c>
      <c r="AE16" s="30">
        <f t="shared" ref="AE16:AF16" si="5">5/3</f>
        <v>1.6666666666666667</v>
      </c>
      <c r="AF16" s="30">
        <f t="shared" si="5"/>
        <v>1.6666666666666667</v>
      </c>
      <c r="AG16" s="30">
        <f t="shared" ref="AG16:AH16" si="6">5/3</f>
        <v>1.6666666666666667</v>
      </c>
      <c r="AH16" s="30">
        <f t="shared" si="6"/>
        <v>1.6666666666666667</v>
      </c>
      <c r="AJ16" s="30">
        <f>4/3</f>
        <v>1.3333333333333333</v>
      </c>
      <c r="AK16" s="30">
        <f>4/3</f>
        <v>1.3333333333333333</v>
      </c>
      <c r="AM16" s="30">
        <v>-0.5</v>
      </c>
      <c r="AN16" s="30">
        <f>4/3</f>
        <v>1.3333333333333333</v>
      </c>
    </row>
    <row r="17" spans="1:40" x14ac:dyDescent="0.25">
      <c r="A17" s="26" t="s">
        <v>177</v>
      </c>
      <c r="B17" s="28" t="s">
        <v>178</v>
      </c>
      <c r="C17" s="28" t="s">
        <v>178</v>
      </c>
      <c r="D17" s="28" t="s">
        <v>178</v>
      </c>
      <c r="E17" s="28" t="s">
        <v>178</v>
      </c>
      <c r="F17" s="28" t="s">
        <v>178</v>
      </c>
      <c r="G17" s="28" t="s">
        <v>178</v>
      </c>
      <c r="H17" s="28" t="s">
        <v>178</v>
      </c>
      <c r="I17" s="28" t="s">
        <v>178</v>
      </c>
      <c r="J17" s="28" t="s">
        <v>178</v>
      </c>
      <c r="K17" s="28" t="s">
        <v>178</v>
      </c>
      <c r="L17" s="28" t="s">
        <v>178</v>
      </c>
      <c r="M17" s="28" t="s">
        <v>178</v>
      </c>
      <c r="N17" s="28" t="s">
        <v>178</v>
      </c>
      <c r="O17" s="28" t="s">
        <v>178</v>
      </c>
      <c r="P17" s="28" t="s">
        <v>178</v>
      </c>
      <c r="Q17" s="28" t="s">
        <v>178</v>
      </c>
      <c r="R17" s="28" t="s">
        <v>178</v>
      </c>
      <c r="S17" s="28" t="s">
        <v>178</v>
      </c>
      <c r="T17" s="28" t="s">
        <v>178</v>
      </c>
      <c r="U17" s="28" t="s">
        <v>178</v>
      </c>
      <c r="V17" s="28" t="s">
        <v>178</v>
      </c>
      <c r="W17" s="28" t="s">
        <v>178</v>
      </c>
      <c r="X17" s="28" t="s">
        <v>178</v>
      </c>
      <c r="Y17" s="28" t="s">
        <v>178</v>
      </c>
      <c r="Z17" s="28" t="s">
        <v>178</v>
      </c>
      <c r="AA17" s="28" t="s">
        <v>178</v>
      </c>
      <c r="AB17" s="28" t="s">
        <v>178</v>
      </c>
      <c r="AC17" s="28" t="s">
        <v>178</v>
      </c>
      <c r="AD17" s="28" t="s">
        <v>178</v>
      </c>
      <c r="AE17" s="28" t="s">
        <v>178</v>
      </c>
      <c r="AF17" s="28" t="s">
        <v>178</v>
      </c>
      <c r="AG17" s="28" t="s">
        <v>178</v>
      </c>
      <c r="AH17" s="28" t="s">
        <v>178</v>
      </c>
      <c r="AJ17" s="28" t="s">
        <v>200</v>
      </c>
      <c r="AK17" s="28" t="s">
        <v>200</v>
      </c>
      <c r="AM17" s="28" t="s">
        <v>200</v>
      </c>
      <c r="AN17" s="28" t="s">
        <v>200</v>
      </c>
    </row>
    <row r="18" spans="1:40" x14ac:dyDescent="0.25">
      <c r="A18" s="26" t="s">
        <v>182</v>
      </c>
      <c r="B18" s="30">
        <v>4</v>
      </c>
      <c r="C18" s="30">
        <v>4</v>
      </c>
      <c r="D18" s="30">
        <v>4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30">
        <v>4</v>
      </c>
      <c r="S18" s="30">
        <v>4</v>
      </c>
      <c r="T18" s="30">
        <v>4</v>
      </c>
      <c r="U18" s="30">
        <v>4</v>
      </c>
      <c r="V18" s="30">
        <v>4</v>
      </c>
      <c r="W18" s="30">
        <v>4</v>
      </c>
      <c r="X18" s="30">
        <v>4</v>
      </c>
      <c r="Y18" s="30">
        <v>4</v>
      </c>
      <c r="Z18" s="30">
        <v>4</v>
      </c>
      <c r="AA18" s="30">
        <v>4</v>
      </c>
      <c r="AB18" s="30">
        <v>4</v>
      </c>
      <c r="AC18" s="30">
        <v>4</v>
      </c>
      <c r="AD18" s="30">
        <v>4</v>
      </c>
      <c r="AE18" s="30">
        <v>4</v>
      </c>
      <c r="AF18" s="30">
        <v>4</v>
      </c>
      <c r="AG18" s="30">
        <v>4</v>
      </c>
      <c r="AH18" s="30">
        <v>4</v>
      </c>
      <c r="AJ18" s="30">
        <v>3</v>
      </c>
      <c r="AK18" s="30">
        <v>3</v>
      </c>
      <c r="AM18" s="30">
        <v>3</v>
      </c>
      <c r="AN18" s="30">
        <v>3</v>
      </c>
    </row>
    <row r="19" spans="1:40" x14ac:dyDescent="0.25">
      <c r="D19" s="78" t="s">
        <v>201</v>
      </c>
      <c r="AG19" s="227" t="s">
        <v>202</v>
      </c>
      <c r="AH19" s="227"/>
      <c r="AJ19" s="227" t="s">
        <v>203</v>
      </c>
      <c r="AK19" s="227"/>
      <c r="AM19" s="223" t="s">
        <v>204</v>
      </c>
      <c r="AN19" s="223"/>
    </row>
    <row r="20" spans="1:40" x14ac:dyDescent="0.25">
      <c r="A20" s="31" t="s">
        <v>183</v>
      </c>
    </row>
    <row r="21" spans="1:40" x14ac:dyDescent="0.25">
      <c r="A21" s="93" t="s">
        <v>205</v>
      </c>
      <c r="B21" s="95" t="s">
        <v>206</v>
      </c>
    </row>
    <row r="22" spans="1:40" x14ac:dyDescent="0.25">
      <c r="A22" s="224" t="s">
        <v>207</v>
      </c>
      <c r="B22" s="95" t="s">
        <v>206</v>
      </c>
    </row>
    <row r="23" spans="1:40" x14ac:dyDescent="0.25">
      <c r="A23" s="224"/>
      <c r="B23" s="96" t="s">
        <v>208</v>
      </c>
    </row>
    <row r="24" spans="1:40" x14ac:dyDescent="0.25">
      <c r="A24" s="226" t="s">
        <v>209</v>
      </c>
      <c r="B24" s="95" t="s">
        <v>206</v>
      </c>
    </row>
    <row r="25" spans="1:40" x14ac:dyDescent="0.25">
      <c r="A25" s="226"/>
      <c r="B25" s="96" t="s">
        <v>210</v>
      </c>
    </row>
    <row r="26" spans="1:40" x14ac:dyDescent="0.25">
      <c r="A26" s="226"/>
      <c r="B26" s="96" t="s">
        <v>208</v>
      </c>
    </row>
    <row r="28" spans="1:40" ht="64.5" customHeight="1" x14ac:dyDescent="0.25">
      <c r="A28" s="101" t="s">
        <v>211</v>
      </c>
      <c r="B28" s="225" t="s">
        <v>212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5"/>
      <c r="M28" s="225"/>
      <c r="N28" s="225"/>
      <c r="O28" s="100"/>
      <c r="P28" s="99"/>
    </row>
  </sheetData>
  <mergeCells count="11">
    <mergeCell ref="F4:O5"/>
    <mergeCell ref="B3:D3"/>
    <mergeCell ref="B4:D4"/>
    <mergeCell ref="B5:D5"/>
    <mergeCell ref="F3:O3"/>
    <mergeCell ref="AM19:AN19"/>
    <mergeCell ref="A22:A23"/>
    <mergeCell ref="B28:N28"/>
    <mergeCell ref="A24:A26"/>
    <mergeCell ref="AG19:AH19"/>
    <mergeCell ref="AJ19:AK19"/>
  </mergeCells>
  <hyperlinks>
    <hyperlink ref="A28" r:id="rId1" xr:uid="{4EC79FA3-38AF-4353-8813-477A2BE9A01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CB1E1-DBF9-4A5A-B25A-6B0AE0E7FC03}">
  <dimension ref="A1:AJ22"/>
  <sheetViews>
    <sheetView workbookViewId="0">
      <selection activeCell="B7" sqref="B7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6" x14ac:dyDescent="0.25">
      <c r="A1" s="25" t="s">
        <v>116</v>
      </c>
      <c r="D1" s="25" t="s">
        <v>117</v>
      </c>
      <c r="I1" s="25" t="s">
        <v>118</v>
      </c>
    </row>
    <row r="3" spans="1:36" ht="18" x14ac:dyDescent="0.25">
      <c r="A3" s="25" t="s">
        <v>119</v>
      </c>
      <c r="B3" s="215">
        <v>4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6" ht="18" x14ac:dyDescent="0.25">
      <c r="A4" s="25" t="s">
        <v>121</v>
      </c>
      <c r="B4" s="215" t="s">
        <v>189</v>
      </c>
      <c r="C4" s="215"/>
      <c r="D4" s="215"/>
      <c r="F4" s="216" t="s">
        <v>213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6" ht="18" x14ac:dyDescent="0.25">
      <c r="A5" s="25" t="s">
        <v>124</v>
      </c>
      <c r="B5" s="215" t="s">
        <v>125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6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  <c r="AJ7" s="42" t="s">
        <v>141</v>
      </c>
    </row>
    <row r="8" spans="1:36" x14ac:dyDescent="0.25">
      <c r="A8" s="26" t="s">
        <v>159</v>
      </c>
      <c r="B8" s="29" t="s">
        <v>191</v>
      </c>
      <c r="C8" s="29" t="s">
        <v>192</v>
      </c>
      <c r="D8" s="29" t="s">
        <v>192</v>
      </c>
      <c r="E8" s="29" t="s">
        <v>192</v>
      </c>
      <c r="F8" s="29" t="s">
        <v>192</v>
      </c>
      <c r="G8" s="29" t="s">
        <v>192</v>
      </c>
      <c r="H8" s="29" t="s">
        <v>192</v>
      </c>
      <c r="I8" s="29" t="s">
        <v>192</v>
      </c>
      <c r="J8" s="29" t="s">
        <v>192</v>
      </c>
      <c r="K8" s="29" t="s">
        <v>192</v>
      </c>
      <c r="L8" s="29" t="s">
        <v>192</v>
      </c>
      <c r="M8" s="29" t="s">
        <v>192</v>
      </c>
      <c r="N8" s="29" t="s">
        <v>192</v>
      </c>
      <c r="O8" s="29" t="s">
        <v>192</v>
      </c>
      <c r="P8" s="29" t="s">
        <v>192</v>
      </c>
      <c r="Q8" s="29" t="s">
        <v>192</v>
      </c>
      <c r="R8" s="29" t="s">
        <v>192</v>
      </c>
      <c r="S8" s="29" t="s">
        <v>192</v>
      </c>
      <c r="T8" s="29" t="s">
        <v>192</v>
      </c>
      <c r="U8" s="29" t="s">
        <v>192</v>
      </c>
      <c r="V8" s="29" t="s">
        <v>192</v>
      </c>
      <c r="W8" s="29" t="s">
        <v>192</v>
      </c>
      <c r="X8" s="29" t="s">
        <v>192</v>
      </c>
      <c r="Y8" s="29" t="s">
        <v>192</v>
      </c>
      <c r="Z8" s="29" t="s">
        <v>192</v>
      </c>
      <c r="AA8" s="29" t="s">
        <v>192</v>
      </c>
      <c r="AB8" s="29" t="s">
        <v>192</v>
      </c>
      <c r="AC8" s="29" t="s">
        <v>192</v>
      </c>
      <c r="AD8" s="29" t="s">
        <v>192</v>
      </c>
      <c r="AE8" s="29" t="s">
        <v>192</v>
      </c>
      <c r="AF8" s="29" t="s">
        <v>192</v>
      </c>
      <c r="AG8" s="29" t="s">
        <v>192</v>
      </c>
      <c r="AH8" s="29" t="s">
        <v>192</v>
      </c>
      <c r="AJ8" s="29" t="s">
        <v>192</v>
      </c>
    </row>
    <row r="9" spans="1:36" x14ac:dyDescent="0.25">
      <c r="A9" s="26" t="s">
        <v>165</v>
      </c>
      <c r="B9" s="29" t="s">
        <v>195</v>
      </c>
      <c r="C9" s="29" t="s">
        <v>195</v>
      </c>
      <c r="D9" s="29" t="s">
        <v>195</v>
      </c>
      <c r="E9" s="29" t="s">
        <v>195</v>
      </c>
      <c r="F9" s="29" t="s">
        <v>195</v>
      </c>
      <c r="G9" s="29" t="s">
        <v>195</v>
      </c>
      <c r="H9" s="29" t="s">
        <v>195</v>
      </c>
      <c r="I9" s="29" t="s">
        <v>195</v>
      </c>
      <c r="J9" s="29" t="s">
        <v>195</v>
      </c>
      <c r="K9" s="29" t="s">
        <v>195</v>
      </c>
      <c r="L9" s="29" t="s">
        <v>195</v>
      </c>
      <c r="M9" s="29" t="s">
        <v>195</v>
      </c>
      <c r="N9" s="29" t="s">
        <v>195</v>
      </c>
      <c r="O9" s="29" t="s">
        <v>195</v>
      </c>
      <c r="P9" s="29" t="s">
        <v>195</v>
      </c>
      <c r="Q9" s="29" t="s">
        <v>195</v>
      </c>
      <c r="R9" s="29" t="s">
        <v>195</v>
      </c>
      <c r="S9" s="29" t="s">
        <v>195</v>
      </c>
      <c r="T9" s="29" t="s">
        <v>195</v>
      </c>
      <c r="U9" s="29" t="s">
        <v>195</v>
      </c>
      <c r="V9" s="29" t="s">
        <v>195</v>
      </c>
      <c r="W9" s="29" t="s">
        <v>195</v>
      </c>
      <c r="X9" s="29" t="s">
        <v>195</v>
      </c>
      <c r="Y9" s="29" t="s">
        <v>195</v>
      </c>
      <c r="Z9" s="29" t="s">
        <v>195</v>
      </c>
      <c r="AA9" s="29" t="s">
        <v>195</v>
      </c>
      <c r="AB9" s="29" t="s">
        <v>195</v>
      </c>
      <c r="AC9" s="29" t="s">
        <v>195</v>
      </c>
      <c r="AD9" s="29" t="s">
        <v>195</v>
      </c>
      <c r="AE9" s="29" t="s">
        <v>195</v>
      </c>
      <c r="AF9" s="29" t="s">
        <v>195</v>
      </c>
      <c r="AG9" s="29" t="s">
        <v>195</v>
      </c>
      <c r="AH9" s="29" t="s">
        <v>195</v>
      </c>
      <c r="AJ9" s="29" t="s">
        <v>196</v>
      </c>
    </row>
    <row r="10" spans="1:36" x14ac:dyDescent="0.25">
      <c r="A10" s="131" t="s">
        <v>168</v>
      </c>
      <c r="B10" s="132">
        <v>5</v>
      </c>
      <c r="C10" s="132">
        <v>5</v>
      </c>
      <c r="D10" s="132">
        <v>5</v>
      </c>
      <c r="E10" s="132">
        <v>5</v>
      </c>
      <c r="F10" s="132">
        <v>5</v>
      </c>
      <c r="G10" s="132">
        <v>5</v>
      </c>
      <c r="H10" s="132">
        <v>5</v>
      </c>
      <c r="I10" s="132">
        <v>5</v>
      </c>
      <c r="J10" s="132">
        <v>5</v>
      </c>
      <c r="K10" s="132">
        <v>5</v>
      </c>
      <c r="L10" s="132">
        <v>5</v>
      </c>
      <c r="M10" s="132">
        <v>5</v>
      </c>
      <c r="N10" s="132">
        <v>5</v>
      </c>
      <c r="O10" s="132">
        <v>5</v>
      </c>
      <c r="P10" s="132">
        <v>5</v>
      </c>
      <c r="Q10" s="132">
        <v>5</v>
      </c>
      <c r="R10" s="132">
        <v>5</v>
      </c>
      <c r="S10" s="132">
        <v>5</v>
      </c>
      <c r="T10" s="132">
        <v>5</v>
      </c>
      <c r="U10" s="132">
        <v>5</v>
      </c>
      <c r="V10" s="132">
        <v>5</v>
      </c>
      <c r="W10" s="132">
        <v>5</v>
      </c>
      <c r="X10" s="132">
        <v>5</v>
      </c>
      <c r="Y10" s="132">
        <v>5</v>
      </c>
      <c r="Z10" s="132">
        <v>5</v>
      </c>
      <c r="AA10" s="132">
        <v>5</v>
      </c>
      <c r="AB10" s="132">
        <v>5</v>
      </c>
      <c r="AC10" s="132">
        <v>5</v>
      </c>
      <c r="AD10" s="132">
        <v>5</v>
      </c>
      <c r="AE10" s="132">
        <v>5</v>
      </c>
      <c r="AF10" s="132">
        <v>5</v>
      </c>
      <c r="AG10" s="132">
        <v>5</v>
      </c>
      <c r="AH10" s="132">
        <v>5</v>
      </c>
      <c r="AJ10" s="132">
        <v>26</v>
      </c>
    </row>
    <row r="11" spans="1:36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28" t="s">
        <v>170</v>
      </c>
      <c r="O11" s="28" t="s">
        <v>170</v>
      </c>
      <c r="P11" s="28" t="s">
        <v>170</v>
      </c>
      <c r="Q11" s="28" t="s">
        <v>170</v>
      </c>
      <c r="R11" s="28" t="s">
        <v>170</v>
      </c>
      <c r="S11" s="28" t="s">
        <v>170</v>
      </c>
      <c r="T11" s="28" t="s">
        <v>170</v>
      </c>
      <c r="U11" s="28" t="s">
        <v>170</v>
      </c>
      <c r="V11" s="28" t="s">
        <v>170</v>
      </c>
      <c r="W11" s="28" t="s">
        <v>170</v>
      </c>
      <c r="X11" s="28" t="s">
        <v>170</v>
      </c>
      <c r="Y11" s="28" t="s">
        <v>170</v>
      </c>
      <c r="Z11" s="28" t="s">
        <v>170</v>
      </c>
      <c r="AA11" s="28" t="s">
        <v>170</v>
      </c>
      <c r="AB11" s="28" t="s">
        <v>170</v>
      </c>
      <c r="AC11" s="28" t="s">
        <v>170</v>
      </c>
      <c r="AD11" s="28" t="s">
        <v>170</v>
      </c>
      <c r="AE11" s="28" t="s">
        <v>170</v>
      </c>
      <c r="AF11" s="28" t="s">
        <v>170</v>
      </c>
      <c r="AG11" s="28" t="s">
        <v>170</v>
      </c>
      <c r="AH11" s="28" t="s">
        <v>170</v>
      </c>
      <c r="AJ11" s="28" t="s">
        <v>170</v>
      </c>
    </row>
    <row r="12" spans="1:36" x14ac:dyDescent="0.25">
      <c r="A12" s="26" t="s">
        <v>171</v>
      </c>
      <c r="B12" s="28" t="s">
        <v>173</v>
      </c>
      <c r="C12" s="28" t="s">
        <v>173</v>
      </c>
      <c r="D12" s="28" t="s">
        <v>173</v>
      </c>
      <c r="E12" s="28" t="s">
        <v>173</v>
      </c>
      <c r="F12" s="28" t="s">
        <v>173</v>
      </c>
      <c r="G12" s="28" t="s">
        <v>173</v>
      </c>
      <c r="H12" s="28" t="s">
        <v>173</v>
      </c>
      <c r="I12" s="28" t="s">
        <v>173</v>
      </c>
      <c r="J12" s="28" t="s">
        <v>173</v>
      </c>
      <c r="K12" s="28" t="s">
        <v>173</v>
      </c>
      <c r="L12" s="28" t="s">
        <v>173</v>
      </c>
      <c r="M12" s="28" t="s">
        <v>173</v>
      </c>
      <c r="N12" s="28" t="s">
        <v>173</v>
      </c>
      <c r="O12" s="28" t="s">
        <v>173</v>
      </c>
      <c r="P12" s="28" t="s">
        <v>173</v>
      </c>
      <c r="Q12" s="28" t="s">
        <v>173</v>
      </c>
      <c r="R12" s="28" t="s">
        <v>173</v>
      </c>
      <c r="S12" s="28" t="s">
        <v>173</v>
      </c>
      <c r="T12" s="28" t="s">
        <v>173</v>
      </c>
      <c r="U12" s="28" t="s">
        <v>173</v>
      </c>
      <c r="V12" s="28" t="s">
        <v>173</v>
      </c>
      <c r="W12" s="28" t="s">
        <v>173</v>
      </c>
      <c r="X12" s="28" t="s">
        <v>173</v>
      </c>
      <c r="Y12" s="28" t="s">
        <v>173</v>
      </c>
      <c r="Z12" s="28" t="s">
        <v>173</v>
      </c>
      <c r="AA12" s="28" t="s">
        <v>173</v>
      </c>
      <c r="AB12" s="28" t="s">
        <v>173</v>
      </c>
      <c r="AC12" s="28" t="s">
        <v>173</v>
      </c>
      <c r="AD12" s="28" t="s">
        <v>173</v>
      </c>
      <c r="AE12" s="28" t="s">
        <v>173</v>
      </c>
      <c r="AF12" s="28" t="s">
        <v>173</v>
      </c>
      <c r="AG12" s="28" t="s">
        <v>173</v>
      </c>
      <c r="AH12" s="28" t="s">
        <v>173</v>
      </c>
      <c r="AJ12" s="28" t="s">
        <v>173</v>
      </c>
    </row>
    <row r="13" spans="1:36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 t="s">
        <v>173</v>
      </c>
      <c r="S13" s="28" t="s">
        <v>173</v>
      </c>
      <c r="T13" s="28" t="s">
        <v>173</v>
      </c>
      <c r="U13" s="28" t="s">
        <v>173</v>
      </c>
      <c r="V13" s="28" t="s">
        <v>173</v>
      </c>
      <c r="W13" s="28" t="s">
        <v>173</v>
      </c>
      <c r="X13" s="28" t="s">
        <v>173</v>
      </c>
      <c r="Y13" s="28" t="s">
        <v>173</v>
      </c>
      <c r="Z13" s="28" t="s">
        <v>173</v>
      </c>
      <c r="AA13" s="28" t="s">
        <v>173</v>
      </c>
      <c r="AB13" s="28" t="s">
        <v>173</v>
      </c>
      <c r="AC13" s="28" t="s">
        <v>173</v>
      </c>
      <c r="AD13" s="28" t="s">
        <v>173</v>
      </c>
      <c r="AE13" s="28" t="s">
        <v>173</v>
      </c>
      <c r="AF13" s="28" t="s">
        <v>173</v>
      </c>
      <c r="AG13" s="28" t="s">
        <v>173</v>
      </c>
      <c r="AH13" s="28" t="s">
        <v>173</v>
      </c>
      <c r="AJ13" s="28" t="s">
        <v>170</v>
      </c>
    </row>
    <row r="14" spans="1:36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 t="s">
        <v>173</v>
      </c>
      <c r="V14" s="28" t="s">
        <v>173</v>
      </c>
      <c r="W14" s="28" t="s">
        <v>173</v>
      </c>
      <c r="X14" s="28" t="s">
        <v>173</v>
      </c>
      <c r="Y14" s="28" t="s">
        <v>173</v>
      </c>
      <c r="Z14" s="28" t="s">
        <v>173</v>
      </c>
      <c r="AA14" s="28" t="s">
        <v>173</v>
      </c>
      <c r="AB14" s="28" t="s">
        <v>173</v>
      </c>
      <c r="AC14" s="28" t="s">
        <v>173</v>
      </c>
      <c r="AD14" s="28" t="s">
        <v>173</v>
      </c>
      <c r="AE14" s="28" t="s">
        <v>173</v>
      </c>
      <c r="AF14" s="28" t="s">
        <v>173</v>
      </c>
      <c r="AG14" s="28" t="s">
        <v>173</v>
      </c>
      <c r="AH14" s="28" t="s">
        <v>173</v>
      </c>
      <c r="AJ14" s="28" t="s">
        <v>173</v>
      </c>
    </row>
    <row r="15" spans="1:36" x14ac:dyDescent="0.25">
      <c r="A15" s="26" t="s">
        <v>175</v>
      </c>
      <c r="B15" s="28" t="s">
        <v>198</v>
      </c>
      <c r="C15" s="28" t="s">
        <v>198</v>
      </c>
      <c r="D15" s="28" t="s">
        <v>198</v>
      </c>
      <c r="E15" s="28" t="s">
        <v>198</v>
      </c>
      <c r="F15" s="28" t="s">
        <v>198</v>
      </c>
      <c r="G15" s="28" t="s">
        <v>198</v>
      </c>
      <c r="H15" s="28" t="s">
        <v>198</v>
      </c>
      <c r="I15" s="28" t="s">
        <v>198</v>
      </c>
      <c r="J15" s="28" t="s">
        <v>198</v>
      </c>
      <c r="K15" s="28" t="s">
        <v>198</v>
      </c>
      <c r="L15" s="28" t="s">
        <v>198</v>
      </c>
      <c r="M15" s="28" t="s">
        <v>198</v>
      </c>
      <c r="N15" s="28" t="s">
        <v>198</v>
      </c>
      <c r="O15" s="28" t="s">
        <v>198</v>
      </c>
      <c r="P15" s="28" t="s">
        <v>198</v>
      </c>
      <c r="Q15" s="28" t="s">
        <v>198</v>
      </c>
      <c r="R15" s="28" t="s">
        <v>198</v>
      </c>
      <c r="S15" s="28" t="s">
        <v>198</v>
      </c>
      <c r="T15" s="28" t="s">
        <v>198</v>
      </c>
      <c r="U15" s="28" t="s">
        <v>198</v>
      </c>
      <c r="V15" s="28" t="s">
        <v>198</v>
      </c>
      <c r="W15" s="28" t="s">
        <v>198</v>
      </c>
      <c r="X15" s="28" t="s">
        <v>198</v>
      </c>
      <c r="Y15" s="28" t="s">
        <v>198</v>
      </c>
      <c r="Z15" s="28" t="s">
        <v>198</v>
      </c>
      <c r="AA15" s="28" t="s">
        <v>198</v>
      </c>
      <c r="AB15" s="28" t="s">
        <v>198</v>
      </c>
      <c r="AC15" s="28" t="s">
        <v>198</v>
      </c>
      <c r="AD15" s="28" t="s">
        <v>198</v>
      </c>
      <c r="AE15" s="28" t="s">
        <v>198</v>
      </c>
      <c r="AF15" s="28" t="s">
        <v>198</v>
      </c>
      <c r="AG15" s="28" t="s">
        <v>198</v>
      </c>
      <c r="AH15" s="28" t="s">
        <v>198</v>
      </c>
      <c r="AJ15" s="28" t="s">
        <v>198</v>
      </c>
    </row>
    <row r="16" spans="1:36" x14ac:dyDescent="0.25">
      <c r="A16" s="26" t="s">
        <v>176</v>
      </c>
      <c r="B16" s="30">
        <f>5/3</f>
        <v>1.6666666666666667</v>
      </c>
      <c r="C16" s="30">
        <f t="shared" ref="C16:F16" si="0">5/3</f>
        <v>1.6666666666666667</v>
      </c>
      <c r="D16" s="30">
        <f t="shared" si="0"/>
        <v>1.6666666666666667</v>
      </c>
      <c r="E16" s="30">
        <f t="shared" si="0"/>
        <v>1.6666666666666667</v>
      </c>
      <c r="F16" s="30">
        <f t="shared" si="0"/>
        <v>1.6666666666666667</v>
      </c>
      <c r="G16" s="30">
        <f t="shared" ref="G16:J16" si="1">5/3</f>
        <v>1.6666666666666667</v>
      </c>
      <c r="H16" s="30">
        <f t="shared" si="1"/>
        <v>1.6666666666666667</v>
      </c>
      <c r="I16" s="30">
        <f t="shared" si="1"/>
        <v>1.6666666666666667</v>
      </c>
      <c r="J16" s="30">
        <f t="shared" si="1"/>
        <v>1.6666666666666667</v>
      </c>
      <c r="K16" s="30">
        <f t="shared" ref="K16:O16" si="2">5/3</f>
        <v>1.6666666666666667</v>
      </c>
      <c r="L16" s="30">
        <f t="shared" si="2"/>
        <v>1.6666666666666667</v>
      </c>
      <c r="M16" s="30">
        <f t="shared" si="2"/>
        <v>1.6666666666666667</v>
      </c>
      <c r="N16" s="30">
        <f t="shared" si="2"/>
        <v>1.6666666666666667</v>
      </c>
      <c r="O16" s="30">
        <f t="shared" si="2"/>
        <v>1.6666666666666667</v>
      </c>
      <c r="P16" s="30">
        <f t="shared" ref="P16:U16" si="3">5/3</f>
        <v>1.6666666666666667</v>
      </c>
      <c r="Q16" s="30">
        <f t="shared" si="3"/>
        <v>1.6666666666666667</v>
      </c>
      <c r="R16" s="30">
        <f t="shared" si="3"/>
        <v>1.6666666666666667</v>
      </c>
      <c r="S16" s="30">
        <f t="shared" si="3"/>
        <v>1.6666666666666667</v>
      </c>
      <c r="T16" s="30">
        <f t="shared" si="3"/>
        <v>1.6666666666666667</v>
      </c>
      <c r="U16" s="30">
        <f t="shared" si="3"/>
        <v>1.6666666666666667</v>
      </c>
      <c r="V16" s="30">
        <f t="shared" ref="V16:W16" si="4">5/3</f>
        <v>1.6666666666666667</v>
      </c>
      <c r="W16" s="30">
        <f t="shared" si="4"/>
        <v>1.6666666666666667</v>
      </c>
      <c r="X16" s="30">
        <f t="shared" ref="X16:Y16" si="5">5/3</f>
        <v>1.6666666666666667</v>
      </c>
      <c r="Y16" s="30">
        <f t="shared" si="5"/>
        <v>1.6666666666666667</v>
      </c>
      <c r="Z16" s="30">
        <f>5/3</f>
        <v>1.6666666666666667</v>
      </c>
      <c r="AA16" s="30">
        <f t="shared" ref="AA16:AD16" si="6">5/3</f>
        <v>1.6666666666666667</v>
      </c>
      <c r="AB16" s="30">
        <f t="shared" si="6"/>
        <v>1.6666666666666667</v>
      </c>
      <c r="AC16" s="30">
        <f t="shared" si="6"/>
        <v>1.6666666666666667</v>
      </c>
      <c r="AD16" s="30">
        <f t="shared" si="6"/>
        <v>1.6666666666666667</v>
      </c>
      <c r="AE16" s="30">
        <f>5/3</f>
        <v>1.6666666666666667</v>
      </c>
      <c r="AF16" s="30">
        <f>5/3</f>
        <v>1.6666666666666667</v>
      </c>
      <c r="AG16" s="30">
        <f>5/3</f>
        <v>1.6666666666666667</v>
      </c>
      <c r="AH16" s="30">
        <f>5/3</f>
        <v>1.6666666666666667</v>
      </c>
      <c r="AJ16" s="30">
        <f>4/3</f>
        <v>1.3333333333333333</v>
      </c>
    </row>
    <row r="17" spans="1:36" x14ac:dyDescent="0.25">
      <c r="A17" s="26" t="s">
        <v>177</v>
      </c>
      <c r="B17" s="28" t="s">
        <v>178</v>
      </c>
      <c r="C17" s="28" t="s">
        <v>178</v>
      </c>
      <c r="D17" s="28" t="s">
        <v>178</v>
      </c>
      <c r="E17" s="28" t="s">
        <v>178</v>
      </c>
      <c r="F17" s="28" t="s">
        <v>178</v>
      </c>
      <c r="G17" s="28" t="s">
        <v>178</v>
      </c>
      <c r="H17" s="28" t="s">
        <v>178</v>
      </c>
      <c r="I17" s="28" t="s">
        <v>178</v>
      </c>
      <c r="J17" s="28" t="s">
        <v>178</v>
      </c>
      <c r="K17" s="28" t="s">
        <v>178</v>
      </c>
      <c r="L17" s="28" t="s">
        <v>178</v>
      </c>
      <c r="M17" s="28" t="s">
        <v>178</v>
      </c>
      <c r="N17" s="28" t="s">
        <v>178</v>
      </c>
      <c r="O17" s="28" t="s">
        <v>178</v>
      </c>
      <c r="P17" s="28" t="s">
        <v>178</v>
      </c>
      <c r="Q17" s="28" t="s">
        <v>178</v>
      </c>
      <c r="R17" s="28" t="s">
        <v>178</v>
      </c>
      <c r="S17" s="28" t="s">
        <v>178</v>
      </c>
      <c r="T17" s="28" t="s">
        <v>178</v>
      </c>
      <c r="U17" s="28" t="s">
        <v>178</v>
      </c>
      <c r="V17" s="28" t="s">
        <v>178</v>
      </c>
      <c r="W17" s="28" t="s">
        <v>178</v>
      </c>
      <c r="X17" s="28" t="s">
        <v>178</v>
      </c>
      <c r="Y17" s="28" t="s">
        <v>178</v>
      </c>
      <c r="Z17" s="28" t="s">
        <v>178</v>
      </c>
      <c r="AA17" s="28" t="s">
        <v>178</v>
      </c>
      <c r="AB17" s="28" t="s">
        <v>178</v>
      </c>
      <c r="AC17" s="28" t="s">
        <v>178</v>
      </c>
      <c r="AD17" s="28" t="s">
        <v>178</v>
      </c>
      <c r="AE17" s="28" t="s">
        <v>178</v>
      </c>
      <c r="AF17" s="28" t="s">
        <v>178</v>
      </c>
      <c r="AG17" s="28" t="s">
        <v>178</v>
      </c>
      <c r="AH17" s="28" t="s">
        <v>178</v>
      </c>
      <c r="AJ17" s="28" t="s">
        <v>200</v>
      </c>
    </row>
    <row r="18" spans="1:36" x14ac:dyDescent="0.25">
      <c r="A18" s="26" t="s">
        <v>182</v>
      </c>
      <c r="B18" s="30">
        <v>4</v>
      </c>
      <c r="C18" s="30">
        <v>4</v>
      </c>
      <c r="D18" s="30">
        <v>4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30">
        <v>4</v>
      </c>
      <c r="S18" s="30">
        <v>4</v>
      </c>
      <c r="T18" s="30">
        <v>4</v>
      </c>
      <c r="U18" s="30">
        <v>4</v>
      </c>
      <c r="V18" s="30">
        <v>4</v>
      </c>
      <c r="W18" s="30">
        <v>4</v>
      </c>
      <c r="X18" s="30">
        <v>4</v>
      </c>
      <c r="Y18" s="30">
        <v>4</v>
      </c>
      <c r="Z18" s="30">
        <v>4</v>
      </c>
      <c r="AA18" s="30">
        <v>4</v>
      </c>
      <c r="AB18" s="30">
        <v>4</v>
      </c>
      <c r="AC18" s="30">
        <v>4</v>
      </c>
      <c r="AD18" s="30">
        <v>4</v>
      </c>
      <c r="AE18" s="30">
        <v>4</v>
      </c>
      <c r="AF18" s="30">
        <v>4</v>
      </c>
      <c r="AG18" s="30">
        <v>4</v>
      </c>
      <c r="AH18" s="30">
        <v>4</v>
      </c>
      <c r="AJ18" s="30">
        <v>3</v>
      </c>
    </row>
    <row r="19" spans="1:36" x14ac:dyDescent="0.25">
      <c r="Q19" s="78" t="s">
        <v>214</v>
      </c>
      <c r="AJ19" s="78" t="s">
        <v>215</v>
      </c>
    </row>
    <row r="20" spans="1:36" x14ac:dyDescent="0.25">
      <c r="A20" s="31" t="s">
        <v>183</v>
      </c>
    </row>
    <row r="21" spans="1:36" x14ac:dyDescent="0.25">
      <c r="A21" s="26" t="s">
        <v>216</v>
      </c>
      <c r="B21" s="56" t="s">
        <v>206</v>
      </c>
    </row>
    <row r="22" spans="1:36" x14ac:dyDescent="0.25">
      <c r="A22" s="26" t="s">
        <v>217</v>
      </c>
      <c r="B22" s="56" t="s">
        <v>206</v>
      </c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8E8BC-E92C-47A0-9B82-3A8E3DE271EF}">
  <dimension ref="A1:AN28"/>
  <sheetViews>
    <sheetView workbookViewId="0">
      <selection activeCell="Z8" sqref="Z8"/>
    </sheetView>
  </sheetViews>
  <sheetFormatPr defaultColWidth="9.140625" defaultRowHeight="15" x14ac:dyDescent="0.25"/>
  <cols>
    <col min="1" max="1" width="23.28515625" style="26" bestFit="1" customWidth="1"/>
    <col min="2" max="41" width="5.7109375" style="26" customWidth="1"/>
    <col min="42" max="42" width="9.140625" style="26" customWidth="1"/>
    <col min="43" max="50" width="5.7109375" style="26" customWidth="1"/>
    <col min="51" max="16384" width="9.140625" style="26"/>
  </cols>
  <sheetData>
    <row r="1" spans="1:40" x14ac:dyDescent="0.25">
      <c r="A1" s="25" t="s">
        <v>116</v>
      </c>
      <c r="D1" s="25" t="s">
        <v>117</v>
      </c>
      <c r="I1" s="25" t="s">
        <v>118</v>
      </c>
    </row>
    <row r="3" spans="1:40" ht="18" x14ac:dyDescent="0.25">
      <c r="A3" s="25" t="s">
        <v>119</v>
      </c>
      <c r="B3" s="215">
        <v>5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40" ht="18" x14ac:dyDescent="0.25">
      <c r="A4" s="25" t="s">
        <v>121</v>
      </c>
      <c r="B4" s="215" t="s">
        <v>218</v>
      </c>
      <c r="C4" s="215"/>
      <c r="D4" s="215"/>
      <c r="F4" s="216" t="s">
        <v>219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40" ht="18" x14ac:dyDescent="0.25">
      <c r="A5" s="25" t="s">
        <v>124</v>
      </c>
      <c r="B5" s="215" t="s">
        <v>187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40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76" t="s">
        <v>157</v>
      </c>
      <c r="AH7" s="76" t="s">
        <v>158</v>
      </c>
      <c r="AJ7" s="76" t="s">
        <v>157</v>
      </c>
      <c r="AK7" s="76" t="s">
        <v>158</v>
      </c>
      <c r="AL7" s="1"/>
      <c r="AM7" s="32" t="s">
        <v>128</v>
      </c>
      <c r="AN7" s="42" t="s">
        <v>141</v>
      </c>
    </row>
    <row r="8" spans="1:40" x14ac:dyDescent="0.25">
      <c r="A8" s="26" t="s">
        <v>159</v>
      </c>
      <c r="B8" s="28" t="s">
        <v>198</v>
      </c>
      <c r="C8" s="28" t="s">
        <v>220</v>
      </c>
      <c r="D8" s="28" t="s">
        <v>220</v>
      </c>
      <c r="E8" s="28" t="s">
        <v>220</v>
      </c>
      <c r="F8" s="28" t="s">
        <v>220</v>
      </c>
      <c r="G8" s="28" t="s">
        <v>220</v>
      </c>
      <c r="H8" s="28" t="s">
        <v>220</v>
      </c>
      <c r="I8" s="28" t="s">
        <v>220</v>
      </c>
      <c r="J8" s="28" t="s">
        <v>220</v>
      </c>
      <c r="K8" s="28" t="s">
        <v>220</v>
      </c>
      <c r="L8" s="28" t="s">
        <v>220</v>
      </c>
      <c r="M8" s="28" t="s">
        <v>220</v>
      </c>
      <c r="N8" s="28" t="s">
        <v>220</v>
      </c>
      <c r="O8" s="28" t="s">
        <v>220</v>
      </c>
      <c r="P8" s="28" t="s">
        <v>220</v>
      </c>
      <c r="Q8" s="28" t="s">
        <v>220</v>
      </c>
      <c r="R8" s="28" t="s">
        <v>220</v>
      </c>
      <c r="S8" s="28" t="s">
        <v>220</v>
      </c>
      <c r="T8" s="28" t="s">
        <v>220</v>
      </c>
      <c r="U8" s="28" t="s">
        <v>220</v>
      </c>
      <c r="V8" s="28" t="s">
        <v>220</v>
      </c>
      <c r="W8" s="28" t="s">
        <v>220</v>
      </c>
      <c r="X8" s="28" t="s">
        <v>220</v>
      </c>
      <c r="Y8" s="28" t="s">
        <v>220</v>
      </c>
      <c r="Z8" s="28" t="s">
        <v>220</v>
      </c>
      <c r="AA8" s="28" t="s">
        <v>220</v>
      </c>
      <c r="AB8" s="28" t="s">
        <v>220</v>
      </c>
      <c r="AC8" s="29" t="s">
        <v>220</v>
      </c>
      <c r="AD8" s="28" t="s">
        <v>220</v>
      </c>
      <c r="AE8" s="29" t="s">
        <v>220</v>
      </c>
      <c r="AF8" s="28" t="s">
        <v>220</v>
      </c>
      <c r="AG8" s="28" t="s">
        <v>220</v>
      </c>
      <c r="AH8" s="28" t="s">
        <v>220</v>
      </c>
      <c r="AJ8" s="28" t="s">
        <v>221</v>
      </c>
      <c r="AK8" s="28" t="s">
        <v>222</v>
      </c>
      <c r="AM8" s="29" t="s">
        <v>220</v>
      </c>
      <c r="AN8" s="29" t="s">
        <v>220</v>
      </c>
    </row>
    <row r="9" spans="1:40" x14ac:dyDescent="0.25">
      <c r="A9" s="26" t="s">
        <v>165</v>
      </c>
      <c r="B9" s="28" t="s">
        <v>223</v>
      </c>
      <c r="C9" s="28" t="s">
        <v>223</v>
      </c>
      <c r="D9" s="28" t="s">
        <v>223</v>
      </c>
      <c r="E9" s="28" t="s">
        <v>223</v>
      </c>
      <c r="F9" s="28" t="s">
        <v>223</v>
      </c>
      <c r="G9" s="28" t="s">
        <v>223</v>
      </c>
      <c r="H9" s="28" t="s">
        <v>223</v>
      </c>
      <c r="I9" s="28" t="s">
        <v>223</v>
      </c>
      <c r="J9" s="28" t="s">
        <v>223</v>
      </c>
      <c r="K9" s="28" t="s">
        <v>223</v>
      </c>
      <c r="L9" s="28" t="s">
        <v>223</v>
      </c>
      <c r="M9" s="28" t="s">
        <v>223</v>
      </c>
      <c r="N9" s="28" t="s">
        <v>223</v>
      </c>
      <c r="O9" s="28" t="s">
        <v>223</v>
      </c>
      <c r="P9" s="28" t="s">
        <v>223</v>
      </c>
      <c r="Q9" s="28" t="s">
        <v>223</v>
      </c>
      <c r="R9" s="28" t="s">
        <v>223</v>
      </c>
      <c r="S9" s="28" t="s">
        <v>223</v>
      </c>
      <c r="T9" s="28" t="s">
        <v>223</v>
      </c>
      <c r="U9" s="28" t="s">
        <v>223</v>
      </c>
      <c r="V9" s="28" t="s">
        <v>223</v>
      </c>
      <c r="W9" s="28" t="s">
        <v>223</v>
      </c>
      <c r="X9" s="28" t="s">
        <v>223</v>
      </c>
      <c r="Y9" s="28" t="s">
        <v>223</v>
      </c>
      <c r="Z9" s="28" t="s">
        <v>223</v>
      </c>
      <c r="AA9" s="28" t="s">
        <v>223</v>
      </c>
      <c r="AB9" s="28" t="s">
        <v>223</v>
      </c>
      <c r="AC9" s="28" t="s">
        <v>224</v>
      </c>
      <c r="AD9" s="28" t="s">
        <v>223</v>
      </c>
      <c r="AE9" s="28" t="s">
        <v>224</v>
      </c>
      <c r="AF9" s="28" t="s">
        <v>223</v>
      </c>
      <c r="AG9" s="28" t="s">
        <v>223</v>
      </c>
      <c r="AH9" s="28" t="s">
        <v>223</v>
      </c>
      <c r="AJ9" s="28" t="s">
        <v>225</v>
      </c>
      <c r="AK9" s="28" t="s">
        <v>226</v>
      </c>
      <c r="AM9" s="28" t="s">
        <v>227</v>
      </c>
      <c r="AN9" s="28" t="s">
        <v>225</v>
      </c>
    </row>
    <row r="10" spans="1:40" x14ac:dyDescent="0.25">
      <c r="A10" s="131" t="s">
        <v>168</v>
      </c>
      <c r="B10" s="157">
        <v>6</v>
      </c>
      <c r="C10" s="157">
        <v>6</v>
      </c>
      <c r="D10" s="157">
        <v>6</v>
      </c>
      <c r="E10" s="157">
        <v>6</v>
      </c>
      <c r="F10" s="157">
        <v>6</v>
      </c>
      <c r="G10" s="157">
        <v>6</v>
      </c>
      <c r="H10" s="157">
        <v>6</v>
      </c>
      <c r="I10" s="157">
        <v>6</v>
      </c>
      <c r="J10" s="157">
        <v>6</v>
      </c>
      <c r="K10" s="157">
        <v>6</v>
      </c>
      <c r="L10" s="157">
        <v>6</v>
      </c>
      <c r="M10" s="157">
        <v>6</v>
      </c>
      <c r="N10" s="157">
        <v>6</v>
      </c>
      <c r="O10" s="157">
        <v>6</v>
      </c>
      <c r="P10" s="157">
        <v>6</v>
      </c>
      <c r="Q10" s="157">
        <v>6</v>
      </c>
      <c r="R10" s="157">
        <v>6</v>
      </c>
      <c r="S10" s="157">
        <v>6</v>
      </c>
      <c r="T10" s="157">
        <v>6</v>
      </c>
      <c r="U10" s="157">
        <v>6</v>
      </c>
      <c r="V10" s="157">
        <v>6</v>
      </c>
      <c r="W10" s="157">
        <v>6</v>
      </c>
      <c r="X10" s="157">
        <v>6</v>
      </c>
      <c r="Y10" s="157">
        <v>6</v>
      </c>
      <c r="Z10" s="157">
        <v>6</v>
      </c>
      <c r="AA10" s="157">
        <v>6</v>
      </c>
      <c r="AB10" s="157">
        <v>6</v>
      </c>
      <c r="AC10" s="132">
        <v>101</v>
      </c>
      <c r="AD10" s="157">
        <v>6</v>
      </c>
      <c r="AE10" s="132">
        <v>101</v>
      </c>
      <c r="AF10" s="157">
        <v>6</v>
      </c>
      <c r="AG10" s="157">
        <v>6</v>
      </c>
      <c r="AH10" s="157">
        <v>6</v>
      </c>
      <c r="AJ10" s="157">
        <v>27</v>
      </c>
      <c r="AK10" s="157">
        <v>49</v>
      </c>
      <c r="AM10" s="132">
        <v>35</v>
      </c>
      <c r="AN10" s="157">
        <v>27</v>
      </c>
    </row>
    <row r="11" spans="1:40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28" t="s">
        <v>170</v>
      </c>
      <c r="O11" s="28" t="s">
        <v>170</v>
      </c>
      <c r="P11" s="28" t="s">
        <v>170</v>
      </c>
      <c r="Q11" s="28" t="s">
        <v>170</v>
      </c>
      <c r="R11" s="28" t="s">
        <v>170</v>
      </c>
      <c r="S11" s="28" t="s">
        <v>170</v>
      </c>
      <c r="T11" s="28" t="s">
        <v>170</v>
      </c>
      <c r="U11" s="28" t="s">
        <v>170</v>
      </c>
      <c r="V11" s="28" t="s">
        <v>170</v>
      </c>
      <c r="W11" s="28" t="s">
        <v>170</v>
      </c>
      <c r="X11" s="28" t="s">
        <v>170</v>
      </c>
      <c r="Y11" s="28" t="s">
        <v>170</v>
      </c>
      <c r="Z11" s="28" t="s">
        <v>170</v>
      </c>
      <c r="AA11" s="28" t="s">
        <v>170</v>
      </c>
      <c r="AB11" s="28" t="s">
        <v>170</v>
      </c>
      <c r="AC11" s="28" t="s">
        <v>170</v>
      </c>
      <c r="AD11" s="28" t="s">
        <v>170</v>
      </c>
      <c r="AE11" s="28" t="s">
        <v>170</v>
      </c>
      <c r="AF11" s="28" t="s">
        <v>170</v>
      </c>
      <c r="AG11" s="28" t="s">
        <v>170</v>
      </c>
      <c r="AH11" s="28" t="s">
        <v>170</v>
      </c>
      <c r="AJ11" s="28" t="s">
        <v>170</v>
      </c>
      <c r="AK11" s="28" t="s">
        <v>170</v>
      </c>
      <c r="AM11" s="29" t="s">
        <v>170</v>
      </c>
      <c r="AN11" s="28" t="s">
        <v>170</v>
      </c>
    </row>
    <row r="12" spans="1:40" x14ac:dyDescent="0.25">
      <c r="A12" s="26" t="s">
        <v>171</v>
      </c>
      <c r="B12" s="28" t="s">
        <v>170</v>
      </c>
      <c r="C12" s="28" t="s">
        <v>170</v>
      </c>
      <c r="D12" s="28" t="s">
        <v>170</v>
      </c>
      <c r="E12" s="28" t="s">
        <v>170</v>
      </c>
      <c r="F12" s="28" t="s">
        <v>170</v>
      </c>
      <c r="G12" s="28" t="s">
        <v>170</v>
      </c>
      <c r="H12" s="28" t="s">
        <v>170</v>
      </c>
      <c r="I12" s="28" t="s">
        <v>170</v>
      </c>
      <c r="J12" s="28" t="s">
        <v>170</v>
      </c>
      <c r="K12" s="28" t="s">
        <v>170</v>
      </c>
      <c r="L12" s="28" t="s">
        <v>170</v>
      </c>
      <c r="M12" s="28" t="s">
        <v>170</v>
      </c>
      <c r="N12" s="28" t="s">
        <v>170</v>
      </c>
      <c r="O12" s="28" t="s">
        <v>170</v>
      </c>
      <c r="P12" s="28" t="s">
        <v>170</v>
      </c>
      <c r="Q12" s="28" t="s">
        <v>170</v>
      </c>
      <c r="R12" s="28" t="s">
        <v>170</v>
      </c>
      <c r="S12" s="28" t="s">
        <v>170</v>
      </c>
      <c r="T12" s="28" t="s">
        <v>170</v>
      </c>
      <c r="U12" s="28" t="s">
        <v>170</v>
      </c>
      <c r="V12" s="28" t="s">
        <v>170</v>
      </c>
      <c r="W12" s="28" t="s">
        <v>170</v>
      </c>
      <c r="X12" s="28" t="s">
        <v>170</v>
      </c>
      <c r="Y12" s="28" t="s">
        <v>170</v>
      </c>
      <c r="Z12" s="28" t="s">
        <v>170</v>
      </c>
      <c r="AA12" s="28" t="s">
        <v>170</v>
      </c>
      <c r="AB12" s="28" t="s">
        <v>170</v>
      </c>
      <c r="AC12" s="28" t="s">
        <v>170</v>
      </c>
      <c r="AD12" s="28" t="s">
        <v>170</v>
      </c>
      <c r="AE12" s="28" t="s">
        <v>170</v>
      </c>
      <c r="AF12" s="28" t="s">
        <v>170</v>
      </c>
      <c r="AG12" s="28" t="s">
        <v>170</v>
      </c>
      <c r="AH12" s="28" t="s">
        <v>170</v>
      </c>
      <c r="AJ12" s="28" t="s">
        <v>170</v>
      </c>
      <c r="AK12" s="28" t="s">
        <v>170</v>
      </c>
      <c r="AM12" s="28" t="s">
        <v>170</v>
      </c>
      <c r="AN12" s="28" t="s">
        <v>170</v>
      </c>
    </row>
    <row r="13" spans="1:40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 t="s">
        <v>173</v>
      </c>
      <c r="S13" s="28" t="s">
        <v>173</v>
      </c>
      <c r="T13" s="28" t="s">
        <v>173</v>
      </c>
      <c r="U13" s="28" t="s">
        <v>173</v>
      </c>
      <c r="V13" s="28" t="s">
        <v>173</v>
      </c>
      <c r="W13" s="28" t="s">
        <v>173</v>
      </c>
      <c r="X13" s="28" t="s">
        <v>173</v>
      </c>
      <c r="Y13" s="28" t="s">
        <v>173</v>
      </c>
      <c r="Z13" s="28" t="s">
        <v>173</v>
      </c>
      <c r="AA13" s="28" t="s">
        <v>173</v>
      </c>
      <c r="AB13" s="28" t="s">
        <v>173</v>
      </c>
      <c r="AC13" s="28" t="s">
        <v>173</v>
      </c>
      <c r="AD13" s="28" t="s">
        <v>173</v>
      </c>
      <c r="AE13" s="28" t="s">
        <v>173</v>
      </c>
      <c r="AF13" s="28" t="s">
        <v>173</v>
      </c>
      <c r="AG13" s="28" t="s">
        <v>173</v>
      </c>
      <c r="AH13" s="28" t="s">
        <v>173</v>
      </c>
      <c r="AJ13" s="28" t="s">
        <v>170</v>
      </c>
      <c r="AK13" s="28" t="s">
        <v>170</v>
      </c>
      <c r="AM13" s="28" t="s">
        <v>170</v>
      </c>
      <c r="AN13" s="28" t="s">
        <v>170</v>
      </c>
    </row>
    <row r="14" spans="1:40" x14ac:dyDescent="0.25">
      <c r="A14" s="26" t="s">
        <v>174</v>
      </c>
      <c r="B14" s="29" t="s">
        <v>173</v>
      </c>
      <c r="C14" s="29" t="s">
        <v>173</v>
      </c>
      <c r="D14" s="29" t="s">
        <v>173</v>
      </c>
      <c r="E14" s="29" t="s">
        <v>173</v>
      </c>
      <c r="F14" s="29" t="s">
        <v>173</v>
      </c>
      <c r="G14" s="29" t="s">
        <v>173</v>
      </c>
      <c r="H14" s="29" t="s">
        <v>173</v>
      </c>
      <c r="I14" s="29" t="s">
        <v>173</v>
      </c>
      <c r="J14" s="29" t="s">
        <v>173</v>
      </c>
      <c r="K14" s="29" t="s">
        <v>173</v>
      </c>
      <c r="L14" s="29" t="s">
        <v>173</v>
      </c>
      <c r="M14" s="29" t="s">
        <v>173</v>
      </c>
      <c r="N14" s="29" t="s">
        <v>173</v>
      </c>
      <c r="O14" s="29" t="s">
        <v>173</v>
      </c>
      <c r="P14" s="29" t="s">
        <v>173</v>
      </c>
      <c r="Q14" s="29" t="s">
        <v>173</v>
      </c>
      <c r="R14" s="29" t="s">
        <v>173</v>
      </c>
      <c r="S14" s="29" t="s">
        <v>173</v>
      </c>
      <c r="T14" s="29" t="s">
        <v>173</v>
      </c>
      <c r="U14" s="29" t="s">
        <v>173</v>
      </c>
      <c r="V14" s="29" t="s">
        <v>173</v>
      </c>
      <c r="W14" s="29" t="s">
        <v>173</v>
      </c>
      <c r="X14" s="29" t="s">
        <v>173</v>
      </c>
      <c r="Y14" s="29" t="s">
        <v>173</v>
      </c>
      <c r="Z14" s="29" t="s">
        <v>173</v>
      </c>
      <c r="AA14" s="29" t="s">
        <v>173</v>
      </c>
      <c r="AB14" s="29" t="s">
        <v>173</v>
      </c>
      <c r="AC14" s="29" t="s">
        <v>173</v>
      </c>
      <c r="AD14" s="29" t="s">
        <v>173</v>
      </c>
      <c r="AE14" s="29" t="s">
        <v>173</v>
      </c>
      <c r="AF14" s="29" t="s">
        <v>173</v>
      </c>
      <c r="AG14" s="29" t="s">
        <v>173</v>
      </c>
      <c r="AH14" s="29" t="s">
        <v>173</v>
      </c>
      <c r="AJ14" s="28" t="s">
        <v>173</v>
      </c>
      <c r="AK14" s="28" t="s">
        <v>173</v>
      </c>
      <c r="AM14" s="28" t="s">
        <v>173</v>
      </c>
      <c r="AN14" s="28" t="s">
        <v>173</v>
      </c>
    </row>
    <row r="15" spans="1:40" x14ac:dyDescent="0.25">
      <c r="A15" s="26" t="s">
        <v>175</v>
      </c>
      <c r="B15" s="28" t="s">
        <v>198</v>
      </c>
      <c r="C15" s="28" t="s">
        <v>198</v>
      </c>
      <c r="D15" s="28" t="s">
        <v>198</v>
      </c>
      <c r="E15" s="28" t="s">
        <v>198</v>
      </c>
      <c r="F15" s="28" t="s">
        <v>198</v>
      </c>
      <c r="G15" s="28" t="s">
        <v>198</v>
      </c>
      <c r="H15" s="28" t="s">
        <v>198</v>
      </c>
      <c r="I15" s="28" t="s">
        <v>198</v>
      </c>
      <c r="J15" s="28" t="s">
        <v>198</v>
      </c>
      <c r="K15" s="28" t="s">
        <v>198</v>
      </c>
      <c r="L15" s="28" t="s">
        <v>198</v>
      </c>
      <c r="M15" s="28" t="s">
        <v>198</v>
      </c>
      <c r="N15" s="28" t="s">
        <v>198</v>
      </c>
      <c r="O15" s="28" t="s">
        <v>198</v>
      </c>
      <c r="P15" s="28" t="s">
        <v>198</v>
      </c>
      <c r="Q15" s="28" t="s">
        <v>198</v>
      </c>
      <c r="R15" s="28" t="s">
        <v>198</v>
      </c>
      <c r="S15" s="28" t="s">
        <v>198</v>
      </c>
      <c r="T15" s="28" t="s">
        <v>198</v>
      </c>
      <c r="U15" s="28" t="s">
        <v>198</v>
      </c>
      <c r="V15" s="28" t="s">
        <v>198</v>
      </c>
      <c r="W15" s="28" t="s">
        <v>198</v>
      </c>
      <c r="X15" s="28" t="s">
        <v>198</v>
      </c>
      <c r="Y15" s="28" t="s">
        <v>198</v>
      </c>
      <c r="Z15" s="28" t="s">
        <v>198</v>
      </c>
      <c r="AA15" s="28" t="s">
        <v>198</v>
      </c>
      <c r="AB15" s="28" t="s">
        <v>198</v>
      </c>
      <c r="AC15" s="28" t="s">
        <v>198</v>
      </c>
      <c r="AD15" s="28" t="s">
        <v>198</v>
      </c>
      <c r="AE15" s="28" t="s">
        <v>198</v>
      </c>
      <c r="AF15" s="28" t="s">
        <v>198</v>
      </c>
      <c r="AG15" s="28" t="s">
        <v>198</v>
      </c>
      <c r="AH15" s="28" t="s">
        <v>198</v>
      </c>
      <c r="AJ15" s="28" t="s">
        <v>198</v>
      </c>
      <c r="AK15" s="28" t="s">
        <v>198</v>
      </c>
      <c r="AM15" s="28" t="s">
        <v>199</v>
      </c>
      <c r="AN15" s="28" t="s">
        <v>198</v>
      </c>
    </row>
    <row r="16" spans="1:40" x14ac:dyDescent="0.25">
      <c r="A16" s="26" t="s">
        <v>176</v>
      </c>
      <c r="B16" s="30">
        <f t="shared" ref="B16:F16" si="0">5/3</f>
        <v>1.6666666666666667</v>
      </c>
      <c r="C16" s="30">
        <f t="shared" si="0"/>
        <v>1.6666666666666667</v>
      </c>
      <c r="D16" s="30">
        <f t="shared" si="0"/>
        <v>1.6666666666666667</v>
      </c>
      <c r="E16" s="30">
        <f t="shared" si="0"/>
        <v>1.6666666666666667</v>
      </c>
      <c r="F16" s="30">
        <f t="shared" si="0"/>
        <v>1.6666666666666667</v>
      </c>
      <c r="G16" s="30">
        <f t="shared" ref="G16:O16" si="1">5/3</f>
        <v>1.6666666666666667</v>
      </c>
      <c r="H16" s="30">
        <f t="shared" si="1"/>
        <v>1.6666666666666667</v>
      </c>
      <c r="I16" s="30">
        <f t="shared" si="1"/>
        <v>1.6666666666666667</v>
      </c>
      <c r="J16" s="30">
        <f t="shared" si="1"/>
        <v>1.6666666666666667</v>
      </c>
      <c r="K16" s="30">
        <f t="shared" si="1"/>
        <v>1.6666666666666667</v>
      </c>
      <c r="L16" s="30">
        <f t="shared" si="1"/>
        <v>1.6666666666666667</v>
      </c>
      <c r="M16" s="30">
        <f t="shared" si="1"/>
        <v>1.6666666666666667</v>
      </c>
      <c r="N16" s="30">
        <f t="shared" si="1"/>
        <v>1.6666666666666667</v>
      </c>
      <c r="O16" s="30">
        <f t="shared" si="1"/>
        <v>1.6666666666666667</v>
      </c>
      <c r="P16" s="30">
        <f>5/3</f>
        <v>1.6666666666666667</v>
      </c>
      <c r="Q16" s="30">
        <f>5/3</f>
        <v>1.6666666666666667</v>
      </c>
      <c r="R16" s="30">
        <f t="shared" ref="R16:W16" si="2">5/3</f>
        <v>1.6666666666666667</v>
      </c>
      <c r="S16" s="30">
        <f t="shared" si="2"/>
        <v>1.6666666666666667</v>
      </c>
      <c r="T16" s="30">
        <f t="shared" si="2"/>
        <v>1.6666666666666667</v>
      </c>
      <c r="U16" s="30">
        <f t="shared" si="2"/>
        <v>1.6666666666666667</v>
      </c>
      <c r="V16" s="30">
        <f t="shared" si="2"/>
        <v>1.6666666666666667</v>
      </c>
      <c r="W16" s="30">
        <f t="shared" si="2"/>
        <v>1.6666666666666667</v>
      </c>
      <c r="X16" s="30">
        <f t="shared" ref="X16:Z16" si="3">5/3</f>
        <v>1.6666666666666667</v>
      </c>
      <c r="Y16" s="30">
        <f t="shared" si="3"/>
        <v>1.6666666666666667</v>
      </c>
      <c r="Z16" s="30">
        <f t="shared" si="3"/>
        <v>1.6666666666666667</v>
      </c>
      <c r="AA16" s="30">
        <f>5/3</f>
        <v>1.6666666666666667</v>
      </c>
      <c r="AB16" s="30">
        <f>5/3</f>
        <v>1.6666666666666667</v>
      </c>
      <c r="AC16" s="30">
        <f>AVERAGE(5/3,0.75)</f>
        <v>1.2083333333333335</v>
      </c>
      <c r="AD16" s="30">
        <f>5/3</f>
        <v>1.6666666666666667</v>
      </c>
      <c r="AE16" s="30">
        <f>AVERAGE(5/3,0.75)</f>
        <v>1.2083333333333335</v>
      </c>
      <c r="AF16" s="30">
        <f t="shared" ref="AF16:AG16" si="4">5/3</f>
        <v>1.6666666666666667</v>
      </c>
      <c r="AG16" s="30">
        <f t="shared" si="4"/>
        <v>1.6666666666666667</v>
      </c>
      <c r="AH16" s="30">
        <f>5/3</f>
        <v>1.6666666666666667</v>
      </c>
      <c r="AJ16" s="120">
        <f>4/3</f>
        <v>1.3333333333333333</v>
      </c>
      <c r="AK16" s="120">
        <f>4/3</f>
        <v>1.3333333333333333</v>
      </c>
      <c r="AM16" s="30">
        <v>-0.5</v>
      </c>
      <c r="AN16" s="120">
        <f>4/3</f>
        <v>1.3333333333333333</v>
      </c>
    </row>
    <row r="17" spans="1:40" x14ac:dyDescent="0.25">
      <c r="A17" s="26" t="s">
        <v>177</v>
      </c>
      <c r="B17" s="28" t="s">
        <v>178</v>
      </c>
      <c r="C17" s="28" t="s">
        <v>178</v>
      </c>
      <c r="D17" s="28" t="s">
        <v>178</v>
      </c>
      <c r="E17" s="28" t="s">
        <v>178</v>
      </c>
      <c r="F17" s="28" t="s">
        <v>178</v>
      </c>
      <c r="G17" s="28" t="s">
        <v>178</v>
      </c>
      <c r="H17" s="28" t="s">
        <v>178</v>
      </c>
      <c r="I17" s="28" t="s">
        <v>178</v>
      </c>
      <c r="J17" s="28" t="s">
        <v>178</v>
      </c>
      <c r="K17" s="28" t="s">
        <v>178</v>
      </c>
      <c r="L17" s="28" t="s">
        <v>178</v>
      </c>
      <c r="M17" s="28" t="s">
        <v>178</v>
      </c>
      <c r="N17" s="28" t="s">
        <v>178</v>
      </c>
      <c r="O17" s="28" t="s">
        <v>178</v>
      </c>
      <c r="P17" s="28" t="s">
        <v>178</v>
      </c>
      <c r="Q17" s="28" t="s">
        <v>178</v>
      </c>
      <c r="R17" s="28" t="s">
        <v>178</v>
      </c>
      <c r="S17" s="28" t="s">
        <v>178</v>
      </c>
      <c r="T17" s="28" t="s">
        <v>178</v>
      </c>
      <c r="U17" s="28" t="s">
        <v>178</v>
      </c>
      <c r="V17" s="28" t="s">
        <v>178</v>
      </c>
      <c r="W17" s="28" t="s">
        <v>178</v>
      </c>
      <c r="X17" s="28" t="s">
        <v>178</v>
      </c>
      <c r="Y17" s="28" t="s">
        <v>178</v>
      </c>
      <c r="Z17" s="28" t="s">
        <v>178</v>
      </c>
      <c r="AA17" s="28" t="s">
        <v>178</v>
      </c>
      <c r="AB17" s="28" t="s">
        <v>178</v>
      </c>
      <c r="AC17" s="28" t="s">
        <v>228</v>
      </c>
      <c r="AD17" s="28" t="s">
        <v>178</v>
      </c>
      <c r="AE17" s="28" t="s">
        <v>228</v>
      </c>
      <c r="AF17" s="28" t="s">
        <v>178</v>
      </c>
      <c r="AG17" s="28" t="s">
        <v>178</v>
      </c>
      <c r="AH17" s="28" t="s">
        <v>178</v>
      </c>
      <c r="AJ17" s="28" t="s">
        <v>200</v>
      </c>
      <c r="AK17" s="28" t="s">
        <v>181</v>
      </c>
      <c r="AM17" s="28" t="s">
        <v>200</v>
      </c>
      <c r="AN17" s="28" t="s">
        <v>200</v>
      </c>
    </row>
    <row r="18" spans="1:40" x14ac:dyDescent="0.25">
      <c r="A18" s="26" t="s">
        <v>182</v>
      </c>
      <c r="B18" s="30">
        <v>4</v>
      </c>
      <c r="C18" s="30">
        <v>4</v>
      </c>
      <c r="D18" s="30">
        <v>4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30">
        <v>4</v>
      </c>
      <c r="S18" s="30">
        <v>4</v>
      </c>
      <c r="T18" s="30">
        <v>4</v>
      </c>
      <c r="U18" s="30">
        <v>4</v>
      </c>
      <c r="V18" s="30">
        <v>4</v>
      </c>
      <c r="W18" s="30">
        <v>4</v>
      </c>
      <c r="X18" s="30">
        <v>4</v>
      </c>
      <c r="Y18" s="30">
        <v>4</v>
      </c>
      <c r="Z18" s="30">
        <v>4</v>
      </c>
      <c r="AA18" s="30">
        <v>4</v>
      </c>
      <c r="AB18" s="30">
        <v>4</v>
      </c>
      <c r="AC18" s="30">
        <f>AVERAGE(4,0.875)</f>
        <v>2.4375</v>
      </c>
      <c r="AD18" s="30">
        <v>4</v>
      </c>
      <c r="AE18" s="30">
        <f>AVERAGE(4,0.875)</f>
        <v>2.4375</v>
      </c>
      <c r="AF18" s="30">
        <v>4</v>
      </c>
      <c r="AG18" s="30">
        <v>4</v>
      </c>
      <c r="AH18" s="30">
        <v>4</v>
      </c>
      <c r="AJ18" s="30">
        <v>3</v>
      </c>
      <c r="AK18" s="30">
        <v>2</v>
      </c>
      <c r="AM18" s="30">
        <v>3</v>
      </c>
      <c r="AN18" s="30">
        <v>3</v>
      </c>
    </row>
    <row r="19" spans="1:40" x14ac:dyDescent="0.25">
      <c r="D19" s="78" t="s">
        <v>229</v>
      </c>
      <c r="Q19" s="78" t="s">
        <v>229</v>
      </c>
      <c r="AG19" s="227" t="s">
        <v>230</v>
      </c>
      <c r="AH19" s="227"/>
      <c r="AJ19" s="227" t="s">
        <v>231</v>
      </c>
      <c r="AK19" s="227"/>
      <c r="AM19" s="223" t="s">
        <v>232</v>
      </c>
      <c r="AN19" s="223"/>
    </row>
    <row r="20" spans="1:40" x14ac:dyDescent="0.25">
      <c r="A20" s="31" t="s">
        <v>183</v>
      </c>
    </row>
    <row r="21" spans="1:40" x14ac:dyDescent="0.25">
      <c r="A21" s="93" t="s">
        <v>233</v>
      </c>
      <c r="B21" s="95" t="s">
        <v>234</v>
      </c>
    </row>
    <row r="22" spans="1:40" x14ac:dyDescent="0.25">
      <c r="A22" s="224" t="s">
        <v>235</v>
      </c>
      <c r="B22" s="95" t="s">
        <v>234</v>
      </c>
    </row>
    <row r="23" spans="1:40" x14ac:dyDescent="0.25">
      <c r="A23" s="224"/>
      <c r="B23" s="96" t="s">
        <v>236</v>
      </c>
    </row>
    <row r="24" spans="1:40" x14ac:dyDescent="0.25">
      <c r="A24" s="224" t="s">
        <v>237</v>
      </c>
      <c r="B24" s="95" t="s">
        <v>234</v>
      </c>
    </row>
    <row r="25" spans="1:40" x14ac:dyDescent="0.25">
      <c r="A25" s="224"/>
      <c r="B25" s="96" t="s">
        <v>238</v>
      </c>
    </row>
    <row r="26" spans="1:40" x14ac:dyDescent="0.25">
      <c r="A26" s="224"/>
      <c r="B26" s="96" t="s">
        <v>239</v>
      </c>
    </row>
    <row r="28" spans="1:40" ht="65.25" customHeight="1" x14ac:dyDescent="0.25">
      <c r="A28" s="101" t="s">
        <v>211</v>
      </c>
      <c r="B28" s="225" t="s">
        <v>212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5"/>
      <c r="M28" s="225"/>
      <c r="N28" s="225"/>
      <c r="O28" s="100"/>
      <c r="P28" s="99"/>
    </row>
  </sheetData>
  <mergeCells count="11">
    <mergeCell ref="AM19:AN19"/>
    <mergeCell ref="B3:D3"/>
    <mergeCell ref="F3:O3"/>
    <mergeCell ref="B4:D4"/>
    <mergeCell ref="F4:O5"/>
    <mergeCell ref="B5:D5"/>
    <mergeCell ref="A22:A23"/>
    <mergeCell ref="B28:N28"/>
    <mergeCell ref="A24:A26"/>
    <mergeCell ref="AG19:AH19"/>
    <mergeCell ref="AJ19:AK19"/>
  </mergeCells>
  <hyperlinks>
    <hyperlink ref="A28" r:id="rId1" xr:uid="{F8A977CF-41A5-40B7-B0FD-23BB28CB6DB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5BD51-AF47-4C6C-8813-1E6F4EF5F04C}">
  <dimension ref="A1:AJ22"/>
  <sheetViews>
    <sheetView workbookViewId="0">
      <selection activeCell="Z8" sqref="Z8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6" x14ac:dyDescent="0.25">
      <c r="A1" s="25" t="s">
        <v>116</v>
      </c>
      <c r="D1" s="25" t="s">
        <v>117</v>
      </c>
      <c r="I1" s="25" t="s">
        <v>118</v>
      </c>
    </row>
    <row r="3" spans="1:36" ht="18" x14ac:dyDescent="0.25">
      <c r="A3" s="25" t="s">
        <v>119</v>
      </c>
      <c r="B3" s="215">
        <v>6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6" ht="18" x14ac:dyDescent="0.25">
      <c r="A4" s="25" t="s">
        <v>121</v>
      </c>
      <c r="B4" s="215" t="s">
        <v>218</v>
      </c>
      <c r="C4" s="215"/>
      <c r="D4" s="215"/>
      <c r="F4" s="216" t="s">
        <v>240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6" ht="18" x14ac:dyDescent="0.25">
      <c r="A5" s="25" t="s">
        <v>124</v>
      </c>
      <c r="B5" s="215" t="s">
        <v>125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6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  <c r="AJ7" s="42" t="s">
        <v>141</v>
      </c>
    </row>
    <row r="8" spans="1:36" x14ac:dyDescent="0.25">
      <c r="A8" s="26" t="s">
        <v>159</v>
      </c>
      <c r="B8" s="29" t="s">
        <v>198</v>
      </c>
      <c r="C8" s="29" t="s">
        <v>220</v>
      </c>
      <c r="D8" s="29" t="s">
        <v>220</v>
      </c>
      <c r="E8" s="29" t="s">
        <v>220</v>
      </c>
      <c r="F8" s="29" t="s">
        <v>220</v>
      </c>
      <c r="G8" s="29" t="s">
        <v>220</v>
      </c>
      <c r="H8" s="29" t="s">
        <v>220</v>
      </c>
      <c r="I8" s="29" t="s">
        <v>220</v>
      </c>
      <c r="J8" s="29" t="s">
        <v>220</v>
      </c>
      <c r="K8" s="29" t="s">
        <v>220</v>
      </c>
      <c r="L8" s="29" t="s">
        <v>220</v>
      </c>
      <c r="M8" s="29" t="s">
        <v>220</v>
      </c>
      <c r="N8" s="29" t="s">
        <v>220</v>
      </c>
      <c r="O8" s="29" t="s">
        <v>220</v>
      </c>
      <c r="P8" s="29" t="s">
        <v>220</v>
      </c>
      <c r="Q8" s="29" t="s">
        <v>220</v>
      </c>
      <c r="R8" s="29" t="s">
        <v>220</v>
      </c>
      <c r="S8" s="29" t="s">
        <v>220</v>
      </c>
      <c r="T8" s="29" t="s">
        <v>220</v>
      </c>
      <c r="U8" s="29" t="s">
        <v>220</v>
      </c>
      <c r="V8" s="28" t="s">
        <v>220</v>
      </c>
      <c r="W8" s="28" t="s">
        <v>220</v>
      </c>
      <c r="X8" s="29" t="s">
        <v>220</v>
      </c>
      <c r="Y8" s="29" t="s">
        <v>220</v>
      </c>
      <c r="Z8" s="28" t="s">
        <v>220</v>
      </c>
      <c r="AA8" s="29" t="s">
        <v>220</v>
      </c>
      <c r="AB8" s="29" t="s">
        <v>220</v>
      </c>
      <c r="AC8" s="29" t="s">
        <v>220</v>
      </c>
      <c r="AD8" s="29" t="s">
        <v>220</v>
      </c>
      <c r="AE8" s="29" t="s">
        <v>220</v>
      </c>
      <c r="AF8" s="29" t="s">
        <v>220</v>
      </c>
      <c r="AG8" s="29" t="s">
        <v>220</v>
      </c>
      <c r="AH8" s="29" t="s">
        <v>220</v>
      </c>
      <c r="AJ8" s="29" t="s">
        <v>220</v>
      </c>
    </row>
    <row r="9" spans="1:36" x14ac:dyDescent="0.25">
      <c r="A9" s="26" t="s">
        <v>165</v>
      </c>
      <c r="B9" s="29" t="s">
        <v>223</v>
      </c>
      <c r="C9" s="29" t="s">
        <v>223</v>
      </c>
      <c r="D9" s="29" t="s">
        <v>223</v>
      </c>
      <c r="E9" s="29" t="s">
        <v>223</v>
      </c>
      <c r="F9" s="29" t="s">
        <v>223</v>
      </c>
      <c r="G9" s="29" t="s">
        <v>223</v>
      </c>
      <c r="H9" s="29" t="s">
        <v>223</v>
      </c>
      <c r="I9" s="29" t="s">
        <v>223</v>
      </c>
      <c r="J9" s="29" t="s">
        <v>223</v>
      </c>
      <c r="K9" s="29" t="s">
        <v>223</v>
      </c>
      <c r="L9" s="29" t="s">
        <v>223</v>
      </c>
      <c r="M9" s="29" t="s">
        <v>223</v>
      </c>
      <c r="N9" s="29" t="s">
        <v>223</v>
      </c>
      <c r="O9" s="29" t="s">
        <v>223</v>
      </c>
      <c r="P9" s="29" t="s">
        <v>223</v>
      </c>
      <c r="Q9" s="29" t="s">
        <v>223</v>
      </c>
      <c r="R9" s="29" t="s">
        <v>223</v>
      </c>
      <c r="S9" s="29" t="s">
        <v>223</v>
      </c>
      <c r="T9" s="29" t="s">
        <v>223</v>
      </c>
      <c r="U9" s="29" t="s">
        <v>223</v>
      </c>
      <c r="V9" s="28" t="s">
        <v>223</v>
      </c>
      <c r="W9" s="28" t="s">
        <v>223</v>
      </c>
      <c r="X9" s="29" t="s">
        <v>223</v>
      </c>
      <c r="Y9" s="29" t="s">
        <v>223</v>
      </c>
      <c r="Z9" s="28" t="s">
        <v>223</v>
      </c>
      <c r="AA9" s="29" t="s">
        <v>223</v>
      </c>
      <c r="AB9" s="29" t="s">
        <v>223</v>
      </c>
      <c r="AC9" s="28" t="s">
        <v>224</v>
      </c>
      <c r="AD9" s="29" t="s">
        <v>223</v>
      </c>
      <c r="AE9" s="28" t="s">
        <v>224</v>
      </c>
      <c r="AF9" s="29" t="s">
        <v>223</v>
      </c>
      <c r="AG9" s="29" t="s">
        <v>223</v>
      </c>
      <c r="AH9" s="29" t="s">
        <v>223</v>
      </c>
      <c r="AJ9" s="29" t="s">
        <v>225</v>
      </c>
    </row>
    <row r="10" spans="1:36" x14ac:dyDescent="0.25">
      <c r="A10" s="131" t="s">
        <v>168</v>
      </c>
      <c r="B10" s="157">
        <v>6</v>
      </c>
      <c r="C10" s="157">
        <v>6</v>
      </c>
      <c r="D10" s="157">
        <v>6</v>
      </c>
      <c r="E10" s="157">
        <v>6</v>
      </c>
      <c r="F10" s="157">
        <v>6</v>
      </c>
      <c r="G10" s="157">
        <v>6</v>
      </c>
      <c r="H10" s="157">
        <v>6</v>
      </c>
      <c r="I10" s="157">
        <v>6</v>
      </c>
      <c r="J10" s="157">
        <v>6</v>
      </c>
      <c r="K10" s="157">
        <v>6</v>
      </c>
      <c r="L10" s="157">
        <v>6</v>
      </c>
      <c r="M10" s="157">
        <v>6</v>
      </c>
      <c r="N10" s="157">
        <v>6</v>
      </c>
      <c r="O10" s="157">
        <v>6</v>
      </c>
      <c r="P10" s="157">
        <v>6</v>
      </c>
      <c r="Q10" s="157">
        <v>6</v>
      </c>
      <c r="R10" s="157">
        <v>6</v>
      </c>
      <c r="S10" s="157">
        <v>6</v>
      </c>
      <c r="T10" s="157">
        <v>6</v>
      </c>
      <c r="U10" s="157">
        <v>6</v>
      </c>
      <c r="V10" s="157">
        <v>6</v>
      </c>
      <c r="W10" s="157">
        <v>6</v>
      </c>
      <c r="X10" s="157">
        <v>6</v>
      </c>
      <c r="Y10" s="157">
        <v>6</v>
      </c>
      <c r="Z10" s="157">
        <v>6</v>
      </c>
      <c r="AA10" s="157">
        <v>6</v>
      </c>
      <c r="AB10" s="157">
        <v>6</v>
      </c>
      <c r="AC10" s="132">
        <v>101</v>
      </c>
      <c r="AD10" s="157">
        <v>6</v>
      </c>
      <c r="AE10" s="132">
        <v>101</v>
      </c>
      <c r="AF10" s="157">
        <v>6</v>
      </c>
      <c r="AG10" s="157">
        <v>6</v>
      </c>
      <c r="AH10" s="157">
        <v>6</v>
      </c>
      <c r="AJ10" s="132">
        <v>27</v>
      </c>
    </row>
    <row r="11" spans="1:36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28" t="s">
        <v>170</v>
      </c>
      <c r="O11" s="28" t="s">
        <v>170</v>
      </c>
      <c r="P11" s="28" t="s">
        <v>170</v>
      </c>
      <c r="Q11" s="28" t="s">
        <v>170</v>
      </c>
      <c r="R11" s="28" t="s">
        <v>170</v>
      </c>
      <c r="S11" s="28" t="s">
        <v>170</v>
      </c>
      <c r="T11" s="28" t="s">
        <v>170</v>
      </c>
      <c r="U11" s="28" t="s">
        <v>170</v>
      </c>
      <c r="V11" s="28" t="s">
        <v>170</v>
      </c>
      <c r="W11" s="28" t="s">
        <v>170</v>
      </c>
      <c r="X11" s="28" t="s">
        <v>170</v>
      </c>
      <c r="Y11" s="28" t="s">
        <v>170</v>
      </c>
      <c r="Z11" s="28" t="s">
        <v>170</v>
      </c>
      <c r="AA11" s="28" t="s">
        <v>170</v>
      </c>
      <c r="AB11" s="28" t="s">
        <v>170</v>
      </c>
      <c r="AC11" s="28" t="s">
        <v>170</v>
      </c>
      <c r="AD11" s="28" t="s">
        <v>170</v>
      </c>
      <c r="AE11" s="28" t="s">
        <v>170</v>
      </c>
      <c r="AF11" s="28" t="s">
        <v>170</v>
      </c>
      <c r="AG11" s="28" t="s">
        <v>170</v>
      </c>
      <c r="AH11" s="28" t="s">
        <v>170</v>
      </c>
      <c r="AJ11" s="28" t="s">
        <v>170</v>
      </c>
    </row>
    <row r="12" spans="1:36" x14ac:dyDescent="0.25">
      <c r="A12" s="26" t="s">
        <v>171</v>
      </c>
      <c r="B12" s="28" t="s">
        <v>170</v>
      </c>
      <c r="C12" s="28" t="s">
        <v>170</v>
      </c>
      <c r="D12" s="28" t="s">
        <v>170</v>
      </c>
      <c r="E12" s="28" t="s">
        <v>170</v>
      </c>
      <c r="F12" s="28" t="s">
        <v>170</v>
      </c>
      <c r="G12" s="28" t="s">
        <v>170</v>
      </c>
      <c r="H12" s="28" t="s">
        <v>170</v>
      </c>
      <c r="I12" s="28" t="s">
        <v>170</v>
      </c>
      <c r="J12" s="28" t="s">
        <v>170</v>
      </c>
      <c r="K12" s="28" t="s">
        <v>170</v>
      </c>
      <c r="L12" s="28" t="s">
        <v>170</v>
      </c>
      <c r="M12" s="28" t="s">
        <v>170</v>
      </c>
      <c r="N12" s="28" t="s">
        <v>170</v>
      </c>
      <c r="O12" s="28" t="s">
        <v>170</v>
      </c>
      <c r="P12" s="28" t="s">
        <v>170</v>
      </c>
      <c r="Q12" s="28" t="s">
        <v>170</v>
      </c>
      <c r="R12" s="28" t="s">
        <v>170</v>
      </c>
      <c r="S12" s="28" t="s">
        <v>170</v>
      </c>
      <c r="T12" s="28" t="s">
        <v>170</v>
      </c>
      <c r="U12" s="28" t="s">
        <v>170</v>
      </c>
      <c r="V12" s="28" t="s">
        <v>170</v>
      </c>
      <c r="W12" s="28" t="s">
        <v>170</v>
      </c>
      <c r="X12" s="28" t="s">
        <v>170</v>
      </c>
      <c r="Y12" s="28" t="s">
        <v>170</v>
      </c>
      <c r="Z12" s="28" t="s">
        <v>170</v>
      </c>
      <c r="AA12" s="28" t="s">
        <v>170</v>
      </c>
      <c r="AB12" s="28" t="s">
        <v>170</v>
      </c>
      <c r="AC12" s="28" t="s">
        <v>170</v>
      </c>
      <c r="AD12" s="28" t="s">
        <v>170</v>
      </c>
      <c r="AE12" s="28" t="s">
        <v>170</v>
      </c>
      <c r="AF12" s="28" t="s">
        <v>170</v>
      </c>
      <c r="AG12" s="28" t="s">
        <v>170</v>
      </c>
      <c r="AH12" s="28" t="s">
        <v>170</v>
      </c>
      <c r="AJ12" s="28" t="s">
        <v>170</v>
      </c>
    </row>
    <row r="13" spans="1:36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 t="s">
        <v>173</v>
      </c>
      <c r="S13" s="28" t="s">
        <v>173</v>
      </c>
      <c r="T13" s="28" t="s">
        <v>173</v>
      </c>
      <c r="U13" s="28" t="s">
        <v>173</v>
      </c>
      <c r="V13" s="28" t="s">
        <v>173</v>
      </c>
      <c r="W13" s="28" t="s">
        <v>173</v>
      </c>
      <c r="X13" s="28" t="s">
        <v>173</v>
      </c>
      <c r="Y13" s="28" t="s">
        <v>173</v>
      </c>
      <c r="Z13" s="28" t="s">
        <v>173</v>
      </c>
      <c r="AA13" s="28" t="s">
        <v>173</v>
      </c>
      <c r="AB13" s="28" t="s">
        <v>173</v>
      </c>
      <c r="AC13" s="28" t="s">
        <v>173</v>
      </c>
      <c r="AD13" s="28" t="s">
        <v>173</v>
      </c>
      <c r="AE13" s="28" t="s">
        <v>173</v>
      </c>
      <c r="AF13" s="28" t="s">
        <v>173</v>
      </c>
      <c r="AG13" s="28" t="s">
        <v>173</v>
      </c>
      <c r="AH13" s="28" t="s">
        <v>173</v>
      </c>
      <c r="AJ13" s="28" t="s">
        <v>170</v>
      </c>
    </row>
    <row r="14" spans="1:36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 t="s">
        <v>173</v>
      </c>
      <c r="V14" s="29" t="s">
        <v>173</v>
      </c>
      <c r="W14" s="29" t="s">
        <v>173</v>
      </c>
      <c r="X14" s="28" t="s">
        <v>173</v>
      </c>
      <c r="Y14" s="28" t="s">
        <v>173</v>
      </c>
      <c r="Z14" s="29" t="s">
        <v>173</v>
      </c>
      <c r="AA14" s="28" t="s">
        <v>173</v>
      </c>
      <c r="AB14" s="28" t="s">
        <v>173</v>
      </c>
      <c r="AC14" s="29" t="s">
        <v>173</v>
      </c>
      <c r="AD14" s="28" t="s">
        <v>173</v>
      </c>
      <c r="AE14" s="29" t="s">
        <v>173</v>
      </c>
      <c r="AF14" s="28" t="s">
        <v>173</v>
      </c>
      <c r="AG14" s="28" t="s">
        <v>173</v>
      </c>
      <c r="AH14" s="28" t="s">
        <v>173</v>
      </c>
      <c r="AJ14" s="28" t="s">
        <v>173</v>
      </c>
    </row>
    <row r="15" spans="1:36" x14ac:dyDescent="0.25">
      <c r="A15" s="26" t="s">
        <v>175</v>
      </c>
      <c r="B15" s="28" t="s">
        <v>198</v>
      </c>
      <c r="C15" s="28" t="s">
        <v>198</v>
      </c>
      <c r="D15" s="28" t="s">
        <v>198</v>
      </c>
      <c r="E15" s="28" t="s">
        <v>198</v>
      </c>
      <c r="F15" s="28" t="s">
        <v>198</v>
      </c>
      <c r="G15" s="28" t="s">
        <v>198</v>
      </c>
      <c r="H15" s="28" t="s">
        <v>198</v>
      </c>
      <c r="I15" s="28" t="s">
        <v>198</v>
      </c>
      <c r="J15" s="28" t="s">
        <v>198</v>
      </c>
      <c r="K15" s="28" t="s">
        <v>198</v>
      </c>
      <c r="L15" s="28" t="s">
        <v>198</v>
      </c>
      <c r="M15" s="28" t="s">
        <v>198</v>
      </c>
      <c r="N15" s="28" t="s">
        <v>198</v>
      </c>
      <c r="O15" s="28" t="s">
        <v>198</v>
      </c>
      <c r="P15" s="28" t="s">
        <v>198</v>
      </c>
      <c r="Q15" s="28" t="s">
        <v>198</v>
      </c>
      <c r="R15" s="28" t="s">
        <v>198</v>
      </c>
      <c r="S15" s="28" t="s">
        <v>198</v>
      </c>
      <c r="T15" s="28" t="s">
        <v>198</v>
      </c>
      <c r="U15" s="28" t="s">
        <v>198</v>
      </c>
      <c r="V15" s="28" t="s">
        <v>198</v>
      </c>
      <c r="W15" s="28" t="s">
        <v>198</v>
      </c>
      <c r="X15" s="28" t="s">
        <v>198</v>
      </c>
      <c r="Y15" s="28" t="s">
        <v>198</v>
      </c>
      <c r="Z15" s="28" t="s">
        <v>198</v>
      </c>
      <c r="AA15" s="28" t="s">
        <v>198</v>
      </c>
      <c r="AB15" s="28" t="s">
        <v>198</v>
      </c>
      <c r="AC15" s="28" t="s">
        <v>198</v>
      </c>
      <c r="AD15" s="28" t="s">
        <v>198</v>
      </c>
      <c r="AE15" s="28" t="s">
        <v>198</v>
      </c>
      <c r="AF15" s="28" t="s">
        <v>198</v>
      </c>
      <c r="AG15" s="28" t="s">
        <v>198</v>
      </c>
      <c r="AH15" s="28" t="s">
        <v>198</v>
      </c>
      <c r="AJ15" s="28" t="s">
        <v>198</v>
      </c>
    </row>
    <row r="16" spans="1:36" x14ac:dyDescent="0.25">
      <c r="A16" s="26" t="s">
        <v>176</v>
      </c>
      <c r="B16" s="30">
        <f>5/3</f>
        <v>1.6666666666666667</v>
      </c>
      <c r="C16" s="30">
        <f t="shared" ref="C16:F16" si="0">5/3</f>
        <v>1.6666666666666667</v>
      </c>
      <c r="D16" s="30">
        <f t="shared" si="0"/>
        <v>1.6666666666666667</v>
      </c>
      <c r="E16" s="30">
        <f t="shared" si="0"/>
        <v>1.6666666666666667</v>
      </c>
      <c r="F16" s="30">
        <f t="shared" si="0"/>
        <v>1.6666666666666667</v>
      </c>
      <c r="G16" s="30">
        <f t="shared" ref="G16:M16" si="1">5/3</f>
        <v>1.6666666666666667</v>
      </c>
      <c r="H16" s="30">
        <f t="shared" si="1"/>
        <v>1.6666666666666667</v>
      </c>
      <c r="I16" s="30">
        <f t="shared" si="1"/>
        <v>1.6666666666666667</v>
      </c>
      <c r="J16" s="30">
        <f t="shared" si="1"/>
        <v>1.6666666666666667</v>
      </c>
      <c r="K16" s="30">
        <f t="shared" si="1"/>
        <v>1.6666666666666667</v>
      </c>
      <c r="L16" s="30">
        <f t="shared" si="1"/>
        <v>1.6666666666666667</v>
      </c>
      <c r="M16" s="30">
        <f t="shared" si="1"/>
        <v>1.6666666666666667</v>
      </c>
      <c r="N16" s="30">
        <f t="shared" ref="N16:T16" si="2">5/3</f>
        <v>1.6666666666666667</v>
      </c>
      <c r="O16" s="30">
        <f t="shared" si="2"/>
        <v>1.6666666666666667</v>
      </c>
      <c r="P16" s="30">
        <f t="shared" si="2"/>
        <v>1.6666666666666667</v>
      </c>
      <c r="Q16" s="30">
        <f t="shared" si="2"/>
        <v>1.6666666666666667</v>
      </c>
      <c r="R16" s="30">
        <f t="shared" si="2"/>
        <v>1.6666666666666667</v>
      </c>
      <c r="S16" s="30">
        <f t="shared" si="2"/>
        <v>1.6666666666666667</v>
      </c>
      <c r="T16" s="30">
        <f t="shared" si="2"/>
        <v>1.6666666666666667</v>
      </c>
      <c r="U16" s="30">
        <f t="shared" ref="U16:W16" si="3">5/3</f>
        <v>1.6666666666666667</v>
      </c>
      <c r="V16" s="30">
        <f t="shared" si="3"/>
        <v>1.6666666666666667</v>
      </c>
      <c r="W16" s="30">
        <f t="shared" si="3"/>
        <v>1.6666666666666667</v>
      </c>
      <c r="X16" s="30">
        <f t="shared" ref="X16:AD16" si="4">5/3</f>
        <v>1.6666666666666667</v>
      </c>
      <c r="Y16" s="30">
        <f t="shared" si="4"/>
        <v>1.6666666666666667</v>
      </c>
      <c r="Z16" s="30">
        <f t="shared" si="4"/>
        <v>1.6666666666666667</v>
      </c>
      <c r="AA16" s="30">
        <f t="shared" si="4"/>
        <v>1.6666666666666667</v>
      </c>
      <c r="AB16" s="30">
        <f t="shared" si="4"/>
        <v>1.6666666666666667</v>
      </c>
      <c r="AC16" s="30">
        <f>AVERAGE(5/3,0.75)</f>
        <v>1.2083333333333335</v>
      </c>
      <c r="AD16" s="30">
        <f t="shared" si="4"/>
        <v>1.6666666666666667</v>
      </c>
      <c r="AE16" s="30">
        <f>AVERAGE(5/3,0.75)</f>
        <v>1.2083333333333335</v>
      </c>
      <c r="AF16" s="30">
        <f t="shared" ref="AF16:AH16" si="5">5/3</f>
        <v>1.6666666666666667</v>
      </c>
      <c r="AG16" s="30">
        <f t="shared" si="5"/>
        <v>1.6666666666666667</v>
      </c>
      <c r="AH16" s="30">
        <f t="shared" si="5"/>
        <v>1.6666666666666667</v>
      </c>
      <c r="AJ16" s="30">
        <f>4/3</f>
        <v>1.3333333333333333</v>
      </c>
    </row>
    <row r="17" spans="1:36" x14ac:dyDescent="0.25">
      <c r="A17" s="26" t="s">
        <v>177</v>
      </c>
      <c r="B17" s="28" t="s">
        <v>178</v>
      </c>
      <c r="C17" s="28" t="s">
        <v>178</v>
      </c>
      <c r="D17" s="28" t="s">
        <v>178</v>
      </c>
      <c r="E17" s="28" t="s">
        <v>178</v>
      </c>
      <c r="F17" s="28" t="s">
        <v>178</v>
      </c>
      <c r="G17" s="28" t="s">
        <v>178</v>
      </c>
      <c r="H17" s="28" t="s">
        <v>178</v>
      </c>
      <c r="I17" s="28" t="s">
        <v>178</v>
      </c>
      <c r="J17" s="28" t="s">
        <v>178</v>
      </c>
      <c r="K17" s="28" t="s">
        <v>178</v>
      </c>
      <c r="L17" s="28" t="s">
        <v>178</v>
      </c>
      <c r="M17" s="28" t="s">
        <v>178</v>
      </c>
      <c r="N17" s="28" t="s">
        <v>178</v>
      </c>
      <c r="O17" s="28" t="s">
        <v>178</v>
      </c>
      <c r="P17" s="28" t="s">
        <v>178</v>
      </c>
      <c r="Q17" s="28" t="s">
        <v>178</v>
      </c>
      <c r="R17" s="28" t="s">
        <v>178</v>
      </c>
      <c r="S17" s="28" t="s">
        <v>178</v>
      </c>
      <c r="T17" s="28" t="s">
        <v>178</v>
      </c>
      <c r="U17" s="28" t="s">
        <v>178</v>
      </c>
      <c r="V17" s="28" t="s">
        <v>178</v>
      </c>
      <c r="W17" s="28" t="s">
        <v>178</v>
      </c>
      <c r="X17" s="28" t="s">
        <v>178</v>
      </c>
      <c r="Y17" s="28" t="s">
        <v>178</v>
      </c>
      <c r="Z17" s="28" t="s">
        <v>178</v>
      </c>
      <c r="AA17" s="28" t="s">
        <v>178</v>
      </c>
      <c r="AB17" s="28" t="s">
        <v>178</v>
      </c>
      <c r="AC17" s="28" t="s">
        <v>228</v>
      </c>
      <c r="AD17" s="28" t="s">
        <v>178</v>
      </c>
      <c r="AE17" s="28" t="s">
        <v>228</v>
      </c>
      <c r="AF17" s="28" t="s">
        <v>178</v>
      </c>
      <c r="AG17" s="28" t="s">
        <v>178</v>
      </c>
      <c r="AH17" s="28" t="s">
        <v>178</v>
      </c>
      <c r="AJ17" s="28" t="s">
        <v>200</v>
      </c>
    </row>
    <row r="18" spans="1:36" x14ac:dyDescent="0.25">
      <c r="A18" s="26" t="s">
        <v>182</v>
      </c>
      <c r="B18" s="30">
        <v>4</v>
      </c>
      <c r="C18" s="30">
        <v>4</v>
      </c>
      <c r="D18" s="30">
        <v>4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30">
        <v>4</v>
      </c>
      <c r="S18" s="30">
        <v>4</v>
      </c>
      <c r="T18" s="30">
        <v>4</v>
      </c>
      <c r="U18" s="30">
        <v>4</v>
      </c>
      <c r="V18" s="30">
        <v>4</v>
      </c>
      <c r="W18" s="30">
        <v>4</v>
      </c>
      <c r="X18" s="30">
        <v>4</v>
      </c>
      <c r="Y18" s="30">
        <v>4</v>
      </c>
      <c r="Z18" s="30">
        <v>4</v>
      </c>
      <c r="AA18" s="30">
        <v>4</v>
      </c>
      <c r="AB18" s="30">
        <v>4</v>
      </c>
      <c r="AC18" s="30">
        <f>AVERAGE(4,0.875)</f>
        <v>2.4375</v>
      </c>
      <c r="AD18" s="30">
        <v>4</v>
      </c>
      <c r="AE18" s="30">
        <f>AVERAGE(4,0.875)</f>
        <v>2.4375</v>
      </c>
      <c r="AF18" s="30">
        <v>4</v>
      </c>
      <c r="AG18" s="30">
        <v>4</v>
      </c>
      <c r="AH18" s="30">
        <v>4</v>
      </c>
      <c r="AJ18" s="30">
        <v>3</v>
      </c>
    </row>
    <row r="19" spans="1:36" x14ac:dyDescent="0.25">
      <c r="Q19" s="78" t="s">
        <v>241</v>
      </c>
      <c r="AJ19" s="78" t="s">
        <v>242</v>
      </c>
    </row>
    <row r="20" spans="1:36" x14ac:dyDescent="0.25">
      <c r="A20" s="31" t="s">
        <v>183</v>
      </c>
    </row>
    <row r="21" spans="1:36" x14ac:dyDescent="0.25">
      <c r="A21" s="26" t="s">
        <v>243</v>
      </c>
      <c r="B21" s="56" t="s">
        <v>234</v>
      </c>
    </row>
    <row r="22" spans="1:36" x14ac:dyDescent="0.25">
      <c r="A22" s="26" t="s">
        <v>244</v>
      </c>
      <c r="B22" s="56" t="s">
        <v>206</v>
      </c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DDAFF-C709-4267-AF25-EC0418ACAC06}">
  <dimension ref="A1:AH30"/>
  <sheetViews>
    <sheetView workbookViewId="0">
      <selection activeCell="Y9" sqref="Y9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117</v>
      </c>
      <c r="I1" s="25" t="s">
        <v>118</v>
      </c>
    </row>
    <row r="3" spans="1:34" ht="18" x14ac:dyDescent="0.25">
      <c r="A3" s="25" t="s">
        <v>119</v>
      </c>
      <c r="B3" s="215">
        <v>7</v>
      </c>
      <c r="C3" s="215"/>
      <c r="D3" s="215"/>
      <c r="E3" s="25"/>
      <c r="F3" s="234" t="s">
        <v>120</v>
      </c>
      <c r="G3" s="234"/>
      <c r="H3" s="234"/>
      <c r="I3" s="234"/>
      <c r="J3" s="234"/>
      <c r="K3" s="234"/>
      <c r="L3" s="234"/>
      <c r="M3" s="234"/>
      <c r="N3" s="234"/>
      <c r="O3" s="234"/>
    </row>
    <row r="4" spans="1:34" ht="18" x14ac:dyDescent="0.25">
      <c r="A4" s="25" t="s">
        <v>121</v>
      </c>
      <c r="B4" s="215" t="s">
        <v>245</v>
      </c>
      <c r="C4" s="215"/>
      <c r="D4" s="215"/>
      <c r="F4" s="216" t="s">
        <v>246</v>
      </c>
      <c r="G4" s="217"/>
      <c r="H4" s="217"/>
      <c r="I4" s="217"/>
      <c r="J4" s="217"/>
      <c r="K4" s="217"/>
      <c r="L4" s="217"/>
      <c r="M4" s="217"/>
      <c r="N4" s="217"/>
      <c r="O4" s="217"/>
      <c r="P4" s="218"/>
    </row>
    <row r="5" spans="1:34" ht="18" x14ac:dyDescent="0.25">
      <c r="A5" s="25" t="s">
        <v>124</v>
      </c>
      <c r="B5" s="215" t="s">
        <v>187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0"/>
      <c r="P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ht="15.75" customHeight="1" x14ac:dyDescent="0.25">
      <c r="A8" s="26" t="s">
        <v>159</v>
      </c>
      <c r="B8" s="28" t="s">
        <v>247</v>
      </c>
      <c r="C8" s="28" t="s">
        <v>248</v>
      </c>
      <c r="D8" s="28" t="s">
        <v>248</v>
      </c>
      <c r="E8" s="28" t="s">
        <v>248</v>
      </c>
      <c r="F8" s="28" t="s">
        <v>248</v>
      </c>
      <c r="G8" s="28" t="s">
        <v>248</v>
      </c>
      <c r="H8" s="28" t="s">
        <v>248</v>
      </c>
      <c r="I8" s="28" t="s">
        <v>248</v>
      </c>
      <c r="J8" s="29" t="s">
        <v>248</v>
      </c>
      <c r="K8" s="28" t="s">
        <v>248</v>
      </c>
      <c r="L8" s="28" t="s">
        <v>248</v>
      </c>
      <c r="M8" s="28" t="s">
        <v>248</v>
      </c>
      <c r="N8" s="29" t="s">
        <v>248</v>
      </c>
      <c r="O8" s="29" t="s">
        <v>248</v>
      </c>
      <c r="P8" s="28" t="s">
        <v>248</v>
      </c>
      <c r="Q8" s="28" t="s">
        <v>248</v>
      </c>
      <c r="R8" s="28" t="s">
        <v>248</v>
      </c>
      <c r="S8" s="28" t="s">
        <v>248</v>
      </c>
      <c r="T8" s="169" t="s">
        <v>249</v>
      </c>
      <c r="U8" s="29" t="s">
        <v>250</v>
      </c>
      <c r="V8" s="29" t="s">
        <v>251</v>
      </c>
      <c r="W8" s="29" t="s">
        <v>248</v>
      </c>
      <c r="X8" s="29" t="s">
        <v>252</v>
      </c>
      <c r="Y8" s="28" t="s">
        <v>248</v>
      </c>
      <c r="Z8" s="29"/>
      <c r="AA8" s="28" t="s">
        <v>248</v>
      </c>
      <c r="AB8" s="29"/>
      <c r="AC8" s="28" t="s">
        <v>248</v>
      </c>
      <c r="AD8" s="29"/>
      <c r="AE8" s="28" t="s">
        <v>248</v>
      </c>
      <c r="AF8" s="29" t="s">
        <v>253</v>
      </c>
      <c r="AG8" s="29" t="s">
        <v>193</v>
      </c>
      <c r="AH8" s="28" t="s">
        <v>248</v>
      </c>
    </row>
    <row r="9" spans="1:34" ht="15.75" customHeight="1" x14ac:dyDescent="0.25">
      <c r="A9" s="26" t="s">
        <v>165</v>
      </c>
      <c r="B9" s="28" t="s">
        <v>254</v>
      </c>
      <c r="C9" s="113" t="s">
        <v>255</v>
      </c>
      <c r="D9" s="28" t="s">
        <v>256</v>
      </c>
      <c r="E9" s="28" t="s">
        <v>257</v>
      </c>
      <c r="F9" s="28" t="s">
        <v>258</v>
      </c>
      <c r="G9" s="28" t="s">
        <v>258</v>
      </c>
      <c r="H9" s="28" t="s">
        <v>259</v>
      </c>
      <c r="I9" s="28" t="s">
        <v>256</v>
      </c>
      <c r="J9" s="28" t="s">
        <v>258</v>
      </c>
      <c r="K9" s="28" t="s">
        <v>260</v>
      </c>
      <c r="L9" s="28" t="s">
        <v>260</v>
      </c>
      <c r="M9" s="28" t="s">
        <v>260</v>
      </c>
      <c r="N9" s="28" t="s">
        <v>260</v>
      </c>
      <c r="O9" s="28" t="s">
        <v>260</v>
      </c>
      <c r="P9" s="28" t="s">
        <v>261</v>
      </c>
      <c r="Q9" s="28" t="s">
        <v>261</v>
      </c>
      <c r="R9" s="28" t="s">
        <v>261</v>
      </c>
      <c r="S9" s="86" t="s">
        <v>261</v>
      </c>
      <c r="T9" s="113" t="s">
        <v>262</v>
      </c>
      <c r="U9" s="83" t="s">
        <v>263</v>
      </c>
      <c r="V9" s="28" t="s">
        <v>197</v>
      </c>
      <c r="W9" s="184" t="s">
        <v>264</v>
      </c>
      <c r="X9" s="28" t="s">
        <v>254</v>
      </c>
      <c r="Y9" s="28" t="s">
        <v>197</v>
      </c>
      <c r="Z9" s="29"/>
      <c r="AA9" s="28" t="s">
        <v>197</v>
      </c>
      <c r="AB9" s="29"/>
      <c r="AC9" s="28" t="s">
        <v>197</v>
      </c>
      <c r="AD9" s="29"/>
      <c r="AE9" s="28" t="s">
        <v>197</v>
      </c>
      <c r="AF9" s="29" t="s">
        <v>265</v>
      </c>
      <c r="AG9" s="29" t="s">
        <v>196</v>
      </c>
      <c r="AH9" s="28" t="s">
        <v>197</v>
      </c>
    </row>
    <row r="10" spans="1:34" x14ac:dyDescent="0.25">
      <c r="A10" s="131" t="s">
        <v>168</v>
      </c>
      <c r="B10" s="157">
        <v>19</v>
      </c>
      <c r="C10" s="157">
        <v>120</v>
      </c>
      <c r="D10" s="157">
        <v>50</v>
      </c>
      <c r="E10" s="157">
        <v>102</v>
      </c>
      <c r="F10" s="157">
        <v>44</v>
      </c>
      <c r="G10" s="157">
        <v>44</v>
      </c>
      <c r="H10" s="157">
        <v>46</v>
      </c>
      <c r="I10" s="157">
        <v>50</v>
      </c>
      <c r="J10" s="157">
        <v>44</v>
      </c>
      <c r="K10" s="157">
        <v>52</v>
      </c>
      <c r="L10" s="157">
        <v>52</v>
      </c>
      <c r="M10" s="157">
        <v>52</v>
      </c>
      <c r="N10" s="157">
        <v>52</v>
      </c>
      <c r="O10" s="157">
        <v>52</v>
      </c>
      <c r="P10" s="157">
        <v>48</v>
      </c>
      <c r="Q10" s="157">
        <v>48</v>
      </c>
      <c r="R10" s="157">
        <v>48</v>
      </c>
      <c r="S10" s="157">
        <v>48</v>
      </c>
      <c r="T10" s="132">
        <v>274</v>
      </c>
      <c r="U10" s="157">
        <v>103</v>
      </c>
      <c r="V10" s="157">
        <v>34</v>
      </c>
      <c r="W10" s="132"/>
      <c r="X10" s="157">
        <v>19</v>
      </c>
      <c r="Y10" s="157">
        <v>34</v>
      </c>
      <c r="Z10" s="132"/>
      <c r="AA10" s="157">
        <v>34</v>
      </c>
      <c r="AB10" s="132"/>
      <c r="AC10" s="157">
        <v>34</v>
      </c>
      <c r="AD10" s="132"/>
      <c r="AE10" s="157">
        <v>34</v>
      </c>
      <c r="AF10" s="132">
        <v>104</v>
      </c>
      <c r="AG10" s="132">
        <v>26</v>
      </c>
      <c r="AH10" s="157">
        <v>34</v>
      </c>
    </row>
    <row r="11" spans="1:34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28" t="s">
        <v>170</v>
      </c>
      <c r="O11" s="28" t="s">
        <v>170</v>
      </c>
      <c r="P11" s="28" t="s">
        <v>170</v>
      </c>
      <c r="Q11" s="28" t="s">
        <v>170</v>
      </c>
      <c r="R11" s="28" t="s">
        <v>170</v>
      </c>
      <c r="S11" s="28" t="s">
        <v>170</v>
      </c>
      <c r="T11" s="28" t="s">
        <v>170</v>
      </c>
      <c r="U11" s="28" t="s">
        <v>170</v>
      </c>
      <c r="V11" s="28" t="s">
        <v>170</v>
      </c>
      <c r="W11" s="28"/>
      <c r="X11" s="28" t="s">
        <v>170</v>
      </c>
      <c r="Y11" s="28" t="s">
        <v>170</v>
      </c>
      <c r="Z11" s="28"/>
      <c r="AA11" s="28" t="s">
        <v>170</v>
      </c>
      <c r="AB11" s="28"/>
      <c r="AC11" s="28" t="s">
        <v>170</v>
      </c>
      <c r="AD11" s="28"/>
      <c r="AE11" s="28" t="s">
        <v>170</v>
      </c>
      <c r="AF11" s="28" t="s">
        <v>170</v>
      </c>
      <c r="AG11" s="28" t="s">
        <v>170</v>
      </c>
      <c r="AH11" s="28" t="s">
        <v>170</v>
      </c>
    </row>
    <row r="12" spans="1:34" x14ac:dyDescent="0.25">
      <c r="A12" s="26" t="s">
        <v>171</v>
      </c>
      <c r="B12" s="28" t="s">
        <v>173</v>
      </c>
      <c r="C12" s="28" t="s">
        <v>173</v>
      </c>
      <c r="D12" s="28" t="s">
        <v>173</v>
      </c>
      <c r="E12" s="28" t="s">
        <v>173</v>
      </c>
      <c r="F12" s="28" t="s">
        <v>173</v>
      </c>
      <c r="G12" s="28" t="s">
        <v>173</v>
      </c>
      <c r="H12" s="28" t="s">
        <v>173</v>
      </c>
      <c r="I12" s="28" t="s">
        <v>173</v>
      </c>
      <c r="J12" s="28" t="s">
        <v>173</v>
      </c>
      <c r="K12" s="28" t="s">
        <v>173</v>
      </c>
      <c r="L12" s="28" t="s">
        <v>173</v>
      </c>
      <c r="M12" s="28" t="s">
        <v>173</v>
      </c>
      <c r="N12" s="28" t="s">
        <v>173</v>
      </c>
      <c r="O12" s="28" t="s">
        <v>173</v>
      </c>
      <c r="P12" s="28" t="s">
        <v>173</v>
      </c>
      <c r="Q12" s="28" t="s">
        <v>173</v>
      </c>
      <c r="R12" s="28" t="s">
        <v>173</v>
      </c>
      <c r="S12" s="28" t="s">
        <v>173</v>
      </c>
      <c r="T12" s="28" t="s">
        <v>173</v>
      </c>
      <c r="U12" s="28" t="s">
        <v>173</v>
      </c>
      <c r="V12" s="28" t="s">
        <v>173</v>
      </c>
      <c r="W12" s="28"/>
      <c r="X12" s="28" t="s">
        <v>173</v>
      </c>
      <c r="Y12" s="28" t="s">
        <v>173</v>
      </c>
      <c r="Z12" s="28"/>
      <c r="AA12" s="28" t="s">
        <v>173</v>
      </c>
      <c r="AB12" s="28"/>
      <c r="AC12" s="28" t="s">
        <v>173</v>
      </c>
      <c r="AD12" s="28"/>
      <c r="AE12" s="28" t="s">
        <v>173</v>
      </c>
      <c r="AF12" s="28" t="s">
        <v>173</v>
      </c>
      <c r="AG12" s="28" t="s">
        <v>173</v>
      </c>
      <c r="AH12" s="28" t="s">
        <v>173</v>
      </c>
    </row>
    <row r="13" spans="1:34" x14ac:dyDescent="0.25">
      <c r="A13" s="26" t="s">
        <v>172</v>
      </c>
      <c r="B13" s="28" t="s">
        <v>173</v>
      </c>
      <c r="C13" s="28" t="s">
        <v>170</v>
      </c>
      <c r="D13" s="28" t="s">
        <v>170</v>
      </c>
      <c r="E13" s="130" t="s">
        <v>266</v>
      </c>
      <c r="F13" s="28" t="s">
        <v>173</v>
      </c>
      <c r="G13" s="28" t="s">
        <v>173</v>
      </c>
      <c r="H13" s="28" t="s">
        <v>170</v>
      </c>
      <c r="I13" s="28" t="s">
        <v>170</v>
      </c>
      <c r="J13" s="28" t="s">
        <v>173</v>
      </c>
      <c r="K13" s="28" t="s">
        <v>170</v>
      </c>
      <c r="L13" s="28" t="s">
        <v>170</v>
      </c>
      <c r="M13" s="28" t="s">
        <v>170</v>
      </c>
      <c r="N13" s="28" t="s">
        <v>170</v>
      </c>
      <c r="O13" s="28" t="s">
        <v>170</v>
      </c>
      <c r="P13" s="28" t="s">
        <v>170</v>
      </c>
      <c r="Q13" s="28" t="s">
        <v>170</v>
      </c>
      <c r="R13" s="28" t="s">
        <v>170</v>
      </c>
      <c r="S13" s="28" t="s">
        <v>170</v>
      </c>
      <c r="T13" s="28" t="s">
        <v>170</v>
      </c>
      <c r="U13" s="28" t="s">
        <v>170</v>
      </c>
      <c r="V13" s="28" t="s">
        <v>170</v>
      </c>
      <c r="W13" s="28"/>
      <c r="X13" s="28" t="s">
        <v>173</v>
      </c>
      <c r="Y13" s="28" t="s">
        <v>170</v>
      </c>
      <c r="Z13" s="28"/>
      <c r="AA13" s="28" t="s">
        <v>170</v>
      </c>
      <c r="AB13" s="28"/>
      <c r="AC13" s="28" t="s">
        <v>170</v>
      </c>
      <c r="AD13" s="28"/>
      <c r="AE13" s="28" t="s">
        <v>170</v>
      </c>
      <c r="AF13" s="130" t="s">
        <v>266</v>
      </c>
      <c r="AG13" s="28" t="s">
        <v>170</v>
      </c>
      <c r="AH13" s="28" t="s">
        <v>170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 t="s">
        <v>173</v>
      </c>
      <c r="V14" s="28" t="s">
        <v>173</v>
      </c>
      <c r="W14" s="28"/>
      <c r="X14" s="28" t="s">
        <v>173</v>
      </c>
      <c r="Y14" s="28" t="s">
        <v>173</v>
      </c>
      <c r="Z14" s="28"/>
      <c r="AA14" s="28" t="s">
        <v>173</v>
      </c>
      <c r="AB14" s="28"/>
      <c r="AC14" s="28" t="s">
        <v>173</v>
      </c>
      <c r="AD14" s="28"/>
      <c r="AE14" s="28" t="s">
        <v>173</v>
      </c>
      <c r="AF14" s="28" t="s">
        <v>173</v>
      </c>
      <c r="AG14" s="28" t="s">
        <v>173</v>
      </c>
      <c r="AH14" s="28" t="s">
        <v>173</v>
      </c>
    </row>
    <row r="15" spans="1:34" x14ac:dyDescent="0.25">
      <c r="A15" s="26" t="s">
        <v>175</v>
      </c>
      <c r="B15" s="28" t="s">
        <v>267</v>
      </c>
      <c r="C15" s="28" t="s">
        <v>198</v>
      </c>
      <c r="D15" s="28" t="s">
        <v>198</v>
      </c>
      <c r="E15" s="28" t="s">
        <v>198</v>
      </c>
      <c r="F15" s="28" t="s">
        <v>198</v>
      </c>
      <c r="G15" s="28" t="s">
        <v>198</v>
      </c>
      <c r="H15" s="28" t="s">
        <v>198</v>
      </c>
      <c r="I15" s="28" t="s">
        <v>198</v>
      </c>
      <c r="J15" s="28" t="s">
        <v>198</v>
      </c>
      <c r="K15" s="28" t="s">
        <v>198</v>
      </c>
      <c r="L15" s="28" t="s">
        <v>198</v>
      </c>
      <c r="M15" s="28" t="s">
        <v>198</v>
      </c>
      <c r="N15" s="28" t="s">
        <v>198</v>
      </c>
      <c r="O15" s="28" t="s">
        <v>198</v>
      </c>
      <c r="P15" s="28" t="s">
        <v>198</v>
      </c>
      <c r="Q15" s="28" t="s">
        <v>198</v>
      </c>
      <c r="R15" s="28" t="s">
        <v>198</v>
      </c>
      <c r="S15" s="28" t="s">
        <v>198</v>
      </c>
      <c r="T15" s="28" t="s">
        <v>198</v>
      </c>
      <c r="U15" s="28" t="s">
        <v>268</v>
      </c>
      <c r="V15" s="28" t="s">
        <v>199</v>
      </c>
      <c r="W15" s="28"/>
      <c r="X15" s="28" t="s">
        <v>267</v>
      </c>
      <c r="Y15" s="28" t="s">
        <v>199</v>
      </c>
      <c r="Z15" s="28"/>
      <c r="AA15" s="28" t="s">
        <v>199</v>
      </c>
      <c r="AB15" s="28"/>
      <c r="AC15" s="28" t="s">
        <v>199</v>
      </c>
      <c r="AD15" s="28"/>
      <c r="AE15" s="28" t="s">
        <v>199</v>
      </c>
      <c r="AF15" s="28" t="s">
        <v>198</v>
      </c>
      <c r="AG15" s="28" t="s">
        <v>198</v>
      </c>
      <c r="AH15" s="28" t="s">
        <v>199</v>
      </c>
    </row>
    <row r="16" spans="1:34" x14ac:dyDescent="0.25">
      <c r="A16" s="26" t="s">
        <v>176</v>
      </c>
      <c r="B16" s="30">
        <v>-3</v>
      </c>
      <c r="C16" s="30">
        <f>13/12</f>
        <v>1.0833333333333333</v>
      </c>
      <c r="D16" s="30">
        <v>1</v>
      </c>
      <c r="E16" s="30">
        <f>AVERAGE(2,2,1)</f>
        <v>1.6666666666666667</v>
      </c>
      <c r="F16" s="30">
        <v>2</v>
      </c>
      <c r="G16" s="30">
        <v>2</v>
      </c>
      <c r="H16" s="30">
        <f>5/3</f>
        <v>1.6666666666666667</v>
      </c>
      <c r="I16" s="30">
        <v>1</v>
      </c>
      <c r="J16" s="30">
        <v>2</v>
      </c>
      <c r="K16" s="30">
        <v>0.5</v>
      </c>
      <c r="L16" s="30">
        <v>0.5</v>
      </c>
      <c r="M16" s="30">
        <v>0.5</v>
      </c>
      <c r="N16" s="30">
        <v>0.5</v>
      </c>
      <c r="O16" s="30">
        <v>0.5</v>
      </c>
      <c r="P16" s="30">
        <f>4/3</f>
        <v>1.3333333333333333</v>
      </c>
      <c r="Q16" s="30">
        <f>4/3</f>
        <v>1.3333333333333333</v>
      </c>
      <c r="R16" s="30">
        <f t="shared" ref="R16:S16" si="0">4/3</f>
        <v>1.3333333333333333</v>
      </c>
      <c r="S16" s="30">
        <f t="shared" si="0"/>
        <v>1.3333333333333333</v>
      </c>
      <c r="T16" s="30">
        <v>1</v>
      </c>
      <c r="U16" s="30">
        <f>AVERAGE(-0.5,0.5)</f>
        <v>0</v>
      </c>
      <c r="V16" s="30">
        <v>-0.5</v>
      </c>
      <c r="W16" s="30"/>
      <c r="X16" s="30">
        <v>-3</v>
      </c>
      <c r="Y16" s="30">
        <v>-0.5</v>
      </c>
      <c r="Z16" s="30"/>
      <c r="AA16" s="30">
        <v>-0.5</v>
      </c>
      <c r="AB16" s="30"/>
      <c r="AC16" s="30">
        <v>-0.5</v>
      </c>
      <c r="AD16" s="30"/>
      <c r="AE16" s="30">
        <v>-0.5</v>
      </c>
      <c r="AF16" s="30">
        <f>AVERAGE(0.5,2)</f>
        <v>1.25</v>
      </c>
      <c r="AG16" s="30">
        <f>4/3</f>
        <v>1.3333333333333333</v>
      </c>
      <c r="AH16" s="30">
        <v>-0.5</v>
      </c>
    </row>
    <row r="17" spans="1:34" x14ac:dyDescent="0.25">
      <c r="A17" s="26" t="s">
        <v>177</v>
      </c>
      <c r="B17" s="28" t="s">
        <v>178</v>
      </c>
      <c r="C17" s="28" t="s">
        <v>181</v>
      </c>
      <c r="D17" s="28" t="s">
        <v>181</v>
      </c>
      <c r="E17" s="28" t="s">
        <v>181</v>
      </c>
      <c r="F17" s="28" t="s">
        <v>181</v>
      </c>
      <c r="G17" s="28" t="s">
        <v>181</v>
      </c>
      <c r="H17" s="28" t="s">
        <v>181</v>
      </c>
      <c r="I17" s="28" t="s">
        <v>181</v>
      </c>
      <c r="J17" s="28" t="s">
        <v>181</v>
      </c>
      <c r="K17" s="28" t="s">
        <v>181</v>
      </c>
      <c r="L17" s="28" t="s">
        <v>181</v>
      </c>
      <c r="M17" s="28" t="s">
        <v>181</v>
      </c>
      <c r="N17" s="28" t="s">
        <v>181</v>
      </c>
      <c r="O17" s="28" t="s">
        <v>181</v>
      </c>
      <c r="P17" s="28" t="s">
        <v>181</v>
      </c>
      <c r="Q17" s="28" t="s">
        <v>181</v>
      </c>
      <c r="R17" s="28" t="s">
        <v>181</v>
      </c>
      <c r="S17" s="28" t="s">
        <v>181</v>
      </c>
      <c r="T17" s="113" t="s">
        <v>269</v>
      </c>
      <c r="U17" s="28" t="s">
        <v>181</v>
      </c>
      <c r="V17" s="28" t="s">
        <v>200</v>
      </c>
      <c r="W17" s="28"/>
      <c r="X17" s="28" t="s">
        <v>178</v>
      </c>
      <c r="Y17" s="28" t="s">
        <v>200</v>
      </c>
      <c r="Z17" s="28"/>
      <c r="AA17" s="28" t="s">
        <v>200</v>
      </c>
      <c r="AB17" s="28"/>
      <c r="AC17" s="28" t="s">
        <v>200</v>
      </c>
      <c r="AD17" s="28"/>
      <c r="AE17" s="28" t="s">
        <v>200</v>
      </c>
      <c r="AF17" s="28" t="s">
        <v>181</v>
      </c>
      <c r="AG17" s="28" t="s">
        <v>200</v>
      </c>
      <c r="AH17" s="28" t="s">
        <v>200</v>
      </c>
    </row>
    <row r="18" spans="1:34" x14ac:dyDescent="0.25">
      <c r="A18" s="26" t="s">
        <v>182</v>
      </c>
      <c r="B18" s="30">
        <v>4</v>
      </c>
      <c r="C18" s="30">
        <v>2</v>
      </c>
      <c r="D18" s="30">
        <v>2</v>
      </c>
      <c r="E18" s="30">
        <v>2</v>
      </c>
      <c r="F18" s="30">
        <v>2</v>
      </c>
      <c r="G18" s="30">
        <v>2</v>
      </c>
      <c r="H18" s="30">
        <v>2</v>
      </c>
      <c r="I18" s="30">
        <v>2</v>
      </c>
      <c r="J18" s="30">
        <v>2</v>
      </c>
      <c r="K18" s="30">
        <v>2</v>
      </c>
      <c r="L18" s="30">
        <v>2</v>
      </c>
      <c r="M18" s="30">
        <v>2</v>
      </c>
      <c r="N18" s="30">
        <v>2</v>
      </c>
      <c r="O18" s="30">
        <v>2</v>
      </c>
      <c r="P18" s="30">
        <v>2</v>
      </c>
      <c r="Q18" s="30">
        <v>2</v>
      </c>
      <c r="R18" s="30">
        <v>2</v>
      </c>
      <c r="S18" s="30">
        <v>2</v>
      </c>
      <c r="T18" s="30">
        <f>AVERAGE(2,2,3)</f>
        <v>2.3333333333333335</v>
      </c>
      <c r="U18" s="30">
        <v>2</v>
      </c>
      <c r="V18" s="30">
        <v>3</v>
      </c>
      <c r="W18" s="30"/>
      <c r="X18" s="30">
        <v>4</v>
      </c>
      <c r="Y18" s="30">
        <v>3</v>
      </c>
      <c r="Z18" s="30"/>
      <c r="AA18" s="30">
        <v>3</v>
      </c>
      <c r="AB18" s="30"/>
      <c r="AC18" s="30">
        <v>3</v>
      </c>
      <c r="AD18" s="30"/>
      <c r="AE18" s="30">
        <v>3</v>
      </c>
      <c r="AF18" s="30">
        <v>2</v>
      </c>
      <c r="AG18" s="30">
        <v>3</v>
      </c>
      <c r="AH18" s="30">
        <v>3</v>
      </c>
    </row>
    <row r="20" spans="1:34" x14ac:dyDescent="0.25">
      <c r="A20" s="31" t="s">
        <v>183</v>
      </c>
    </row>
    <row r="21" spans="1:34" x14ac:dyDescent="0.25">
      <c r="A21" s="235" t="s">
        <v>270</v>
      </c>
      <c r="B21" s="96" t="s">
        <v>271</v>
      </c>
    </row>
    <row r="22" spans="1:34" x14ac:dyDescent="0.25">
      <c r="A22" s="235"/>
      <c r="B22" s="96" t="s">
        <v>272</v>
      </c>
    </row>
    <row r="23" spans="1:34" x14ac:dyDescent="0.25">
      <c r="A23" s="235"/>
      <c r="B23" s="96" t="s">
        <v>273</v>
      </c>
    </row>
    <row r="24" spans="1:34" x14ac:dyDescent="0.25">
      <c r="A24" s="235"/>
      <c r="B24" s="96" t="s">
        <v>274</v>
      </c>
    </row>
    <row r="25" spans="1:34" x14ac:dyDescent="0.25">
      <c r="A25" s="235"/>
      <c r="B25" s="96"/>
    </row>
    <row r="26" spans="1:34" x14ac:dyDescent="0.25">
      <c r="A26" s="235" t="s">
        <v>275</v>
      </c>
      <c r="B26" s="96" t="s">
        <v>276</v>
      </c>
    </row>
    <row r="27" spans="1:34" x14ac:dyDescent="0.25">
      <c r="A27" s="235"/>
      <c r="B27" s="96" t="s">
        <v>272</v>
      </c>
    </row>
    <row r="28" spans="1:34" x14ac:dyDescent="0.25">
      <c r="A28" s="235"/>
      <c r="B28" s="96" t="s">
        <v>273</v>
      </c>
    </row>
    <row r="29" spans="1:34" x14ac:dyDescent="0.25">
      <c r="A29" s="235"/>
      <c r="B29" s="96" t="s">
        <v>274</v>
      </c>
    </row>
    <row r="30" spans="1:34" x14ac:dyDescent="0.25">
      <c r="A30" s="235"/>
    </row>
  </sheetData>
  <mergeCells count="7">
    <mergeCell ref="F3:O3"/>
    <mergeCell ref="F4:P5"/>
    <mergeCell ref="A21:A25"/>
    <mergeCell ref="A26:A30"/>
    <mergeCell ref="B3:D3"/>
    <mergeCell ref="B4:D4"/>
    <mergeCell ref="B5:D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F9AD2-60CA-4E5B-A2E2-1C76B6B12EF2}">
  <dimension ref="A1:AH24"/>
  <sheetViews>
    <sheetView topLeftCell="Q1" workbookViewId="0">
      <selection activeCell="R9" sqref="R9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117</v>
      </c>
      <c r="I1" s="25" t="s">
        <v>118</v>
      </c>
    </row>
    <row r="3" spans="1:34" ht="18" x14ac:dyDescent="0.25">
      <c r="A3" s="25" t="s">
        <v>119</v>
      </c>
      <c r="B3" s="215">
        <v>8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245</v>
      </c>
      <c r="C4" s="215"/>
      <c r="D4" s="215"/>
      <c r="F4" s="216" t="s">
        <v>277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278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29" t="s">
        <v>247</v>
      </c>
      <c r="C8" s="29" t="s">
        <v>248</v>
      </c>
      <c r="D8" s="29" t="s">
        <v>248</v>
      </c>
      <c r="E8" s="29" t="s">
        <v>248</v>
      </c>
      <c r="F8" s="29" t="s">
        <v>248</v>
      </c>
      <c r="G8" s="29" t="s">
        <v>248</v>
      </c>
      <c r="H8" s="29" t="s">
        <v>248</v>
      </c>
      <c r="I8" s="29" t="s">
        <v>248</v>
      </c>
      <c r="J8" s="29" t="s">
        <v>248</v>
      </c>
      <c r="K8" s="29" t="s">
        <v>248</v>
      </c>
      <c r="L8" s="29" t="s">
        <v>248</v>
      </c>
      <c r="M8" s="29" t="s">
        <v>248</v>
      </c>
      <c r="N8" s="111" t="s">
        <v>279</v>
      </c>
      <c r="O8" s="29" t="s">
        <v>248</v>
      </c>
      <c r="P8" s="29" t="s">
        <v>252</v>
      </c>
      <c r="Q8" s="29" t="s">
        <v>252</v>
      </c>
      <c r="R8" s="29" t="s">
        <v>280</v>
      </c>
      <c r="S8" s="29" t="s">
        <v>252</v>
      </c>
      <c r="T8" s="29" t="s">
        <v>248</v>
      </c>
      <c r="U8" s="29" t="s">
        <v>248</v>
      </c>
      <c r="V8" s="29" t="s">
        <v>252</v>
      </c>
      <c r="W8" s="29" t="s">
        <v>281</v>
      </c>
      <c r="X8" s="29" t="s">
        <v>248</v>
      </c>
      <c r="Y8" s="29" t="s">
        <v>248</v>
      </c>
      <c r="Z8" s="29" t="s">
        <v>248</v>
      </c>
      <c r="AA8" s="29" t="s">
        <v>248</v>
      </c>
      <c r="AB8" s="29" t="s">
        <v>248</v>
      </c>
      <c r="AC8" s="29" t="s">
        <v>248</v>
      </c>
      <c r="AD8" s="29" t="s">
        <v>248</v>
      </c>
      <c r="AE8" s="29" t="s">
        <v>248</v>
      </c>
      <c r="AF8" s="29" t="s">
        <v>248</v>
      </c>
      <c r="AG8" s="29" t="s">
        <v>248</v>
      </c>
      <c r="AH8" s="29" t="s">
        <v>248</v>
      </c>
    </row>
    <row r="9" spans="1:34" x14ac:dyDescent="0.25">
      <c r="A9" s="26" t="s">
        <v>165</v>
      </c>
      <c r="B9" s="29" t="s">
        <v>254</v>
      </c>
      <c r="C9" s="29" t="s">
        <v>254</v>
      </c>
      <c r="D9" s="29" t="s">
        <v>254</v>
      </c>
      <c r="E9" s="29" t="s">
        <v>254</v>
      </c>
      <c r="F9" s="29" t="s">
        <v>254</v>
      </c>
      <c r="G9" s="29" t="s">
        <v>254</v>
      </c>
      <c r="H9" s="29" t="s">
        <v>254</v>
      </c>
      <c r="I9" s="29" t="s">
        <v>254</v>
      </c>
      <c r="J9" s="29" t="s">
        <v>254</v>
      </c>
      <c r="K9" s="29" t="s">
        <v>254</v>
      </c>
      <c r="L9" s="29" t="s">
        <v>254</v>
      </c>
      <c r="M9" s="29" t="s">
        <v>254</v>
      </c>
      <c r="N9" s="111" t="s">
        <v>282</v>
      </c>
      <c r="O9" s="29" t="s">
        <v>254</v>
      </c>
      <c r="P9" s="29" t="s">
        <v>283</v>
      </c>
      <c r="Q9" s="29" t="s">
        <v>283</v>
      </c>
      <c r="R9" s="29" t="s">
        <v>197</v>
      </c>
      <c r="S9" s="29" t="s">
        <v>284</v>
      </c>
      <c r="T9" s="29" t="s">
        <v>254</v>
      </c>
      <c r="U9" s="29" t="s">
        <v>254</v>
      </c>
      <c r="V9" s="29" t="s">
        <v>285</v>
      </c>
      <c r="W9" s="29" t="s">
        <v>286</v>
      </c>
      <c r="X9" s="29" t="s">
        <v>254</v>
      </c>
      <c r="Y9" s="29" t="s">
        <v>254</v>
      </c>
      <c r="Z9" s="29" t="s">
        <v>254</v>
      </c>
      <c r="AA9" s="29" t="s">
        <v>254</v>
      </c>
      <c r="AB9" s="29" t="s">
        <v>254</v>
      </c>
      <c r="AC9" s="29" t="s">
        <v>254</v>
      </c>
      <c r="AD9" s="29" t="s">
        <v>254</v>
      </c>
      <c r="AE9" s="29" t="s">
        <v>254</v>
      </c>
      <c r="AF9" s="29" t="s">
        <v>254</v>
      </c>
      <c r="AG9" s="29" t="s">
        <v>254</v>
      </c>
      <c r="AH9" s="29" t="s">
        <v>254</v>
      </c>
    </row>
    <row r="10" spans="1:34" x14ac:dyDescent="0.25">
      <c r="A10" s="131" t="s">
        <v>168</v>
      </c>
      <c r="B10" s="157">
        <v>19</v>
      </c>
      <c r="C10" s="157">
        <v>19</v>
      </c>
      <c r="D10" s="157">
        <v>19</v>
      </c>
      <c r="E10" s="157">
        <v>19</v>
      </c>
      <c r="F10" s="157">
        <v>19</v>
      </c>
      <c r="G10" s="157">
        <v>19</v>
      </c>
      <c r="H10" s="157">
        <v>19</v>
      </c>
      <c r="I10" s="157">
        <v>19</v>
      </c>
      <c r="J10" s="157">
        <v>19</v>
      </c>
      <c r="K10" s="157">
        <v>19</v>
      </c>
      <c r="L10" s="157">
        <v>19</v>
      </c>
      <c r="M10" s="157">
        <v>19</v>
      </c>
      <c r="N10" s="157">
        <v>105</v>
      </c>
      <c r="O10" s="157">
        <v>19</v>
      </c>
      <c r="P10" s="157">
        <v>56</v>
      </c>
      <c r="Q10" s="157">
        <v>56</v>
      </c>
      <c r="R10" s="132">
        <v>34</v>
      </c>
      <c r="S10" s="132">
        <v>106</v>
      </c>
      <c r="T10" s="157">
        <v>19</v>
      </c>
      <c r="U10" s="157">
        <v>19</v>
      </c>
      <c r="V10" s="132">
        <v>150</v>
      </c>
      <c r="W10" s="132">
        <v>152</v>
      </c>
      <c r="X10" s="157">
        <v>19</v>
      </c>
      <c r="Y10" s="157">
        <v>19</v>
      </c>
      <c r="Z10" s="157">
        <v>19</v>
      </c>
      <c r="AA10" s="157">
        <v>19</v>
      </c>
      <c r="AB10" s="157">
        <v>19</v>
      </c>
      <c r="AC10" s="157">
        <v>19</v>
      </c>
      <c r="AD10" s="157">
        <v>19</v>
      </c>
      <c r="AE10" s="157">
        <v>19</v>
      </c>
      <c r="AF10" s="157">
        <v>19</v>
      </c>
      <c r="AG10" s="157">
        <v>19</v>
      </c>
      <c r="AH10" s="157">
        <v>19</v>
      </c>
    </row>
    <row r="11" spans="1:34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28" t="s">
        <v>170</v>
      </c>
      <c r="O11" s="28" t="s">
        <v>170</v>
      </c>
      <c r="P11" s="28" t="s">
        <v>170</v>
      </c>
      <c r="Q11" s="28" t="s">
        <v>170</v>
      </c>
      <c r="R11" s="28" t="s">
        <v>170</v>
      </c>
      <c r="S11" s="28" t="s">
        <v>170</v>
      </c>
      <c r="T11" s="28" t="s">
        <v>170</v>
      </c>
      <c r="U11" s="28" t="s">
        <v>170</v>
      </c>
      <c r="V11" s="28" t="s">
        <v>170</v>
      </c>
      <c r="W11" s="28" t="s">
        <v>170</v>
      </c>
      <c r="X11" s="28" t="s">
        <v>170</v>
      </c>
      <c r="Y11" s="28" t="s">
        <v>170</v>
      </c>
      <c r="Z11" s="28" t="s">
        <v>170</v>
      </c>
      <c r="AA11" s="28" t="s">
        <v>170</v>
      </c>
      <c r="AB11" s="28" t="s">
        <v>170</v>
      </c>
      <c r="AC11" s="28" t="s">
        <v>170</v>
      </c>
      <c r="AD11" s="28" t="s">
        <v>170</v>
      </c>
      <c r="AE11" s="28" t="s">
        <v>170</v>
      </c>
      <c r="AF11" s="28" t="s">
        <v>170</v>
      </c>
      <c r="AG11" s="28" t="s">
        <v>170</v>
      </c>
      <c r="AH11" s="28" t="s">
        <v>170</v>
      </c>
    </row>
    <row r="12" spans="1:34" x14ac:dyDescent="0.25">
      <c r="A12" s="26" t="s">
        <v>171</v>
      </c>
      <c r="B12" s="28" t="s">
        <v>173</v>
      </c>
      <c r="C12" s="28" t="s">
        <v>173</v>
      </c>
      <c r="D12" s="28" t="s">
        <v>173</v>
      </c>
      <c r="E12" s="28" t="s">
        <v>173</v>
      </c>
      <c r="F12" s="28" t="s">
        <v>173</v>
      </c>
      <c r="G12" s="28" t="s">
        <v>173</v>
      </c>
      <c r="H12" s="28" t="s">
        <v>173</v>
      </c>
      <c r="I12" s="28" t="s">
        <v>173</v>
      </c>
      <c r="J12" s="28" t="s">
        <v>173</v>
      </c>
      <c r="K12" s="28" t="s">
        <v>173</v>
      </c>
      <c r="L12" s="28" t="s">
        <v>173</v>
      </c>
      <c r="M12" s="28" t="s">
        <v>173</v>
      </c>
      <c r="N12" s="28" t="s">
        <v>173</v>
      </c>
      <c r="O12" s="28" t="s">
        <v>173</v>
      </c>
      <c r="P12" s="28" t="s">
        <v>173</v>
      </c>
      <c r="Q12" s="28" t="s">
        <v>173</v>
      </c>
      <c r="R12" s="28" t="s">
        <v>173</v>
      </c>
      <c r="S12" s="87" t="s">
        <v>173</v>
      </c>
      <c r="T12" s="28" t="s">
        <v>173</v>
      </c>
      <c r="U12" s="28" t="s">
        <v>173</v>
      </c>
      <c r="V12" s="28" t="s">
        <v>173</v>
      </c>
      <c r="W12" s="28" t="s">
        <v>173</v>
      </c>
      <c r="X12" s="28" t="s">
        <v>173</v>
      </c>
      <c r="Y12" s="28" t="s">
        <v>173</v>
      </c>
      <c r="Z12" s="28" t="s">
        <v>173</v>
      </c>
      <c r="AA12" s="28" t="s">
        <v>173</v>
      </c>
      <c r="AB12" s="28" t="s">
        <v>173</v>
      </c>
      <c r="AC12" s="28" t="s">
        <v>173</v>
      </c>
      <c r="AD12" s="28" t="s">
        <v>173</v>
      </c>
      <c r="AE12" s="28" t="s">
        <v>173</v>
      </c>
      <c r="AF12" s="28" t="s">
        <v>173</v>
      </c>
      <c r="AG12" s="28" t="s">
        <v>173</v>
      </c>
      <c r="AH12" s="28" t="s">
        <v>173</v>
      </c>
    </row>
    <row r="13" spans="1:34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287</v>
      </c>
      <c r="O13" s="28" t="s">
        <v>173</v>
      </c>
      <c r="P13" s="28" t="s">
        <v>170</v>
      </c>
      <c r="Q13" s="28" t="s">
        <v>170</v>
      </c>
      <c r="R13" s="86" t="s">
        <v>170</v>
      </c>
      <c r="S13" s="116" t="s">
        <v>288</v>
      </c>
      <c r="T13" s="83" t="s">
        <v>173</v>
      </c>
      <c r="U13" s="28" t="s">
        <v>173</v>
      </c>
      <c r="V13" s="28" t="s">
        <v>173</v>
      </c>
      <c r="W13" s="28" t="s">
        <v>287</v>
      </c>
      <c r="X13" s="28" t="s">
        <v>173</v>
      </c>
      <c r="Y13" s="28" t="s">
        <v>173</v>
      </c>
      <c r="Z13" s="28" t="s">
        <v>173</v>
      </c>
      <c r="AA13" s="28" t="s">
        <v>173</v>
      </c>
      <c r="AB13" s="28" t="s">
        <v>173</v>
      </c>
      <c r="AC13" s="28" t="s">
        <v>173</v>
      </c>
      <c r="AD13" s="28" t="s">
        <v>173</v>
      </c>
      <c r="AE13" s="28" t="s">
        <v>173</v>
      </c>
      <c r="AF13" s="28" t="s">
        <v>173</v>
      </c>
      <c r="AG13" s="28" t="s">
        <v>173</v>
      </c>
      <c r="AH13" s="28" t="s">
        <v>173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9" t="s">
        <v>173</v>
      </c>
      <c r="T14" s="28" t="s">
        <v>173</v>
      </c>
      <c r="U14" s="28" t="s">
        <v>173</v>
      </c>
      <c r="V14" s="28" t="s">
        <v>173</v>
      </c>
      <c r="W14" s="28" t="s">
        <v>173</v>
      </c>
      <c r="X14" s="28" t="s">
        <v>173</v>
      </c>
      <c r="Y14" s="28" t="s">
        <v>173</v>
      </c>
      <c r="Z14" s="28" t="s">
        <v>173</v>
      </c>
      <c r="AA14" s="28" t="s">
        <v>173</v>
      </c>
      <c r="AB14" s="28" t="s">
        <v>173</v>
      </c>
      <c r="AC14" s="28" t="s">
        <v>173</v>
      </c>
      <c r="AD14" s="28" t="s">
        <v>173</v>
      </c>
      <c r="AE14" s="28" t="s">
        <v>173</v>
      </c>
      <c r="AF14" s="28" t="s">
        <v>173</v>
      </c>
      <c r="AG14" s="28" t="s">
        <v>173</v>
      </c>
      <c r="AH14" s="28" t="s">
        <v>173</v>
      </c>
    </row>
    <row r="15" spans="1:34" x14ac:dyDescent="0.25">
      <c r="A15" s="26" t="s">
        <v>175</v>
      </c>
      <c r="B15" s="28" t="s">
        <v>267</v>
      </c>
      <c r="C15" s="28" t="s">
        <v>267</v>
      </c>
      <c r="D15" s="28" t="s">
        <v>267</v>
      </c>
      <c r="E15" s="28" t="s">
        <v>267</v>
      </c>
      <c r="F15" s="28" t="s">
        <v>267</v>
      </c>
      <c r="G15" s="28" t="s">
        <v>267</v>
      </c>
      <c r="H15" s="28" t="s">
        <v>267</v>
      </c>
      <c r="I15" s="28" t="s">
        <v>267</v>
      </c>
      <c r="J15" s="28" t="s">
        <v>267</v>
      </c>
      <c r="K15" s="28" t="s">
        <v>267</v>
      </c>
      <c r="L15" s="28" t="s">
        <v>267</v>
      </c>
      <c r="M15" s="28" t="s">
        <v>267</v>
      </c>
      <c r="N15" s="113" t="s">
        <v>289</v>
      </c>
      <c r="O15" s="28" t="s">
        <v>267</v>
      </c>
      <c r="P15" s="28" t="s">
        <v>199</v>
      </c>
      <c r="Q15" s="28" t="s">
        <v>199</v>
      </c>
      <c r="R15" s="28" t="s">
        <v>199</v>
      </c>
      <c r="S15" s="28" t="s">
        <v>268</v>
      </c>
      <c r="T15" s="28" t="s">
        <v>267</v>
      </c>
      <c r="U15" s="28" t="s">
        <v>267</v>
      </c>
      <c r="V15" s="28" t="s">
        <v>290</v>
      </c>
      <c r="W15" s="28" t="s">
        <v>199</v>
      </c>
      <c r="X15" s="28" t="s">
        <v>267</v>
      </c>
      <c r="Y15" s="28" t="s">
        <v>267</v>
      </c>
      <c r="Z15" s="28" t="s">
        <v>267</v>
      </c>
      <c r="AA15" s="28" t="s">
        <v>267</v>
      </c>
      <c r="AB15" s="28" t="s">
        <v>267</v>
      </c>
      <c r="AC15" s="28" t="s">
        <v>267</v>
      </c>
      <c r="AD15" s="28" t="s">
        <v>267</v>
      </c>
      <c r="AE15" s="28" t="s">
        <v>267</v>
      </c>
      <c r="AF15" s="28" t="s">
        <v>267</v>
      </c>
      <c r="AG15" s="28" t="s">
        <v>267</v>
      </c>
      <c r="AH15" s="28" t="s">
        <v>267</v>
      </c>
    </row>
    <row r="16" spans="1:34" x14ac:dyDescent="0.25">
      <c r="A16" s="26" t="s">
        <v>176</v>
      </c>
      <c r="B16" s="30">
        <v>-3</v>
      </c>
      <c r="C16" s="30">
        <v>-3</v>
      </c>
      <c r="D16" s="30">
        <v>-3</v>
      </c>
      <c r="E16" s="30">
        <v>-3</v>
      </c>
      <c r="F16" s="30">
        <v>-3</v>
      </c>
      <c r="G16" s="30">
        <v>-3</v>
      </c>
      <c r="H16" s="30">
        <v>-3</v>
      </c>
      <c r="I16" s="30">
        <v>-3</v>
      </c>
      <c r="J16" s="30">
        <v>-3</v>
      </c>
      <c r="K16" s="30">
        <v>-3</v>
      </c>
      <c r="L16" s="30">
        <v>-3</v>
      </c>
      <c r="M16" s="30">
        <v>-3</v>
      </c>
      <c r="N16" s="30">
        <f>AVERAGE(3,3,1)</f>
        <v>2.3333333333333335</v>
      </c>
      <c r="O16" s="30">
        <v>-3</v>
      </c>
      <c r="P16" s="30">
        <v>-0.5</v>
      </c>
      <c r="Q16" s="30">
        <v>-0.5</v>
      </c>
      <c r="R16" s="30">
        <v>-0.5</v>
      </c>
      <c r="S16" s="30">
        <f>AVERAGE(-0.5,2)</f>
        <v>0.75</v>
      </c>
      <c r="T16" s="30">
        <v>-3</v>
      </c>
      <c r="U16" s="30">
        <v>-3</v>
      </c>
      <c r="V16" s="30">
        <v>-2.5</v>
      </c>
      <c r="W16" s="30">
        <f>AVERAGE(-2,-0.5)</f>
        <v>-1.25</v>
      </c>
      <c r="X16" s="30">
        <v>-3</v>
      </c>
      <c r="Y16" s="30">
        <v>-3</v>
      </c>
      <c r="Z16" s="30">
        <v>-3</v>
      </c>
      <c r="AA16" s="30">
        <v>-3</v>
      </c>
      <c r="AB16" s="30">
        <v>-3</v>
      </c>
      <c r="AC16" s="30">
        <v>-3</v>
      </c>
      <c r="AD16" s="30">
        <v>-3</v>
      </c>
      <c r="AE16" s="30">
        <v>-3</v>
      </c>
      <c r="AF16" s="30">
        <v>-3</v>
      </c>
      <c r="AG16" s="30">
        <v>-3</v>
      </c>
      <c r="AH16" s="30">
        <v>-3</v>
      </c>
    </row>
    <row r="17" spans="1:34" x14ac:dyDescent="0.25">
      <c r="A17" s="26" t="s">
        <v>177</v>
      </c>
      <c r="B17" s="28" t="s">
        <v>178</v>
      </c>
      <c r="C17" s="28" t="s">
        <v>178</v>
      </c>
      <c r="D17" s="28" t="s">
        <v>178</v>
      </c>
      <c r="E17" s="28" t="s">
        <v>178</v>
      </c>
      <c r="F17" s="28" t="s">
        <v>178</v>
      </c>
      <c r="G17" s="28" t="s">
        <v>178</v>
      </c>
      <c r="H17" s="28" t="s">
        <v>178</v>
      </c>
      <c r="I17" s="28" t="s">
        <v>178</v>
      </c>
      <c r="J17" s="28" t="s">
        <v>178</v>
      </c>
      <c r="K17" s="28" t="s">
        <v>178</v>
      </c>
      <c r="L17" s="28" t="s">
        <v>178</v>
      </c>
      <c r="M17" s="28" t="s">
        <v>178</v>
      </c>
      <c r="N17" s="113" t="s">
        <v>291</v>
      </c>
      <c r="O17" s="28" t="s">
        <v>178</v>
      </c>
      <c r="P17" s="28" t="s">
        <v>181</v>
      </c>
      <c r="Q17" s="28" t="s">
        <v>181</v>
      </c>
      <c r="R17" s="28" t="s">
        <v>200</v>
      </c>
      <c r="S17" s="28" t="s">
        <v>292</v>
      </c>
      <c r="T17" s="28" t="s">
        <v>178</v>
      </c>
      <c r="U17" s="28" t="s">
        <v>178</v>
      </c>
      <c r="V17" s="28" t="s">
        <v>178</v>
      </c>
      <c r="W17" s="28" t="s">
        <v>293</v>
      </c>
      <c r="X17" s="28" t="s">
        <v>178</v>
      </c>
      <c r="Y17" s="28" t="s">
        <v>178</v>
      </c>
      <c r="Z17" s="28" t="s">
        <v>178</v>
      </c>
      <c r="AA17" s="28" t="s">
        <v>178</v>
      </c>
      <c r="AB17" s="28" t="s">
        <v>178</v>
      </c>
      <c r="AC17" s="28" t="s">
        <v>178</v>
      </c>
      <c r="AD17" s="28" t="s">
        <v>178</v>
      </c>
      <c r="AE17" s="28" t="s">
        <v>178</v>
      </c>
      <c r="AF17" s="28" t="s">
        <v>178</v>
      </c>
      <c r="AG17" s="28" t="s">
        <v>178</v>
      </c>
      <c r="AH17" s="28" t="s">
        <v>178</v>
      </c>
    </row>
    <row r="18" spans="1:34" x14ac:dyDescent="0.25">
      <c r="A18" s="26" t="s">
        <v>182</v>
      </c>
      <c r="B18" s="30">
        <v>4</v>
      </c>
      <c r="C18" s="30">
        <v>4</v>
      </c>
      <c r="D18" s="30">
        <v>4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>
        <f>AVERAGE(4,4,3)</f>
        <v>3.6666666666666665</v>
      </c>
      <c r="O18" s="30">
        <v>4</v>
      </c>
      <c r="P18" s="30">
        <v>2</v>
      </c>
      <c r="Q18" s="30">
        <v>2</v>
      </c>
      <c r="R18" s="30">
        <v>3</v>
      </c>
      <c r="S18" s="30">
        <f>AVERAGE(3,2)</f>
        <v>2.5</v>
      </c>
      <c r="T18" s="30">
        <v>4</v>
      </c>
      <c r="U18" s="30">
        <v>4</v>
      </c>
      <c r="V18" s="30">
        <v>4</v>
      </c>
      <c r="W18" s="30">
        <f>AVERAGE(4,3)</f>
        <v>3.5</v>
      </c>
      <c r="X18" s="30">
        <v>4</v>
      </c>
      <c r="Y18" s="30">
        <v>4</v>
      </c>
      <c r="Z18" s="30">
        <v>4</v>
      </c>
      <c r="AA18" s="30">
        <v>4</v>
      </c>
      <c r="AB18" s="30">
        <v>4</v>
      </c>
      <c r="AC18" s="30">
        <v>4</v>
      </c>
      <c r="AD18" s="30">
        <v>4</v>
      </c>
      <c r="AE18" s="30">
        <v>4</v>
      </c>
      <c r="AF18" s="30">
        <v>4</v>
      </c>
      <c r="AG18" s="30">
        <v>4</v>
      </c>
      <c r="AH18" s="30">
        <v>4</v>
      </c>
    </row>
    <row r="20" spans="1:34" x14ac:dyDescent="0.25">
      <c r="A20" s="31" t="s">
        <v>183</v>
      </c>
    </row>
    <row r="21" spans="1:34" x14ac:dyDescent="0.25">
      <c r="A21" s="224" t="s">
        <v>294</v>
      </c>
      <c r="B21" s="56" t="s">
        <v>295</v>
      </c>
    </row>
    <row r="22" spans="1:34" x14ac:dyDescent="0.25">
      <c r="A22" s="224"/>
      <c r="B22" s="56" t="s">
        <v>296</v>
      </c>
    </row>
    <row r="23" spans="1:34" ht="17.25" customHeight="1" x14ac:dyDescent="0.25">
      <c r="A23" s="224" t="s">
        <v>297</v>
      </c>
      <c r="B23" s="56" t="s">
        <v>298</v>
      </c>
    </row>
    <row r="24" spans="1:34" x14ac:dyDescent="0.25">
      <c r="A24" s="224"/>
      <c r="B24" s="56" t="s">
        <v>299</v>
      </c>
    </row>
  </sheetData>
  <mergeCells count="7">
    <mergeCell ref="F3:O3"/>
    <mergeCell ref="F4:O5"/>
    <mergeCell ref="A21:A22"/>
    <mergeCell ref="A23:A24"/>
    <mergeCell ref="B3:D3"/>
    <mergeCell ref="B4:D4"/>
    <mergeCell ref="B5:D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E6B6F-600E-4F78-AC45-136754B4E976}">
  <dimension ref="A1:AJ22"/>
  <sheetViews>
    <sheetView workbookViewId="0">
      <selection activeCell="V10" sqref="V10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6" x14ac:dyDescent="0.25">
      <c r="A1" s="25" t="s">
        <v>116</v>
      </c>
      <c r="D1" s="25" t="s">
        <v>117</v>
      </c>
      <c r="I1" s="25" t="s">
        <v>118</v>
      </c>
    </row>
    <row r="3" spans="1:36" ht="18" x14ac:dyDescent="0.25">
      <c r="A3" s="25" t="s">
        <v>119</v>
      </c>
      <c r="B3" s="215">
        <v>9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6" ht="18" x14ac:dyDescent="0.25">
      <c r="A4" s="25" t="s">
        <v>121</v>
      </c>
      <c r="B4" s="215" t="s">
        <v>245</v>
      </c>
      <c r="C4" s="215"/>
      <c r="D4" s="215"/>
      <c r="F4" s="216" t="s">
        <v>300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6" ht="18" x14ac:dyDescent="0.25">
      <c r="A5" s="25" t="s">
        <v>124</v>
      </c>
      <c r="B5" s="215" t="s">
        <v>301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6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  <c r="AJ7" s="48" t="s">
        <v>151</v>
      </c>
    </row>
    <row r="8" spans="1:36" x14ac:dyDescent="0.25">
      <c r="A8" s="26" t="s">
        <v>159</v>
      </c>
      <c r="B8" s="29" t="s">
        <v>247</v>
      </c>
      <c r="C8" s="29" t="s">
        <v>248</v>
      </c>
      <c r="D8" s="29" t="s">
        <v>248</v>
      </c>
      <c r="E8" s="29" t="s">
        <v>248</v>
      </c>
      <c r="F8" s="29" t="s">
        <v>248</v>
      </c>
      <c r="G8" s="29" t="s">
        <v>248</v>
      </c>
      <c r="H8" s="29" t="s">
        <v>248</v>
      </c>
      <c r="I8" s="29" t="s">
        <v>248</v>
      </c>
      <c r="J8" s="29" t="s">
        <v>248</v>
      </c>
      <c r="K8" s="29" t="s">
        <v>248</v>
      </c>
      <c r="L8" s="29" t="s">
        <v>248</v>
      </c>
      <c r="M8" s="29" t="s">
        <v>248</v>
      </c>
      <c r="N8" s="29" t="s">
        <v>248</v>
      </c>
      <c r="O8" s="29" t="s">
        <v>248</v>
      </c>
      <c r="P8" s="29" t="s">
        <v>248</v>
      </c>
      <c r="Q8" s="29" t="s">
        <v>248</v>
      </c>
      <c r="R8" s="29" t="s">
        <v>248</v>
      </c>
      <c r="S8" s="29" t="s">
        <v>248</v>
      </c>
      <c r="T8" s="29" t="s">
        <v>248</v>
      </c>
      <c r="U8" s="29" t="s">
        <v>248</v>
      </c>
      <c r="V8" s="29" t="s">
        <v>248</v>
      </c>
      <c r="W8" s="29" t="s">
        <v>248</v>
      </c>
      <c r="X8" s="29" t="s">
        <v>248</v>
      </c>
      <c r="Y8" s="29" t="s">
        <v>248</v>
      </c>
      <c r="Z8" s="29" t="s">
        <v>248</v>
      </c>
      <c r="AA8" s="29" t="s">
        <v>248</v>
      </c>
      <c r="AB8" s="29" t="s">
        <v>248</v>
      </c>
      <c r="AC8" s="29" t="s">
        <v>248</v>
      </c>
      <c r="AD8" s="29" t="s">
        <v>248</v>
      </c>
      <c r="AE8" s="29" t="s">
        <v>248</v>
      </c>
      <c r="AF8" s="29" t="s">
        <v>248</v>
      </c>
      <c r="AG8" s="29" t="s">
        <v>248</v>
      </c>
      <c r="AH8" s="29" t="s">
        <v>248</v>
      </c>
      <c r="AJ8" s="29" t="s">
        <v>302</v>
      </c>
    </row>
    <row r="9" spans="1:36" x14ac:dyDescent="0.25">
      <c r="A9" s="26" t="s">
        <v>165</v>
      </c>
      <c r="B9" s="29" t="s">
        <v>254</v>
      </c>
      <c r="C9" s="29" t="s">
        <v>254</v>
      </c>
      <c r="D9" s="29" t="s">
        <v>254</v>
      </c>
      <c r="E9" s="29" t="s">
        <v>254</v>
      </c>
      <c r="F9" s="29" t="s">
        <v>254</v>
      </c>
      <c r="G9" s="29" t="s">
        <v>254</v>
      </c>
      <c r="H9" s="29" t="s">
        <v>254</v>
      </c>
      <c r="I9" s="29" t="s">
        <v>254</v>
      </c>
      <c r="J9" s="29" t="s">
        <v>254</v>
      </c>
      <c r="K9" s="29" t="s">
        <v>254</v>
      </c>
      <c r="L9" s="29" t="s">
        <v>254</v>
      </c>
      <c r="M9" s="29" t="s">
        <v>254</v>
      </c>
      <c r="N9" s="29" t="s">
        <v>254</v>
      </c>
      <c r="O9" s="29" t="s">
        <v>254</v>
      </c>
      <c r="P9" s="29" t="s">
        <v>254</v>
      </c>
      <c r="Q9" s="29" t="s">
        <v>254</v>
      </c>
      <c r="R9" s="29" t="s">
        <v>254</v>
      </c>
      <c r="S9" s="29" t="s">
        <v>254</v>
      </c>
      <c r="T9" s="29" t="s">
        <v>254</v>
      </c>
      <c r="U9" s="29" t="s">
        <v>254</v>
      </c>
      <c r="V9" s="184" t="s">
        <v>254</v>
      </c>
      <c r="W9" s="184" t="s">
        <v>254</v>
      </c>
      <c r="X9" s="29" t="s">
        <v>254</v>
      </c>
      <c r="Y9" s="29" t="s">
        <v>254</v>
      </c>
      <c r="Z9" s="29" t="s">
        <v>254</v>
      </c>
      <c r="AA9" s="29" t="s">
        <v>254</v>
      </c>
      <c r="AB9" s="29" t="s">
        <v>254</v>
      </c>
      <c r="AC9" s="29" t="s">
        <v>254</v>
      </c>
      <c r="AD9" s="29" t="s">
        <v>254</v>
      </c>
      <c r="AE9" s="29" t="s">
        <v>254</v>
      </c>
      <c r="AF9" s="29" t="s">
        <v>254</v>
      </c>
      <c r="AG9" s="29" t="s">
        <v>254</v>
      </c>
      <c r="AH9" s="29" t="s">
        <v>254</v>
      </c>
      <c r="AJ9" s="28" t="s">
        <v>303</v>
      </c>
    </row>
    <row r="10" spans="1:36" x14ac:dyDescent="0.25">
      <c r="A10" s="131" t="s">
        <v>168</v>
      </c>
      <c r="B10" s="157">
        <v>19</v>
      </c>
      <c r="C10" s="157">
        <v>19</v>
      </c>
      <c r="D10" s="157">
        <v>19</v>
      </c>
      <c r="E10" s="157">
        <v>19</v>
      </c>
      <c r="F10" s="157">
        <v>19</v>
      </c>
      <c r="G10" s="157">
        <v>19</v>
      </c>
      <c r="H10" s="157">
        <v>19</v>
      </c>
      <c r="I10" s="157">
        <v>19</v>
      </c>
      <c r="J10" s="157">
        <v>19</v>
      </c>
      <c r="K10" s="157">
        <v>19</v>
      </c>
      <c r="L10" s="157">
        <v>19</v>
      </c>
      <c r="M10" s="157">
        <v>19</v>
      </c>
      <c r="N10" s="157">
        <v>19</v>
      </c>
      <c r="O10" s="157">
        <v>19</v>
      </c>
      <c r="P10" s="157">
        <v>19</v>
      </c>
      <c r="Q10" s="157">
        <v>19</v>
      </c>
      <c r="R10" s="157">
        <v>19</v>
      </c>
      <c r="S10" s="157">
        <v>19</v>
      </c>
      <c r="T10" s="157">
        <v>19</v>
      </c>
      <c r="U10" s="157">
        <v>19</v>
      </c>
      <c r="V10" s="132"/>
      <c r="W10" s="132"/>
      <c r="X10" s="157">
        <v>19</v>
      </c>
      <c r="Y10" s="157">
        <v>19</v>
      </c>
      <c r="Z10" s="157">
        <v>19</v>
      </c>
      <c r="AA10" s="157">
        <v>19</v>
      </c>
      <c r="AB10" s="157">
        <v>19</v>
      </c>
      <c r="AC10" s="157">
        <v>19</v>
      </c>
      <c r="AD10" s="157">
        <v>19</v>
      </c>
      <c r="AE10" s="157">
        <v>19</v>
      </c>
      <c r="AF10" s="157">
        <v>19</v>
      </c>
      <c r="AG10" s="157">
        <v>19</v>
      </c>
      <c r="AH10" s="157">
        <v>19</v>
      </c>
      <c r="AJ10" s="157">
        <v>20</v>
      </c>
    </row>
    <row r="11" spans="1:36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28" t="s">
        <v>170</v>
      </c>
      <c r="O11" s="28" t="s">
        <v>170</v>
      </c>
      <c r="P11" s="28" t="s">
        <v>170</v>
      </c>
      <c r="Q11" s="28" t="s">
        <v>170</v>
      </c>
      <c r="R11" s="28" t="s">
        <v>170</v>
      </c>
      <c r="S11" s="28" t="s">
        <v>170</v>
      </c>
      <c r="T11" s="28" t="s">
        <v>170</v>
      </c>
      <c r="U11" s="28" t="s">
        <v>170</v>
      </c>
      <c r="V11" s="28"/>
      <c r="W11" s="28"/>
      <c r="X11" s="28" t="s">
        <v>170</v>
      </c>
      <c r="Y11" s="28" t="s">
        <v>170</v>
      </c>
      <c r="Z11" s="28" t="s">
        <v>170</v>
      </c>
      <c r="AA11" s="28" t="s">
        <v>170</v>
      </c>
      <c r="AB11" s="28" t="s">
        <v>170</v>
      </c>
      <c r="AC11" s="28" t="s">
        <v>170</v>
      </c>
      <c r="AD11" s="28" t="s">
        <v>170</v>
      </c>
      <c r="AE11" s="28" t="s">
        <v>170</v>
      </c>
      <c r="AF11" s="28" t="s">
        <v>170</v>
      </c>
      <c r="AG11" s="28" t="s">
        <v>170</v>
      </c>
      <c r="AH11" s="28" t="s">
        <v>170</v>
      </c>
      <c r="AJ11" s="29" t="s">
        <v>170</v>
      </c>
    </row>
    <row r="12" spans="1:36" x14ac:dyDescent="0.25">
      <c r="A12" s="26" t="s">
        <v>171</v>
      </c>
      <c r="B12" s="28" t="s">
        <v>173</v>
      </c>
      <c r="C12" s="28" t="s">
        <v>173</v>
      </c>
      <c r="D12" s="28" t="s">
        <v>173</v>
      </c>
      <c r="E12" s="28" t="s">
        <v>173</v>
      </c>
      <c r="F12" s="28" t="s">
        <v>173</v>
      </c>
      <c r="G12" s="28" t="s">
        <v>173</v>
      </c>
      <c r="H12" s="28" t="s">
        <v>173</v>
      </c>
      <c r="I12" s="28" t="s">
        <v>173</v>
      </c>
      <c r="J12" s="28" t="s">
        <v>173</v>
      </c>
      <c r="K12" s="28" t="s">
        <v>173</v>
      </c>
      <c r="L12" s="28" t="s">
        <v>173</v>
      </c>
      <c r="M12" s="28" t="s">
        <v>173</v>
      </c>
      <c r="N12" s="28" t="s">
        <v>173</v>
      </c>
      <c r="O12" s="28" t="s">
        <v>173</v>
      </c>
      <c r="P12" s="28" t="s">
        <v>173</v>
      </c>
      <c r="Q12" s="28" t="s">
        <v>173</v>
      </c>
      <c r="R12" s="28" t="s">
        <v>173</v>
      </c>
      <c r="S12" s="28" t="s">
        <v>173</v>
      </c>
      <c r="T12" s="28" t="s">
        <v>173</v>
      </c>
      <c r="U12" s="28" t="s">
        <v>173</v>
      </c>
      <c r="V12" s="28"/>
      <c r="W12" s="28"/>
      <c r="X12" s="28" t="s">
        <v>173</v>
      </c>
      <c r="Y12" s="28" t="s">
        <v>173</v>
      </c>
      <c r="Z12" s="28" t="s">
        <v>173</v>
      </c>
      <c r="AA12" s="28" t="s">
        <v>173</v>
      </c>
      <c r="AB12" s="28" t="s">
        <v>173</v>
      </c>
      <c r="AC12" s="28" t="s">
        <v>173</v>
      </c>
      <c r="AD12" s="28" t="s">
        <v>173</v>
      </c>
      <c r="AE12" s="28" t="s">
        <v>173</v>
      </c>
      <c r="AF12" s="28" t="s">
        <v>173</v>
      </c>
      <c r="AG12" s="28" t="s">
        <v>173</v>
      </c>
      <c r="AH12" s="28" t="s">
        <v>173</v>
      </c>
      <c r="AJ12" s="29" t="s">
        <v>170</v>
      </c>
    </row>
    <row r="13" spans="1:36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 t="s">
        <v>173</v>
      </c>
      <c r="S13" s="28" t="s">
        <v>173</v>
      </c>
      <c r="T13" s="28" t="s">
        <v>173</v>
      </c>
      <c r="U13" s="28" t="s">
        <v>173</v>
      </c>
      <c r="V13" s="28"/>
      <c r="W13" s="28"/>
      <c r="X13" s="28" t="s">
        <v>173</v>
      </c>
      <c r="Y13" s="28" t="s">
        <v>173</v>
      </c>
      <c r="Z13" s="28" t="s">
        <v>173</v>
      </c>
      <c r="AA13" s="28" t="s">
        <v>173</v>
      </c>
      <c r="AB13" s="28" t="s">
        <v>173</v>
      </c>
      <c r="AC13" s="28" t="s">
        <v>173</v>
      </c>
      <c r="AD13" s="28" t="s">
        <v>173</v>
      </c>
      <c r="AE13" s="28" t="s">
        <v>173</v>
      </c>
      <c r="AF13" s="28" t="s">
        <v>173</v>
      </c>
      <c r="AG13" s="28" t="s">
        <v>173</v>
      </c>
      <c r="AH13" s="28" t="s">
        <v>173</v>
      </c>
      <c r="AJ13" s="28" t="s">
        <v>173</v>
      </c>
    </row>
    <row r="14" spans="1:36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 t="s">
        <v>173</v>
      </c>
      <c r="V14" s="28"/>
      <c r="W14" s="28"/>
      <c r="X14" s="28" t="s">
        <v>173</v>
      </c>
      <c r="Y14" s="28" t="s">
        <v>173</v>
      </c>
      <c r="Z14" s="28" t="s">
        <v>173</v>
      </c>
      <c r="AA14" s="28" t="s">
        <v>173</v>
      </c>
      <c r="AB14" s="28" t="s">
        <v>173</v>
      </c>
      <c r="AC14" s="28" t="s">
        <v>173</v>
      </c>
      <c r="AD14" s="28" t="s">
        <v>173</v>
      </c>
      <c r="AE14" s="28" t="s">
        <v>173</v>
      </c>
      <c r="AF14" s="28" t="s">
        <v>173</v>
      </c>
      <c r="AG14" s="28" t="s">
        <v>173</v>
      </c>
      <c r="AH14" s="28" t="s">
        <v>173</v>
      </c>
      <c r="AJ14" s="28" t="s">
        <v>173</v>
      </c>
    </row>
    <row r="15" spans="1:36" x14ac:dyDescent="0.25">
      <c r="A15" s="26" t="s">
        <v>175</v>
      </c>
      <c r="B15" s="28" t="s">
        <v>267</v>
      </c>
      <c r="C15" s="28" t="s">
        <v>267</v>
      </c>
      <c r="D15" s="28" t="s">
        <v>267</v>
      </c>
      <c r="E15" s="28" t="s">
        <v>267</v>
      </c>
      <c r="F15" s="28" t="s">
        <v>267</v>
      </c>
      <c r="G15" s="28" t="s">
        <v>267</v>
      </c>
      <c r="H15" s="28" t="s">
        <v>267</v>
      </c>
      <c r="I15" s="28" t="s">
        <v>267</v>
      </c>
      <c r="J15" s="28" t="s">
        <v>267</v>
      </c>
      <c r="K15" s="28" t="s">
        <v>267</v>
      </c>
      <c r="L15" s="28" t="s">
        <v>267</v>
      </c>
      <c r="M15" s="28" t="s">
        <v>267</v>
      </c>
      <c r="N15" s="28" t="s">
        <v>267</v>
      </c>
      <c r="O15" s="28" t="s">
        <v>267</v>
      </c>
      <c r="P15" s="28" t="s">
        <v>267</v>
      </c>
      <c r="Q15" s="28" t="s">
        <v>267</v>
      </c>
      <c r="R15" s="28" t="s">
        <v>267</v>
      </c>
      <c r="S15" s="28" t="s">
        <v>267</v>
      </c>
      <c r="T15" s="28" t="s">
        <v>267</v>
      </c>
      <c r="U15" s="28" t="s">
        <v>267</v>
      </c>
      <c r="V15" s="28"/>
      <c r="W15" s="28"/>
      <c r="X15" s="28" t="s">
        <v>267</v>
      </c>
      <c r="Y15" s="28" t="s">
        <v>267</v>
      </c>
      <c r="Z15" s="28" t="s">
        <v>267</v>
      </c>
      <c r="AA15" s="28" t="s">
        <v>267</v>
      </c>
      <c r="AB15" s="28" t="s">
        <v>267</v>
      </c>
      <c r="AC15" s="28" t="s">
        <v>267</v>
      </c>
      <c r="AD15" s="28" t="s">
        <v>267</v>
      </c>
      <c r="AE15" s="28" t="s">
        <v>267</v>
      </c>
      <c r="AF15" s="28" t="s">
        <v>267</v>
      </c>
      <c r="AG15" s="28" t="s">
        <v>267</v>
      </c>
      <c r="AH15" s="28" t="s">
        <v>267</v>
      </c>
      <c r="AJ15" s="28" t="s">
        <v>267</v>
      </c>
    </row>
    <row r="16" spans="1:36" x14ac:dyDescent="0.25">
      <c r="A16" s="26" t="s">
        <v>176</v>
      </c>
      <c r="B16" s="30">
        <v>-3</v>
      </c>
      <c r="C16" s="30">
        <v>-3</v>
      </c>
      <c r="D16" s="30">
        <v>-3</v>
      </c>
      <c r="E16" s="30">
        <v>-3</v>
      </c>
      <c r="F16" s="30">
        <v>-3</v>
      </c>
      <c r="G16" s="30">
        <v>-3</v>
      </c>
      <c r="H16" s="30">
        <v>-3</v>
      </c>
      <c r="I16" s="30">
        <v>-3</v>
      </c>
      <c r="J16" s="30">
        <v>-3</v>
      </c>
      <c r="K16" s="30">
        <v>-3</v>
      </c>
      <c r="L16" s="30">
        <v>-3</v>
      </c>
      <c r="M16" s="30">
        <v>-3</v>
      </c>
      <c r="N16" s="30">
        <v>-3</v>
      </c>
      <c r="O16" s="30">
        <v>-3</v>
      </c>
      <c r="P16" s="30">
        <v>-3</v>
      </c>
      <c r="Q16" s="30">
        <v>-3</v>
      </c>
      <c r="R16" s="30">
        <v>-3</v>
      </c>
      <c r="S16" s="30">
        <v>-3</v>
      </c>
      <c r="T16" s="30">
        <v>-3</v>
      </c>
      <c r="U16" s="30">
        <v>-3</v>
      </c>
      <c r="V16" s="30"/>
      <c r="W16" s="30"/>
      <c r="X16" s="30">
        <v>-3</v>
      </c>
      <c r="Y16" s="30">
        <v>-3</v>
      </c>
      <c r="Z16" s="30">
        <v>-3</v>
      </c>
      <c r="AA16" s="30">
        <v>-3</v>
      </c>
      <c r="AB16" s="30">
        <v>-3</v>
      </c>
      <c r="AC16" s="30">
        <v>-3</v>
      </c>
      <c r="AD16" s="30">
        <v>-3</v>
      </c>
      <c r="AE16" s="30">
        <v>-3</v>
      </c>
      <c r="AF16" s="30">
        <v>-3</v>
      </c>
      <c r="AG16" s="30">
        <v>-3</v>
      </c>
      <c r="AH16" s="30">
        <v>-3</v>
      </c>
      <c r="AJ16" s="30">
        <v>-3</v>
      </c>
    </row>
    <row r="17" spans="1:36" x14ac:dyDescent="0.25">
      <c r="A17" s="26" t="s">
        <v>177</v>
      </c>
      <c r="B17" s="28" t="s">
        <v>178</v>
      </c>
      <c r="C17" s="28" t="s">
        <v>178</v>
      </c>
      <c r="D17" s="28" t="s">
        <v>178</v>
      </c>
      <c r="E17" s="28" t="s">
        <v>178</v>
      </c>
      <c r="F17" s="28" t="s">
        <v>178</v>
      </c>
      <c r="G17" s="28" t="s">
        <v>178</v>
      </c>
      <c r="H17" s="28" t="s">
        <v>178</v>
      </c>
      <c r="I17" s="28" t="s">
        <v>178</v>
      </c>
      <c r="J17" s="28" t="s">
        <v>178</v>
      </c>
      <c r="K17" s="28" t="s">
        <v>178</v>
      </c>
      <c r="L17" s="28" t="s">
        <v>178</v>
      </c>
      <c r="M17" s="28" t="s">
        <v>178</v>
      </c>
      <c r="N17" s="28" t="s">
        <v>178</v>
      </c>
      <c r="O17" s="28" t="s">
        <v>178</v>
      </c>
      <c r="P17" s="28" t="s">
        <v>178</v>
      </c>
      <c r="Q17" s="28" t="s">
        <v>178</v>
      </c>
      <c r="R17" s="28" t="s">
        <v>178</v>
      </c>
      <c r="S17" s="28" t="s">
        <v>178</v>
      </c>
      <c r="T17" s="28" t="s">
        <v>178</v>
      </c>
      <c r="U17" s="28" t="s">
        <v>178</v>
      </c>
      <c r="V17" s="28"/>
      <c r="W17" s="28"/>
      <c r="X17" s="28" t="s">
        <v>178</v>
      </c>
      <c r="Y17" s="28" t="s">
        <v>178</v>
      </c>
      <c r="Z17" s="28" t="s">
        <v>178</v>
      </c>
      <c r="AA17" s="28" t="s">
        <v>178</v>
      </c>
      <c r="AB17" s="28" t="s">
        <v>178</v>
      </c>
      <c r="AC17" s="28" t="s">
        <v>178</v>
      </c>
      <c r="AD17" s="28" t="s">
        <v>178</v>
      </c>
      <c r="AE17" s="28" t="s">
        <v>178</v>
      </c>
      <c r="AF17" s="28" t="s">
        <v>178</v>
      </c>
      <c r="AG17" s="28" t="s">
        <v>178</v>
      </c>
      <c r="AH17" s="28" t="s">
        <v>178</v>
      </c>
      <c r="AJ17" s="28" t="s">
        <v>178</v>
      </c>
    </row>
    <row r="18" spans="1:36" x14ac:dyDescent="0.25">
      <c r="A18" s="26" t="s">
        <v>182</v>
      </c>
      <c r="B18" s="30">
        <v>4</v>
      </c>
      <c r="C18" s="30">
        <v>4</v>
      </c>
      <c r="D18" s="30">
        <v>4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30">
        <v>4</v>
      </c>
      <c r="S18" s="30">
        <v>4</v>
      </c>
      <c r="T18" s="30">
        <v>4</v>
      </c>
      <c r="U18" s="30">
        <v>4</v>
      </c>
      <c r="V18" s="30"/>
      <c r="W18" s="30"/>
      <c r="X18" s="30">
        <v>4</v>
      </c>
      <c r="Y18" s="30">
        <v>4</v>
      </c>
      <c r="Z18" s="30">
        <v>4</v>
      </c>
      <c r="AA18" s="30">
        <v>4</v>
      </c>
      <c r="AB18" s="30">
        <v>4</v>
      </c>
      <c r="AC18" s="30">
        <v>4</v>
      </c>
      <c r="AD18" s="30">
        <v>4</v>
      </c>
      <c r="AE18" s="30">
        <v>4</v>
      </c>
      <c r="AF18" s="30">
        <v>4</v>
      </c>
      <c r="AG18" s="30">
        <v>4</v>
      </c>
      <c r="AH18" s="30">
        <v>4</v>
      </c>
      <c r="AJ18" s="30">
        <v>4</v>
      </c>
    </row>
    <row r="19" spans="1:36" x14ac:dyDescent="0.25">
      <c r="AA19" s="26" t="s">
        <v>304</v>
      </c>
      <c r="AJ19" s="26" t="s">
        <v>305</v>
      </c>
    </row>
    <row r="20" spans="1:36" x14ac:dyDescent="0.25">
      <c r="A20" s="31" t="s">
        <v>183</v>
      </c>
    </row>
    <row r="21" spans="1:36" x14ac:dyDescent="0.25">
      <c r="A21" s="26" t="s">
        <v>306</v>
      </c>
      <c r="B21" s="56" t="s">
        <v>295</v>
      </c>
    </row>
    <row r="22" spans="1:36" x14ac:dyDescent="0.25">
      <c r="A22" s="93" t="s">
        <v>307</v>
      </c>
      <c r="B22" s="56" t="s">
        <v>298</v>
      </c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BB0B-468D-4ADF-8801-054B660F5E16}">
  <dimension ref="A1:AH21"/>
  <sheetViews>
    <sheetView workbookViewId="0">
      <selection activeCell="B7" sqref="B7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117</v>
      </c>
      <c r="I1" s="25" t="s">
        <v>118</v>
      </c>
    </row>
    <row r="2" spans="1:34" x14ac:dyDescent="0.25">
      <c r="B2" s="56"/>
    </row>
    <row r="3" spans="1:34" ht="18" x14ac:dyDescent="0.25">
      <c r="A3" s="25" t="s">
        <v>119</v>
      </c>
      <c r="B3" s="215">
        <v>10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245</v>
      </c>
      <c r="C4" s="215"/>
      <c r="D4" s="215"/>
      <c r="F4" s="216" t="s">
        <v>308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309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29" t="s">
        <v>247</v>
      </c>
      <c r="C8" s="29" t="s">
        <v>248</v>
      </c>
      <c r="D8" s="29" t="s">
        <v>248</v>
      </c>
      <c r="E8" s="29" t="s">
        <v>248</v>
      </c>
      <c r="F8" s="29" t="s">
        <v>248</v>
      </c>
      <c r="G8" s="29" t="s">
        <v>248</v>
      </c>
      <c r="H8" s="29" t="s">
        <v>248</v>
      </c>
      <c r="I8" s="29" t="s">
        <v>248</v>
      </c>
      <c r="J8" s="29" t="s">
        <v>248</v>
      </c>
      <c r="K8" s="29" t="s">
        <v>248</v>
      </c>
      <c r="L8" s="29" t="s">
        <v>248</v>
      </c>
      <c r="M8" s="29" t="s">
        <v>248</v>
      </c>
      <c r="N8" s="29" t="s">
        <v>248</v>
      </c>
      <c r="O8" s="29" t="s">
        <v>248</v>
      </c>
      <c r="P8" s="29" t="s">
        <v>248</v>
      </c>
      <c r="Q8" s="29" t="s">
        <v>248</v>
      </c>
      <c r="R8" s="29" t="s">
        <v>248</v>
      </c>
      <c r="S8" s="29" t="s">
        <v>248</v>
      </c>
      <c r="T8" s="29" t="s">
        <v>248</v>
      </c>
      <c r="U8" s="29" t="s">
        <v>248</v>
      </c>
      <c r="V8" s="29" t="s">
        <v>310</v>
      </c>
      <c r="W8" s="29" t="s">
        <v>248</v>
      </c>
      <c r="X8" s="29" t="s">
        <v>248</v>
      </c>
      <c r="Y8" s="29" t="s">
        <v>248</v>
      </c>
      <c r="Z8" s="29" t="s">
        <v>248</v>
      </c>
      <c r="AA8" s="29" t="s">
        <v>248</v>
      </c>
      <c r="AB8" s="29" t="s">
        <v>248</v>
      </c>
      <c r="AC8" s="29" t="s">
        <v>248</v>
      </c>
      <c r="AD8" s="29" t="s">
        <v>248</v>
      </c>
      <c r="AE8" s="29" t="s">
        <v>248</v>
      </c>
      <c r="AF8" s="29" t="s">
        <v>248</v>
      </c>
      <c r="AG8" s="29" t="s">
        <v>248</v>
      </c>
      <c r="AH8" s="29" t="s">
        <v>248</v>
      </c>
    </row>
    <row r="9" spans="1:34" x14ac:dyDescent="0.25">
      <c r="A9" s="26" t="s">
        <v>165</v>
      </c>
      <c r="B9" s="29" t="s">
        <v>254</v>
      </c>
      <c r="C9" s="29" t="s">
        <v>254</v>
      </c>
      <c r="D9" s="29" t="s">
        <v>254</v>
      </c>
      <c r="E9" s="29" t="s">
        <v>254</v>
      </c>
      <c r="F9" s="29" t="s">
        <v>254</v>
      </c>
      <c r="G9" s="29" t="s">
        <v>254</v>
      </c>
      <c r="H9" s="29" t="s">
        <v>254</v>
      </c>
      <c r="I9" s="29" t="s">
        <v>254</v>
      </c>
      <c r="J9" s="29" t="s">
        <v>254</v>
      </c>
      <c r="K9" s="29" t="s">
        <v>254</v>
      </c>
      <c r="L9" s="29" t="s">
        <v>254</v>
      </c>
      <c r="M9" s="29" t="s">
        <v>254</v>
      </c>
      <c r="N9" s="29" t="s">
        <v>254</v>
      </c>
      <c r="O9" s="29" t="s">
        <v>254</v>
      </c>
      <c r="P9" s="29" t="s">
        <v>254</v>
      </c>
      <c r="Q9" s="29" t="s">
        <v>254</v>
      </c>
      <c r="R9" s="29" t="s">
        <v>254</v>
      </c>
      <c r="S9" s="29" t="s">
        <v>254</v>
      </c>
      <c r="T9" s="29" t="s">
        <v>254</v>
      </c>
      <c r="U9" s="29" t="s">
        <v>254</v>
      </c>
      <c r="V9" s="184" t="s">
        <v>248</v>
      </c>
      <c r="W9" s="29" t="s">
        <v>254</v>
      </c>
      <c r="X9" s="29" t="s">
        <v>254</v>
      </c>
      <c r="Y9" s="29" t="s">
        <v>254</v>
      </c>
      <c r="Z9" s="29" t="s">
        <v>254</v>
      </c>
      <c r="AA9" s="29" t="s">
        <v>254</v>
      </c>
      <c r="AB9" s="29" t="s">
        <v>254</v>
      </c>
      <c r="AC9" s="29" t="s">
        <v>254</v>
      </c>
      <c r="AD9" s="29" t="s">
        <v>254</v>
      </c>
      <c r="AE9" s="29" t="s">
        <v>254</v>
      </c>
      <c r="AF9" s="29" t="s">
        <v>254</v>
      </c>
      <c r="AG9" s="29" t="s">
        <v>254</v>
      </c>
      <c r="AH9" s="29" t="s">
        <v>254</v>
      </c>
    </row>
    <row r="10" spans="1:34" x14ac:dyDescent="0.25">
      <c r="A10" s="131" t="s">
        <v>168</v>
      </c>
      <c r="B10" s="157">
        <v>19</v>
      </c>
      <c r="C10" s="157">
        <v>19</v>
      </c>
      <c r="D10" s="157">
        <v>19</v>
      </c>
      <c r="E10" s="157">
        <v>19</v>
      </c>
      <c r="F10" s="157">
        <v>19</v>
      </c>
      <c r="G10" s="157">
        <v>19</v>
      </c>
      <c r="H10" s="157">
        <v>19</v>
      </c>
      <c r="I10" s="157">
        <v>19</v>
      </c>
      <c r="J10" s="157">
        <v>19</v>
      </c>
      <c r="K10" s="157">
        <v>19</v>
      </c>
      <c r="L10" s="157">
        <v>19</v>
      </c>
      <c r="M10" s="157">
        <v>19</v>
      </c>
      <c r="N10" s="157">
        <v>19</v>
      </c>
      <c r="O10" s="157">
        <v>19</v>
      </c>
      <c r="P10" s="157">
        <v>19</v>
      </c>
      <c r="Q10" s="157">
        <v>19</v>
      </c>
      <c r="R10" s="157">
        <v>19</v>
      </c>
      <c r="S10" s="157">
        <v>19</v>
      </c>
      <c r="T10" s="157">
        <v>19</v>
      </c>
      <c r="U10" s="157">
        <v>19</v>
      </c>
      <c r="V10" s="183">
        <v>17</v>
      </c>
      <c r="W10" s="157">
        <v>19</v>
      </c>
      <c r="X10" s="157">
        <v>19</v>
      </c>
      <c r="Y10" s="157">
        <v>19</v>
      </c>
      <c r="Z10" s="157">
        <v>19</v>
      </c>
      <c r="AA10" s="157">
        <v>19</v>
      </c>
      <c r="AB10" s="157">
        <v>19</v>
      </c>
      <c r="AC10" s="157">
        <v>19</v>
      </c>
      <c r="AD10" s="157">
        <v>19</v>
      </c>
      <c r="AE10" s="157">
        <v>19</v>
      </c>
      <c r="AF10" s="157">
        <v>19</v>
      </c>
      <c r="AG10" s="157">
        <v>19</v>
      </c>
      <c r="AH10" s="157">
        <v>19</v>
      </c>
    </row>
    <row r="11" spans="1:34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28" t="s">
        <v>170</v>
      </c>
      <c r="O11" s="28" t="s">
        <v>170</v>
      </c>
      <c r="P11" s="28" t="s">
        <v>170</v>
      </c>
      <c r="Q11" s="28" t="s">
        <v>170</v>
      </c>
      <c r="R11" s="28" t="s">
        <v>170</v>
      </c>
      <c r="S11" s="28" t="s">
        <v>170</v>
      </c>
      <c r="T11" s="28" t="s">
        <v>170</v>
      </c>
      <c r="U11" s="28" t="s">
        <v>170</v>
      </c>
      <c r="V11" s="182" t="s">
        <v>170</v>
      </c>
      <c r="W11" s="28" t="s">
        <v>170</v>
      </c>
      <c r="X11" s="28" t="s">
        <v>170</v>
      </c>
      <c r="Y11" s="28" t="s">
        <v>170</v>
      </c>
      <c r="Z11" s="28" t="s">
        <v>170</v>
      </c>
      <c r="AA11" s="28" t="s">
        <v>170</v>
      </c>
      <c r="AB11" s="28" t="s">
        <v>170</v>
      </c>
      <c r="AC11" s="28" t="s">
        <v>170</v>
      </c>
      <c r="AD11" s="28" t="s">
        <v>170</v>
      </c>
      <c r="AE11" s="28" t="s">
        <v>170</v>
      </c>
      <c r="AF11" s="28" t="s">
        <v>170</v>
      </c>
      <c r="AG11" s="28" t="s">
        <v>170</v>
      </c>
      <c r="AH11" s="28" t="s">
        <v>170</v>
      </c>
    </row>
    <row r="12" spans="1:34" x14ac:dyDescent="0.25">
      <c r="A12" s="26" t="s">
        <v>171</v>
      </c>
      <c r="B12" s="28" t="s">
        <v>173</v>
      </c>
      <c r="C12" s="28" t="s">
        <v>173</v>
      </c>
      <c r="D12" s="28" t="s">
        <v>173</v>
      </c>
      <c r="E12" s="28" t="s">
        <v>173</v>
      </c>
      <c r="F12" s="28" t="s">
        <v>173</v>
      </c>
      <c r="G12" s="28" t="s">
        <v>173</v>
      </c>
      <c r="H12" s="28" t="s">
        <v>173</v>
      </c>
      <c r="I12" s="28" t="s">
        <v>173</v>
      </c>
      <c r="J12" s="28" t="s">
        <v>173</v>
      </c>
      <c r="K12" s="28" t="s">
        <v>173</v>
      </c>
      <c r="L12" s="28" t="s">
        <v>173</v>
      </c>
      <c r="M12" s="28" t="s">
        <v>173</v>
      </c>
      <c r="N12" s="28" t="s">
        <v>173</v>
      </c>
      <c r="O12" s="28" t="s">
        <v>173</v>
      </c>
      <c r="P12" s="28" t="s">
        <v>173</v>
      </c>
      <c r="Q12" s="28" t="s">
        <v>173</v>
      </c>
      <c r="R12" s="28" t="s">
        <v>173</v>
      </c>
      <c r="S12" s="28" t="s">
        <v>173</v>
      </c>
      <c r="T12" s="28" t="s">
        <v>173</v>
      </c>
      <c r="U12" s="28" t="s">
        <v>173</v>
      </c>
      <c r="V12" s="182" t="s">
        <v>173</v>
      </c>
      <c r="W12" s="28" t="s">
        <v>173</v>
      </c>
      <c r="X12" s="28" t="s">
        <v>173</v>
      </c>
      <c r="Y12" s="28" t="s">
        <v>173</v>
      </c>
      <c r="Z12" s="28" t="s">
        <v>173</v>
      </c>
      <c r="AA12" s="28" t="s">
        <v>173</v>
      </c>
      <c r="AB12" s="28" t="s">
        <v>173</v>
      </c>
      <c r="AC12" s="28" t="s">
        <v>173</v>
      </c>
      <c r="AD12" s="28" t="s">
        <v>173</v>
      </c>
      <c r="AE12" s="28" t="s">
        <v>173</v>
      </c>
      <c r="AF12" s="28" t="s">
        <v>173</v>
      </c>
      <c r="AG12" s="28" t="s">
        <v>173</v>
      </c>
      <c r="AH12" s="28" t="s">
        <v>173</v>
      </c>
    </row>
    <row r="13" spans="1:34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 t="s">
        <v>173</v>
      </c>
      <c r="S13" s="28" t="s">
        <v>173</v>
      </c>
      <c r="T13" s="28" t="s">
        <v>173</v>
      </c>
      <c r="U13" s="28" t="s">
        <v>173</v>
      </c>
      <c r="V13" s="182" t="s">
        <v>173</v>
      </c>
      <c r="W13" s="28" t="s">
        <v>173</v>
      </c>
      <c r="X13" s="28" t="s">
        <v>173</v>
      </c>
      <c r="Y13" s="28" t="s">
        <v>173</v>
      </c>
      <c r="Z13" s="28" t="s">
        <v>173</v>
      </c>
      <c r="AA13" s="28" t="s">
        <v>173</v>
      </c>
      <c r="AB13" s="28" t="s">
        <v>173</v>
      </c>
      <c r="AC13" s="28" t="s">
        <v>173</v>
      </c>
      <c r="AD13" s="28" t="s">
        <v>173</v>
      </c>
      <c r="AE13" s="28" t="s">
        <v>173</v>
      </c>
      <c r="AF13" s="28" t="s">
        <v>173</v>
      </c>
      <c r="AG13" s="28" t="s">
        <v>173</v>
      </c>
      <c r="AH13" s="28" t="s">
        <v>173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 t="s">
        <v>173</v>
      </c>
      <c r="V14" s="182" t="s">
        <v>173</v>
      </c>
      <c r="W14" s="28" t="s">
        <v>173</v>
      </c>
      <c r="X14" s="28" t="s">
        <v>173</v>
      </c>
      <c r="Y14" s="28" t="s">
        <v>173</v>
      </c>
      <c r="Z14" s="28" t="s">
        <v>173</v>
      </c>
      <c r="AA14" s="28" t="s">
        <v>173</v>
      </c>
      <c r="AB14" s="28" t="s">
        <v>173</v>
      </c>
      <c r="AC14" s="28" t="s">
        <v>173</v>
      </c>
      <c r="AD14" s="28" t="s">
        <v>173</v>
      </c>
      <c r="AE14" s="28" t="s">
        <v>173</v>
      </c>
      <c r="AF14" s="28" t="s">
        <v>173</v>
      </c>
      <c r="AG14" s="28" t="s">
        <v>173</v>
      </c>
      <c r="AH14" s="28" t="s">
        <v>173</v>
      </c>
    </row>
    <row r="15" spans="1:34" x14ac:dyDescent="0.25">
      <c r="A15" s="26" t="s">
        <v>175</v>
      </c>
      <c r="B15" s="28" t="s">
        <v>267</v>
      </c>
      <c r="C15" s="28" t="s">
        <v>267</v>
      </c>
      <c r="D15" s="28" t="s">
        <v>267</v>
      </c>
      <c r="E15" s="28" t="s">
        <v>267</v>
      </c>
      <c r="F15" s="28" t="s">
        <v>267</v>
      </c>
      <c r="G15" s="28" t="s">
        <v>267</v>
      </c>
      <c r="H15" s="28" t="s">
        <v>267</v>
      </c>
      <c r="I15" s="28" t="s">
        <v>267</v>
      </c>
      <c r="J15" s="28" t="s">
        <v>267</v>
      </c>
      <c r="K15" s="28" t="s">
        <v>267</v>
      </c>
      <c r="L15" s="28" t="s">
        <v>267</v>
      </c>
      <c r="M15" s="28" t="s">
        <v>267</v>
      </c>
      <c r="N15" s="28" t="s">
        <v>267</v>
      </c>
      <c r="O15" s="28" t="s">
        <v>267</v>
      </c>
      <c r="P15" s="28" t="s">
        <v>267</v>
      </c>
      <c r="Q15" s="28" t="s">
        <v>267</v>
      </c>
      <c r="R15" s="28" t="s">
        <v>267</v>
      </c>
      <c r="S15" s="28" t="s">
        <v>267</v>
      </c>
      <c r="T15" s="28" t="s">
        <v>267</v>
      </c>
      <c r="U15" s="28" t="s">
        <v>267</v>
      </c>
      <c r="V15" s="182" t="s">
        <v>199</v>
      </c>
      <c r="W15" s="28" t="s">
        <v>267</v>
      </c>
      <c r="X15" s="28" t="s">
        <v>267</v>
      </c>
      <c r="Y15" s="28" t="s">
        <v>267</v>
      </c>
      <c r="Z15" s="28" t="s">
        <v>267</v>
      </c>
      <c r="AA15" s="28" t="s">
        <v>267</v>
      </c>
      <c r="AB15" s="28" t="s">
        <v>267</v>
      </c>
      <c r="AC15" s="28" t="s">
        <v>267</v>
      </c>
      <c r="AD15" s="28" t="s">
        <v>267</v>
      </c>
      <c r="AE15" s="28" t="s">
        <v>267</v>
      </c>
      <c r="AF15" s="28" t="s">
        <v>267</v>
      </c>
      <c r="AG15" s="28" t="s">
        <v>267</v>
      </c>
      <c r="AH15" s="28" t="s">
        <v>267</v>
      </c>
    </row>
    <row r="16" spans="1:34" x14ac:dyDescent="0.25">
      <c r="A16" s="26" t="s">
        <v>176</v>
      </c>
      <c r="B16" s="30">
        <v>-3</v>
      </c>
      <c r="C16" s="30">
        <v>-3</v>
      </c>
      <c r="D16" s="30">
        <v>-3</v>
      </c>
      <c r="E16" s="30">
        <v>-3</v>
      </c>
      <c r="F16" s="30">
        <v>-3</v>
      </c>
      <c r="G16" s="30">
        <v>-3</v>
      </c>
      <c r="H16" s="30">
        <v>-3</v>
      </c>
      <c r="I16" s="30">
        <v>-3</v>
      </c>
      <c r="J16" s="30">
        <v>-3</v>
      </c>
      <c r="K16" s="30">
        <v>-3</v>
      </c>
      <c r="L16" s="30">
        <v>-3</v>
      </c>
      <c r="M16" s="30">
        <v>-3</v>
      </c>
      <c r="N16" s="30">
        <v>-3</v>
      </c>
      <c r="O16" s="30">
        <v>-3</v>
      </c>
      <c r="P16" s="30">
        <v>-3</v>
      </c>
      <c r="Q16" s="30">
        <v>-3</v>
      </c>
      <c r="R16" s="30">
        <v>-3</v>
      </c>
      <c r="S16" s="30">
        <v>-3</v>
      </c>
      <c r="T16" s="30">
        <v>-3</v>
      </c>
      <c r="U16" s="30">
        <v>-3</v>
      </c>
      <c r="V16" s="185">
        <v>-2</v>
      </c>
      <c r="W16" s="30">
        <v>-3</v>
      </c>
      <c r="X16" s="30">
        <v>-3</v>
      </c>
      <c r="Y16" s="30">
        <v>-3</v>
      </c>
      <c r="Z16" s="30">
        <v>-3</v>
      </c>
      <c r="AA16" s="30">
        <v>-3</v>
      </c>
      <c r="AB16" s="30">
        <v>-3</v>
      </c>
      <c r="AC16" s="30">
        <v>-3</v>
      </c>
      <c r="AD16" s="30">
        <v>-3</v>
      </c>
      <c r="AE16" s="30">
        <v>-3</v>
      </c>
      <c r="AF16" s="30">
        <v>-3</v>
      </c>
      <c r="AG16" s="30">
        <v>-3</v>
      </c>
      <c r="AH16" s="30">
        <v>-3</v>
      </c>
    </row>
    <row r="17" spans="1:34" x14ac:dyDescent="0.25">
      <c r="A17" s="26" t="s">
        <v>177</v>
      </c>
      <c r="B17" s="28" t="s">
        <v>178</v>
      </c>
      <c r="C17" s="28" t="s">
        <v>178</v>
      </c>
      <c r="D17" s="28" t="s">
        <v>178</v>
      </c>
      <c r="E17" s="28" t="s">
        <v>178</v>
      </c>
      <c r="F17" s="28" t="s">
        <v>178</v>
      </c>
      <c r="G17" s="28" t="s">
        <v>178</v>
      </c>
      <c r="H17" s="28" t="s">
        <v>178</v>
      </c>
      <c r="I17" s="28" t="s">
        <v>178</v>
      </c>
      <c r="J17" s="28" t="s">
        <v>178</v>
      </c>
      <c r="K17" s="28" t="s">
        <v>178</v>
      </c>
      <c r="L17" s="28" t="s">
        <v>178</v>
      </c>
      <c r="M17" s="28" t="s">
        <v>178</v>
      </c>
      <c r="N17" s="28" t="s">
        <v>178</v>
      </c>
      <c r="O17" s="28" t="s">
        <v>178</v>
      </c>
      <c r="P17" s="28" t="s">
        <v>178</v>
      </c>
      <c r="Q17" s="28" t="s">
        <v>178</v>
      </c>
      <c r="R17" s="28" t="s">
        <v>178</v>
      </c>
      <c r="S17" s="28" t="s">
        <v>178</v>
      </c>
      <c r="T17" s="28" t="s">
        <v>178</v>
      </c>
      <c r="U17" s="28" t="s">
        <v>178</v>
      </c>
      <c r="V17" s="182" t="s">
        <v>178</v>
      </c>
      <c r="W17" s="28" t="s">
        <v>178</v>
      </c>
      <c r="X17" s="28" t="s">
        <v>178</v>
      </c>
      <c r="Y17" s="28" t="s">
        <v>178</v>
      </c>
      <c r="Z17" s="28" t="s">
        <v>178</v>
      </c>
      <c r="AA17" s="28" t="s">
        <v>178</v>
      </c>
      <c r="AB17" s="28" t="s">
        <v>178</v>
      </c>
      <c r="AC17" s="28" t="s">
        <v>178</v>
      </c>
      <c r="AD17" s="28" t="s">
        <v>178</v>
      </c>
      <c r="AE17" s="28" t="s">
        <v>178</v>
      </c>
      <c r="AF17" s="28" t="s">
        <v>178</v>
      </c>
      <c r="AG17" s="28" t="s">
        <v>178</v>
      </c>
      <c r="AH17" s="28" t="s">
        <v>178</v>
      </c>
    </row>
    <row r="18" spans="1:34" x14ac:dyDescent="0.25">
      <c r="A18" s="26" t="s">
        <v>182</v>
      </c>
      <c r="B18" s="30">
        <v>4</v>
      </c>
      <c r="C18" s="30">
        <v>4</v>
      </c>
      <c r="D18" s="30">
        <v>4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30">
        <v>4</v>
      </c>
      <c r="S18" s="30">
        <v>4</v>
      </c>
      <c r="T18" s="30">
        <v>4</v>
      </c>
      <c r="U18" s="30">
        <v>4</v>
      </c>
      <c r="V18" s="185">
        <v>4</v>
      </c>
      <c r="W18" s="30">
        <v>4</v>
      </c>
      <c r="X18" s="30">
        <v>4</v>
      </c>
      <c r="Y18" s="30">
        <v>4</v>
      </c>
      <c r="Z18" s="30">
        <v>4</v>
      </c>
      <c r="AA18" s="30">
        <v>4</v>
      </c>
      <c r="AB18" s="30">
        <v>4</v>
      </c>
      <c r="AC18" s="30">
        <v>4</v>
      </c>
      <c r="AD18" s="30">
        <v>4</v>
      </c>
      <c r="AE18" s="30">
        <v>4</v>
      </c>
      <c r="AF18" s="30">
        <v>4</v>
      </c>
      <c r="AG18" s="30">
        <v>4</v>
      </c>
      <c r="AH18" s="30">
        <v>4</v>
      </c>
    </row>
    <row r="20" spans="1:34" x14ac:dyDescent="0.25">
      <c r="A20" s="31" t="s">
        <v>183</v>
      </c>
    </row>
    <row r="21" spans="1:34" x14ac:dyDescent="0.25">
      <c r="A21" s="26" t="s">
        <v>311</v>
      </c>
      <c r="B21" s="56" t="s">
        <v>295</v>
      </c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BDE0C-0714-4B39-8B77-6EBBD7ECCEEA}">
  <dimension ref="A1:AH22"/>
  <sheetViews>
    <sheetView workbookViewId="0">
      <selection activeCell="J9" sqref="J9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117</v>
      </c>
      <c r="I1" s="25" t="s">
        <v>118</v>
      </c>
    </row>
    <row r="3" spans="1:34" ht="18" x14ac:dyDescent="0.25">
      <c r="A3" s="25" t="s">
        <v>119</v>
      </c>
      <c r="B3" s="215">
        <v>11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312</v>
      </c>
      <c r="C4" s="215"/>
      <c r="D4" s="215"/>
      <c r="F4" s="216" t="s">
        <v>313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314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ht="15.75" customHeight="1" x14ac:dyDescent="0.25">
      <c r="A8" s="26" t="s">
        <v>159</v>
      </c>
      <c r="B8" s="28" t="s">
        <v>315</v>
      </c>
      <c r="C8" s="28" t="s">
        <v>302</v>
      </c>
      <c r="D8" s="28" t="s">
        <v>302</v>
      </c>
      <c r="E8" s="28" t="s">
        <v>316</v>
      </c>
      <c r="F8" s="28" t="s">
        <v>316</v>
      </c>
      <c r="G8" s="28" t="s">
        <v>317</v>
      </c>
      <c r="H8" s="28" t="s">
        <v>317</v>
      </c>
      <c r="I8" s="28" t="s">
        <v>317</v>
      </c>
      <c r="J8" s="29" t="s">
        <v>252</v>
      </c>
      <c r="K8" s="28" t="s">
        <v>302</v>
      </c>
      <c r="L8" s="28" t="s">
        <v>302</v>
      </c>
      <c r="M8" s="28" t="s">
        <v>302</v>
      </c>
      <c r="N8" s="29" t="s">
        <v>302</v>
      </c>
      <c r="O8" s="28" t="s">
        <v>302</v>
      </c>
      <c r="P8" s="28" t="s">
        <v>302</v>
      </c>
      <c r="Q8" s="28" t="s">
        <v>302</v>
      </c>
      <c r="R8" s="29" t="s">
        <v>318</v>
      </c>
      <c r="S8" s="29" t="s">
        <v>302</v>
      </c>
      <c r="T8" s="29" t="s">
        <v>222</v>
      </c>
      <c r="U8" s="29" t="s">
        <v>319</v>
      </c>
      <c r="V8" s="29" t="s">
        <v>320</v>
      </c>
      <c r="W8" s="29" t="s">
        <v>222</v>
      </c>
      <c r="X8" s="29" t="s">
        <v>302</v>
      </c>
      <c r="Y8" s="29" t="s">
        <v>302</v>
      </c>
      <c r="Z8" s="29" t="s">
        <v>321</v>
      </c>
      <c r="AA8" s="28" t="s">
        <v>302</v>
      </c>
      <c r="AB8" s="29"/>
      <c r="AC8" s="29" t="s">
        <v>322</v>
      </c>
      <c r="AD8" s="29"/>
      <c r="AE8" s="29" t="s">
        <v>322</v>
      </c>
      <c r="AF8" s="29" t="s">
        <v>323</v>
      </c>
      <c r="AG8" s="29" t="s">
        <v>221</v>
      </c>
      <c r="AH8" s="28" t="s">
        <v>302</v>
      </c>
    </row>
    <row r="9" spans="1:34" ht="15.75" customHeight="1" x14ac:dyDescent="0.25">
      <c r="A9" s="26" t="s">
        <v>165</v>
      </c>
      <c r="B9" s="28" t="s">
        <v>303</v>
      </c>
      <c r="C9" s="28" t="s">
        <v>324</v>
      </c>
      <c r="D9" s="28" t="s">
        <v>324</v>
      </c>
      <c r="E9" s="29" t="s">
        <v>283</v>
      </c>
      <c r="F9" s="29" t="s">
        <v>283</v>
      </c>
      <c r="G9" s="28" t="s">
        <v>325</v>
      </c>
      <c r="H9" s="28" t="s">
        <v>325</v>
      </c>
      <c r="I9" s="28" t="s">
        <v>325</v>
      </c>
      <c r="J9" s="29" t="s">
        <v>197</v>
      </c>
      <c r="K9" s="28" t="s">
        <v>324</v>
      </c>
      <c r="L9" s="28" t="s">
        <v>227</v>
      </c>
      <c r="M9" s="28" t="s">
        <v>324</v>
      </c>
      <c r="N9" s="115" t="s">
        <v>326</v>
      </c>
      <c r="O9" s="28" t="s">
        <v>324</v>
      </c>
      <c r="P9" s="28" t="s">
        <v>324</v>
      </c>
      <c r="Q9" s="28" t="s">
        <v>324</v>
      </c>
      <c r="R9" s="29" t="s">
        <v>227</v>
      </c>
      <c r="S9" s="29" t="s">
        <v>327</v>
      </c>
      <c r="T9" s="111" t="s">
        <v>328</v>
      </c>
      <c r="U9" s="29" t="s">
        <v>329</v>
      </c>
      <c r="V9" s="29" t="s">
        <v>330</v>
      </c>
      <c r="W9" s="29"/>
      <c r="X9" s="28" t="s">
        <v>303</v>
      </c>
      <c r="Y9" s="29" t="s">
        <v>227</v>
      </c>
      <c r="Z9" s="29" t="s">
        <v>331</v>
      </c>
      <c r="AA9" s="28" t="s">
        <v>227</v>
      </c>
      <c r="AB9" s="29"/>
      <c r="AC9" s="28" t="s">
        <v>322</v>
      </c>
      <c r="AD9" s="29"/>
      <c r="AE9" s="28" t="s">
        <v>322</v>
      </c>
      <c r="AF9" s="29" t="s">
        <v>332</v>
      </c>
      <c r="AG9" s="29" t="s">
        <v>225</v>
      </c>
      <c r="AH9" s="28" t="s">
        <v>227</v>
      </c>
    </row>
    <row r="10" spans="1:34" x14ac:dyDescent="0.25">
      <c r="A10" s="131" t="s">
        <v>168</v>
      </c>
      <c r="B10" s="157">
        <v>20</v>
      </c>
      <c r="C10" s="157">
        <v>57</v>
      </c>
      <c r="D10" s="157">
        <v>57</v>
      </c>
      <c r="E10" s="157">
        <v>56</v>
      </c>
      <c r="F10" s="157">
        <v>56</v>
      </c>
      <c r="G10" s="157">
        <v>39</v>
      </c>
      <c r="H10" s="157">
        <v>39</v>
      </c>
      <c r="I10" s="157">
        <v>39</v>
      </c>
      <c r="J10" s="157">
        <v>34</v>
      </c>
      <c r="K10" s="157">
        <v>57</v>
      </c>
      <c r="L10" s="157">
        <v>35</v>
      </c>
      <c r="M10" s="157">
        <v>57</v>
      </c>
      <c r="N10" s="157">
        <v>194</v>
      </c>
      <c r="O10" s="157">
        <v>57</v>
      </c>
      <c r="P10" s="157">
        <v>57</v>
      </c>
      <c r="Q10" s="157">
        <v>57</v>
      </c>
      <c r="R10" s="157">
        <v>35</v>
      </c>
      <c r="S10" s="157">
        <v>107</v>
      </c>
      <c r="T10" s="157">
        <v>111</v>
      </c>
      <c r="U10" s="157">
        <v>108</v>
      </c>
      <c r="V10" s="157"/>
      <c r="W10" s="157"/>
      <c r="X10" s="157">
        <v>20</v>
      </c>
      <c r="Y10" s="157">
        <v>35</v>
      </c>
      <c r="Z10" s="157">
        <v>18</v>
      </c>
      <c r="AA10" s="157">
        <v>35</v>
      </c>
      <c r="AB10" s="157"/>
      <c r="AC10" s="157">
        <v>98</v>
      </c>
      <c r="AD10" s="157"/>
      <c r="AE10" s="157">
        <v>98</v>
      </c>
      <c r="AF10" s="157">
        <v>109</v>
      </c>
      <c r="AG10" s="157">
        <v>27</v>
      </c>
      <c r="AH10" s="157">
        <v>35</v>
      </c>
    </row>
    <row r="11" spans="1:34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28" t="s">
        <v>170</v>
      </c>
      <c r="O11" s="28" t="s">
        <v>170</v>
      </c>
      <c r="P11" s="28" t="s">
        <v>170</v>
      </c>
      <c r="Q11" s="28" t="s">
        <v>170</v>
      </c>
      <c r="R11" s="28" t="s">
        <v>170</v>
      </c>
      <c r="S11" s="28" t="s">
        <v>170</v>
      </c>
      <c r="T11" s="28" t="s">
        <v>170</v>
      </c>
      <c r="U11" s="28" t="s">
        <v>170</v>
      </c>
      <c r="V11" s="28"/>
      <c r="W11" s="28"/>
      <c r="X11" s="28" t="s">
        <v>170</v>
      </c>
      <c r="Y11" s="28" t="s">
        <v>170</v>
      </c>
      <c r="Z11" s="28" t="s">
        <v>170</v>
      </c>
      <c r="AA11" s="28" t="s">
        <v>170</v>
      </c>
      <c r="AB11" s="28"/>
      <c r="AC11" s="28" t="s">
        <v>170</v>
      </c>
      <c r="AD11" s="28"/>
      <c r="AE11" s="28" t="s">
        <v>170</v>
      </c>
      <c r="AF11" s="28" t="s">
        <v>170</v>
      </c>
      <c r="AG11" s="28" t="s">
        <v>170</v>
      </c>
      <c r="AH11" s="28" t="s">
        <v>170</v>
      </c>
    </row>
    <row r="12" spans="1:34" x14ac:dyDescent="0.25">
      <c r="A12" s="26" t="s">
        <v>171</v>
      </c>
      <c r="B12" s="28" t="s">
        <v>170</v>
      </c>
      <c r="C12" s="28" t="s">
        <v>170</v>
      </c>
      <c r="D12" s="28" t="s">
        <v>170</v>
      </c>
      <c r="E12" s="28" t="s">
        <v>173</v>
      </c>
      <c r="F12" s="28" t="s">
        <v>173</v>
      </c>
      <c r="G12" s="28" t="s">
        <v>170</v>
      </c>
      <c r="H12" s="28" t="s">
        <v>170</v>
      </c>
      <c r="I12" s="28" t="s">
        <v>170</v>
      </c>
      <c r="J12" s="28" t="s">
        <v>173</v>
      </c>
      <c r="K12" s="28" t="s">
        <v>170</v>
      </c>
      <c r="L12" s="28" t="s">
        <v>170</v>
      </c>
      <c r="M12" s="28" t="s">
        <v>170</v>
      </c>
      <c r="N12" s="28" t="s">
        <v>170</v>
      </c>
      <c r="O12" s="28" t="s">
        <v>170</v>
      </c>
      <c r="P12" s="28" t="s">
        <v>170</v>
      </c>
      <c r="Q12" s="28" t="s">
        <v>170</v>
      </c>
      <c r="R12" s="28" t="s">
        <v>170</v>
      </c>
      <c r="S12" s="28" t="s">
        <v>170</v>
      </c>
      <c r="T12" s="28" t="s">
        <v>170</v>
      </c>
      <c r="U12" s="28" t="s">
        <v>170</v>
      </c>
      <c r="V12" s="28"/>
      <c r="W12" s="28"/>
      <c r="X12" s="28" t="s">
        <v>170</v>
      </c>
      <c r="Y12" s="28" t="s">
        <v>170</v>
      </c>
      <c r="Z12" s="28" t="s">
        <v>170</v>
      </c>
      <c r="AA12" s="28" t="s">
        <v>170</v>
      </c>
      <c r="AB12" s="28"/>
      <c r="AC12" s="28" t="s">
        <v>170</v>
      </c>
      <c r="AD12" s="28"/>
      <c r="AE12" s="28" t="s">
        <v>170</v>
      </c>
      <c r="AF12" s="28" t="s">
        <v>173</v>
      </c>
      <c r="AG12" s="28" t="s">
        <v>170</v>
      </c>
      <c r="AH12" s="28" t="s">
        <v>170</v>
      </c>
    </row>
    <row r="13" spans="1:34" x14ac:dyDescent="0.25">
      <c r="A13" s="26" t="s">
        <v>172</v>
      </c>
      <c r="B13" s="28" t="s">
        <v>173</v>
      </c>
      <c r="C13" s="28" t="s">
        <v>170</v>
      </c>
      <c r="D13" s="28" t="s">
        <v>170</v>
      </c>
      <c r="E13" s="28" t="s">
        <v>170</v>
      </c>
      <c r="F13" s="28" t="s">
        <v>170</v>
      </c>
      <c r="G13" s="28" t="s">
        <v>173</v>
      </c>
      <c r="H13" s="28" t="s">
        <v>173</v>
      </c>
      <c r="I13" s="28" t="s">
        <v>173</v>
      </c>
      <c r="J13" s="28" t="s">
        <v>170</v>
      </c>
      <c r="K13" s="28" t="s">
        <v>170</v>
      </c>
      <c r="L13" s="28" t="s">
        <v>170</v>
      </c>
      <c r="M13" s="28" t="s">
        <v>170</v>
      </c>
      <c r="N13" s="28" t="s">
        <v>170</v>
      </c>
      <c r="O13" s="28" t="s">
        <v>170</v>
      </c>
      <c r="P13" s="28" t="s">
        <v>170</v>
      </c>
      <c r="Q13" s="28" t="s">
        <v>170</v>
      </c>
      <c r="R13" s="28" t="s">
        <v>170</v>
      </c>
      <c r="S13" s="130" t="s">
        <v>266</v>
      </c>
      <c r="T13" s="28" t="s">
        <v>170</v>
      </c>
      <c r="U13" s="28" t="s">
        <v>170</v>
      </c>
      <c r="V13" s="28"/>
      <c r="W13" s="28"/>
      <c r="X13" s="28" t="s">
        <v>173</v>
      </c>
      <c r="Y13" s="28" t="s">
        <v>170</v>
      </c>
      <c r="Z13" s="28" t="s">
        <v>173</v>
      </c>
      <c r="AA13" s="28" t="s">
        <v>170</v>
      </c>
      <c r="AB13" s="28"/>
      <c r="AC13" s="28" t="s">
        <v>173</v>
      </c>
      <c r="AD13" s="28"/>
      <c r="AE13" s="28" t="s">
        <v>173</v>
      </c>
      <c r="AF13" s="130" t="s">
        <v>266</v>
      </c>
      <c r="AG13" s="28" t="s">
        <v>170</v>
      </c>
      <c r="AH13" s="28" t="s">
        <v>170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 t="s">
        <v>173</v>
      </c>
      <c r="V14" s="28"/>
      <c r="W14" s="28"/>
      <c r="X14" s="28" t="s">
        <v>173</v>
      </c>
      <c r="Y14" s="28" t="s">
        <v>173</v>
      </c>
      <c r="Z14" s="28" t="s">
        <v>173</v>
      </c>
      <c r="AA14" s="28" t="s">
        <v>173</v>
      </c>
      <c r="AB14" s="28"/>
      <c r="AC14" s="28" t="s">
        <v>173</v>
      </c>
      <c r="AD14" s="28"/>
      <c r="AE14" s="28" t="s">
        <v>173</v>
      </c>
      <c r="AF14" s="28" t="s">
        <v>173</v>
      </c>
      <c r="AG14" s="28" t="s">
        <v>173</v>
      </c>
      <c r="AH14" s="28" t="s">
        <v>173</v>
      </c>
    </row>
    <row r="15" spans="1:34" x14ac:dyDescent="0.25">
      <c r="A15" s="26" t="s">
        <v>175</v>
      </c>
      <c r="B15" s="28" t="s">
        <v>267</v>
      </c>
      <c r="C15" s="28" t="s">
        <v>199</v>
      </c>
      <c r="D15" s="28" t="s">
        <v>199</v>
      </c>
      <c r="E15" s="28" t="s">
        <v>199</v>
      </c>
      <c r="F15" s="28" t="s">
        <v>199</v>
      </c>
      <c r="G15" s="28" t="s">
        <v>199</v>
      </c>
      <c r="H15" s="28" t="s">
        <v>199</v>
      </c>
      <c r="I15" s="28" t="s">
        <v>199</v>
      </c>
      <c r="J15" s="28" t="s">
        <v>199</v>
      </c>
      <c r="K15" s="28" t="s">
        <v>199</v>
      </c>
      <c r="L15" s="28" t="s">
        <v>199</v>
      </c>
      <c r="M15" s="28" t="s">
        <v>199</v>
      </c>
      <c r="N15" s="28" t="s">
        <v>333</v>
      </c>
      <c r="O15" s="28" t="s">
        <v>199</v>
      </c>
      <c r="P15" s="28" t="s">
        <v>199</v>
      </c>
      <c r="Q15" s="28" t="s">
        <v>199</v>
      </c>
      <c r="R15" s="28" t="s">
        <v>199</v>
      </c>
      <c r="S15" s="28" t="s">
        <v>198</v>
      </c>
      <c r="T15" s="28" t="s">
        <v>198</v>
      </c>
      <c r="U15" s="28" t="s">
        <v>268</v>
      </c>
      <c r="V15" s="28"/>
      <c r="W15" s="28"/>
      <c r="X15" s="28" t="s">
        <v>267</v>
      </c>
      <c r="Y15" s="28" t="s">
        <v>199</v>
      </c>
      <c r="Z15" s="28" t="s">
        <v>199</v>
      </c>
      <c r="AA15" s="28" t="s">
        <v>199</v>
      </c>
      <c r="AB15" s="28"/>
      <c r="AC15" s="28" t="s">
        <v>199</v>
      </c>
      <c r="AD15" s="28"/>
      <c r="AE15" s="28" t="s">
        <v>199</v>
      </c>
      <c r="AF15" s="28" t="s">
        <v>198</v>
      </c>
      <c r="AG15" s="28" t="s">
        <v>198</v>
      </c>
      <c r="AH15" s="28" t="s">
        <v>199</v>
      </c>
    </row>
    <row r="16" spans="1:34" x14ac:dyDescent="0.25">
      <c r="A16" s="26" t="s">
        <v>176</v>
      </c>
      <c r="B16" s="30">
        <v>-3</v>
      </c>
      <c r="C16" s="30">
        <v>-0.5</v>
      </c>
      <c r="D16" s="30">
        <v>-0.5</v>
      </c>
      <c r="E16" s="30">
        <v>-0.5</v>
      </c>
      <c r="F16" s="30">
        <v>-0.5</v>
      </c>
      <c r="G16" s="30">
        <v>-2</v>
      </c>
      <c r="H16" s="30">
        <v>-2</v>
      </c>
      <c r="I16" s="30">
        <v>-2</v>
      </c>
      <c r="J16" s="30">
        <v>-0.5</v>
      </c>
      <c r="K16" s="30">
        <v>-0.5</v>
      </c>
      <c r="L16" s="30">
        <v>-0.5</v>
      </c>
      <c r="M16" s="30">
        <v>-0.5</v>
      </c>
      <c r="N16" s="30">
        <f>AVERAGE(-0.5,-0.5,0.5)</f>
        <v>-0.16666666666666666</v>
      </c>
      <c r="O16" s="30">
        <v>-0.5</v>
      </c>
      <c r="P16" s="30">
        <v>-0.5</v>
      </c>
      <c r="Q16" s="30">
        <v>-0.5</v>
      </c>
      <c r="R16" s="30">
        <v>-0.5</v>
      </c>
      <c r="S16" s="30">
        <f>AVERAGE(1,2)</f>
        <v>1.5</v>
      </c>
      <c r="T16" s="30">
        <v>1</v>
      </c>
      <c r="U16" s="30">
        <f>AVERAGE(-0.5,1)</f>
        <v>0.25</v>
      </c>
      <c r="V16" s="30"/>
      <c r="W16" s="30"/>
      <c r="X16" s="30">
        <v>-3</v>
      </c>
      <c r="Y16" s="30">
        <v>-0.5</v>
      </c>
      <c r="Z16" s="30">
        <v>-2</v>
      </c>
      <c r="AA16" s="30">
        <v>-0.5</v>
      </c>
      <c r="AB16" s="30"/>
      <c r="AC16" s="30">
        <v>-2</v>
      </c>
      <c r="AD16" s="30"/>
      <c r="AE16" s="30">
        <v>-2</v>
      </c>
      <c r="AF16" s="30">
        <f>AVERAGE(0.5,2)</f>
        <v>1.25</v>
      </c>
      <c r="AG16" s="30">
        <f>4/3</f>
        <v>1.3333333333333333</v>
      </c>
      <c r="AH16" s="30">
        <v>-0.5</v>
      </c>
    </row>
    <row r="17" spans="1:34" x14ac:dyDescent="0.25">
      <c r="A17" s="26" t="s">
        <v>177</v>
      </c>
      <c r="B17" s="28" t="s">
        <v>178</v>
      </c>
      <c r="C17" s="28" t="s">
        <v>181</v>
      </c>
      <c r="D17" s="28" t="s">
        <v>181</v>
      </c>
      <c r="E17" s="28" t="s">
        <v>181</v>
      </c>
      <c r="F17" s="28" t="s">
        <v>181</v>
      </c>
      <c r="G17" s="28" t="s">
        <v>200</v>
      </c>
      <c r="H17" s="28" t="s">
        <v>200</v>
      </c>
      <c r="I17" s="28" t="s">
        <v>200</v>
      </c>
      <c r="J17" s="28" t="s">
        <v>200</v>
      </c>
      <c r="K17" s="28" t="s">
        <v>181</v>
      </c>
      <c r="L17" s="28" t="s">
        <v>200</v>
      </c>
      <c r="M17" s="28" t="s">
        <v>181</v>
      </c>
      <c r="N17" s="28" t="s">
        <v>200</v>
      </c>
      <c r="O17" s="28" t="s">
        <v>181</v>
      </c>
      <c r="P17" s="28" t="s">
        <v>181</v>
      </c>
      <c r="Q17" s="28" t="s">
        <v>181</v>
      </c>
      <c r="R17" s="28" t="s">
        <v>200</v>
      </c>
      <c r="S17" s="28" t="s">
        <v>292</v>
      </c>
      <c r="T17" s="113" t="s">
        <v>269</v>
      </c>
      <c r="U17" s="28" t="s">
        <v>292</v>
      </c>
      <c r="V17" s="28"/>
      <c r="W17" s="28"/>
      <c r="X17" s="28" t="s">
        <v>178</v>
      </c>
      <c r="Y17" s="28" t="s">
        <v>200</v>
      </c>
      <c r="Z17" s="28" t="s">
        <v>178</v>
      </c>
      <c r="AA17" s="28" t="s">
        <v>200</v>
      </c>
      <c r="AB17" s="28"/>
      <c r="AC17" s="28" t="s">
        <v>334</v>
      </c>
      <c r="AD17" s="28"/>
      <c r="AE17" s="28" t="s">
        <v>334</v>
      </c>
      <c r="AF17" s="28" t="s">
        <v>181</v>
      </c>
      <c r="AG17" s="28" t="s">
        <v>200</v>
      </c>
      <c r="AH17" s="28" t="s">
        <v>200</v>
      </c>
    </row>
    <row r="18" spans="1:34" x14ac:dyDescent="0.25">
      <c r="A18" s="26" t="s">
        <v>182</v>
      </c>
      <c r="B18" s="30">
        <v>4</v>
      </c>
      <c r="C18" s="30">
        <v>2</v>
      </c>
      <c r="D18" s="30">
        <v>2</v>
      </c>
      <c r="E18" s="30">
        <v>2</v>
      </c>
      <c r="F18" s="30">
        <v>2</v>
      </c>
      <c r="G18" s="30">
        <v>3</v>
      </c>
      <c r="H18" s="30">
        <v>3</v>
      </c>
      <c r="I18" s="30">
        <v>3</v>
      </c>
      <c r="J18" s="30">
        <v>3</v>
      </c>
      <c r="K18" s="30">
        <v>2</v>
      </c>
      <c r="L18" s="30">
        <v>3</v>
      </c>
      <c r="M18" s="30">
        <v>2</v>
      </c>
      <c r="N18" s="30">
        <v>3</v>
      </c>
      <c r="O18" s="30">
        <v>2</v>
      </c>
      <c r="P18" s="30">
        <v>2</v>
      </c>
      <c r="Q18" s="30">
        <v>2</v>
      </c>
      <c r="R18" s="30">
        <v>3</v>
      </c>
      <c r="S18" s="30">
        <f>AVERAGE(3,2)</f>
        <v>2.5</v>
      </c>
      <c r="T18" s="30">
        <f>AVERAGE(2,2,3)</f>
        <v>2.3333333333333335</v>
      </c>
      <c r="U18" s="30">
        <f>AVERAGE(3,2)</f>
        <v>2.5</v>
      </c>
      <c r="V18" s="30"/>
      <c r="W18" s="30"/>
      <c r="X18" s="30">
        <v>4</v>
      </c>
      <c r="Y18" s="30">
        <v>3</v>
      </c>
      <c r="Z18" s="30">
        <v>4</v>
      </c>
      <c r="AA18" s="30">
        <v>3</v>
      </c>
      <c r="AB18" s="30"/>
      <c r="AC18" s="30">
        <f>1/3</f>
        <v>0.33333333333333331</v>
      </c>
      <c r="AD18" s="30"/>
      <c r="AE18" s="30">
        <f>1/3</f>
        <v>0.33333333333333331</v>
      </c>
      <c r="AF18" s="30">
        <v>2</v>
      </c>
      <c r="AG18" s="30">
        <v>3</v>
      </c>
      <c r="AH18" s="30">
        <v>3</v>
      </c>
    </row>
    <row r="20" spans="1:34" x14ac:dyDescent="0.25">
      <c r="A20" s="31" t="s">
        <v>183</v>
      </c>
    </row>
    <row r="21" spans="1:34" x14ac:dyDescent="0.25">
      <c r="A21" s="236" t="s">
        <v>335</v>
      </c>
      <c r="B21" s="56" t="s">
        <v>336</v>
      </c>
    </row>
    <row r="22" spans="1:34" x14ac:dyDescent="0.25">
      <c r="A22" s="236"/>
      <c r="B22" s="93" t="s">
        <v>337</v>
      </c>
    </row>
  </sheetData>
  <mergeCells count="6">
    <mergeCell ref="A21:A22"/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39E1F-30FC-46C7-8792-76D3D0633424}">
  <dimension ref="A1:AH22"/>
  <sheetViews>
    <sheetView workbookViewId="0">
      <selection activeCell="J9" sqref="J9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117</v>
      </c>
      <c r="I1" s="25" t="s">
        <v>118</v>
      </c>
    </row>
    <row r="3" spans="1:34" ht="18" x14ac:dyDescent="0.25">
      <c r="A3" s="25" t="s">
        <v>119</v>
      </c>
      <c r="B3" s="215">
        <v>12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312</v>
      </c>
      <c r="C4" s="215"/>
      <c r="D4" s="215"/>
      <c r="F4" s="216" t="s">
        <v>338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339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ht="15.75" customHeight="1" x14ac:dyDescent="0.25">
      <c r="A8" s="26" t="s">
        <v>159</v>
      </c>
      <c r="B8" s="29" t="s">
        <v>315</v>
      </c>
      <c r="C8" s="29" t="s">
        <v>302</v>
      </c>
      <c r="D8" s="29" t="s">
        <v>302</v>
      </c>
      <c r="E8" s="28" t="s">
        <v>316</v>
      </c>
      <c r="F8" s="28" t="s">
        <v>316</v>
      </c>
      <c r="G8" s="29" t="s">
        <v>340</v>
      </c>
      <c r="H8" s="29" t="s">
        <v>340</v>
      </c>
      <c r="I8" s="29" t="s">
        <v>340</v>
      </c>
      <c r="J8" s="29" t="s">
        <v>252</v>
      </c>
      <c r="K8" s="29" t="s">
        <v>302</v>
      </c>
      <c r="L8" s="29" t="s">
        <v>302</v>
      </c>
      <c r="M8" s="29" t="s">
        <v>302</v>
      </c>
      <c r="N8" s="29" t="s">
        <v>302</v>
      </c>
      <c r="O8" s="28" t="s">
        <v>302</v>
      </c>
      <c r="P8" s="29" t="s">
        <v>302</v>
      </c>
      <c r="Q8" s="28" t="s">
        <v>302</v>
      </c>
      <c r="R8" s="29" t="s">
        <v>318</v>
      </c>
      <c r="S8" s="29" t="s">
        <v>302</v>
      </c>
      <c r="T8" s="29" t="s">
        <v>222</v>
      </c>
      <c r="U8" s="29" t="s">
        <v>319</v>
      </c>
      <c r="V8" s="29" t="s">
        <v>320</v>
      </c>
      <c r="W8" s="29" t="s">
        <v>222</v>
      </c>
      <c r="X8" s="29" t="s">
        <v>302</v>
      </c>
      <c r="Y8" s="29" t="s">
        <v>302</v>
      </c>
      <c r="Z8" s="29" t="s">
        <v>321</v>
      </c>
      <c r="AA8" s="29" t="s">
        <v>302</v>
      </c>
      <c r="AB8" s="29"/>
      <c r="AC8" s="29" t="s">
        <v>322</v>
      </c>
      <c r="AD8" s="29"/>
      <c r="AE8" s="29" t="s">
        <v>322</v>
      </c>
      <c r="AF8" s="29" t="s">
        <v>323</v>
      </c>
      <c r="AG8" s="29" t="s">
        <v>221</v>
      </c>
      <c r="AH8" s="29" t="s">
        <v>302</v>
      </c>
    </row>
    <row r="9" spans="1:34" ht="15.75" customHeight="1" x14ac:dyDescent="0.25">
      <c r="A9" s="26" t="s">
        <v>165</v>
      </c>
      <c r="B9" s="29" t="s">
        <v>303</v>
      </c>
      <c r="C9" s="29" t="s">
        <v>324</v>
      </c>
      <c r="D9" s="29" t="s">
        <v>324</v>
      </c>
      <c r="E9" s="29" t="s">
        <v>283</v>
      </c>
      <c r="F9" s="29" t="s">
        <v>283</v>
      </c>
      <c r="G9" s="81" t="s">
        <v>341</v>
      </c>
      <c r="H9" s="81" t="s">
        <v>341</v>
      </c>
      <c r="I9" s="81" t="s">
        <v>341</v>
      </c>
      <c r="J9" s="29" t="s">
        <v>197</v>
      </c>
      <c r="K9" s="29" t="s">
        <v>324</v>
      </c>
      <c r="L9" s="29" t="s">
        <v>227</v>
      </c>
      <c r="M9" s="29" t="s">
        <v>324</v>
      </c>
      <c r="N9" s="115" t="s">
        <v>326</v>
      </c>
      <c r="O9" s="28" t="s">
        <v>324</v>
      </c>
      <c r="P9" s="29" t="s">
        <v>324</v>
      </c>
      <c r="Q9" s="28" t="s">
        <v>324</v>
      </c>
      <c r="R9" s="29" t="s">
        <v>227</v>
      </c>
      <c r="S9" s="29" t="s">
        <v>327</v>
      </c>
      <c r="T9" s="111" t="s">
        <v>328</v>
      </c>
      <c r="U9" s="29" t="s">
        <v>329</v>
      </c>
      <c r="V9" s="29"/>
      <c r="W9" s="29"/>
      <c r="X9" s="28" t="s">
        <v>303</v>
      </c>
      <c r="Y9" s="29" t="s">
        <v>227</v>
      </c>
      <c r="Z9" s="29" t="s">
        <v>331</v>
      </c>
      <c r="AA9" s="29" t="s">
        <v>227</v>
      </c>
      <c r="AB9" s="29"/>
      <c r="AC9" s="28" t="s">
        <v>322</v>
      </c>
      <c r="AD9" s="29"/>
      <c r="AE9" s="28" t="s">
        <v>322</v>
      </c>
      <c r="AF9" s="29" t="s">
        <v>332</v>
      </c>
      <c r="AG9" s="29" t="s">
        <v>225</v>
      </c>
      <c r="AH9" s="29" t="s">
        <v>227</v>
      </c>
    </row>
    <row r="10" spans="1:34" x14ac:dyDescent="0.25">
      <c r="A10" s="131" t="s">
        <v>168</v>
      </c>
      <c r="B10" s="157">
        <v>20</v>
      </c>
      <c r="C10" s="157">
        <v>57</v>
      </c>
      <c r="D10" s="157">
        <v>57</v>
      </c>
      <c r="E10" s="157">
        <v>56</v>
      </c>
      <c r="F10" s="157">
        <v>56</v>
      </c>
      <c r="G10" s="198"/>
      <c r="H10" s="198"/>
      <c r="I10" s="198"/>
      <c r="J10" s="157">
        <v>34</v>
      </c>
      <c r="K10" s="157">
        <v>57</v>
      </c>
      <c r="L10" s="157">
        <v>35</v>
      </c>
      <c r="M10" s="157">
        <v>57</v>
      </c>
      <c r="N10" s="157">
        <v>194</v>
      </c>
      <c r="O10" s="157">
        <v>57</v>
      </c>
      <c r="P10" s="157">
        <v>57</v>
      </c>
      <c r="Q10" s="157">
        <v>57</v>
      </c>
      <c r="R10" s="157">
        <v>35</v>
      </c>
      <c r="S10" s="157">
        <v>107</v>
      </c>
      <c r="T10" s="157">
        <v>111</v>
      </c>
      <c r="U10" s="157">
        <v>108</v>
      </c>
      <c r="V10" s="157"/>
      <c r="W10" s="157"/>
      <c r="X10" s="157">
        <v>20</v>
      </c>
      <c r="Y10" s="157">
        <v>35</v>
      </c>
      <c r="Z10" s="157">
        <v>18</v>
      </c>
      <c r="AA10" s="157">
        <v>35</v>
      </c>
      <c r="AB10" s="157"/>
      <c r="AC10" s="157">
        <v>98</v>
      </c>
      <c r="AD10" s="157"/>
      <c r="AE10" s="157">
        <v>98</v>
      </c>
      <c r="AF10" s="157">
        <v>109</v>
      </c>
      <c r="AG10" s="157">
        <v>27</v>
      </c>
      <c r="AH10" s="157">
        <v>35</v>
      </c>
    </row>
    <row r="11" spans="1:34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80" t="s">
        <v>173</v>
      </c>
      <c r="H11" s="80" t="s">
        <v>173</v>
      </c>
      <c r="I11" s="80" t="s">
        <v>173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28" t="s">
        <v>170</v>
      </c>
      <c r="O11" s="28" t="s">
        <v>170</v>
      </c>
      <c r="P11" s="28" t="s">
        <v>170</v>
      </c>
      <c r="Q11" s="28" t="s">
        <v>170</v>
      </c>
      <c r="R11" s="28" t="s">
        <v>170</v>
      </c>
      <c r="S11" s="28" t="s">
        <v>170</v>
      </c>
      <c r="T11" s="28" t="s">
        <v>170</v>
      </c>
      <c r="U11" s="28" t="s">
        <v>170</v>
      </c>
      <c r="V11" s="28"/>
      <c r="W11" s="28"/>
      <c r="X11" s="28" t="s">
        <v>170</v>
      </c>
      <c r="Y11" s="28" t="s">
        <v>170</v>
      </c>
      <c r="Z11" s="28" t="s">
        <v>170</v>
      </c>
      <c r="AA11" s="28" t="s">
        <v>170</v>
      </c>
      <c r="AB11" s="28"/>
      <c r="AC11" s="28" t="s">
        <v>170</v>
      </c>
      <c r="AD11" s="28"/>
      <c r="AE11" s="28" t="s">
        <v>170</v>
      </c>
      <c r="AF11" s="28" t="s">
        <v>170</v>
      </c>
      <c r="AG11" s="28" t="s">
        <v>170</v>
      </c>
      <c r="AH11" s="28" t="s">
        <v>170</v>
      </c>
    </row>
    <row r="12" spans="1:34" x14ac:dyDescent="0.25">
      <c r="A12" s="26" t="s">
        <v>171</v>
      </c>
      <c r="B12" s="28" t="s">
        <v>170</v>
      </c>
      <c r="C12" s="28" t="s">
        <v>170</v>
      </c>
      <c r="D12" s="28" t="s">
        <v>170</v>
      </c>
      <c r="E12" s="28" t="s">
        <v>173</v>
      </c>
      <c r="F12" s="28" t="s">
        <v>173</v>
      </c>
      <c r="G12" s="80" t="s">
        <v>173</v>
      </c>
      <c r="H12" s="80" t="s">
        <v>173</v>
      </c>
      <c r="I12" s="80" t="s">
        <v>173</v>
      </c>
      <c r="J12" s="28" t="s">
        <v>173</v>
      </c>
      <c r="K12" s="28" t="s">
        <v>170</v>
      </c>
      <c r="L12" s="28" t="s">
        <v>170</v>
      </c>
      <c r="M12" s="28" t="s">
        <v>170</v>
      </c>
      <c r="N12" s="28" t="s">
        <v>170</v>
      </c>
      <c r="O12" s="28" t="s">
        <v>170</v>
      </c>
      <c r="P12" s="28" t="s">
        <v>170</v>
      </c>
      <c r="Q12" s="28" t="s">
        <v>170</v>
      </c>
      <c r="R12" s="28" t="s">
        <v>170</v>
      </c>
      <c r="S12" s="28" t="s">
        <v>170</v>
      </c>
      <c r="T12" s="28" t="s">
        <v>170</v>
      </c>
      <c r="U12" s="28" t="s">
        <v>170</v>
      </c>
      <c r="V12" s="28"/>
      <c r="W12" s="28"/>
      <c r="X12" s="28" t="s">
        <v>170</v>
      </c>
      <c r="Y12" s="28" t="s">
        <v>170</v>
      </c>
      <c r="Z12" s="28" t="s">
        <v>170</v>
      </c>
      <c r="AA12" s="28" t="s">
        <v>170</v>
      </c>
      <c r="AB12" s="28"/>
      <c r="AC12" s="28" t="s">
        <v>170</v>
      </c>
      <c r="AD12" s="28"/>
      <c r="AE12" s="28" t="s">
        <v>170</v>
      </c>
      <c r="AF12" s="28" t="s">
        <v>173</v>
      </c>
      <c r="AG12" s="28" t="s">
        <v>170</v>
      </c>
      <c r="AH12" s="28" t="s">
        <v>170</v>
      </c>
    </row>
    <row r="13" spans="1:34" x14ac:dyDescent="0.25">
      <c r="A13" s="26" t="s">
        <v>172</v>
      </c>
      <c r="B13" s="28" t="s">
        <v>173</v>
      </c>
      <c r="C13" s="28" t="s">
        <v>170</v>
      </c>
      <c r="D13" s="28" t="s">
        <v>170</v>
      </c>
      <c r="E13" s="28" t="s">
        <v>170</v>
      </c>
      <c r="F13" s="28" t="s">
        <v>170</v>
      </c>
      <c r="G13" s="80" t="s">
        <v>173</v>
      </c>
      <c r="H13" s="80" t="s">
        <v>173</v>
      </c>
      <c r="I13" s="80" t="s">
        <v>173</v>
      </c>
      <c r="J13" s="28" t="s">
        <v>170</v>
      </c>
      <c r="K13" s="28" t="s">
        <v>170</v>
      </c>
      <c r="L13" s="28" t="s">
        <v>170</v>
      </c>
      <c r="M13" s="28" t="s">
        <v>170</v>
      </c>
      <c r="N13" s="28" t="s">
        <v>170</v>
      </c>
      <c r="O13" s="28" t="s">
        <v>170</v>
      </c>
      <c r="P13" s="28" t="s">
        <v>170</v>
      </c>
      <c r="Q13" s="28" t="s">
        <v>170</v>
      </c>
      <c r="R13" s="28" t="s">
        <v>170</v>
      </c>
      <c r="S13" s="130" t="s">
        <v>266</v>
      </c>
      <c r="T13" s="28" t="s">
        <v>170</v>
      </c>
      <c r="U13" s="28" t="s">
        <v>170</v>
      </c>
      <c r="V13" s="28"/>
      <c r="W13" s="28"/>
      <c r="X13" s="28" t="s">
        <v>173</v>
      </c>
      <c r="Y13" s="28" t="s">
        <v>170</v>
      </c>
      <c r="Z13" s="28" t="s">
        <v>173</v>
      </c>
      <c r="AA13" s="28" t="s">
        <v>170</v>
      </c>
      <c r="AB13" s="28"/>
      <c r="AC13" s="28" t="s">
        <v>173</v>
      </c>
      <c r="AD13" s="28"/>
      <c r="AE13" s="28" t="s">
        <v>173</v>
      </c>
      <c r="AF13" s="130" t="s">
        <v>266</v>
      </c>
      <c r="AG13" s="28" t="s">
        <v>170</v>
      </c>
      <c r="AH13" s="28" t="s">
        <v>170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80" t="s">
        <v>173</v>
      </c>
      <c r="H14" s="80" t="s">
        <v>173</v>
      </c>
      <c r="I14" s="80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 t="s">
        <v>173</v>
      </c>
      <c r="V14" s="28"/>
      <c r="W14" s="28"/>
      <c r="X14" s="28" t="s">
        <v>173</v>
      </c>
      <c r="Y14" s="28" t="s">
        <v>173</v>
      </c>
      <c r="Z14" s="28" t="s">
        <v>173</v>
      </c>
      <c r="AA14" s="28" t="s">
        <v>173</v>
      </c>
      <c r="AB14" s="28"/>
      <c r="AC14" s="28" t="s">
        <v>173</v>
      </c>
      <c r="AD14" s="28"/>
      <c r="AE14" s="28" t="s">
        <v>173</v>
      </c>
      <c r="AF14" s="28" t="s">
        <v>173</v>
      </c>
      <c r="AG14" s="28" t="s">
        <v>173</v>
      </c>
      <c r="AH14" s="28" t="s">
        <v>173</v>
      </c>
    </row>
    <row r="15" spans="1:34" x14ac:dyDescent="0.25">
      <c r="A15" s="26" t="s">
        <v>175</v>
      </c>
      <c r="B15" s="28" t="s">
        <v>267</v>
      </c>
      <c r="C15" s="28" t="s">
        <v>199</v>
      </c>
      <c r="D15" s="28" t="s">
        <v>199</v>
      </c>
      <c r="E15" s="28" t="s">
        <v>199</v>
      </c>
      <c r="F15" s="28" t="s">
        <v>199</v>
      </c>
      <c r="G15" s="80" t="s">
        <v>199</v>
      </c>
      <c r="H15" s="80" t="s">
        <v>199</v>
      </c>
      <c r="I15" s="80" t="s">
        <v>199</v>
      </c>
      <c r="J15" s="28" t="s">
        <v>199</v>
      </c>
      <c r="K15" s="28" t="s">
        <v>199</v>
      </c>
      <c r="L15" s="28" t="s">
        <v>199</v>
      </c>
      <c r="M15" s="28" t="s">
        <v>199</v>
      </c>
      <c r="N15" s="28" t="s">
        <v>333</v>
      </c>
      <c r="O15" s="28" t="s">
        <v>199</v>
      </c>
      <c r="P15" s="28" t="s">
        <v>199</v>
      </c>
      <c r="Q15" s="28" t="s">
        <v>199</v>
      </c>
      <c r="R15" s="28" t="s">
        <v>199</v>
      </c>
      <c r="S15" s="28" t="s">
        <v>198</v>
      </c>
      <c r="T15" s="28" t="s">
        <v>198</v>
      </c>
      <c r="U15" s="28" t="s">
        <v>268</v>
      </c>
      <c r="V15" s="28"/>
      <c r="W15" s="28"/>
      <c r="X15" s="28" t="s">
        <v>267</v>
      </c>
      <c r="Y15" s="28" t="s">
        <v>199</v>
      </c>
      <c r="Z15" s="28" t="s">
        <v>199</v>
      </c>
      <c r="AA15" s="28" t="s">
        <v>199</v>
      </c>
      <c r="AB15" s="28"/>
      <c r="AC15" s="28" t="s">
        <v>199</v>
      </c>
      <c r="AD15" s="28"/>
      <c r="AE15" s="28" t="s">
        <v>199</v>
      </c>
      <c r="AF15" s="28" t="s">
        <v>198</v>
      </c>
      <c r="AG15" s="28" t="s">
        <v>198</v>
      </c>
      <c r="AH15" s="28" t="s">
        <v>199</v>
      </c>
    </row>
    <row r="16" spans="1:34" x14ac:dyDescent="0.25">
      <c r="A16" s="26" t="s">
        <v>176</v>
      </c>
      <c r="B16" s="30">
        <v>-3</v>
      </c>
      <c r="C16" s="30">
        <v>-0.5</v>
      </c>
      <c r="D16" s="30">
        <v>-0.5</v>
      </c>
      <c r="E16" s="30">
        <v>-0.5</v>
      </c>
      <c r="F16" s="30">
        <v>-0.5</v>
      </c>
      <c r="G16" s="82">
        <v>-0.5</v>
      </c>
      <c r="H16" s="82">
        <v>-0.5</v>
      </c>
      <c r="I16" s="82">
        <v>-0.5</v>
      </c>
      <c r="J16" s="30">
        <v>-0.5</v>
      </c>
      <c r="K16" s="30">
        <v>-0.5</v>
      </c>
      <c r="L16" s="30">
        <v>-0.5</v>
      </c>
      <c r="M16" s="30">
        <v>-0.5</v>
      </c>
      <c r="N16" s="30">
        <f>AVERAGE(-0.5,-0.5,0.5)</f>
        <v>-0.16666666666666666</v>
      </c>
      <c r="O16" s="30">
        <v>-0.5</v>
      </c>
      <c r="P16" s="30">
        <v>-0.5</v>
      </c>
      <c r="Q16" s="30">
        <v>-0.5</v>
      </c>
      <c r="R16" s="30">
        <v>-0.5</v>
      </c>
      <c r="S16" s="30">
        <f>AVERAGE(1,2)</f>
        <v>1.5</v>
      </c>
      <c r="T16" s="30">
        <v>1</v>
      </c>
      <c r="U16" s="30">
        <f>AVERAGE(-0.5,1)</f>
        <v>0.25</v>
      </c>
      <c r="V16" s="30"/>
      <c r="W16" s="30"/>
      <c r="X16" s="30">
        <v>-3</v>
      </c>
      <c r="Y16" s="30">
        <v>-0.5</v>
      </c>
      <c r="Z16" s="30">
        <v>-2</v>
      </c>
      <c r="AA16" s="30">
        <v>-0.5</v>
      </c>
      <c r="AB16" s="30"/>
      <c r="AC16" s="30">
        <v>-2</v>
      </c>
      <c r="AD16" s="30"/>
      <c r="AE16" s="30">
        <v>-2</v>
      </c>
      <c r="AF16" s="30">
        <f>AVERAGE(0.5,2)</f>
        <v>1.25</v>
      </c>
      <c r="AG16" s="30">
        <f>4/3</f>
        <v>1.3333333333333333</v>
      </c>
      <c r="AH16" s="30">
        <v>-0.5</v>
      </c>
    </row>
    <row r="17" spans="1:34" x14ac:dyDescent="0.25">
      <c r="A17" s="26" t="s">
        <v>177</v>
      </c>
      <c r="B17" s="28" t="s">
        <v>178</v>
      </c>
      <c r="C17" s="28" t="s">
        <v>181</v>
      </c>
      <c r="D17" s="28" t="s">
        <v>181</v>
      </c>
      <c r="E17" s="28" t="s">
        <v>181</v>
      </c>
      <c r="F17" s="28" t="s">
        <v>181</v>
      </c>
      <c r="G17" s="81" t="s">
        <v>341</v>
      </c>
      <c r="H17" s="81" t="s">
        <v>341</v>
      </c>
      <c r="I17" s="81" t="s">
        <v>341</v>
      </c>
      <c r="J17" s="28" t="s">
        <v>200</v>
      </c>
      <c r="K17" s="28" t="s">
        <v>181</v>
      </c>
      <c r="L17" s="28" t="s">
        <v>200</v>
      </c>
      <c r="M17" s="28" t="s">
        <v>181</v>
      </c>
      <c r="N17" s="28" t="s">
        <v>200</v>
      </c>
      <c r="O17" s="28" t="s">
        <v>181</v>
      </c>
      <c r="P17" s="28" t="s">
        <v>181</v>
      </c>
      <c r="Q17" s="28" t="s">
        <v>181</v>
      </c>
      <c r="R17" s="28" t="s">
        <v>200</v>
      </c>
      <c r="S17" s="28" t="s">
        <v>292</v>
      </c>
      <c r="T17" s="113" t="s">
        <v>269</v>
      </c>
      <c r="U17" s="28" t="s">
        <v>292</v>
      </c>
      <c r="V17" s="28"/>
      <c r="W17" s="28"/>
      <c r="X17" s="28" t="s">
        <v>178</v>
      </c>
      <c r="Y17" s="28" t="s">
        <v>200</v>
      </c>
      <c r="Z17" s="28" t="s">
        <v>178</v>
      </c>
      <c r="AA17" s="28" t="s">
        <v>200</v>
      </c>
      <c r="AB17" s="28"/>
      <c r="AC17" s="28" t="s">
        <v>334</v>
      </c>
      <c r="AD17" s="28"/>
      <c r="AE17" s="28" t="s">
        <v>334</v>
      </c>
      <c r="AF17" s="28" t="s">
        <v>181</v>
      </c>
      <c r="AG17" s="28" t="s">
        <v>200</v>
      </c>
      <c r="AH17" s="28" t="s">
        <v>200</v>
      </c>
    </row>
    <row r="18" spans="1:34" x14ac:dyDescent="0.25">
      <c r="A18" s="26" t="s">
        <v>182</v>
      </c>
      <c r="B18" s="30">
        <v>4</v>
      </c>
      <c r="C18" s="30">
        <v>2</v>
      </c>
      <c r="D18" s="30">
        <v>2</v>
      </c>
      <c r="E18" s="30">
        <v>2</v>
      </c>
      <c r="F18" s="30">
        <v>2</v>
      </c>
      <c r="G18" s="82">
        <v>0</v>
      </c>
      <c r="H18" s="82">
        <v>0</v>
      </c>
      <c r="I18" s="82">
        <v>0</v>
      </c>
      <c r="J18" s="30">
        <v>3</v>
      </c>
      <c r="K18" s="30">
        <v>2</v>
      </c>
      <c r="L18" s="30">
        <v>3</v>
      </c>
      <c r="M18" s="30">
        <v>2</v>
      </c>
      <c r="N18" s="30">
        <v>3</v>
      </c>
      <c r="O18" s="30">
        <v>2</v>
      </c>
      <c r="P18" s="30">
        <v>2</v>
      </c>
      <c r="Q18" s="30">
        <v>2</v>
      </c>
      <c r="R18" s="30">
        <v>3</v>
      </c>
      <c r="S18" s="30">
        <f>AVERAGE(3,2)</f>
        <v>2.5</v>
      </c>
      <c r="T18" s="30">
        <f>AVERAGE(2,2,3)</f>
        <v>2.3333333333333335</v>
      </c>
      <c r="U18" s="30">
        <f>AVERAGE(3,2)</f>
        <v>2.5</v>
      </c>
      <c r="V18" s="30"/>
      <c r="W18" s="30"/>
      <c r="X18" s="30">
        <v>4</v>
      </c>
      <c r="Y18" s="30">
        <v>3</v>
      </c>
      <c r="Z18" s="30">
        <v>4</v>
      </c>
      <c r="AA18" s="30">
        <v>3</v>
      </c>
      <c r="AB18" s="30"/>
      <c r="AC18" s="30">
        <f>1/3</f>
        <v>0.33333333333333331</v>
      </c>
      <c r="AD18" s="30"/>
      <c r="AE18" s="30">
        <f>1/3</f>
        <v>0.33333333333333331</v>
      </c>
      <c r="AF18" s="30">
        <v>2</v>
      </c>
      <c r="AG18" s="30">
        <v>3</v>
      </c>
      <c r="AH18" s="30">
        <v>3</v>
      </c>
    </row>
    <row r="20" spans="1:34" x14ac:dyDescent="0.25">
      <c r="A20" s="31" t="s">
        <v>183</v>
      </c>
    </row>
    <row r="21" spans="1:34" x14ac:dyDescent="0.25">
      <c r="A21" s="235" t="s">
        <v>342</v>
      </c>
      <c r="B21" s="56" t="s">
        <v>336</v>
      </c>
    </row>
    <row r="22" spans="1:34" x14ac:dyDescent="0.25">
      <c r="A22" s="235"/>
      <c r="B22" s="93" t="s">
        <v>343</v>
      </c>
    </row>
  </sheetData>
  <mergeCells count="6">
    <mergeCell ref="A21:A22"/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DAECC-8A09-4169-9FCF-B438C08E5F9B}">
  <dimension ref="A1:AH22"/>
  <sheetViews>
    <sheetView workbookViewId="0">
      <selection activeCell="B7" sqref="B7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117</v>
      </c>
      <c r="I1" s="25" t="s">
        <v>118</v>
      </c>
    </row>
    <row r="3" spans="1:34" ht="18" x14ac:dyDescent="0.25">
      <c r="A3" s="25" t="s">
        <v>119</v>
      </c>
      <c r="B3" s="215">
        <v>13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312</v>
      </c>
      <c r="C4" s="215"/>
      <c r="D4" s="215"/>
      <c r="F4" s="216" t="s">
        <v>344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278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ht="15.75" customHeight="1" x14ac:dyDescent="0.25">
      <c r="A8" s="26" t="s">
        <v>159</v>
      </c>
      <c r="B8" s="29" t="s">
        <v>315</v>
      </c>
      <c r="C8" s="29" t="s">
        <v>302</v>
      </c>
      <c r="D8" s="29" t="s">
        <v>302</v>
      </c>
      <c r="E8" s="113" t="s">
        <v>345</v>
      </c>
      <c r="F8" s="29" t="s">
        <v>302</v>
      </c>
      <c r="G8" s="29" t="s">
        <v>302</v>
      </c>
      <c r="H8" s="29" t="s">
        <v>302</v>
      </c>
      <c r="I8" s="29" t="s">
        <v>302</v>
      </c>
      <c r="J8" s="29" t="s">
        <v>302</v>
      </c>
      <c r="K8" s="29" t="s">
        <v>302</v>
      </c>
      <c r="L8" s="29" t="s">
        <v>302</v>
      </c>
      <c r="M8" s="29" t="s">
        <v>302</v>
      </c>
      <c r="N8" s="111" t="s">
        <v>346</v>
      </c>
      <c r="O8" s="29" t="s">
        <v>302</v>
      </c>
      <c r="P8" s="29" t="s">
        <v>347</v>
      </c>
      <c r="Q8" s="29" t="s">
        <v>347</v>
      </c>
      <c r="R8" s="29" t="s">
        <v>318</v>
      </c>
      <c r="S8" s="29" t="s">
        <v>322</v>
      </c>
      <c r="T8" s="29" t="s">
        <v>302</v>
      </c>
      <c r="U8" s="29" t="s">
        <v>302</v>
      </c>
      <c r="V8" s="29" t="s">
        <v>348</v>
      </c>
      <c r="W8" s="29" t="s">
        <v>349</v>
      </c>
      <c r="X8" s="29" t="s">
        <v>302</v>
      </c>
      <c r="Y8" s="29" t="s">
        <v>302</v>
      </c>
      <c r="Z8" s="29" t="s">
        <v>302</v>
      </c>
      <c r="AA8" s="29" t="s">
        <v>302</v>
      </c>
      <c r="AB8" s="29"/>
      <c r="AC8" s="29" t="s">
        <v>302</v>
      </c>
      <c r="AD8" s="29"/>
      <c r="AE8" s="29" t="s">
        <v>350</v>
      </c>
      <c r="AF8" s="29" t="s">
        <v>302</v>
      </c>
      <c r="AG8" s="29" t="s">
        <v>302</v>
      </c>
      <c r="AH8" s="29" t="s">
        <v>302</v>
      </c>
    </row>
    <row r="9" spans="1:34" ht="15.75" customHeight="1" x14ac:dyDescent="0.25">
      <c r="A9" s="26" t="s">
        <v>165</v>
      </c>
      <c r="B9" s="29" t="s">
        <v>303</v>
      </c>
      <c r="C9" s="28" t="s">
        <v>303</v>
      </c>
      <c r="D9" s="28" t="s">
        <v>303</v>
      </c>
      <c r="E9" s="28" t="s">
        <v>351</v>
      </c>
      <c r="F9" s="28" t="s">
        <v>303</v>
      </c>
      <c r="G9" s="28" t="s">
        <v>303</v>
      </c>
      <c r="H9" s="28" t="s">
        <v>303</v>
      </c>
      <c r="I9" s="28" t="s">
        <v>303</v>
      </c>
      <c r="J9" s="28" t="s">
        <v>303</v>
      </c>
      <c r="K9" s="28" t="s">
        <v>303</v>
      </c>
      <c r="L9" s="28" t="s">
        <v>303</v>
      </c>
      <c r="M9" s="28" t="s">
        <v>303</v>
      </c>
      <c r="N9" s="111" t="s">
        <v>352</v>
      </c>
      <c r="O9" s="28" t="s">
        <v>303</v>
      </c>
      <c r="P9" s="29" t="s">
        <v>324</v>
      </c>
      <c r="Q9" s="29" t="s">
        <v>324</v>
      </c>
      <c r="R9" s="28" t="s">
        <v>227</v>
      </c>
      <c r="S9" s="29" t="s">
        <v>327</v>
      </c>
      <c r="T9" s="28" t="s">
        <v>303</v>
      </c>
      <c r="U9" s="28" t="s">
        <v>303</v>
      </c>
      <c r="V9" s="29" t="s">
        <v>353</v>
      </c>
      <c r="W9" s="29" t="s">
        <v>353</v>
      </c>
      <c r="X9" s="28" t="s">
        <v>303</v>
      </c>
      <c r="Y9" s="28" t="s">
        <v>303</v>
      </c>
      <c r="Z9" s="28" t="s">
        <v>303</v>
      </c>
      <c r="AA9" s="28" t="s">
        <v>303</v>
      </c>
      <c r="AB9" s="28"/>
      <c r="AC9" s="28" t="s">
        <v>303</v>
      </c>
      <c r="AD9" s="29"/>
      <c r="AE9" s="28" t="s">
        <v>354</v>
      </c>
      <c r="AF9" s="28" t="s">
        <v>303</v>
      </c>
      <c r="AG9" s="29" t="s">
        <v>303</v>
      </c>
      <c r="AH9" s="28" t="s">
        <v>303</v>
      </c>
    </row>
    <row r="10" spans="1:34" x14ac:dyDescent="0.25">
      <c r="A10" s="131" t="s">
        <v>168</v>
      </c>
      <c r="B10" s="157">
        <v>20</v>
      </c>
      <c r="C10" s="157">
        <v>20</v>
      </c>
      <c r="D10" s="157">
        <v>20</v>
      </c>
      <c r="E10" s="157">
        <v>176</v>
      </c>
      <c r="F10" s="157">
        <v>20</v>
      </c>
      <c r="G10" s="157">
        <v>20</v>
      </c>
      <c r="H10" s="157">
        <v>20</v>
      </c>
      <c r="I10" s="157">
        <v>20</v>
      </c>
      <c r="J10" s="157">
        <v>20</v>
      </c>
      <c r="K10" s="157">
        <v>20</v>
      </c>
      <c r="L10" s="157">
        <v>20</v>
      </c>
      <c r="M10" s="157">
        <v>20</v>
      </c>
      <c r="N10" s="157">
        <v>110</v>
      </c>
      <c r="O10" s="157">
        <v>20</v>
      </c>
      <c r="P10" s="157">
        <v>57</v>
      </c>
      <c r="Q10" s="157">
        <v>57</v>
      </c>
      <c r="R10" s="157">
        <v>35</v>
      </c>
      <c r="S10" s="157">
        <v>107</v>
      </c>
      <c r="T10" s="157">
        <v>20</v>
      </c>
      <c r="U10" s="157">
        <v>20</v>
      </c>
      <c r="V10" s="157">
        <v>153</v>
      </c>
      <c r="W10" s="157">
        <v>153</v>
      </c>
      <c r="X10" s="157">
        <v>20</v>
      </c>
      <c r="Y10" s="157">
        <v>20</v>
      </c>
      <c r="Z10" s="157">
        <v>20</v>
      </c>
      <c r="AA10" s="157">
        <v>20</v>
      </c>
      <c r="AB10" s="157"/>
      <c r="AC10" s="157">
        <v>20</v>
      </c>
      <c r="AD10" s="157"/>
      <c r="AE10" s="157">
        <v>112</v>
      </c>
      <c r="AF10" s="157">
        <v>20</v>
      </c>
      <c r="AG10" s="157">
        <v>20</v>
      </c>
      <c r="AH10" s="157">
        <v>20</v>
      </c>
    </row>
    <row r="11" spans="1:34" x14ac:dyDescent="0.25">
      <c r="A11" s="26" t="s">
        <v>169</v>
      </c>
      <c r="B11" s="28" t="s">
        <v>170</v>
      </c>
      <c r="C11" s="29" t="s">
        <v>170</v>
      </c>
      <c r="D11" s="29" t="s">
        <v>170</v>
      </c>
      <c r="E11" s="29" t="s">
        <v>170</v>
      </c>
      <c r="F11" s="29" t="s">
        <v>170</v>
      </c>
      <c r="G11" s="29" t="s">
        <v>170</v>
      </c>
      <c r="H11" s="29" t="s">
        <v>170</v>
      </c>
      <c r="I11" s="29" t="s">
        <v>170</v>
      </c>
      <c r="J11" s="29" t="s">
        <v>170</v>
      </c>
      <c r="K11" s="29" t="s">
        <v>170</v>
      </c>
      <c r="L11" s="29" t="s">
        <v>170</v>
      </c>
      <c r="M11" s="29" t="s">
        <v>170</v>
      </c>
      <c r="N11" s="28" t="s">
        <v>170</v>
      </c>
      <c r="O11" s="29" t="s">
        <v>170</v>
      </c>
      <c r="P11" s="28" t="s">
        <v>170</v>
      </c>
      <c r="Q11" s="28" t="s">
        <v>170</v>
      </c>
      <c r="R11" s="28" t="s">
        <v>170</v>
      </c>
      <c r="S11" s="28" t="s">
        <v>170</v>
      </c>
      <c r="T11" s="29" t="s">
        <v>170</v>
      </c>
      <c r="U11" s="29" t="s">
        <v>170</v>
      </c>
      <c r="V11" s="29" t="s">
        <v>170</v>
      </c>
      <c r="W11" s="29" t="s">
        <v>170</v>
      </c>
      <c r="X11" s="29" t="s">
        <v>170</v>
      </c>
      <c r="Y11" s="29" t="s">
        <v>170</v>
      </c>
      <c r="Z11" s="29" t="s">
        <v>170</v>
      </c>
      <c r="AA11" s="29" t="s">
        <v>170</v>
      </c>
      <c r="AB11" s="29"/>
      <c r="AC11" s="29" t="s">
        <v>170</v>
      </c>
      <c r="AD11" s="28"/>
      <c r="AE11" s="29" t="s">
        <v>170</v>
      </c>
      <c r="AF11" s="29" t="s">
        <v>170</v>
      </c>
      <c r="AG11" s="28" t="s">
        <v>170</v>
      </c>
      <c r="AH11" s="29" t="s">
        <v>170</v>
      </c>
    </row>
    <row r="12" spans="1:34" x14ac:dyDescent="0.25">
      <c r="A12" s="26" t="s">
        <v>171</v>
      </c>
      <c r="B12" s="28" t="s">
        <v>170</v>
      </c>
      <c r="C12" s="29" t="s">
        <v>170</v>
      </c>
      <c r="D12" s="29" t="s">
        <v>170</v>
      </c>
      <c r="E12" s="29" t="s">
        <v>355</v>
      </c>
      <c r="F12" s="29" t="s">
        <v>170</v>
      </c>
      <c r="G12" s="29" t="s">
        <v>170</v>
      </c>
      <c r="H12" s="29" t="s">
        <v>170</v>
      </c>
      <c r="I12" s="29" t="s">
        <v>170</v>
      </c>
      <c r="J12" s="29" t="s">
        <v>170</v>
      </c>
      <c r="K12" s="29" t="s">
        <v>170</v>
      </c>
      <c r="L12" s="29" t="s">
        <v>170</v>
      </c>
      <c r="M12" s="29" t="s">
        <v>170</v>
      </c>
      <c r="N12" s="28" t="s">
        <v>170</v>
      </c>
      <c r="O12" s="29" t="s">
        <v>170</v>
      </c>
      <c r="P12" s="28" t="s">
        <v>170</v>
      </c>
      <c r="Q12" s="28" t="s">
        <v>170</v>
      </c>
      <c r="R12" s="28" t="s">
        <v>170</v>
      </c>
      <c r="S12" s="28" t="s">
        <v>170</v>
      </c>
      <c r="T12" s="29" t="s">
        <v>170</v>
      </c>
      <c r="U12" s="29" t="s">
        <v>170</v>
      </c>
      <c r="V12" s="28" t="s">
        <v>170</v>
      </c>
      <c r="W12" s="28" t="s">
        <v>170</v>
      </c>
      <c r="X12" s="29" t="s">
        <v>170</v>
      </c>
      <c r="Y12" s="29" t="s">
        <v>170</v>
      </c>
      <c r="Z12" s="29" t="s">
        <v>170</v>
      </c>
      <c r="AA12" s="29" t="s">
        <v>170</v>
      </c>
      <c r="AB12" s="29"/>
      <c r="AC12" s="29" t="s">
        <v>170</v>
      </c>
      <c r="AD12" s="28"/>
      <c r="AE12" s="29" t="s">
        <v>170</v>
      </c>
      <c r="AF12" s="29" t="s">
        <v>170</v>
      </c>
      <c r="AG12" s="28" t="s">
        <v>170</v>
      </c>
      <c r="AH12" s="29" t="s">
        <v>170</v>
      </c>
    </row>
    <row r="13" spans="1:34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287</v>
      </c>
      <c r="O13" s="28" t="s">
        <v>173</v>
      </c>
      <c r="P13" s="28" t="s">
        <v>170</v>
      </c>
      <c r="Q13" s="28" t="s">
        <v>170</v>
      </c>
      <c r="R13" s="28" t="s">
        <v>170</v>
      </c>
      <c r="S13" s="130" t="s">
        <v>266</v>
      </c>
      <c r="T13" s="28" t="s">
        <v>173</v>
      </c>
      <c r="U13" s="28" t="s">
        <v>173</v>
      </c>
      <c r="V13" s="28" t="s">
        <v>287</v>
      </c>
      <c r="W13" s="28" t="s">
        <v>287</v>
      </c>
      <c r="X13" s="28" t="s">
        <v>173</v>
      </c>
      <c r="Y13" s="28" t="s">
        <v>173</v>
      </c>
      <c r="Z13" s="28" t="s">
        <v>173</v>
      </c>
      <c r="AA13" s="28" t="s">
        <v>173</v>
      </c>
      <c r="AB13" s="28"/>
      <c r="AC13" s="28" t="s">
        <v>173</v>
      </c>
      <c r="AD13" s="28"/>
      <c r="AE13" s="28" t="s">
        <v>173</v>
      </c>
      <c r="AF13" s="28" t="s">
        <v>173</v>
      </c>
      <c r="AG13" s="28" t="s">
        <v>173</v>
      </c>
      <c r="AH13" s="28" t="s">
        <v>173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 t="s">
        <v>173</v>
      </c>
      <c r="V14" s="28" t="s">
        <v>173</v>
      </c>
      <c r="W14" s="28" t="s">
        <v>173</v>
      </c>
      <c r="X14" s="28" t="s">
        <v>173</v>
      </c>
      <c r="Y14" s="28" t="s">
        <v>173</v>
      </c>
      <c r="Z14" s="28" t="s">
        <v>173</v>
      </c>
      <c r="AA14" s="28" t="s">
        <v>173</v>
      </c>
      <c r="AB14" s="28"/>
      <c r="AC14" s="28" t="s">
        <v>173</v>
      </c>
      <c r="AD14" s="28"/>
      <c r="AE14" s="28" t="s">
        <v>173</v>
      </c>
      <c r="AF14" s="28" t="s">
        <v>173</v>
      </c>
      <c r="AG14" s="28" t="s">
        <v>173</v>
      </c>
      <c r="AH14" s="28" t="s">
        <v>173</v>
      </c>
    </row>
    <row r="15" spans="1:34" x14ac:dyDescent="0.25">
      <c r="A15" s="26" t="s">
        <v>175</v>
      </c>
      <c r="B15" s="28" t="s">
        <v>267</v>
      </c>
      <c r="C15" s="28" t="s">
        <v>267</v>
      </c>
      <c r="D15" s="28" t="s">
        <v>267</v>
      </c>
      <c r="E15" s="28" t="s">
        <v>356</v>
      </c>
      <c r="F15" s="28" t="s">
        <v>267</v>
      </c>
      <c r="G15" s="28" t="s">
        <v>267</v>
      </c>
      <c r="H15" s="28" t="s">
        <v>267</v>
      </c>
      <c r="I15" s="28" t="s">
        <v>267</v>
      </c>
      <c r="J15" s="28" t="s">
        <v>267</v>
      </c>
      <c r="K15" s="28" t="s">
        <v>267</v>
      </c>
      <c r="L15" s="28" t="s">
        <v>267</v>
      </c>
      <c r="M15" s="28" t="s">
        <v>267</v>
      </c>
      <c r="N15" s="113" t="s">
        <v>289</v>
      </c>
      <c r="O15" s="28" t="s">
        <v>267</v>
      </c>
      <c r="P15" s="28" t="s">
        <v>199</v>
      </c>
      <c r="Q15" s="28" t="s">
        <v>199</v>
      </c>
      <c r="R15" s="28" t="s">
        <v>199</v>
      </c>
      <c r="S15" s="28" t="s">
        <v>198</v>
      </c>
      <c r="T15" s="28" t="s">
        <v>267</v>
      </c>
      <c r="U15" s="28" t="s">
        <v>267</v>
      </c>
      <c r="V15" s="28" t="s">
        <v>199</v>
      </c>
      <c r="W15" s="28" t="s">
        <v>199</v>
      </c>
      <c r="X15" s="28" t="s">
        <v>267</v>
      </c>
      <c r="Y15" s="28" t="s">
        <v>267</v>
      </c>
      <c r="Z15" s="28" t="s">
        <v>267</v>
      </c>
      <c r="AA15" s="28" t="s">
        <v>267</v>
      </c>
      <c r="AB15" s="28"/>
      <c r="AC15" s="28" t="s">
        <v>267</v>
      </c>
      <c r="AD15" s="28"/>
      <c r="AE15" s="28" t="s">
        <v>290</v>
      </c>
      <c r="AF15" s="28" t="s">
        <v>267</v>
      </c>
      <c r="AG15" s="28" t="s">
        <v>267</v>
      </c>
      <c r="AH15" s="28" t="s">
        <v>267</v>
      </c>
    </row>
    <row r="16" spans="1:34" x14ac:dyDescent="0.25">
      <c r="A16" s="26" t="s">
        <v>176</v>
      </c>
      <c r="B16" s="30">
        <v>-3</v>
      </c>
      <c r="C16" s="30">
        <v>-3</v>
      </c>
      <c r="D16" s="30">
        <v>-3</v>
      </c>
      <c r="E16" s="30">
        <f>AVERAGE(-3,-3,-5)</f>
        <v>-3.6666666666666665</v>
      </c>
      <c r="F16" s="30">
        <v>-3</v>
      </c>
      <c r="G16" s="30">
        <v>-3</v>
      </c>
      <c r="H16" s="30">
        <v>-3</v>
      </c>
      <c r="I16" s="30">
        <v>-3</v>
      </c>
      <c r="J16" s="30">
        <v>-3</v>
      </c>
      <c r="K16" s="30">
        <v>-3</v>
      </c>
      <c r="L16" s="30">
        <v>-3</v>
      </c>
      <c r="M16" s="30">
        <v>-3</v>
      </c>
      <c r="N16" s="30">
        <f>AVERAGE(3,3,1)</f>
        <v>2.3333333333333335</v>
      </c>
      <c r="O16" s="30">
        <v>-3</v>
      </c>
      <c r="P16" s="30">
        <v>-0.5</v>
      </c>
      <c r="Q16" s="30">
        <v>-0.5</v>
      </c>
      <c r="R16" s="30">
        <v>-0.5</v>
      </c>
      <c r="S16" s="30">
        <f>AVERAGE(1,2)</f>
        <v>1.5</v>
      </c>
      <c r="T16" s="30">
        <v>-3</v>
      </c>
      <c r="U16" s="30">
        <v>-3</v>
      </c>
      <c r="V16" s="30">
        <f>AVERAGE(-2,-0.5)</f>
        <v>-1.25</v>
      </c>
      <c r="W16" s="30">
        <f>AVERAGE(-2,-0.5)</f>
        <v>-1.25</v>
      </c>
      <c r="X16" s="30">
        <v>-3</v>
      </c>
      <c r="Y16" s="30">
        <v>-3</v>
      </c>
      <c r="Z16" s="30">
        <v>-3</v>
      </c>
      <c r="AA16" s="30">
        <v>-3</v>
      </c>
      <c r="AB16" s="30"/>
      <c r="AC16" s="30">
        <v>-3</v>
      </c>
      <c r="AD16" s="30"/>
      <c r="AE16" s="30">
        <f>AVERAGE(-3,-2)</f>
        <v>-2.5</v>
      </c>
      <c r="AF16" s="30">
        <v>-3</v>
      </c>
      <c r="AG16" s="30">
        <v>-3</v>
      </c>
      <c r="AH16" s="30">
        <v>-3</v>
      </c>
    </row>
    <row r="17" spans="1:34" x14ac:dyDescent="0.25">
      <c r="A17" s="26" t="s">
        <v>177</v>
      </c>
      <c r="B17" s="28" t="s">
        <v>178</v>
      </c>
      <c r="C17" s="28" t="s">
        <v>178</v>
      </c>
      <c r="D17" s="28" t="s">
        <v>178</v>
      </c>
      <c r="E17" s="28" t="s">
        <v>179</v>
      </c>
      <c r="F17" s="28" t="s">
        <v>178</v>
      </c>
      <c r="G17" s="28" t="s">
        <v>178</v>
      </c>
      <c r="H17" s="28" t="s">
        <v>178</v>
      </c>
      <c r="I17" s="28" t="s">
        <v>178</v>
      </c>
      <c r="J17" s="28" t="s">
        <v>178</v>
      </c>
      <c r="K17" s="28" t="s">
        <v>178</v>
      </c>
      <c r="L17" s="28" t="s">
        <v>178</v>
      </c>
      <c r="M17" s="28" t="s">
        <v>178</v>
      </c>
      <c r="N17" s="113" t="s">
        <v>291</v>
      </c>
      <c r="O17" s="28" t="s">
        <v>178</v>
      </c>
      <c r="P17" s="28" t="s">
        <v>181</v>
      </c>
      <c r="Q17" s="28" t="s">
        <v>181</v>
      </c>
      <c r="R17" s="28" t="s">
        <v>200</v>
      </c>
      <c r="S17" s="28" t="s">
        <v>292</v>
      </c>
      <c r="T17" s="28" t="s">
        <v>178</v>
      </c>
      <c r="U17" s="28" t="s">
        <v>178</v>
      </c>
      <c r="V17" s="28" t="s">
        <v>293</v>
      </c>
      <c r="W17" s="28" t="s">
        <v>293</v>
      </c>
      <c r="X17" s="28" t="s">
        <v>178</v>
      </c>
      <c r="Y17" s="28" t="s">
        <v>178</v>
      </c>
      <c r="Z17" s="28" t="s">
        <v>178</v>
      </c>
      <c r="AA17" s="28" t="s">
        <v>178</v>
      </c>
      <c r="AB17" s="28"/>
      <c r="AC17" s="28" t="s">
        <v>178</v>
      </c>
      <c r="AD17" s="28"/>
      <c r="AE17" s="28" t="s">
        <v>357</v>
      </c>
      <c r="AF17" s="28" t="s">
        <v>178</v>
      </c>
      <c r="AG17" s="28" t="s">
        <v>178</v>
      </c>
      <c r="AH17" s="28" t="s">
        <v>178</v>
      </c>
    </row>
    <row r="18" spans="1:34" x14ac:dyDescent="0.25">
      <c r="A18" s="26" t="s">
        <v>182</v>
      </c>
      <c r="B18" s="30">
        <v>4</v>
      </c>
      <c r="C18" s="30">
        <v>4</v>
      </c>
      <c r="D18" s="30">
        <v>4</v>
      </c>
      <c r="E18" s="30">
        <f>AVERAGE(4,4,2)</f>
        <v>3.3333333333333335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>
        <f>AVERAGE(4,4,3)</f>
        <v>3.6666666666666665</v>
      </c>
      <c r="O18" s="30">
        <v>4</v>
      </c>
      <c r="P18" s="30">
        <v>2</v>
      </c>
      <c r="Q18" s="30">
        <v>2</v>
      </c>
      <c r="R18" s="30">
        <v>3</v>
      </c>
      <c r="S18" s="30">
        <f>AVERAGE(3,2)</f>
        <v>2.5</v>
      </c>
      <c r="T18" s="30">
        <v>4</v>
      </c>
      <c r="U18" s="30">
        <v>4</v>
      </c>
      <c r="V18" s="30">
        <f>AVERAGE(4,3)</f>
        <v>3.5</v>
      </c>
      <c r="W18" s="30">
        <f>AVERAGE(4,3)</f>
        <v>3.5</v>
      </c>
      <c r="X18" s="30">
        <v>4</v>
      </c>
      <c r="Y18" s="30">
        <v>4</v>
      </c>
      <c r="Z18" s="30">
        <v>4</v>
      </c>
      <c r="AA18" s="30">
        <v>4</v>
      </c>
      <c r="AB18" s="30"/>
      <c r="AC18" s="30">
        <v>4</v>
      </c>
      <c r="AD18" s="30"/>
      <c r="AE18" s="30">
        <f>AVERAGE(4,1/3)</f>
        <v>2.1666666666666665</v>
      </c>
      <c r="AF18" s="30">
        <v>4</v>
      </c>
      <c r="AG18" s="30">
        <v>4</v>
      </c>
      <c r="AH18" s="30">
        <v>4</v>
      </c>
    </row>
    <row r="20" spans="1:34" x14ac:dyDescent="0.25">
      <c r="A20" s="31" t="s">
        <v>183</v>
      </c>
    </row>
    <row r="21" spans="1:34" x14ac:dyDescent="0.25">
      <c r="A21" s="235" t="s">
        <v>358</v>
      </c>
      <c r="B21" s="56" t="s">
        <v>298</v>
      </c>
    </row>
    <row r="22" spans="1:34" x14ac:dyDescent="0.25">
      <c r="A22" s="235"/>
      <c r="B22" s="56" t="s">
        <v>359</v>
      </c>
    </row>
  </sheetData>
  <mergeCells count="6">
    <mergeCell ref="A21:A22"/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607D5-0F50-4FED-A58C-15C30FE8E655}">
  <dimension ref="A1:AH21"/>
  <sheetViews>
    <sheetView workbookViewId="0">
      <selection activeCell="B7" sqref="B7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117</v>
      </c>
      <c r="I1" s="25" t="s">
        <v>118</v>
      </c>
    </row>
    <row r="3" spans="1:34" ht="18" x14ac:dyDescent="0.25">
      <c r="A3" s="25" t="s">
        <v>119</v>
      </c>
      <c r="B3" s="215">
        <v>14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312</v>
      </c>
      <c r="C4" s="215"/>
      <c r="D4" s="215"/>
      <c r="F4" s="216" t="s">
        <v>360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361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ht="15.75" customHeight="1" x14ac:dyDescent="0.25">
      <c r="A8" s="26" t="s">
        <v>159</v>
      </c>
      <c r="B8" s="29" t="s">
        <v>315</v>
      </c>
      <c r="C8" s="29" t="s">
        <v>302</v>
      </c>
      <c r="D8" s="29" t="s">
        <v>302</v>
      </c>
      <c r="E8" s="113" t="s">
        <v>345</v>
      </c>
      <c r="F8" s="29" t="s">
        <v>302</v>
      </c>
      <c r="G8" s="29" t="s">
        <v>302</v>
      </c>
      <c r="H8" s="29" t="s">
        <v>302</v>
      </c>
      <c r="I8" s="29" t="s">
        <v>302</v>
      </c>
      <c r="J8" s="29" t="s">
        <v>302</v>
      </c>
      <c r="K8" s="29" t="s">
        <v>302</v>
      </c>
      <c r="L8" s="29" t="s">
        <v>302</v>
      </c>
      <c r="M8" s="29" t="s">
        <v>302</v>
      </c>
      <c r="N8" s="29" t="s">
        <v>302</v>
      </c>
      <c r="O8" s="29" t="s">
        <v>302</v>
      </c>
      <c r="P8" s="29" t="s">
        <v>302</v>
      </c>
      <c r="Q8" s="29" t="s">
        <v>302</v>
      </c>
      <c r="R8" s="29" t="s">
        <v>302</v>
      </c>
      <c r="S8" s="29" t="s">
        <v>302</v>
      </c>
      <c r="T8" s="29" t="s">
        <v>302</v>
      </c>
      <c r="U8" s="29" t="s">
        <v>302</v>
      </c>
      <c r="V8" s="29" t="s">
        <v>302</v>
      </c>
      <c r="W8" s="29" t="s">
        <v>302</v>
      </c>
      <c r="X8" s="29" t="s">
        <v>302</v>
      </c>
      <c r="Y8" s="29" t="s">
        <v>302</v>
      </c>
      <c r="Z8" s="29" t="s">
        <v>302</v>
      </c>
      <c r="AA8" s="29" t="s">
        <v>302</v>
      </c>
      <c r="AB8" s="29"/>
      <c r="AC8" s="29" t="s">
        <v>302</v>
      </c>
      <c r="AD8" s="29"/>
      <c r="AE8" s="29" t="s">
        <v>350</v>
      </c>
      <c r="AF8" s="29" t="s">
        <v>302</v>
      </c>
      <c r="AG8" s="29" t="s">
        <v>302</v>
      </c>
      <c r="AH8" s="29" t="s">
        <v>302</v>
      </c>
    </row>
    <row r="9" spans="1:34" ht="15.75" customHeight="1" x14ac:dyDescent="0.25">
      <c r="A9" s="26" t="s">
        <v>165</v>
      </c>
      <c r="B9" s="29" t="s">
        <v>303</v>
      </c>
      <c r="C9" s="28" t="s">
        <v>303</v>
      </c>
      <c r="D9" s="28" t="s">
        <v>303</v>
      </c>
      <c r="E9" s="28" t="s">
        <v>351</v>
      </c>
      <c r="F9" s="28" t="s">
        <v>303</v>
      </c>
      <c r="G9" s="28" t="s">
        <v>303</v>
      </c>
      <c r="H9" s="28" t="s">
        <v>303</v>
      </c>
      <c r="I9" s="28" t="s">
        <v>303</v>
      </c>
      <c r="J9" s="28" t="s">
        <v>303</v>
      </c>
      <c r="K9" s="28" t="s">
        <v>303</v>
      </c>
      <c r="L9" s="28" t="s">
        <v>303</v>
      </c>
      <c r="M9" s="28" t="s">
        <v>303</v>
      </c>
      <c r="N9" s="28" t="s">
        <v>303</v>
      </c>
      <c r="O9" s="28" t="s">
        <v>303</v>
      </c>
      <c r="P9" s="28" t="s">
        <v>303</v>
      </c>
      <c r="Q9" s="28" t="s">
        <v>303</v>
      </c>
      <c r="R9" s="28" t="s">
        <v>303</v>
      </c>
      <c r="S9" s="28" t="s">
        <v>303</v>
      </c>
      <c r="T9" s="28" t="s">
        <v>303</v>
      </c>
      <c r="U9" s="28" t="s">
        <v>303</v>
      </c>
      <c r="V9" s="28" t="s">
        <v>303</v>
      </c>
      <c r="W9" s="28" t="s">
        <v>303</v>
      </c>
      <c r="X9" s="28" t="s">
        <v>303</v>
      </c>
      <c r="Y9" s="28" t="s">
        <v>303</v>
      </c>
      <c r="Z9" s="28" t="s">
        <v>303</v>
      </c>
      <c r="AA9" s="28" t="s">
        <v>303</v>
      </c>
      <c r="AB9" s="29"/>
      <c r="AC9" s="28" t="s">
        <v>303</v>
      </c>
      <c r="AD9" s="29"/>
      <c r="AE9" s="28" t="s">
        <v>354</v>
      </c>
      <c r="AF9" s="28" t="s">
        <v>303</v>
      </c>
      <c r="AG9" s="28" t="s">
        <v>303</v>
      </c>
      <c r="AH9" s="28" t="s">
        <v>303</v>
      </c>
    </row>
    <row r="10" spans="1:34" x14ac:dyDescent="0.25">
      <c r="A10" s="131" t="s">
        <v>168</v>
      </c>
      <c r="B10" s="157">
        <v>20</v>
      </c>
      <c r="C10" s="157">
        <v>20</v>
      </c>
      <c r="D10" s="157">
        <v>20</v>
      </c>
      <c r="E10" s="157">
        <v>176</v>
      </c>
      <c r="F10" s="157">
        <v>20</v>
      </c>
      <c r="G10" s="157">
        <v>20</v>
      </c>
      <c r="H10" s="157">
        <v>20</v>
      </c>
      <c r="I10" s="157">
        <v>20</v>
      </c>
      <c r="J10" s="157">
        <v>20</v>
      </c>
      <c r="K10" s="157">
        <v>20</v>
      </c>
      <c r="L10" s="157">
        <v>20</v>
      </c>
      <c r="M10" s="157">
        <v>20</v>
      </c>
      <c r="N10" s="157">
        <v>20</v>
      </c>
      <c r="O10" s="157">
        <v>20</v>
      </c>
      <c r="P10" s="157">
        <v>20</v>
      </c>
      <c r="Q10" s="157">
        <v>20</v>
      </c>
      <c r="R10" s="157">
        <v>20</v>
      </c>
      <c r="S10" s="157">
        <v>20</v>
      </c>
      <c r="T10" s="157">
        <v>20</v>
      </c>
      <c r="U10" s="157">
        <v>20</v>
      </c>
      <c r="V10" s="157">
        <v>20</v>
      </c>
      <c r="W10" s="157">
        <v>20</v>
      </c>
      <c r="X10" s="157">
        <v>20</v>
      </c>
      <c r="Y10" s="157">
        <v>20</v>
      </c>
      <c r="Z10" s="157">
        <v>20</v>
      </c>
      <c r="AA10" s="157">
        <v>20</v>
      </c>
      <c r="AB10" s="29"/>
      <c r="AC10" s="157">
        <v>20</v>
      </c>
      <c r="AD10" s="29"/>
      <c r="AE10" s="157">
        <v>112</v>
      </c>
      <c r="AF10" s="157">
        <v>20</v>
      </c>
      <c r="AG10" s="157">
        <v>20</v>
      </c>
      <c r="AH10" s="157">
        <v>20</v>
      </c>
    </row>
    <row r="11" spans="1:34" x14ac:dyDescent="0.25">
      <c r="A11" s="26" t="s">
        <v>169</v>
      </c>
      <c r="B11" s="28" t="s">
        <v>170</v>
      </c>
      <c r="C11" s="29" t="s">
        <v>170</v>
      </c>
      <c r="D11" s="29" t="s">
        <v>170</v>
      </c>
      <c r="E11" s="29" t="s">
        <v>170</v>
      </c>
      <c r="F11" s="29" t="s">
        <v>170</v>
      </c>
      <c r="G11" s="29" t="s">
        <v>170</v>
      </c>
      <c r="H11" s="29" t="s">
        <v>170</v>
      </c>
      <c r="I11" s="29" t="s">
        <v>170</v>
      </c>
      <c r="J11" s="29" t="s">
        <v>170</v>
      </c>
      <c r="K11" s="29" t="s">
        <v>170</v>
      </c>
      <c r="L11" s="29" t="s">
        <v>170</v>
      </c>
      <c r="M11" s="29" t="s">
        <v>170</v>
      </c>
      <c r="N11" s="29" t="s">
        <v>170</v>
      </c>
      <c r="O11" s="29" t="s">
        <v>170</v>
      </c>
      <c r="P11" s="29" t="s">
        <v>170</v>
      </c>
      <c r="Q11" s="29" t="s">
        <v>170</v>
      </c>
      <c r="R11" s="29" t="s">
        <v>170</v>
      </c>
      <c r="S11" s="29" t="s">
        <v>170</v>
      </c>
      <c r="T11" s="29" t="s">
        <v>170</v>
      </c>
      <c r="U11" s="29" t="s">
        <v>170</v>
      </c>
      <c r="V11" s="29" t="s">
        <v>170</v>
      </c>
      <c r="W11" s="29" t="s">
        <v>170</v>
      </c>
      <c r="X11" s="29" t="s">
        <v>170</v>
      </c>
      <c r="Y11" s="29" t="s">
        <v>170</v>
      </c>
      <c r="Z11" s="29" t="s">
        <v>170</v>
      </c>
      <c r="AA11" s="29" t="s">
        <v>170</v>
      </c>
      <c r="AB11" s="28"/>
      <c r="AC11" s="29" t="s">
        <v>170</v>
      </c>
      <c r="AD11" s="28"/>
      <c r="AE11" s="29" t="s">
        <v>170</v>
      </c>
      <c r="AF11" s="29" t="s">
        <v>170</v>
      </c>
      <c r="AG11" s="29" t="s">
        <v>170</v>
      </c>
      <c r="AH11" s="29" t="s">
        <v>170</v>
      </c>
    </row>
    <row r="12" spans="1:34" x14ac:dyDescent="0.25">
      <c r="A12" s="26" t="s">
        <v>171</v>
      </c>
      <c r="B12" s="28" t="s">
        <v>170</v>
      </c>
      <c r="C12" s="29" t="s">
        <v>170</v>
      </c>
      <c r="D12" s="29" t="s">
        <v>170</v>
      </c>
      <c r="E12" s="29" t="s">
        <v>355</v>
      </c>
      <c r="F12" s="29" t="s">
        <v>170</v>
      </c>
      <c r="G12" s="29" t="s">
        <v>170</v>
      </c>
      <c r="H12" s="29" t="s">
        <v>170</v>
      </c>
      <c r="I12" s="29" t="s">
        <v>170</v>
      </c>
      <c r="J12" s="29" t="s">
        <v>170</v>
      </c>
      <c r="K12" s="29" t="s">
        <v>170</v>
      </c>
      <c r="L12" s="29" t="s">
        <v>170</v>
      </c>
      <c r="M12" s="29" t="s">
        <v>170</v>
      </c>
      <c r="N12" s="29" t="s">
        <v>170</v>
      </c>
      <c r="O12" s="29" t="s">
        <v>170</v>
      </c>
      <c r="P12" s="29" t="s">
        <v>170</v>
      </c>
      <c r="Q12" s="29" t="s">
        <v>170</v>
      </c>
      <c r="R12" s="29" t="s">
        <v>170</v>
      </c>
      <c r="S12" s="29" t="s">
        <v>170</v>
      </c>
      <c r="T12" s="29" t="s">
        <v>170</v>
      </c>
      <c r="U12" s="29" t="s">
        <v>170</v>
      </c>
      <c r="V12" s="29" t="s">
        <v>170</v>
      </c>
      <c r="W12" s="29" t="s">
        <v>170</v>
      </c>
      <c r="X12" s="29" t="s">
        <v>170</v>
      </c>
      <c r="Y12" s="29" t="s">
        <v>170</v>
      </c>
      <c r="Z12" s="29" t="s">
        <v>170</v>
      </c>
      <c r="AA12" s="29" t="s">
        <v>170</v>
      </c>
      <c r="AB12" s="28"/>
      <c r="AC12" s="29" t="s">
        <v>170</v>
      </c>
      <c r="AD12" s="28"/>
      <c r="AE12" s="29" t="s">
        <v>170</v>
      </c>
      <c r="AF12" s="29" t="s">
        <v>170</v>
      </c>
      <c r="AG12" s="29" t="s">
        <v>170</v>
      </c>
      <c r="AH12" s="29" t="s">
        <v>170</v>
      </c>
    </row>
    <row r="13" spans="1:34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 t="s">
        <v>173</v>
      </c>
      <c r="S13" s="28" t="s">
        <v>173</v>
      </c>
      <c r="T13" s="28" t="s">
        <v>173</v>
      </c>
      <c r="U13" s="28" t="s">
        <v>173</v>
      </c>
      <c r="V13" s="28" t="s">
        <v>173</v>
      </c>
      <c r="W13" s="28" t="s">
        <v>173</v>
      </c>
      <c r="X13" s="28" t="s">
        <v>173</v>
      </c>
      <c r="Y13" s="28" t="s">
        <v>173</v>
      </c>
      <c r="Z13" s="28" t="s">
        <v>173</v>
      </c>
      <c r="AA13" s="28" t="s">
        <v>173</v>
      </c>
      <c r="AB13" s="28"/>
      <c r="AC13" s="28" t="s">
        <v>173</v>
      </c>
      <c r="AD13" s="28"/>
      <c r="AE13" s="28" t="s">
        <v>173</v>
      </c>
      <c r="AF13" s="28" t="s">
        <v>173</v>
      </c>
      <c r="AG13" s="28" t="s">
        <v>173</v>
      </c>
      <c r="AH13" s="28" t="s">
        <v>173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 t="s">
        <v>173</v>
      </c>
      <c r="V14" s="28" t="s">
        <v>173</v>
      </c>
      <c r="W14" s="28" t="s">
        <v>173</v>
      </c>
      <c r="X14" s="28" t="s">
        <v>173</v>
      </c>
      <c r="Y14" s="28" t="s">
        <v>173</v>
      </c>
      <c r="Z14" s="28" t="s">
        <v>173</v>
      </c>
      <c r="AA14" s="28" t="s">
        <v>173</v>
      </c>
      <c r="AB14" s="28"/>
      <c r="AC14" s="28" t="s">
        <v>173</v>
      </c>
      <c r="AD14" s="28"/>
      <c r="AE14" s="28" t="s">
        <v>173</v>
      </c>
      <c r="AF14" s="28" t="s">
        <v>173</v>
      </c>
      <c r="AG14" s="28" t="s">
        <v>173</v>
      </c>
      <c r="AH14" s="28" t="s">
        <v>173</v>
      </c>
    </row>
    <row r="15" spans="1:34" x14ac:dyDescent="0.25">
      <c r="A15" s="26" t="s">
        <v>175</v>
      </c>
      <c r="B15" s="28" t="s">
        <v>267</v>
      </c>
      <c r="C15" s="28" t="s">
        <v>267</v>
      </c>
      <c r="D15" s="28" t="s">
        <v>267</v>
      </c>
      <c r="E15" s="28" t="s">
        <v>356</v>
      </c>
      <c r="F15" s="28" t="s">
        <v>267</v>
      </c>
      <c r="G15" s="28" t="s">
        <v>267</v>
      </c>
      <c r="H15" s="28" t="s">
        <v>267</v>
      </c>
      <c r="I15" s="28" t="s">
        <v>267</v>
      </c>
      <c r="J15" s="28" t="s">
        <v>267</v>
      </c>
      <c r="K15" s="28" t="s">
        <v>267</v>
      </c>
      <c r="L15" s="28" t="s">
        <v>267</v>
      </c>
      <c r="M15" s="28" t="s">
        <v>267</v>
      </c>
      <c r="N15" s="28" t="s">
        <v>267</v>
      </c>
      <c r="O15" s="28" t="s">
        <v>267</v>
      </c>
      <c r="P15" s="28" t="s">
        <v>267</v>
      </c>
      <c r="Q15" s="28" t="s">
        <v>267</v>
      </c>
      <c r="R15" s="28" t="s">
        <v>267</v>
      </c>
      <c r="S15" s="28" t="s">
        <v>267</v>
      </c>
      <c r="T15" s="28" t="s">
        <v>267</v>
      </c>
      <c r="U15" s="28" t="s">
        <v>267</v>
      </c>
      <c r="V15" s="28" t="s">
        <v>267</v>
      </c>
      <c r="W15" s="28" t="s">
        <v>267</v>
      </c>
      <c r="X15" s="28" t="s">
        <v>267</v>
      </c>
      <c r="Y15" s="28" t="s">
        <v>267</v>
      </c>
      <c r="Z15" s="28" t="s">
        <v>267</v>
      </c>
      <c r="AA15" s="28" t="s">
        <v>267</v>
      </c>
      <c r="AB15" s="28"/>
      <c r="AC15" s="28" t="s">
        <v>267</v>
      </c>
      <c r="AD15" s="28"/>
      <c r="AE15" s="28" t="s">
        <v>290</v>
      </c>
      <c r="AF15" s="28" t="s">
        <v>267</v>
      </c>
      <c r="AG15" s="28" t="s">
        <v>267</v>
      </c>
      <c r="AH15" s="28" t="s">
        <v>267</v>
      </c>
    </row>
    <row r="16" spans="1:34" x14ac:dyDescent="0.25">
      <c r="A16" s="26" t="s">
        <v>176</v>
      </c>
      <c r="B16" s="30">
        <v>-3</v>
      </c>
      <c r="C16" s="30">
        <v>-3</v>
      </c>
      <c r="D16" s="30">
        <v>-3</v>
      </c>
      <c r="E16" s="30">
        <f>AVERAGE(-3,-3,-5)</f>
        <v>-3.6666666666666665</v>
      </c>
      <c r="F16" s="30">
        <v>-3</v>
      </c>
      <c r="G16" s="30">
        <v>-3</v>
      </c>
      <c r="H16" s="30">
        <v>-3</v>
      </c>
      <c r="I16" s="30">
        <v>-3</v>
      </c>
      <c r="J16" s="30">
        <v>-3</v>
      </c>
      <c r="K16" s="30">
        <v>-3</v>
      </c>
      <c r="L16" s="30">
        <v>-3</v>
      </c>
      <c r="M16" s="30">
        <v>-3</v>
      </c>
      <c r="N16" s="30">
        <v>-3</v>
      </c>
      <c r="O16" s="30">
        <v>-3</v>
      </c>
      <c r="P16" s="30">
        <v>-3</v>
      </c>
      <c r="Q16" s="30">
        <v>-3</v>
      </c>
      <c r="R16" s="30">
        <v>-3</v>
      </c>
      <c r="S16" s="30">
        <v>-3</v>
      </c>
      <c r="T16" s="30">
        <v>-3</v>
      </c>
      <c r="U16" s="30">
        <v>-3</v>
      </c>
      <c r="V16" s="30">
        <v>-3</v>
      </c>
      <c r="W16" s="30">
        <v>-3</v>
      </c>
      <c r="X16" s="30">
        <v>-3</v>
      </c>
      <c r="Y16" s="30">
        <v>-3</v>
      </c>
      <c r="Z16" s="30">
        <v>-3</v>
      </c>
      <c r="AA16" s="30">
        <v>-3</v>
      </c>
      <c r="AB16" s="30"/>
      <c r="AC16" s="30">
        <v>-3</v>
      </c>
      <c r="AD16" s="30"/>
      <c r="AE16" s="30">
        <f>AVERAGE(-3,-2)</f>
        <v>-2.5</v>
      </c>
      <c r="AF16" s="30">
        <v>-3</v>
      </c>
      <c r="AG16" s="30">
        <v>-3</v>
      </c>
      <c r="AH16" s="30">
        <v>-3</v>
      </c>
    </row>
    <row r="17" spans="1:34" x14ac:dyDescent="0.25">
      <c r="A17" s="26" t="s">
        <v>177</v>
      </c>
      <c r="B17" s="28" t="s">
        <v>178</v>
      </c>
      <c r="C17" s="28" t="s">
        <v>178</v>
      </c>
      <c r="D17" s="28" t="s">
        <v>178</v>
      </c>
      <c r="E17" s="28" t="s">
        <v>179</v>
      </c>
      <c r="F17" s="28" t="s">
        <v>178</v>
      </c>
      <c r="G17" s="28" t="s">
        <v>178</v>
      </c>
      <c r="H17" s="28" t="s">
        <v>178</v>
      </c>
      <c r="I17" s="28" t="s">
        <v>178</v>
      </c>
      <c r="J17" s="28" t="s">
        <v>178</v>
      </c>
      <c r="K17" s="28" t="s">
        <v>178</v>
      </c>
      <c r="L17" s="28" t="s">
        <v>178</v>
      </c>
      <c r="M17" s="28" t="s">
        <v>178</v>
      </c>
      <c r="N17" s="28" t="s">
        <v>178</v>
      </c>
      <c r="O17" s="28" t="s">
        <v>178</v>
      </c>
      <c r="P17" s="28" t="s">
        <v>178</v>
      </c>
      <c r="Q17" s="28" t="s">
        <v>178</v>
      </c>
      <c r="R17" s="28" t="s">
        <v>178</v>
      </c>
      <c r="S17" s="28" t="s">
        <v>178</v>
      </c>
      <c r="T17" s="28" t="s">
        <v>178</v>
      </c>
      <c r="U17" s="28" t="s">
        <v>178</v>
      </c>
      <c r="V17" s="28" t="s">
        <v>178</v>
      </c>
      <c r="W17" s="28" t="s">
        <v>178</v>
      </c>
      <c r="X17" s="28" t="s">
        <v>178</v>
      </c>
      <c r="Y17" s="28" t="s">
        <v>178</v>
      </c>
      <c r="Z17" s="28" t="s">
        <v>178</v>
      </c>
      <c r="AA17" s="28" t="s">
        <v>178</v>
      </c>
      <c r="AB17" s="28"/>
      <c r="AC17" s="28" t="s">
        <v>178</v>
      </c>
      <c r="AD17" s="28"/>
      <c r="AE17" s="28" t="s">
        <v>357</v>
      </c>
      <c r="AF17" s="28" t="s">
        <v>178</v>
      </c>
      <c r="AG17" s="28" t="s">
        <v>178</v>
      </c>
      <c r="AH17" s="28" t="s">
        <v>178</v>
      </c>
    </row>
    <row r="18" spans="1:34" x14ac:dyDescent="0.25">
      <c r="A18" s="26" t="s">
        <v>182</v>
      </c>
      <c r="B18" s="30">
        <v>4</v>
      </c>
      <c r="C18" s="30">
        <v>4</v>
      </c>
      <c r="D18" s="30">
        <v>4</v>
      </c>
      <c r="E18" s="30">
        <f>AVERAGE(4,4,2)</f>
        <v>3.3333333333333335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30">
        <v>4</v>
      </c>
      <c r="S18" s="30">
        <v>4</v>
      </c>
      <c r="T18" s="30">
        <v>4</v>
      </c>
      <c r="U18" s="30">
        <v>4</v>
      </c>
      <c r="V18" s="30">
        <v>4</v>
      </c>
      <c r="W18" s="30">
        <v>4</v>
      </c>
      <c r="X18" s="30">
        <v>4</v>
      </c>
      <c r="Y18" s="30">
        <v>4</v>
      </c>
      <c r="Z18" s="30">
        <v>4</v>
      </c>
      <c r="AA18" s="30">
        <v>4</v>
      </c>
      <c r="AB18" s="30"/>
      <c r="AC18" s="30">
        <v>4</v>
      </c>
      <c r="AD18" s="30"/>
      <c r="AE18" s="30">
        <f>AVERAGE(4,1/3)</f>
        <v>2.1666666666666665</v>
      </c>
      <c r="AF18" s="30">
        <v>4</v>
      </c>
      <c r="AG18" s="30">
        <v>4</v>
      </c>
      <c r="AH18" s="30">
        <v>4</v>
      </c>
    </row>
    <row r="20" spans="1:34" x14ac:dyDescent="0.25">
      <c r="A20" s="31" t="s">
        <v>183</v>
      </c>
    </row>
    <row r="21" spans="1:34" x14ac:dyDescent="0.25">
      <c r="A21" s="26" t="s">
        <v>362</v>
      </c>
      <c r="B21" s="56" t="s">
        <v>298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A9A12-9FB8-4D40-8DD4-E6FDA27040EF}">
  <dimension ref="A1:AH21"/>
  <sheetViews>
    <sheetView workbookViewId="0">
      <selection activeCell="B7" sqref="B7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117</v>
      </c>
      <c r="I1" s="25" t="s">
        <v>118</v>
      </c>
    </row>
    <row r="3" spans="1:34" ht="18" x14ac:dyDescent="0.25">
      <c r="A3" s="25" t="s">
        <v>119</v>
      </c>
      <c r="B3" s="215">
        <v>15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363</v>
      </c>
      <c r="C4" s="215"/>
      <c r="D4" s="215"/>
      <c r="F4" s="216" t="s">
        <v>364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187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29" t="s">
        <v>365</v>
      </c>
      <c r="C8" s="29" t="s">
        <v>366</v>
      </c>
      <c r="D8" s="29" t="s">
        <v>366</v>
      </c>
      <c r="E8" s="29" t="s">
        <v>366</v>
      </c>
      <c r="F8" s="28" t="s">
        <v>367</v>
      </c>
      <c r="G8" s="29" t="s">
        <v>366</v>
      </c>
      <c r="H8" s="29" t="s">
        <v>366</v>
      </c>
      <c r="I8" s="29" t="s">
        <v>366</v>
      </c>
      <c r="J8" s="29" t="s">
        <v>366</v>
      </c>
      <c r="K8" s="29" t="s">
        <v>366</v>
      </c>
      <c r="L8" s="29" t="s">
        <v>366</v>
      </c>
      <c r="M8" s="29" t="s">
        <v>366</v>
      </c>
      <c r="N8" s="29" t="s">
        <v>366</v>
      </c>
      <c r="O8" s="29" t="s">
        <v>366</v>
      </c>
      <c r="P8" s="28" t="s">
        <v>366</v>
      </c>
      <c r="Q8" s="28" t="s">
        <v>366</v>
      </c>
      <c r="R8" s="28" t="s">
        <v>366</v>
      </c>
      <c r="S8" s="29" t="s">
        <v>366</v>
      </c>
      <c r="T8" s="29" t="s">
        <v>366</v>
      </c>
      <c r="U8" s="29" t="s">
        <v>366</v>
      </c>
      <c r="V8" s="29" t="s">
        <v>366</v>
      </c>
      <c r="W8" s="29" t="s">
        <v>366</v>
      </c>
      <c r="X8" s="29" t="s">
        <v>366</v>
      </c>
      <c r="Y8" s="29" t="s">
        <v>366</v>
      </c>
      <c r="Z8" s="29" t="s">
        <v>366</v>
      </c>
      <c r="AA8" s="29" t="s">
        <v>366</v>
      </c>
      <c r="AB8" s="29" t="s">
        <v>366</v>
      </c>
      <c r="AC8" s="29" t="s">
        <v>366</v>
      </c>
      <c r="AD8" s="29" t="s">
        <v>366</v>
      </c>
      <c r="AE8" s="29" t="s">
        <v>366</v>
      </c>
      <c r="AF8" s="29" t="s">
        <v>366</v>
      </c>
      <c r="AG8" s="28" t="s">
        <v>366</v>
      </c>
      <c r="AH8" s="28" t="s">
        <v>366</v>
      </c>
    </row>
    <row r="9" spans="1:34" x14ac:dyDescent="0.25">
      <c r="A9" s="26" t="s">
        <v>165</v>
      </c>
      <c r="B9" s="29" t="s">
        <v>366</v>
      </c>
      <c r="C9" s="29" t="s">
        <v>366</v>
      </c>
      <c r="D9" s="29" t="s">
        <v>366</v>
      </c>
      <c r="E9" s="29" t="s">
        <v>366</v>
      </c>
      <c r="F9" s="28" t="s">
        <v>368</v>
      </c>
      <c r="G9" s="29" t="s">
        <v>366</v>
      </c>
      <c r="H9" s="29" t="s">
        <v>366</v>
      </c>
      <c r="I9" s="29" t="s">
        <v>366</v>
      </c>
      <c r="J9" s="29" t="s">
        <v>366</v>
      </c>
      <c r="K9" s="29" t="s">
        <v>366</v>
      </c>
      <c r="L9" s="29" t="s">
        <v>366</v>
      </c>
      <c r="M9" s="29" t="s">
        <v>366</v>
      </c>
      <c r="N9" s="29" t="s">
        <v>366</v>
      </c>
      <c r="O9" s="29" t="s">
        <v>366</v>
      </c>
      <c r="P9" s="28" t="s">
        <v>369</v>
      </c>
      <c r="Q9" s="28" t="s">
        <v>369</v>
      </c>
      <c r="R9" s="28" t="s">
        <v>369</v>
      </c>
      <c r="S9" s="29" t="s">
        <v>366</v>
      </c>
      <c r="T9" s="29" t="s">
        <v>366</v>
      </c>
      <c r="U9" s="29" t="s">
        <v>366</v>
      </c>
      <c r="V9" s="29" t="s">
        <v>366</v>
      </c>
      <c r="W9" s="29" t="s">
        <v>366</v>
      </c>
      <c r="X9" s="29" t="s">
        <v>366</v>
      </c>
      <c r="Y9" s="29" t="s">
        <v>366</v>
      </c>
      <c r="Z9" s="29" t="s">
        <v>366</v>
      </c>
      <c r="AA9" s="29" t="s">
        <v>366</v>
      </c>
      <c r="AB9" s="29" t="s">
        <v>366</v>
      </c>
      <c r="AC9" s="29" t="s">
        <v>366</v>
      </c>
      <c r="AD9" s="29" t="s">
        <v>366</v>
      </c>
      <c r="AE9" s="29" t="s">
        <v>366</v>
      </c>
      <c r="AF9" s="29" t="s">
        <v>366</v>
      </c>
      <c r="AG9" s="28" t="s">
        <v>369</v>
      </c>
      <c r="AH9" s="28" t="s">
        <v>369</v>
      </c>
    </row>
    <row r="10" spans="1:34" x14ac:dyDescent="0.25">
      <c r="A10" s="131" t="s">
        <v>168</v>
      </c>
      <c r="B10" s="157">
        <v>73</v>
      </c>
      <c r="C10" s="157">
        <v>73</v>
      </c>
      <c r="D10" s="157">
        <v>73</v>
      </c>
      <c r="E10" s="157">
        <v>73</v>
      </c>
      <c r="F10" s="157">
        <v>113</v>
      </c>
      <c r="G10" s="157">
        <v>73</v>
      </c>
      <c r="H10" s="157">
        <v>73</v>
      </c>
      <c r="I10" s="157">
        <v>73</v>
      </c>
      <c r="J10" s="157">
        <v>73</v>
      </c>
      <c r="K10" s="157">
        <v>73</v>
      </c>
      <c r="L10" s="157">
        <v>73</v>
      </c>
      <c r="M10" s="157">
        <v>73</v>
      </c>
      <c r="N10" s="157">
        <v>73</v>
      </c>
      <c r="O10" s="157">
        <v>73</v>
      </c>
      <c r="P10" s="157">
        <v>72</v>
      </c>
      <c r="Q10" s="157">
        <v>72</v>
      </c>
      <c r="R10" s="157">
        <v>72</v>
      </c>
      <c r="S10" s="157">
        <v>73</v>
      </c>
      <c r="T10" s="157">
        <v>73</v>
      </c>
      <c r="U10" s="157">
        <v>73</v>
      </c>
      <c r="V10" s="157">
        <v>73</v>
      </c>
      <c r="W10" s="157">
        <v>73</v>
      </c>
      <c r="X10" s="157">
        <v>73</v>
      </c>
      <c r="Y10" s="157">
        <v>73</v>
      </c>
      <c r="Z10" s="157">
        <v>73</v>
      </c>
      <c r="AA10" s="157">
        <v>73</v>
      </c>
      <c r="AB10" s="157">
        <v>73</v>
      </c>
      <c r="AC10" s="157">
        <v>73</v>
      </c>
      <c r="AD10" s="157">
        <v>73</v>
      </c>
      <c r="AE10" s="157">
        <v>73</v>
      </c>
      <c r="AF10" s="157">
        <v>73</v>
      </c>
      <c r="AG10" s="157">
        <v>72</v>
      </c>
      <c r="AH10" s="157">
        <v>72</v>
      </c>
    </row>
    <row r="11" spans="1:34" x14ac:dyDescent="0.25">
      <c r="A11" s="26" t="s">
        <v>169</v>
      </c>
      <c r="B11" s="29" t="s">
        <v>170</v>
      </c>
      <c r="C11" s="29" t="s">
        <v>170</v>
      </c>
      <c r="D11" s="29" t="s">
        <v>170</v>
      </c>
      <c r="E11" s="29" t="s">
        <v>170</v>
      </c>
      <c r="F11" s="28" t="s">
        <v>170</v>
      </c>
      <c r="G11" s="29" t="s">
        <v>170</v>
      </c>
      <c r="H11" s="29" t="s">
        <v>170</v>
      </c>
      <c r="I11" s="29" t="s">
        <v>170</v>
      </c>
      <c r="J11" s="29" t="s">
        <v>170</v>
      </c>
      <c r="K11" s="29" t="s">
        <v>170</v>
      </c>
      <c r="L11" s="29" t="s">
        <v>170</v>
      </c>
      <c r="M11" s="29" t="s">
        <v>170</v>
      </c>
      <c r="N11" s="29" t="s">
        <v>170</v>
      </c>
      <c r="O11" s="29" t="s">
        <v>170</v>
      </c>
      <c r="P11" s="29" t="s">
        <v>170</v>
      </c>
      <c r="Q11" s="29" t="s">
        <v>170</v>
      </c>
      <c r="R11" s="29" t="s">
        <v>170</v>
      </c>
      <c r="S11" s="29" t="s">
        <v>170</v>
      </c>
      <c r="T11" s="29" t="s">
        <v>170</v>
      </c>
      <c r="U11" s="29" t="s">
        <v>170</v>
      </c>
      <c r="V11" s="29" t="s">
        <v>170</v>
      </c>
      <c r="W11" s="29" t="s">
        <v>170</v>
      </c>
      <c r="X11" s="29" t="s">
        <v>170</v>
      </c>
      <c r="Y11" s="29" t="s">
        <v>170</v>
      </c>
      <c r="Z11" s="29" t="s">
        <v>170</v>
      </c>
      <c r="AA11" s="29" t="s">
        <v>170</v>
      </c>
      <c r="AB11" s="29" t="s">
        <v>170</v>
      </c>
      <c r="AC11" s="29" t="s">
        <v>170</v>
      </c>
      <c r="AD11" s="29" t="s">
        <v>170</v>
      </c>
      <c r="AE11" s="29" t="s">
        <v>170</v>
      </c>
      <c r="AF11" s="29" t="s">
        <v>170</v>
      </c>
      <c r="AG11" s="29" t="s">
        <v>170</v>
      </c>
      <c r="AH11" s="29" t="s">
        <v>170</v>
      </c>
    </row>
    <row r="12" spans="1:34" x14ac:dyDescent="0.25">
      <c r="A12" s="26" t="s">
        <v>171</v>
      </c>
      <c r="B12" s="29" t="s">
        <v>170</v>
      </c>
      <c r="C12" s="29" t="s">
        <v>170</v>
      </c>
      <c r="D12" s="29" t="s">
        <v>170</v>
      </c>
      <c r="E12" s="29" t="s">
        <v>170</v>
      </c>
      <c r="F12" s="28" t="s">
        <v>170</v>
      </c>
      <c r="G12" s="29" t="s">
        <v>170</v>
      </c>
      <c r="H12" s="29" t="s">
        <v>170</v>
      </c>
      <c r="I12" s="29" t="s">
        <v>170</v>
      </c>
      <c r="J12" s="29" t="s">
        <v>170</v>
      </c>
      <c r="K12" s="29" t="s">
        <v>170</v>
      </c>
      <c r="L12" s="29" t="s">
        <v>170</v>
      </c>
      <c r="M12" s="29" t="s">
        <v>170</v>
      </c>
      <c r="N12" s="29" t="s">
        <v>170</v>
      </c>
      <c r="O12" s="29" t="s">
        <v>170</v>
      </c>
      <c r="P12" s="29" t="s">
        <v>170</v>
      </c>
      <c r="Q12" s="29" t="s">
        <v>170</v>
      </c>
      <c r="R12" s="29" t="s">
        <v>170</v>
      </c>
      <c r="S12" s="29" t="s">
        <v>170</v>
      </c>
      <c r="T12" s="29" t="s">
        <v>170</v>
      </c>
      <c r="U12" s="29" t="s">
        <v>170</v>
      </c>
      <c r="V12" s="29" t="s">
        <v>170</v>
      </c>
      <c r="W12" s="29" t="s">
        <v>170</v>
      </c>
      <c r="X12" s="29" t="s">
        <v>170</v>
      </c>
      <c r="Y12" s="29" t="s">
        <v>170</v>
      </c>
      <c r="Z12" s="29" t="s">
        <v>170</v>
      </c>
      <c r="AA12" s="29" t="s">
        <v>170</v>
      </c>
      <c r="AB12" s="29" t="s">
        <v>170</v>
      </c>
      <c r="AC12" s="29" t="s">
        <v>170</v>
      </c>
      <c r="AD12" s="29" t="s">
        <v>170</v>
      </c>
      <c r="AE12" s="29" t="s">
        <v>170</v>
      </c>
      <c r="AF12" s="29" t="s">
        <v>170</v>
      </c>
      <c r="AG12" s="29" t="s">
        <v>170</v>
      </c>
      <c r="AH12" s="29" t="s">
        <v>170</v>
      </c>
    </row>
    <row r="13" spans="1:34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 t="s">
        <v>173</v>
      </c>
      <c r="S13" s="28" t="s">
        <v>173</v>
      </c>
      <c r="T13" s="28" t="s">
        <v>173</v>
      </c>
      <c r="U13" s="28" t="s">
        <v>173</v>
      </c>
      <c r="V13" s="28" t="s">
        <v>173</v>
      </c>
      <c r="W13" s="28" t="s">
        <v>173</v>
      </c>
      <c r="X13" s="28" t="s">
        <v>173</v>
      </c>
      <c r="Y13" s="28" t="s">
        <v>173</v>
      </c>
      <c r="Z13" s="28" t="s">
        <v>173</v>
      </c>
      <c r="AA13" s="28" t="s">
        <v>173</v>
      </c>
      <c r="AB13" s="28" t="s">
        <v>173</v>
      </c>
      <c r="AC13" s="28" t="s">
        <v>173</v>
      </c>
      <c r="AD13" s="28" t="s">
        <v>173</v>
      </c>
      <c r="AE13" s="28" t="s">
        <v>173</v>
      </c>
      <c r="AF13" s="28" t="s">
        <v>173</v>
      </c>
      <c r="AG13" s="28" t="s">
        <v>173</v>
      </c>
      <c r="AH13" s="28" t="s">
        <v>173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 t="s">
        <v>173</v>
      </c>
      <c r="V14" s="28" t="s">
        <v>173</v>
      </c>
      <c r="W14" s="28" t="s">
        <v>173</v>
      </c>
      <c r="X14" s="28" t="s">
        <v>173</v>
      </c>
      <c r="Y14" s="28" t="s">
        <v>173</v>
      </c>
      <c r="Z14" s="28" t="s">
        <v>173</v>
      </c>
      <c r="AA14" s="28" t="s">
        <v>173</v>
      </c>
      <c r="AB14" s="28" t="s">
        <v>173</v>
      </c>
      <c r="AC14" s="28" t="s">
        <v>173</v>
      </c>
      <c r="AD14" s="28" t="s">
        <v>173</v>
      </c>
      <c r="AE14" s="28" t="s">
        <v>173</v>
      </c>
      <c r="AF14" s="28" t="s">
        <v>173</v>
      </c>
      <c r="AG14" s="28" t="s">
        <v>173</v>
      </c>
      <c r="AH14" s="28" t="s">
        <v>173</v>
      </c>
    </row>
    <row r="15" spans="1:34" x14ac:dyDescent="0.25">
      <c r="A15" s="26" t="s">
        <v>175</v>
      </c>
      <c r="B15" s="28" t="s">
        <v>198</v>
      </c>
      <c r="C15" s="28" t="s">
        <v>198</v>
      </c>
      <c r="D15" s="28" t="s">
        <v>198</v>
      </c>
      <c r="E15" s="28" t="s">
        <v>198</v>
      </c>
      <c r="F15" s="28" t="s">
        <v>370</v>
      </c>
      <c r="G15" s="28" t="s">
        <v>198</v>
      </c>
      <c r="H15" s="28" t="s">
        <v>198</v>
      </c>
      <c r="I15" s="28" t="s">
        <v>198</v>
      </c>
      <c r="J15" s="28" t="s">
        <v>198</v>
      </c>
      <c r="K15" s="28" t="s">
        <v>198</v>
      </c>
      <c r="L15" s="28" t="s">
        <v>198</v>
      </c>
      <c r="M15" s="28" t="s">
        <v>198</v>
      </c>
      <c r="N15" s="28" t="s">
        <v>198</v>
      </c>
      <c r="O15" s="28" t="s">
        <v>198</v>
      </c>
      <c r="P15" s="28" t="s">
        <v>198</v>
      </c>
      <c r="Q15" s="28" t="s">
        <v>198</v>
      </c>
      <c r="R15" s="28" t="s">
        <v>198</v>
      </c>
      <c r="S15" s="28" t="s">
        <v>198</v>
      </c>
      <c r="T15" s="28" t="s">
        <v>198</v>
      </c>
      <c r="U15" s="28" t="s">
        <v>198</v>
      </c>
      <c r="V15" s="28" t="s">
        <v>198</v>
      </c>
      <c r="W15" s="28" t="s">
        <v>198</v>
      </c>
      <c r="X15" s="28" t="s">
        <v>198</v>
      </c>
      <c r="Y15" s="28" t="s">
        <v>198</v>
      </c>
      <c r="Z15" s="28" t="s">
        <v>198</v>
      </c>
      <c r="AA15" s="28" t="s">
        <v>198</v>
      </c>
      <c r="AB15" s="28" t="s">
        <v>198</v>
      </c>
      <c r="AC15" s="28" t="s">
        <v>198</v>
      </c>
      <c r="AD15" s="28" t="s">
        <v>198</v>
      </c>
      <c r="AE15" s="28" t="s">
        <v>198</v>
      </c>
      <c r="AF15" s="28" t="s">
        <v>198</v>
      </c>
      <c r="AG15" s="28" t="s">
        <v>198</v>
      </c>
      <c r="AH15" s="28" t="s">
        <v>198</v>
      </c>
    </row>
    <row r="16" spans="1:34" x14ac:dyDescent="0.25">
      <c r="A16" s="26" t="s">
        <v>176</v>
      </c>
      <c r="B16" s="30">
        <v>0.75</v>
      </c>
      <c r="C16" s="30">
        <v>0.75</v>
      </c>
      <c r="D16" s="30">
        <v>0.75</v>
      </c>
      <c r="E16" s="30">
        <v>0.75</v>
      </c>
      <c r="F16" s="30">
        <f>AVERAGE(0.75,-2)</f>
        <v>-0.625</v>
      </c>
      <c r="G16" s="30">
        <v>0.75</v>
      </c>
      <c r="H16" s="30">
        <v>0.75</v>
      </c>
      <c r="I16" s="30">
        <v>0.75</v>
      </c>
      <c r="J16" s="30">
        <v>0.75</v>
      </c>
      <c r="K16" s="30">
        <v>0.75</v>
      </c>
      <c r="L16" s="30">
        <v>0.75</v>
      </c>
      <c r="M16" s="30">
        <v>0.75</v>
      </c>
      <c r="N16" s="30">
        <v>0.75</v>
      </c>
      <c r="O16" s="30">
        <v>0.75</v>
      </c>
      <c r="P16" s="30">
        <v>1.67</v>
      </c>
      <c r="Q16" s="30">
        <v>1.67</v>
      </c>
      <c r="R16" s="30">
        <v>1.67</v>
      </c>
      <c r="S16" s="30">
        <v>0.75</v>
      </c>
      <c r="T16" s="30">
        <v>0.75</v>
      </c>
      <c r="U16" s="30">
        <v>0.75</v>
      </c>
      <c r="V16" s="30">
        <v>0.75</v>
      </c>
      <c r="W16" s="30">
        <v>0.75</v>
      </c>
      <c r="X16" s="30">
        <v>0.75</v>
      </c>
      <c r="Y16" s="30">
        <v>0.75</v>
      </c>
      <c r="Z16" s="30">
        <v>0.75</v>
      </c>
      <c r="AA16" s="30">
        <v>0.75</v>
      </c>
      <c r="AB16" s="30">
        <v>0.75</v>
      </c>
      <c r="AC16" s="30">
        <v>0.75</v>
      </c>
      <c r="AD16" s="30">
        <v>0.75</v>
      </c>
      <c r="AE16" s="30">
        <v>0.75</v>
      </c>
      <c r="AF16" s="30">
        <v>0.75</v>
      </c>
      <c r="AG16" s="30">
        <v>1.67</v>
      </c>
      <c r="AH16" s="30">
        <v>1.67</v>
      </c>
    </row>
    <row r="17" spans="1:34" x14ac:dyDescent="0.25">
      <c r="A17" s="26" t="s">
        <v>177</v>
      </c>
      <c r="B17" s="28" t="s">
        <v>365</v>
      </c>
      <c r="C17" s="28" t="s">
        <v>365</v>
      </c>
      <c r="D17" s="28" t="s">
        <v>365</v>
      </c>
      <c r="E17" s="28" t="s">
        <v>365</v>
      </c>
      <c r="F17" s="28" t="s">
        <v>365</v>
      </c>
      <c r="G17" s="28" t="s">
        <v>365</v>
      </c>
      <c r="H17" s="28" t="s">
        <v>365</v>
      </c>
      <c r="I17" s="28" t="s">
        <v>365</v>
      </c>
      <c r="J17" s="28" t="s">
        <v>365</v>
      </c>
      <c r="K17" s="28" t="s">
        <v>365</v>
      </c>
      <c r="L17" s="28" t="s">
        <v>365</v>
      </c>
      <c r="M17" s="28" t="s">
        <v>365</v>
      </c>
      <c r="N17" s="28" t="s">
        <v>365</v>
      </c>
      <c r="O17" s="28" t="s">
        <v>365</v>
      </c>
      <c r="P17" s="28" t="s">
        <v>365</v>
      </c>
      <c r="Q17" s="28" t="s">
        <v>365</v>
      </c>
      <c r="R17" s="28" t="s">
        <v>365</v>
      </c>
      <c r="S17" s="28" t="s">
        <v>365</v>
      </c>
      <c r="T17" s="28" t="s">
        <v>365</v>
      </c>
      <c r="U17" s="28" t="s">
        <v>365</v>
      </c>
      <c r="V17" s="28" t="s">
        <v>365</v>
      </c>
      <c r="W17" s="28" t="s">
        <v>365</v>
      </c>
      <c r="X17" s="28" t="s">
        <v>365</v>
      </c>
      <c r="Y17" s="28" t="s">
        <v>365</v>
      </c>
      <c r="Z17" s="28" t="s">
        <v>365</v>
      </c>
      <c r="AA17" s="28" t="s">
        <v>365</v>
      </c>
      <c r="AB17" s="28" t="s">
        <v>365</v>
      </c>
      <c r="AC17" s="28" t="s">
        <v>365</v>
      </c>
      <c r="AD17" s="28" t="s">
        <v>365</v>
      </c>
      <c r="AE17" s="28" t="s">
        <v>365</v>
      </c>
      <c r="AF17" s="28" t="s">
        <v>365</v>
      </c>
      <c r="AG17" s="28" t="s">
        <v>365</v>
      </c>
      <c r="AH17" s="28" t="s">
        <v>365</v>
      </c>
    </row>
    <row r="18" spans="1:34" x14ac:dyDescent="0.25">
      <c r="A18" s="26" t="s">
        <v>182</v>
      </c>
      <c r="B18" s="30">
        <v>1.5</v>
      </c>
      <c r="C18" s="30">
        <v>1.5</v>
      </c>
      <c r="D18" s="30">
        <v>1.5</v>
      </c>
      <c r="E18" s="30">
        <v>1.5</v>
      </c>
      <c r="F18" s="30">
        <v>1.5</v>
      </c>
      <c r="G18" s="30">
        <v>1.5</v>
      </c>
      <c r="H18" s="30">
        <v>1.5</v>
      </c>
      <c r="I18" s="30">
        <v>1.5</v>
      </c>
      <c r="J18" s="30">
        <v>1.5</v>
      </c>
      <c r="K18" s="30">
        <v>1.5</v>
      </c>
      <c r="L18" s="30">
        <v>1.5</v>
      </c>
      <c r="M18" s="30">
        <v>1.5</v>
      </c>
      <c r="N18" s="30">
        <v>1.5</v>
      </c>
      <c r="O18" s="30">
        <v>1.5</v>
      </c>
      <c r="P18" s="30">
        <v>1.5</v>
      </c>
      <c r="Q18" s="30">
        <v>1.5</v>
      </c>
      <c r="R18" s="30">
        <v>1.5</v>
      </c>
      <c r="S18" s="30">
        <v>1.5</v>
      </c>
      <c r="T18" s="30">
        <v>1.5</v>
      </c>
      <c r="U18" s="30">
        <v>1.5</v>
      </c>
      <c r="V18" s="30">
        <v>1.5</v>
      </c>
      <c r="W18" s="30">
        <v>1.5</v>
      </c>
      <c r="X18" s="30">
        <v>1.5</v>
      </c>
      <c r="Y18" s="30">
        <v>1.5</v>
      </c>
      <c r="Z18" s="30">
        <v>1.5</v>
      </c>
      <c r="AA18" s="30">
        <v>1.5</v>
      </c>
      <c r="AB18" s="30">
        <v>1.5</v>
      </c>
      <c r="AC18" s="30">
        <v>1.5</v>
      </c>
      <c r="AD18" s="30">
        <v>1.5</v>
      </c>
      <c r="AE18" s="30">
        <v>1.5</v>
      </c>
      <c r="AF18" s="30">
        <v>1.5</v>
      </c>
      <c r="AG18" s="30">
        <v>1.5</v>
      </c>
      <c r="AH18" s="30">
        <v>1.5</v>
      </c>
    </row>
    <row r="20" spans="1:34" x14ac:dyDescent="0.25">
      <c r="A20" s="31" t="s">
        <v>183</v>
      </c>
    </row>
    <row r="21" spans="1:34" x14ac:dyDescent="0.25">
      <c r="A21" s="26" t="s">
        <v>371</v>
      </c>
      <c r="B21" s="56" t="s">
        <v>372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76C0D-E074-4E2C-96FC-6608CA00C2A7}">
  <dimension ref="A1:AH21"/>
  <sheetViews>
    <sheetView topLeftCell="J1" workbookViewId="0">
      <selection activeCell="AF10" sqref="AF10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117</v>
      </c>
      <c r="I1" s="25" t="s">
        <v>118</v>
      </c>
    </row>
    <row r="3" spans="1:34" ht="18" x14ac:dyDescent="0.25">
      <c r="A3" s="25" t="s">
        <v>119</v>
      </c>
      <c r="B3" s="215">
        <v>16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363</v>
      </c>
      <c r="C4" s="215"/>
      <c r="D4" s="215"/>
      <c r="F4" s="216" t="s">
        <v>373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125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28" t="s">
        <v>365</v>
      </c>
      <c r="C8" s="28" t="s">
        <v>366</v>
      </c>
      <c r="D8" s="28" t="s">
        <v>366</v>
      </c>
      <c r="E8" s="28" t="s">
        <v>366</v>
      </c>
      <c r="F8" s="28" t="s">
        <v>367</v>
      </c>
      <c r="G8" s="28" t="s">
        <v>366</v>
      </c>
      <c r="H8" s="28" t="s">
        <v>366</v>
      </c>
      <c r="I8" s="28" t="s">
        <v>366</v>
      </c>
      <c r="J8" s="28" t="s">
        <v>366</v>
      </c>
      <c r="K8" s="28" t="s">
        <v>366</v>
      </c>
      <c r="L8" s="28" t="s">
        <v>366</v>
      </c>
      <c r="M8" s="28" t="s">
        <v>366</v>
      </c>
      <c r="N8" s="28" t="s">
        <v>366</v>
      </c>
      <c r="O8" s="28" t="s">
        <v>366</v>
      </c>
      <c r="P8" s="28" t="s">
        <v>366</v>
      </c>
      <c r="Q8" s="28" t="s">
        <v>366</v>
      </c>
      <c r="R8" s="28" t="s">
        <v>366</v>
      </c>
      <c r="S8" s="29" t="s">
        <v>366</v>
      </c>
      <c r="T8" s="29" t="s">
        <v>366</v>
      </c>
      <c r="U8" s="29" t="s">
        <v>366</v>
      </c>
      <c r="V8" s="29" t="s">
        <v>366</v>
      </c>
      <c r="W8" s="29" t="s">
        <v>366</v>
      </c>
      <c r="X8" s="29" t="s">
        <v>366</v>
      </c>
      <c r="Y8" s="29" t="s">
        <v>366</v>
      </c>
      <c r="Z8" s="29" t="s">
        <v>366</v>
      </c>
      <c r="AA8" s="29" t="s">
        <v>366</v>
      </c>
      <c r="AB8" s="29" t="s">
        <v>366</v>
      </c>
      <c r="AC8" s="29" t="s">
        <v>366</v>
      </c>
      <c r="AD8" s="29" t="s">
        <v>366</v>
      </c>
      <c r="AE8" s="29" t="s">
        <v>366</v>
      </c>
      <c r="AF8" s="29" t="s">
        <v>366</v>
      </c>
      <c r="AG8" s="28" t="s">
        <v>366</v>
      </c>
      <c r="AH8" s="28" t="s">
        <v>366</v>
      </c>
    </row>
    <row r="9" spans="1:34" x14ac:dyDescent="0.25">
      <c r="A9" s="26" t="s">
        <v>165</v>
      </c>
      <c r="B9" s="28" t="s">
        <v>366</v>
      </c>
      <c r="C9" s="28" t="s">
        <v>366</v>
      </c>
      <c r="D9" s="28" t="s">
        <v>366</v>
      </c>
      <c r="E9" s="28" t="s">
        <v>366</v>
      </c>
      <c r="F9" s="28" t="s">
        <v>368</v>
      </c>
      <c r="G9" s="28" t="s">
        <v>366</v>
      </c>
      <c r="H9" s="28" t="s">
        <v>366</v>
      </c>
      <c r="I9" s="28" t="s">
        <v>366</v>
      </c>
      <c r="J9" s="28" t="s">
        <v>366</v>
      </c>
      <c r="K9" s="28" t="s">
        <v>366</v>
      </c>
      <c r="L9" s="28" t="s">
        <v>366</v>
      </c>
      <c r="M9" s="28" t="s">
        <v>366</v>
      </c>
      <c r="N9" s="28" t="s">
        <v>366</v>
      </c>
      <c r="O9" s="28" t="s">
        <v>366</v>
      </c>
      <c r="P9" s="28" t="s">
        <v>369</v>
      </c>
      <c r="Q9" s="28" t="s">
        <v>369</v>
      </c>
      <c r="R9" s="28" t="s">
        <v>369</v>
      </c>
      <c r="S9" s="29" t="s">
        <v>366</v>
      </c>
      <c r="T9" s="29" t="s">
        <v>366</v>
      </c>
      <c r="U9" s="29" t="s">
        <v>366</v>
      </c>
      <c r="V9" s="29" t="s">
        <v>366</v>
      </c>
      <c r="W9" s="29" t="s">
        <v>366</v>
      </c>
      <c r="X9" s="29" t="s">
        <v>366</v>
      </c>
      <c r="Y9" s="29" t="s">
        <v>366</v>
      </c>
      <c r="Z9" s="29" t="s">
        <v>366</v>
      </c>
      <c r="AA9" s="29" t="s">
        <v>366</v>
      </c>
      <c r="AB9" s="29" t="s">
        <v>366</v>
      </c>
      <c r="AC9" s="29" t="s">
        <v>366</v>
      </c>
      <c r="AD9" s="29" t="s">
        <v>366</v>
      </c>
      <c r="AE9" s="29" t="s">
        <v>366</v>
      </c>
      <c r="AF9" s="29" t="s">
        <v>366</v>
      </c>
      <c r="AG9" s="28" t="s">
        <v>369</v>
      </c>
      <c r="AH9" s="28" t="s">
        <v>369</v>
      </c>
    </row>
    <row r="10" spans="1:34" x14ac:dyDescent="0.25">
      <c r="A10" s="131" t="s">
        <v>168</v>
      </c>
      <c r="B10" s="157">
        <v>73</v>
      </c>
      <c r="C10" s="157">
        <v>73</v>
      </c>
      <c r="D10" s="157">
        <v>73</v>
      </c>
      <c r="E10" s="157">
        <v>73</v>
      </c>
      <c r="F10" s="157">
        <v>113</v>
      </c>
      <c r="G10" s="157">
        <v>73</v>
      </c>
      <c r="H10" s="157">
        <v>73</v>
      </c>
      <c r="I10" s="157">
        <v>73</v>
      </c>
      <c r="J10" s="157">
        <v>73</v>
      </c>
      <c r="K10" s="157">
        <v>73</v>
      </c>
      <c r="L10" s="157">
        <v>73</v>
      </c>
      <c r="M10" s="157">
        <v>73</v>
      </c>
      <c r="N10" s="157">
        <v>73</v>
      </c>
      <c r="O10" s="157">
        <v>73</v>
      </c>
      <c r="P10" s="157">
        <v>72</v>
      </c>
      <c r="Q10" s="157">
        <v>72</v>
      </c>
      <c r="R10" s="157">
        <v>72</v>
      </c>
      <c r="S10" s="157">
        <v>73</v>
      </c>
      <c r="T10" s="157">
        <v>73</v>
      </c>
      <c r="U10" s="157">
        <v>73</v>
      </c>
      <c r="V10" s="157">
        <v>73</v>
      </c>
      <c r="W10" s="157">
        <v>73</v>
      </c>
      <c r="X10" s="157">
        <v>73</v>
      </c>
      <c r="Y10" s="157">
        <v>73</v>
      </c>
      <c r="Z10" s="157">
        <v>73</v>
      </c>
      <c r="AA10" s="157">
        <v>73</v>
      </c>
      <c r="AB10" s="157">
        <v>73</v>
      </c>
      <c r="AC10" s="157">
        <v>73</v>
      </c>
      <c r="AD10" s="157">
        <v>73</v>
      </c>
      <c r="AE10" s="157">
        <v>73</v>
      </c>
      <c r="AF10" s="157">
        <v>73</v>
      </c>
      <c r="AG10" s="157">
        <v>72</v>
      </c>
      <c r="AH10" s="157">
        <v>72</v>
      </c>
    </row>
    <row r="11" spans="1:34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28" t="s">
        <v>170</v>
      </c>
      <c r="O11" s="28" t="s">
        <v>170</v>
      </c>
      <c r="P11" s="29" t="s">
        <v>170</v>
      </c>
      <c r="Q11" s="29" t="s">
        <v>170</v>
      </c>
      <c r="R11" s="29" t="s">
        <v>170</v>
      </c>
      <c r="S11" s="29" t="s">
        <v>170</v>
      </c>
      <c r="T11" s="29" t="s">
        <v>170</v>
      </c>
      <c r="U11" s="29" t="s">
        <v>170</v>
      </c>
      <c r="V11" s="29" t="s">
        <v>170</v>
      </c>
      <c r="W11" s="29" t="s">
        <v>170</v>
      </c>
      <c r="X11" s="29" t="s">
        <v>170</v>
      </c>
      <c r="Y11" s="29" t="s">
        <v>170</v>
      </c>
      <c r="Z11" s="29" t="s">
        <v>170</v>
      </c>
      <c r="AA11" s="29" t="s">
        <v>170</v>
      </c>
      <c r="AB11" s="29" t="s">
        <v>170</v>
      </c>
      <c r="AC11" s="29" t="s">
        <v>170</v>
      </c>
      <c r="AD11" s="29" t="s">
        <v>170</v>
      </c>
      <c r="AE11" s="29" t="s">
        <v>170</v>
      </c>
      <c r="AF11" s="29" t="s">
        <v>170</v>
      </c>
      <c r="AG11" s="29" t="s">
        <v>170</v>
      </c>
      <c r="AH11" s="29" t="s">
        <v>170</v>
      </c>
    </row>
    <row r="12" spans="1:34" x14ac:dyDescent="0.25">
      <c r="A12" s="26" t="s">
        <v>171</v>
      </c>
      <c r="B12" s="28" t="s">
        <v>170</v>
      </c>
      <c r="C12" s="28" t="s">
        <v>170</v>
      </c>
      <c r="D12" s="28" t="s">
        <v>170</v>
      </c>
      <c r="E12" s="28" t="s">
        <v>170</v>
      </c>
      <c r="F12" s="28" t="s">
        <v>170</v>
      </c>
      <c r="G12" s="28" t="s">
        <v>170</v>
      </c>
      <c r="H12" s="28" t="s">
        <v>170</v>
      </c>
      <c r="I12" s="28" t="s">
        <v>170</v>
      </c>
      <c r="J12" s="28" t="s">
        <v>170</v>
      </c>
      <c r="K12" s="28" t="s">
        <v>170</v>
      </c>
      <c r="L12" s="28" t="s">
        <v>170</v>
      </c>
      <c r="M12" s="28" t="s">
        <v>170</v>
      </c>
      <c r="N12" s="28" t="s">
        <v>170</v>
      </c>
      <c r="O12" s="28" t="s">
        <v>170</v>
      </c>
      <c r="P12" s="29" t="s">
        <v>170</v>
      </c>
      <c r="Q12" s="29" t="s">
        <v>170</v>
      </c>
      <c r="R12" s="29" t="s">
        <v>170</v>
      </c>
      <c r="S12" s="29" t="s">
        <v>170</v>
      </c>
      <c r="T12" s="29" t="s">
        <v>170</v>
      </c>
      <c r="U12" s="29" t="s">
        <v>170</v>
      </c>
      <c r="V12" s="29" t="s">
        <v>170</v>
      </c>
      <c r="W12" s="29" t="s">
        <v>170</v>
      </c>
      <c r="X12" s="29" t="s">
        <v>170</v>
      </c>
      <c r="Y12" s="29" t="s">
        <v>170</v>
      </c>
      <c r="Z12" s="29" t="s">
        <v>170</v>
      </c>
      <c r="AA12" s="29" t="s">
        <v>170</v>
      </c>
      <c r="AB12" s="29" t="s">
        <v>170</v>
      </c>
      <c r="AC12" s="29" t="s">
        <v>170</v>
      </c>
      <c r="AD12" s="29" t="s">
        <v>170</v>
      </c>
      <c r="AE12" s="29" t="s">
        <v>170</v>
      </c>
      <c r="AF12" s="29" t="s">
        <v>170</v>
      </c>
      <c r="AG12" s="29" t="s">
        <v>170</v>
      </c>
      <c r="AH12" s="29" t="s">
        <v>170</v>
      </c>
    </row>
    <row r="13" spans="1:34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 t="s">
        <v>173</v>
      </c>
      <c r="S13" s="28" t="s">
        <v>173</v>
      </c>
      <c r="T13" s="28" t="s">
        <v>173</v>
      </c>
      <c r="U13" s="28" t="s">
        <v>173</v>
      </c>
      <c r="V13" s="28" t="s">
        <v>173</v>
      </c>
      <c r="W13" s="28" t="s">
        <v>173</v>
      </c>
      <c r="X13" s="28" t="s">
        <v>173</v>
      </c>
      <c r="Y13" s="28" t="s">
        <v>173</v>
      </c>
      <c r="Z13" s="28" t="s">
        <v>173</v>
      </c>
      <c r="AA13" s="28" t="s">
        <v>173</v>
      </c>
      <c r="AB13" s="28" t="s">
        <v>173</v>
      </c>
      <c r="AC13" s="28" t="s">
        <v>173</v>
      </c>
      <c r="AD13" s="28" t="s">
        <v>173</v>
      </c>
      <c r="AE13" s="28" t="s">
        <v>173</v>
      </c>
      <c r="AF13" s="28" t="s">
        <v>173</v>
      </c>
      <c r="AG13" s="28" t="s">
        <v>173</v>
      </c>
      <c r="AH13" s="28" t="s">
        <v>173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 t="s">
        <v>173</v>
      </c>
      <c r="V14" s="28" t="s">
        <v>173</v>
      </c>
      <c r="W14" s="28" t="s">
        <v>173</v>
      </c>
      <c r="X14" s="28" t="s">
        <v>173</v>
      </c>
      <c r="Y14" s="28" t="s">
        <v>173</v>
      </c>
      <c r="Z14" s="28" t="s">
        <v>173</v>
      </c>
      <c r="AA14" s="28" t="s">
        <v>173</v>
      </c>
      <c r="AB14" s="28" t="s">
        <v>173</v>
      </c>
      <c r="AC14" s="28" t="s">
        <v>173</v>
      </c>
      <c r="AD14" s="28" t="s">
        <v>173</v>
      </c>
      <c r="AE14" s="28" t="s">
        <v>173</v>
      </c>
      <c r="AF14" s="28" t="s">
        <v>173</v>
      </c>
      <c r="AG14" s="28" t="s">
        <v>173</v>
      </c>
      <c r="AH14" s="28" t="s">
        <v>173</v>
      </c>
    </row>
    <row r="15" spans="1:34" x14ac:dyDescent="0.25">
      <c r="A15" s="26" t="s">
        <v>175</v>
      </c>
      <c r="B15" s="28" t="s">
        <v>198</v>
      </c>
      <c r="C15" s="28" t="s">
        <v>198</v>
      </c>
      <c r="D15" s="28" t="s">
        <v>198</v>
      </c>
      <c r="E15" s="28" t="s">
        <v>198</v>
      </c>
      <c r="F15" s="28" t="s">
        <v>370</v>
      </c>
      <c r="G15" s="28" t="s">
        <v>198</v>
      </c>
      <c r="H15" s="28" t="s">
        <v>198</v>
      </c>
      <c r="I15" s="28" t="s">
        <v>198</v>
      </c>
      <c r="J15" s="28" t="s">
        <v>198</v>
      </c>
      <c r="K15" s="28" t="s">
        <v>198</v>
      </c>
      <c r="L15" s="28" t="s">
        <v>198</v>
      </c>
      <c r="M15" s="28" t="s">
        <v>198</v>
      </c>
      <c r="N15" s="28" t="s">
        <v>198</v>
      </c>
      <c r="O15" s="28" t="s">
        <v>198</v>
      </c>
      <c r="P15" s="28" t="s">
        <v>198</v>
      </c>
      <c r="Q15" s="28" t="s">
        <v>198</v>
      </c>
      <c r="R15" s="28" t="s">
        <v>198</v>
      </c>
      <c r="S15" s="28" t="s">
        <v>198</v>
      </c>
      <c r="T15" s="28" t="s">
        <v>198</v>
      </c>
      <c r="U15" s="28" t="s">
        <v>198</v>
      </c>
      <c r="V15" s="28" t="s">
        <v>198</v>
      </c>
      <c r="W15" s="28" t="s">
        <v>198</v>
      </c>
      <c r="X15" s="28" t="s">
        <v>198</v>
      </c>
      <c r="Y15" s="28" t="s">
        <v>198</v>
      </c>
      <c r="Z15" s="28" t="s">
        <v>198</v>
      </c>
      <c r="AA15" s="28" t="s">
        <v>198</v>
      </c>
      <c r="AB15" s="28" t="s">
        <v>198</v>
      </c>
      <c r="AC15" s="28" t="s">
        <v>198</v>
      </c>
      <c r="AD15" s="28" t="s">
        <v>198</v>
      </c>
      <c r="AE15" s="28" t="s">
        <v>198</v>
      </c>
      <c r="AF15" s="28" t="s">
        <v>198</v>
      </c>
      <c r="AG15" s="28" t="s">
        <v>198</v>
      </c>
      <c r="AH15" s="28" t="s">
        <v>198</v>
      </c>
    </row>
    <row r="16" spans="1:34" x14ac:dyDescent="0.25">
      <c r="A16" s="26" t="s">
        <v>176</v>
      </c>
      <c r="B16" s="30">
        <v>0.75</v>
      </c>
      <c r="C16" s="30">
        <v>0.75</v>
      </c>
      <c r="D16" s="30">
        <v>0.75</v>
      </c>
      <c r="E16" s="30">
        <v>0.75</v>
      </c>
      <c r="F16" s="30">
        <f>AVERAGE(0.75,-2)</f>
        <v>-0.625</v>
      </c>
      <c r="G16" s="30">
        <v>0.75</v>
      </c>
      <c r="H16" s="30">
        <v>0.75</v>
      </c>
      <c r="I16" s="30">
        <v>0.75</v>
      </c>
      <c r="J16" s="30">
        <v>0.75</v>
      </c>
      <c r="K16" s="30">
        <v>0.75</v>
      </c>
      <c r="L16" s="30">
        <v>0.75</v>
      </c>
      <c r="M16" s="30">
        <v>0.75</v>
      </c>
      <c r="N16" s="30">
        <v>0.75</v>
      </c>
      <c r="O16" s="30">
        <v>0.75</v>
      </c>
      <c r="P16" s="30">
        <v>1.67</v>
      </c>
      <c r="Q16" s="30">
        <v>1.67</v>
      </c>
      <c r="R16" s="30">
        <v>1.67</v>
      </c>
      <c r="S16" s="30">
        <v>0.75</v>
      </c>
      <c r="T16" s="30">
        <v>0.75</v>
      </c>
      <c r="U16" s="30">
        <v>0.75</v>
      </c>
      <c r="V16" s="30">
        <v>0.75</v>
      </c>
      <c r="W16" s="30">
        <v>0.75</v>
      </c>
      <c r="X16" s="30">
        <v>0.75</v>
      </c>
      <c r="Y16" s="30">
        <v>0.75</v>
      </c>
      <c r="Z16" s="30">
        <v>0.75</v>
      </c>
      <c r="AA16" s="30">
        <v>0.75</v>
      </c>
      <c r="AB16" s="30">
        <v>0.75</v>
      </c>
      <c r="AC16" s="30">
        <v>0.75</v>
      </c>
      <c r="AD16" s="30">
        <v>0.75</v>
      </c>
      <c r="AE16" s="30">
        <v>0.75</v>
      </c>
      <c r="AF16" s="30">
        <v>0.75</v>
      </c>
      <c r="AG16" s="30">
        <v>1.67</v>
      </c>
      <c r="AH16" s="30">
        <v>1.67</v>
      </c>
    </row>
    <row r="17" spans="1:34" x14ac:dyDescent="0.25">
      <c r="A17" s="26" t="s">
        <v>177</v>
      </c>
      <c r="B17" s="28" t="s">
        <v>365</v>
      </c>
      <c r="C17" s="28" t="s">
        <v>365</v>
      </c>
      <c r="D17" s="28" t="s">
        <v>365</v>
      </c>
      <c r="E17" s="28" t="s">
        <v>365</v>
      </c>
      <c r="F17" s="28" t="s">
        <v>365</v>
      </c>
      <c r="G17" s="28" t="s">
        <v>365</v>
      </c>
      <c r="H17" s="28" t="s">
        <v>365</v>
      </c>
      <c r="I17" s="28" t="s">
        <v>365</v>
      </c>
      <c r="J17" s="28" t="s">
        <v>365</v>
      </c>
      <c r="K17" s="28" t="s">
        <v>365</v>
      </c>
      <c r="L17" s="28" t="s">
        <v>365</v>
      </c>
      <c r="M17" s="28" t="s">
        <v>365</v>
      </c>
      <c r="N17" s="28" t="s">
        <v>365</v>
      </c>
      <c r="O17" s="28" t="s">
        <v>365</v>
      </c>
      <c r="P17" s="28" t="s">
        <v>365</v>
      </c>
      <c r="Q17" s="28" t="s">
        <v>365</v>
      </c>
      <c r="R17" s="28" t="s">
        <v>365</v>
      </c>
      <c r="S17" s="28" t="s">
        <v>365</v>
      </c>
      <c r="T17" s="28" t="s">
        <v>365</v>
      </c>
      <c r="U17" s="28" t="s">
        <v>365</v>
      </c>
      <c r="V17" s="28" t="s">
        <v>365</v>
      </c>
      <c r="W17" s="28" t="s">
        <v>365</v>
      </c>
      <c r="X17" s="28" t="s">
        <v>365</v>
      </c>
      <c r="Y17" s="28" t="s">
        <v>365</v>
      </c>
      <c r="Z17" s="28" t="s">
        <v>365</v>
      </c>
      <c r="AA17" s="28" t="s">
        <v>365</v>
      </c>
      <c r="AB17" s="28" t="s">
        <v>365</v>
      </c>
      <c r="AC17" s="28" t="s">
        <v>365</v>
      </c>
      <c r="AD17" s="28" t="s">
        <v>365</v>
      </c>
      <c r="AE17" s="28" t="s">
        <v>365</v>
      </c>
      <c r="AF17" s="28" t="s">
        <v>365</v>
      </c>
      <c r="AG17" s="28" t="s">
        <v>365</v>
      </c>
      <c r="AH17" s="28" t="s">
        <v>365</v>
      </c>
    </row>
    <row r="18" spans="1:34" x14ac:dyDescent="0.25">
      <c r="A18" s="26" t="s">
        <v>182</v>
      </c>
      <c r="B18" s="30">
        <v>1.5</v>
      </c>
      <c r="C18" s="30">
        <v>1.5</v>
      </c>
      <c r="D18" s="30">
        <v>1.5</v>
      </c>
      <c r="E18" s="30">
        <v>1.5</v>
      </c>
      <c r="F18" s="30">
        <v>1.5</v>
      </c>
      <c r="G18" s="30">
        <v>1.5</v>
      </c>
      <c r="H18" s="30">
        <v>1.5</v>
      </c>
      <c r="I18" s="30">
        <v>1.5</v>
      </c>
      <c r="J18" s="30">
        <v>1.5</v>
      </c>
      <c r="K18" s="30">
        <v>1.5</v>
      </c>
      <c r="L18" s="30">
        <v>1.5</v>
      </c>
      <c r="M18" s="30">
        <v>1.5</v>
      </c>
      <c r="N18" s="30">
        <v>1.5</v>
      </c>
      <c r="O18" s="30">
        <v>1.5</v>
      </c>
      <c r="P18" s="30">
        <v>1.5</v>
      </c>
      <c r="Q18" s="30">
        <v>1.5</v>
      </c>
      <c r="R18" s="30">
        <v>1.5</v>
      </c>
      <c r="S18" s="30">
        <v>1.5</v>
      </c>
      <c r="T18" s="30">
        <v>1.5</v>
      </c>
      <c r="U18" s="30">
        <v>1.5</v>
      </c>
      <c r="V18" s="30">
        <v>1.5</v>
      </c>
      <c r="W18" s="30">
        <v>1.5</v>
      </c>
      <c r="X18" s="30">
        <v>1.5</v>
      </c>
      <c r="Y18" s="30">
        <v>1.5</v>
      </c>
      <c r="Z18" s="30">
        <v>1.5</v>
      </c>
      <c r="AA18" s="30">
        <v>1.5</v>
      </c>
      <c r="AB18" s="30">
        <v>1.5</v>
      </c>
      <c r="AC18" s="30">
        <v>1.5</v>
      </c>
      <c r="AD18" s="30">
        <v>1.5</v>
      </c>
      <c r="AE18" s="30">
        <v>1.5</v>
      </c>
      <c r="AF18" s="30">
        <v>1.5</v>
      </c>
      <c r="AG18" s="30">
        <v>1.5</v>
      </c>
      <c r="AH18" s="30">
        <v>1.5</v>
      </c>
    </row>
    <row r="20" spans="1:34" x14ac:dyDescent="0.25">
      <c r="A20" s="31" t="s">
        <v>183</v>
      </c>
    </row>
    <row r="21" spans="1:34" x14ac:dyDescent="0.25">
      <c r="A21" s="26" t="s">
        <v>374</v>
      </c>
      <c r="B21" s="56" t="s">
        <v>372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B8A9B-BFB4-432D-9A95-6E2679EF5B61}">
  <dimension ref="A1:AH21"/>
  <sheetViews>
    <sheetView workbookViewId="0">
      <selection activeCell="B7" sqref="B7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117</v>
      </c>
      <c r="I1" s="25" t="s">
        <v>118</v>
      </c>
    </row>
    <row r="3" spans="1:34" ht="18" x14ac:dyDescent="0.25">
      <c r="A3" s="25" t="s">
        <v>119</v>
      </c>
      <c r="B3" s="215">
        <v>16.5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375</v>
      </c>
      <c r="C4" s="215"/>
      <c r="D4" s="215"/>
      <c r="F4" s="216" t="s">
        <v>376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377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29" t="s">
        <v>378</v>
      </c>
      <c r="C8" s="29" t="s">
        <v>379</v>
      </c>
      <c r="D8" s="29" t="s">
        <v>379</v>
      </c>
      <c r="E8" s="29" t="s">
        <v>379</v>
      </c>
      <c r="F8" s="29" t="s">
        <v>379</v>
      </c>
      <c r="G8" s="29" t="s">
        <v>379</v>
      </c>
      <c r="H8" s="29" t="s">
        <v>379</v>
      </c>
      <c r="I8" s="29" t="s">
        <v>379</v>
      </c>
      <c r="J8" s="29" t="s">
        <v>379</v>
      </c>
      <c r="K8" s="29" t="s">
        <v>379</v>
      </c>
      <c r="L8" s="29" t="s">
        <v>379</v>
      </c>
      <c r="M8" s="29" t="s">
        <v>379</v>
      </c>
      <c r="N8" s="29" t="s">
        <v>379</v>
      </c>
      <c r="O8" s="29" t="s">
        <v>379</v>
      </c>
      <c r="P8" s="29" t="s">
        <v>379</v>
      </c>
      <c r="Q8" s="29" t="s">
        <v>379</v>
      </c>
      <c r="R8" s="29" t="s">
        <v>379</v>
      </c>
      <c r="S8" s="29" t="s">
        <v>379</v>
      </c>
      <c r="T8" s="29" t="s">
        <v>379</v>
      </c>
      <c r="U8" s="29" t="s">
        <v>379</v>
      </c>
      <c r="V8" s="29" t="s">
        <v>379</v>
      </c>
      <c r="W8" s="29" t="s">
        <v>379</v>
      </c>
      <c r="X8" s="29" t="s">
        <v>379</v>
      </c>
      <c r="Y8" s="29" t="s">
        <v>379</v>
      </c>
      <c r="Z8" s="29" t="s">
        <v>379</v>
      </c>
      <c r="AA8" s="29" t="s">
        <v>379</v>
      </c>
      <c r="AB8" s="29" t="s">
        <v>379</v>
      </c>
      <c r="AC8" s="29" t="s">
        <v>379</v>
      </c>
      <c r="AD8" s="29" t="s">
        <v>379</v>
      </c>
      <c r="AE8" s="29" t="s">
        <v>379</v>
      </c>
      <c r="AF8" s="29" t="s">
        <v>379</v>
      </c>
      <c r="AG8" s="29" t="s">
        <v>379</v>
      </c>
      <c r="AH8" s="29" t="s">
        <v>379</v>
      </c>
    </row>
    <row r="9" spans="1:34" x14ac:dyDescent="0.25">
      <c r="A9" s="26" t="s">
        <v>165</v>
      </c>
      <c r="B9" s="28" t="s">
        <v>379</v>
      </c>
      <c r="C9" s="28" t="s">
        <v>379</v>
      </c>
      <c r="D9" s="28" t="s">
        <v>379</v>
      </c>
      <c r="E9" s="28" t="s">
        <v>379</v>
      </c>
      <c r="F9" s="28" t="s">
        <v>379</v>
      </c>
      <c r="G9" s="28" t="s">
        <v>379</v>
      </c>
      <c r="H9" s="28" t="s">
        <v>379</v>
      </c>
      <c r="I9" s="28" t="s">
        <v>379</v>
      </c>
      <c r="J9" s="28" t="s">
        <v>379</v>
      </c>
      <c r="K9" s="28" t="s">
        <v>379</v>
      </c>
      <c r="L9" s="28" t="s">
        <v>379</v>
      </c>
      <c r="M9" s="28" t="s">
        <v>379</v>
      </c>
      <c r="N9" s="28" t="s">
        <v>379</v>
      </c>
      <c r="O9" s="28" t="s">
        <v>379</v>
      </c>
      <c r="P9" s="28" t="s">
        <v>379</v>
      </c>
      <c r="Q9" s="28" t="s">
        <v>379</v>
      </c>
      <c r="R9" s="28" t="s">
        <v>379</v>
      </c>
      <c r="S9" s="28" t="s">
        <v>379</v>
      </c>
      <c r="T9" s="28" t="s">
        <v>379</v>
      </c>
      <c r="U9" s="28" t="s">
        <v>379</v>
      </c>
      <c r="V9" s="28" t="s">
        <v>379</v>
      </c>
      <c r="W9" s="28" t="s">
        <v>379</v>
      </c>
      <c r="X9" s="28" t="s">
        <v>379</v>
      </c>
      <c r="Y9" s="28" t="s">
        <v>379</v>
      </c>
      <c r="Z9" s="28" t="s">
        <v>379</v>
      </c>
      <c r="AA9" s="28" t="s">
        <v>379</v>
      </c>
      <c r="AB9" s="28" t="s">
        <v>379</v>
      </c>
      <c r="AC9" s="28" t="s">
        <v>379</v>
      </c>
      <c r="AD9" s="28" t="s">
        <v>379</v>
      </c>
      <c r="AE9" s="28" t="s">
        <v>379</v>
      </c>
      <c r="AF9" s="28" t="s">
        <v>379</v>
      </c>
      <c r="AG9" s="28" t="s">
        <v>379</v>
      </c>
      <c r="AH9" s="28" t="s">
        <v>379</v>
      </c>
    </row>
    <row r="10" spans="1:34" x14ac:dyDescent="0.25">
      <c r="A10" s="131" t="s">
        <v>168</v>
      </c>
      <c r="B10" s="157">
        <v>70</v>
      </c>
      <c r="C10" s="157">
        <v>70</v>
      </c>
      <c r="D10" s="157">
        <v>70</v>
      </c>
      <c r="E10" s="157">
        <v>70</v>
      </c>
      <c r="F10" s="157">
        <v>70</v>
      </c>
      <c r="G10" s="157">
        <v>70</v>
      </c>
      <c r="H10" s="157">
        <v>70</v>
      </c>
      <c r="I10" s="157">
        <v>70</v>
      </c>
      <c r="J10" s="157">
        <v>70</v>
      </c>
      <c r="K10" s="157">
        <v>70</v>
      </c>
      <c r="L10" s="157">
        <v>70</v>
      </c>
      <c r="M10" s="157">
        <v>70</v>
      </c>
      <c r="N10" s="157">
        <v>70</v>
      </c>
      <c r="O10" s="157">
        <v>70</v>
      </c>
      <c r="P10" s="157">
        <v>70</v>
      </c>
      <c r="Q10" s="157">
        <v>70</v>
      </c>
      <c r="R10" s="157">
        <v>70</v>
      </c>
      <c r="S10" s="157">
        <v>70</v>
      </c>
      <c r="T10" s="157">
        <v>70</v>
      </c>
      <c r="U10" s="157">
        <v>70</v>
      </c>
      <c r="V10" s="157">
        <v>70</v>
      </c>
      <c r="W10" s="157">
        <v>70</v>
      </c>
      <c r="X10" s="157">
        <v>70</v>
      </c>
      <c r="Y10" s="157">
        <v>70</v>
      </c>
      <c r="Z10" s="157">
        <v>70</v>
      </c>
      <c r="AA10" s="157">
        <v>70</v>
      </c>
      <c r="AB10" s="157">
        <v>70</v>
      </c>
      <c r="AC10" s="157">
        <v>70</v>
      </c>
      <c r="AD10" s="157">
        <v>70</v>
      </c>
      <c r="AE10" s="157">
        <v>70</v>
      </c>
      <c r="AF10" s="157">
        <v>70</v>
      </c>
      <c r="AG10" s="157">
        <v>70</v>
      </c>
      <c r="AH10" s="157">
        <v>70</v>
      </c>
    </row>
    <row r="11" spans="1:34" x14ac:dyDescent="0.25">
      <c r="A11" s="26" t="s">
        <v>169</v>
      </c>
      <c r="B11" s="29" t="s">
        <v>170</v>
      </c>
      <c r="C11" s="29" t="s">
        <v>170</v>
      </c>
      <c r="D11" s="29" t="s">
        <v>170</v>
      </c>
      <c r="E11" s="29" t="s">
        <v>170</v>
      </c>
      <c r="F11" s="29" t="s">
        <v>170</v>
      </c>
      <c r="G11" s="29" t="s">
        <v>170</v>
      </c>
      <c r="H11" s="29" t="s">
        <v>170</v>
      </c>
      <c r="I11" s="29" t="s">
        <v>170</v>
      </c>
      <c r="J11" s="29" t="s">
        <v>170</v>
      </c>
      <c r="K11" s="29" t="s">
        <v>170</v>
      </c>
      <c r="L11" s="29" t="s">
        <v>170</v>
      </c>
      <c r="M11" s="29" t="s">
        <v>170</v>
      </c>
      <c r="N11" s="29" t="s">
        <v>170</v>
      </c>
      <c r="O11" s="29" t="s">
        <v>170</v>
      </c>
      <c r="P11" s="29" t="s">
        <v>170</v>
      </c>
      <c r="Q11" s="29" t="s">
        <v>170</v>
      </c>
      <c r="R11" s="29" t="s">
        <v>170</v>
      </c>
      <c r="S11" s="29" t="s">
        <v>170</v>
      </c>
      <c r="T11" s="29" t="s">
        <v>170</v>
      </c>
      <c r="U11" s="29" t="s">
        <v>170</v>
      </c>
      <c r="V11" s="29" t="s">
        <v>170</v>
      </c>
      <c r="W11" s="29" t="s">
        <v>170</v>
      </c>
      <c r="X11" s="29" t="s">
        <v>170</v>
      </c>
      <c r="Y11" s="29" t="s">
        <v>170</v>
      </c>
      <c r="Z11" s="29" t="s">
        <v>170</v>
      </c>
      <c r="AA11" s="29" t="s">
        <v>170</v>
      </c>
      <c r="AB11" s="29" t="s">
        <v>170</v>
      </c>
      <c r="AC11" s="29" t="s">
        <v>170</v>
      </c>
      <c r="AD11" s="29" t="s">
        <v>170</v>
      </c>
      <c r="AE11" s="29" t="s">
        <v>170</v>
      </c>
      <c r="AF11" s="29" t="s">
        <v>170</v>
      </c>
      <c r="AG11" s="29" t="s">
        <v>170</v>
      </c>
      <c r="AH11" s="29" t="s">
        <v>170</v>
      </c>
    </row>
    <row r="12" spans="1:34" x14ac:dyDescent="0.25">
      <c r="A12" s="26" t="s">
        <v>171</v>
      </c>
      <c r="B12" s="29" t="s">
        <v>170</v>
      </c>
      <c r="C12" s="29" t="s">
        <v>170</v>
      </c>
      <c r="D12" s="29" t="s">
        <v>170</v>
      </c>
      <c r="E12" s="29" t="s">
        <v>170</v>
      </c>
      <c r="F12" s="29" t="s">
        <v>170</v>
      </c>
      <c r="G12" s="29" t="s">
        <v>170</v>
      </c>
      <c r="H12" s="29" t="s">
        <v>170</v>
      </c>
      <c r="I12" s="29" t="s">
        <v>170</v>
      </c>
      <c r="J12" s="29" t="s">
        <v>170</v>
      </c>
      <c r="K12" s="29" t="s">
        <v>170</v>
      </c>
      <c r="L12" s="29" t="s">
        <v>170</v>
      </c>
      <c r="M12" s="29" t="s">
        <v>170</v>
      </c>
      <c r="N12" s="29" t="s">
        <v>170</v>
      </c>
      <c r="O12" s="29" t="s">
        <v>170</v>
      </c>
      <c r="P12" s="29" t="s">
        <v>170</v>
      </c>
      <c r="Q12" s="29" t="s">
        <v>170</v>
      </c>
      <c r="R12" s="29" t="s">
        <v>170</v>
      </c>
      <c r="S12" s="29" t="s">
        <v>170</v>
      </c>
      <c r="T12" s="29" t="s">
        <v>170</v>
      </c>
      <c r="U12" s="29" t="s">
        <v>170</v>
      </c>
      <c r="V12" s="29" t="s">
        <v>170</v>
      </c>
      <c r="W12" s="29" t="s">
        <v>170</v>
      </c>
      <c r="X12" s="29" t="s">
        <v>170</v>
      </c>
      <c r="Y12" s="29" t="s">
        <v>170</v>
      </c>
      <c r="Z12" s="29" t="s">
        <v>170</v>
      </c>
      <c r="AA12" s="29" t="s">
        <v>170</v>
      </c>
      <c r="AB12" s="29" t="s">
        <v>170</v>
      </c>
      <c r="AC12" s="29" t="s">
        <v>170</v>
      </c>
      <c r="AD12" s="29" t="s">
        <v>170</v>
      </c>
      <c r="AE12" s="29" t="s">
        <v>170</v>
      </c>
      <c r="AF12" s="29" t="s">
        <v>170</v>
      </c>
      <c r="AG12" s="29" t="s">
        <v>170</v>
      </c>
      <c r="AH12" s="29" t="s">
        <v>170</v>
      </c>
    </row>
    <row r="13" spans="1:34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 t="s">
        <v>173</v>
      </c>
      <c r="S13" s="28" t="s">
        <v>173</v>
      </c>
      <c r="T13" s="28" t="s">
        <v>173</v>
      </c>
      <c r="U13" s="28" t="s">
        <v>173</v>
      </c>
      <c r="V13" s="28" t="s">
        <v>173</v>
      </c>
      <c r="W13" s="28" t="s">
        <v>173</v>
      </c>
      <c r="X13" s="28" t="s">
        <v>173</v>
      </c>
      <c r="Y13" s="28" t="s">
        <v>173</v>
      </c>
      <c r="Z13" s="28" t="s">
        <v>173</v>
      </c>
      <c r="AA13" s="28" t="s">
        <v>173</v>
      </c>
      <c r="AB13" s="28" t="s">
        <v>173</v>
      </c>
      <c r="AC13" s="28" t="s">
        <v>173</v>
      </c>
      <c r="AD13" s="28" t="s">
        <v>173</v>
      </c>
      <c r="AE13" s="28" t="s">
        <v>173</v>
      </c>
      <c r="AF13" s="28" t="s">
        <v>173</v>
      </c>
      <c r="AG13" s="28" t="s">
        <v>173</v>
      </c>
      <c r="AH13" s="28" t="s">
        <v>173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 t="s">
        <v>173</v>
      </c>
      <c r="V14" s="28" t="s">
        <v>173</v>
      </c>
      <c r="W14" s="28" t="s">
        <v>173</v>
      </c>
      <c r="X14" s="28" t="s">
        <v>173</v>
      </c>
      <c r="Y14" s="28" t="s">
        <v>173</v>
      </c>
      <c r="Z14" s="28" t="s">
        <v>173</v>
      </c>
      <c r="AA14" s="28" t="s">
        <v>173</v>
      </c>
      <c r="AB14" s="28" t="s">
        <v>173</v>
      </c>
      <c r="AC14" s="28" t="s">
        <v>173</v>
      </c>
      <c r="AD14" s="28" t="s">
        <v>173</v>
      </c>
      <c r="AE14" s="28" t="s">
        <v>173</v>
      </c>
      <c r="AF14" s="28" t="s">
        <v>173</v>
      </c>
      <c r="AG14" s="28" t="s">
        <v>173</v>
      </c>
      <c r="AH14" s="28" t="s">
        <v>173</v>
      </c>
    </row>
    <row r="15" spans="1:34" x14ac:dyDescent="0.25">
      <c r="A15" s="26" t="s">
        <v>175</v>
      </c>
      <c r="B15" s="28" t="s">
        <v>160</v>
      </c>
      <c r="C15" s="28" t="s">
        <v>160</v>
      </c>
      <c r="D15" s="28" t="s">
        <v>160</v>
      </c>
      <c r="E15" s="28" t="s">
        <v>160</v>
      </c>
      <c r="F15" s="28" t="s">
        <v>160</v>
      </c>
      <c r="G15" s="28" t="s">
        <v>160</v>
      </c>
      <c r="H15" s="28" t="s">
        <v>160</v>
      </c>
      <c r="I15" s="28" t="s">
        <v>160</v>
      </c>
      <c r="J15" s="28" t="s">
        <v>160</v>
      </c>
      <c r="K15" s="28" t="s">
        <v>160</v>
      </c>
      <c r="L15" s="28" t="s">
        <v>160</v>
      </c>
      <c r="M15" s="28" t="s">
        <v>160</v>
      </c>
      <c r="N15" s="28" t="s">
        <v>160</v>
      </c>
      <c r="O15" s="28" t="s">
        <v>160</v>
      </c>
      <c r="P15" s="28" t="s">
        <v>160</v>
      </c>
      <c r="Q15" s="28" t="s">
        <v>160</v>
      </c>
      <c r="R15" s="28" t="s">
        <v>160</v>
      </c>
      <c r="S15" s="28" t="s">
        <v>160</v>
      </c>
      <c r="T15" s="28" t="s">
        <v>160</v>
      </c>
      <c r="U15" s="28" t="s">
        <v>160</v>
      </c>
      <c r="V15" s="28" t="s">
        <v>160</v>
      </c>
      <c r="W15" s="28" t="s">
        <v>160</v>
      </c>
      <c r="X15" s="28" t="s">
        <v>160</v>
      </c>
      <c r="Y15" s="28" t="s">
        <v>160</v>
      </c>
      <c r="Z15" s="28" t="s">
        <v>160</v>
      </c>
      <c r="AA15" s="28" t="s">
        <v>160</v>
      </c>
      <c r="AB15" s="28" t="s">
        <v>160</v>
      </c>
      <c r="AC15" s="28" t="s">
        <v>160</v>
      </c>
      <c r="AD15" s="28" t="s">
        <v>160</v>
      </c>
      <c r="AE15" s="28" t="s">
        <v>160</v>
      </c>
      <c r="AF15" s="28" t="s">
        <v>160</v>
      </c>
      <c r="AG15" s="28" t="s">
        <v>160</v>
      </c>
      <c r="AH15" s="28" t="s">
        <v>160</v>
      </c>
    </row>
    <row r="16" spans="1:34" x14ac:dyDescent="0.25">
      <c r="A16" s="26" t="s">
        <v>176</v>
      </c>
      <c r="B16" s="30">
        <v>3</v>
      </c>
      <c r="C16" s="30">
        <v>3</v>
      </c>
      <c r="D16" s="30">
        <v>3</v>
      </c>
      <c r="E16" s="30">
        <v>3</v>
      </c>
      <c r="F16" s="30">
        <v>3</v>
      </c>
      <c r="G16" s="30">
        <v>3</v>
      </c>
      <c r="H16" s="30">
        <v>3</v>
      </c>
      <c r="I16" s="30">
        <v>3</v>
      </c>
      <c r="J16" s="30">
        <v>3</v>
      </c>
      <c r="K16" s="30">
        <v>3</v>
      </c>
      <c r="L16" s="30">
        <v>3</v>
      </c>
      <c r="M16" s="30">
        <v>3</v>
      </c>
      <c r="N16" s="30">
        <v>3</v>
      </c>
      <c r="O16" s="30">
        <v>3</v>
      </c>
      <c r="P16" s="30">
        <v>3</v>
      </c>
      <c r="Q16" s="30">
        <v>3</v>
      </c>
      <c r="R16" s="30">
        <v>3</v>
      </c>
      <c r="S16" s="30">
        <v>3</v>
      </c>
      <c r="T16" s="30">
        <v>3</v>
      </c>
      <c r="U16" s="30">
        <v>3</v>
      </c>
      <c r="V16" s="30">
        <v>3</v>
      </c>
      <c r="W16" s="30">
        <v>3</v>
      </c>
      <c r="X16" s="30">
        <v>3</v>
      </c>
      <c r="Y16" s="30">
        <v>3</v>
      </c>
      <c r="Z16" s="30">
        <v>3</v>
      </c>
      <c r="AA16" s="30">
        <v>3</v>
      </c>
      <c r="AB16" s="30">
        <v>3</v>
      </c>
      <c r="AC16" s="30">
        <v>3</v>
      </c>
      <c r="AD16" s="30">
        <v>3</v>
      </c>
      <c r="AE16" s="30">
        <v>3</v>
      </c>
      <c r="AF16" s="30">
        <v>3</v>
      </c>
      <c r="AG16" s="30">
        <v>3</v>
      </c>
      <c r="AH16" s="30">
        <v>3</v>
      </c>
    </row>
    <row r="17" spans="1:34" x14ac:dyDescent="0.25">
      <c r="A17" s="26" t="s">
        <v>177</v>
      </c>
      <c r="B17" s="28" t="s">
        <v>365</v>
      </c>
      <c r="C17" s="28" t="s">
        <v>365</v>
      </c>
      <c r="D17" s="28" t="s">
        <v>365</v>
      </c>
      <c r="E17" s="28" t="s">
        <v>365</v>
      </c>
      <c r="F17" s="28" t="s">
        <v>365</v>
      </c>
      <c r="G17" s="28" t="s">
        <v>365</v>
      </c>
      <c r="H17" s="28" t="s">
        <v>365</v>
      </c>
      <c r="I17" s="28" t="s">
        <v>365</v>
      </c>
      <c r="J17" s="28" t="s">
        <v>365</v>
      </c>
      <c r="K17" s="28" t="s">
        <v>365</v>
      </c>
      <c r="L17" s="28" t="s">
        <v>365</v>
      </c>
      <c r="M17" s="28" t="s">
        <v>365</v>
      </c>
      <c r="N17" s="28" t="s">
        <v>365</v>
      </c>
      <c r="O17" s="28" t="s">
        <v>365</v>
      </c>
      <c r="P17" s="28" t="s">
        <v>365</v>
      </c>
      <c r="Q17" s="28" t="s">
        <v>365</v>
      </c>
      <c r="R17" s="28" t="s">
        <v>365</v>
      </c>
      <c r="S17" s="28" t="s">
        <v>365</v>
      </c>
      <c r="T17" s="28" t="s">
        <v>365</v>
      </c>
      <c r="U17" s="28" t="s">
        <v>365</v>
      </c>
      <c r="V17" s="28" t="s">
        <v>365</v>
      </c>
      <c r="W17" s="28" t="s">
        <v>365</v>
      </c>
      <c r="X17" s="28" t="s">
        <v>365</v>
      </c>
      <c r="Y17" s="28" t="s">
        <v>365</v>
      </c>
      <c r="Z17" s="28" t="s">
        <v>365</v>
      </c>
      <c r="AA17" s="28" t="s">
        <v>365</v>
      </c>
      <c r="AB17" s="28" t="s">
        <v>365</v>
      </c>
      <c r="AC17" s="28" t="s">
        <v>365</v>
      </c>
      <c r="AD17" s="28" t="s">
        <v>365</v>
      </c>
      <c r="AE17" s="28" t="s">
        <v>365</v>
      </c>
      <c r="AF17" s="28" t="s">
        <v>365</v>
      </c>
      <c r="AG17" s="28" t="s">
        <v>365</v>
      </c>
      <c r="AH17" s="28" t="s">
        <v>365</v>
      </c>
    </row>
    <row r="18" spans="1:34" x14ac:dyDescent="0.25">
      <c r="A18" s="26" t="s">
        <v>182</v>
      </c>
      <c r="B18" s="30">
        <v>1.5</v>
      </c>
      <c r="C18" s="30">
        <v>1.5</v>
      </c>
      <c r="D18" s="30">
        <v>1.5</v>
      </c>
      <c r="E18" s="30">
        <v>1.5</v>
      </c>
      <c r="F18" s="30">
        <v>1.5</v>
      </c>
      <c r="G18" s="30">
        <v>1.5</v>
      </c>
      <c r="H18" s="30">
        <v>1.5</v>
      </c>
      <c r="I18" s="30">
        <v>1.5</v>
      </c>
      <c r="J18" s="30">
        <v>1.5</v>
      </c>
      <c r="K18" s="30">
        <v>1.5</v>
      </c>
      <c r="L18" s="30">
        <v>1.5</v>
      </c>
      <c r="M18" s="30">
        <v>1.5</v>
      </c>
      <c r="N18" s="30">
        <v>1.5</v>
      </c>
      <c r="O18" s="30">
        <v>1.5</v>
      </c>
      <c r="P18" s="30">
        <v>1.5</v>
      </c>
      <c r="Q18" s="30">
        <v>1.5</v>
      </c>
      <c r="R18" s="30">
        <v>1.5</v>
      </c>
      <c r="S18" s="30">
        <v>1.5</v>
      </c>
      <c r="T18" s="30">
        <v>1.5</v>
      </c>
      <c r="U18" s="30">
        <v>1.5</v>
      </c>
      <c r="V18" s="30">
        <v>1.5</v>
      </c>
      <c r="W18" s="30">
        <v>1.5</v>
      </c>
      <c r="X18" s="30">
        <v>1.5</v>
      </c>
      <c r="Y18" s="30">
        <v>1.5</v>
      </c>
      <c r="Z18" s="30">
        <v>1.5</v>
      </c>
      <c r="AA18" s="30">
        <v>1.5</v>
      </c>
      <c r="AB18" s="30">
        <v>1.5</v>
      </c>
      <c r="AC18" s="30">
        <v>1.5</v>
      </c>
      <c r="AD18" s="30">
        <v>1.5</v>
      </c>
      <c r="AE18" s="30">
        <v>1.5</v>
      </c>
      <c r="AF18" s="30">
        <v>1.5</v>
      </c>
      <c r="AG18" s="30">
        <v>1.5</v>
      </c>
      <c r="AH18" s="30">
        <v>1.5</v>
      </c>
    </row>
    <row r="20" spans="1:34" x14ac:dyDescent="0.25">
      <c r="A20" s="31" t="s">
        <v>183</v>
      </c>
    </row>
    <row r="21" spans="1:34" x14ac:dyDescent="0.25">
      <c r="A21" s="26" t="s">
        <v>380</v>
      </c>
      <c r="B21" s="56" t="s">
        <v>381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663DA-92F9-4133-A461-9FA8CA61F1C9}">
  <dimension ref="A1:AH22"/>
  <sheetViews>
    <sheetView workbookViewId="0">
      <selection activeCell="B7" sqref="B7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117</v>
      </c>
      <c r="I1" s="25" t="s">
        <v>118</v>
      </c>
    </row>
    <row r="3" spans="1:34" ht="18" x14ac:dyDescent="0.25">
      <c r="A3" s="25" t="s">
        <v>119</v>
      </c>
      <c r="B3" s="215">
        <v>17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382</v>
      </c>
      <c r="C4" s="215"/>
      <c r="D4" s="215"/>
      <c r="F4" s="216" t="s">
        <v>383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384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29" t="s">
        <v>181</v>
      </c>
      <c r="C8" s="29" t="s">
        <v>385</v>
      </c>
      <c r="D8" s="29" t="s">
        <v>385</v>
      </c>
      <c r="E8" s="29" t="s">
        <v>385</v>
      </c>
      <c r="F8" s="111" t="s">
        <v>386</v>
      </c>
      <c r="G8" s="29" t="s">
        <v>385</v>
      </c>
      <c r="H8" s="29" t="s">
        <v>385</v>
      </c>
      <c r="I8" s="29" t="s">
        <v>385</v>
      </c>
      <c r="J8" s="29" t="s">
        <v>385</v>
      </c>
      <c r="K8" s="29" t="s">
        <v>385</v>
      </c>
      <c r="L8" s="29" t="s">
        <v>385</v>
      </c>
      <c r="M8" s="29" t="s">
        <v>385</v>
      </c>
      <c r="N8" s="29" t="s">
        <v>385</v>
      </c>
      <c r="O8" s="29" t="s">
        <v>385</v>
      </c>
      <c r="P8" s="29" t="s">
        <v>385</v>
      </c>
      <c r="Q8" s="29" t="s">
        <v>385</v>
      </c>
      <c r="R8" s="29" t="s">
        <v>385</v>
      </c>
      <c r="S8" s="29" t="s">
        <v>385</v>
      </c>
      <c r="T8" s="29" t="s">
        <v>385</v>
      </c>
      <c r="U8" s="29" t="s">
        <v>385</v>
      </c>
      <c r="V8" s="29" t="s">
        <v>385</v>
      </c>
      <c r="W8" s="29" t="s">
        <v>385</v>
      </c>
      <c r="X8" s="29" t="s">
        <v>385</v>
      </c>
      <c r="Y8" s="29" t="s">
        <v>385</v>
      </c>
      <c r="Z8" s="29" t="s">
        <v>385</v>
      </c>
      <c r="AA8" s="29" t="s">
        <v>385</v>
      </c>
      <c r="AB8" s="29" t="s">
        <v>385</v>
      </c>
      <c r="AC8" s="29" t="s">
        <v>385</v>
      </c>
      <c r="AD8" s="29" t="s">
        <v>385</v>
      </c>
      <c r="AE8" s="29" t="s">
        <v>385</v>
      </c>
      <c r="AF8" s="29" t="s">
        <v>385</v>
      </c>
      <c r="AG8" s="29" t="s">
        <v>385</v>
      </c>
      <c r="AH8" s="29" t="s">
        <v>385</v>
      </c>
    </row>
    <row r="9" spans="1:34" x14ac:dyDescent="0.25">
      <c r="A9" s="26" t="s">
        <v>165</v>
      </c>
      <c r="B9" s="29" t="s">
        <v>387</v>
      </c>
      <c r="C9" s="29" t="s">
        <v>385</v>
      </c>
      <c r="D9" s="29" t="s">
        <v>385</v>
      </c>
      <c r="E9" s="29" t="s">
        <v>385</v>
      </c>
      <c r="F9" s="111" t="s">
        <v>388</v>
      </c>
      <c r="G9" s="29" t="s">
        <v>387</v>
      </c>
      <c r="H9" s="29" t="s">
        <v>387</v>
      </c>
      <c r="I9" s="29" t="s">
        <v>387</v>
      </c>
      <c r="J9" s="29" t="s">
        <v>385</v>
      </c>
      <c r="K9" s="29" t="s">
        <v>385</v>
      </c>
      <c r="L9" s="29" t="s">
        <v>385</v>
      </c>
      <c r="M9" s="29" t="s">
        <v>385</v>
      </c>
      <c r="N9" s="29" t="s">
        <v>385</v>
      </c>
      <c r="O9" s="29" t="s">
        <v>385</v>
      </c>
      <c r="P9" s="29" t="s">
        <v>385</v>
      </c>
      <c r="Q9" s="29" t="s">
        <v>385</v>
      </c>
      <c r="R9" s="29" t="s">
        <v>385</v>
      </c>
      <c r="S9" s="29" t="s">
        <v>385</v>
      </c>
      <c r="T9" s="29" t="s">
        <v>385</v>
      </c>
      <c r="U9" s="29" t="s">
        <v>385</v>
      </c>
      <c r="V9" s="29" t="s">
        <v>385</v>
      </c>
      <c r="W9" s="29" t="s">
        <v>385</v>
      </c>
      <c r="X9" s="29" t="s">
        <v>385</v>
      </c>
      <c r="Y9" s="29" t="s">
        <v>385</v>
      </c>
      <c r="Z9" s="29" t="s">
        <v>385</v>
      </c>
      <c r="AA9" s="29" t="s">
        <v>385</v>
      </c>
      <c r="AB9" s="29" t="s">
        <v>385</v>
      </c>
      <c r="AC9" s="29" t="s">
        <v>385</v>
      </c>
      <c r="AD9" s="29" t="s">
        <v>385</v>
      </c>
      <c r="AE9" s="29" t="s">
        <v>385</v>
      </c>
      <c r="AF9" s="29" t="s">
        <v>385</v>
      </c>
      <c r="AG9" s="29" t="s">
        <v>385</v>
      </c>
      <c r="AH9" s="29" t="s">
        <v>385</v>
      </c>
    </row>
    <row r="10" spans="1:34" x14ac:dyDescent="0.25">
      <c r="A10" s="131" t="s">
        <v>168</v>
      </c>
      <c r="B10" s="157">
        <v>114</v>
      </c>
      <c r="C10" s="157">
        <v>42</v>
      </c>
      <c r="D10" s="157">
        <v>42</v>
      </c>
      <c r="E10" s="157">
        <v>42</v>
      </c>
      <c r="F10" s="157">
        <v>115</v>
      </c>
      <c r="G10" s="157">
        <v>114</v>
      </c>
      <c r="H10" s="157">
        <v>114</v>
      </c>
      <c r="I10" s="157">
        <v>114</v>
      </c>
      <c r="J10" s="157">
        <v>42</v>
      </c>
      <c r="K10" s="157">
        <v>42</v>
      </c>
      <c r="L10" s="157">
        <v>42</v>
      </c>
      <c r="M10" s="157">
        <v>42</v>
      </c>
      <c r="N10" s="157">
        <v>42</v>
      </c>
      <c r="O10" s="157">
        <v>42</v>
      </c>
      <c r="P10" s="157">
        <v>42</v>
      </c>
      <c r="Q10" s="157">
        <v>42</v>
      </c>
      <c r="R10" s="157">
        <v>42</v>
      </c>
      <c r="S10" s="157">
        <v>42</v>
      </c>
      <c r="T10" s="157">
        <v>42</v>
      </c>
      <c r="U10" s="157">
        <v>42</v>
      </c>
      <c r="V10" s="157">
        <v>42</v>
      </c>
      <c r="W10" s="157">
        <v>42</v>
      </c>
      <c r="X10" s="157">
        <v>42</v>
      </c>
      <c r="Y10" s="157">
        <v>42</v>
      </c>
      <c r="Z10" s="157">
        <v>42</v>
      </c>
      <c r="AA10" s="157">
        <v>42</v>
      </c>
      <c r="AB10" s="157">
        <v>42</v>
      </c>
      <c r="AC10" s="157">
        <v>42</v>
      </c>
      <c r="AD10" s="157">
        <v>42</v>
      </c>
      <c r="AE10" s="157">
        <v>42</v>
      </c>
      <c r="AF10" s="157">
        <v>42</v>
      </c>
      <c r="AG10" s="157">
        <v>42</v>
      </c>
      <c r="AH10" s="157">
        <v>42</v>
      </c>
    </row>
    <row r="11" spans="1:34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28" t="s">
        <v>170</v>
      </c>
      <c r="O11" s="28" t="s">
        <v>170</v>
      </c>
      <c r="P11" s="28" t="s">
        <v>170</v>
      </c>
      <c r="Q11" s="28" t="s">
        <v>170</v>
      </c>
      <c r="R11" s="28" t="s">
        <v>170</v>
      </c>
      <c r="S11" s="28" t="s">
        <v>170</v>
      </c>
      <c r="T11" s="28" t="s">
        <v>170</v>
      </c>
      <c r="U11" s="28" t="s">
        <v>170</v>
      </c>
      <c r="V11" s="28" t="s">
        <v>170</v>
      </c>
      <c r="W11" s="28" t="s">
        <v>170</v>
      </c>
      <c r="X11" s="28" t="s">
        <v>170</v>
      </c>
      <c r="Y11" s="28" t="s">
        <v>170</v>
      </c>
      <c r="Z11" s="28" t="s">
        <v>170</v>
      </c>
      <c r="AA11" s="28" t="s">
        <v>170</v>
      </c>
      <c r="AB11" s="28" t="s">
        <v>170</v>
      </c>
      <c r="AC11" s="28" t="s">
        <v>170</v>
      </c>
      <c r="AD11" s="28" t="s">
        <v>170</v>
      </c>
      <c r="AE11" s="28" t="s">
        <v>170</v>
      </c>
      <c r="AF11" s="28" t="s">
        <v>170</v>
      </c>
      <c r="AG11" s="28" t="s">
        <v>170</v>
      </c>
      <c r="AH11" s="28" t="s">
        <v>170</v>
      </c>
    </row>
    <row r="12" spans="1:34" x14ac:dyDescent="0.25">
      <c r="A12" s="26" t="s">
        <v>171</v>
      </c>
      <c r="B12" s="28" t="s">
        <v>173</v>
      </c>
      <c r="C12" s="28" t="s">
        <v>173</v>
      </c>
      <c r="D12" s="28" t="s">
        <v>173</v>
      </c>
      <c r="E12" s="28" t="s">
        <v>173</v>
      </c>
      <c r="F12" s="28" t="s">
        <v>173</v>
      </c>
      <c r="G12" s="28" t="s">
        <v>173</v>
      </c>
      <c r="H12" s="28" t="s">
        <v>173</v>
      </c>
      <c r="I12" s="28" t="s">
        <v>173</v>
      </c>
      <c r="J12" s="28" t="s">
        <v>173</v>
      </c>
      <c r="K12" s="28" t="s">
        <v>173</v>
      </c>
      <c r="L12" s="28" t="s">
        <v>173</v>
      </c>
      <c r="M12" s="28" t="s">
        <v>173</v>
      </c>
      <c r="N12" s="28" t="s">
        <v>173</v>
      </c>
      <c r="O12" s="28" t="s">
        <v>173</v>
      </c>
      <c r="P12" s="28" t="s">
        <v>173</v>
      </c>
      <c r="Q12" s="28" t="s">
        <v>173</v>
      </c>
      <c r="R12" s="28" t="s">
        <v>173</v>
      </c>
      <c r="S12" s="28" t="s">
        <v>173</v>
      </c>
      <c r="T12" s="28" t="s">
        <v>173</v>
      </c>
      <c r="U12" s="28" t="s">
        <v>173</v>
      </c>
      <c r="V12" s="28" t="s">
        <v>173</v>
      </c>
      <c r="W12" s="28" t="s">
        <v>173</v>
      </c>
      <c r="X12" s="28" t="s">
        <v>173</v>
      </c>
      <c r="Y12" s="28" t="s">
        <v>173</v>
      </c>
      <c r="Z12" s="28" t="s">
        <v>173</v>
      </c>
      <c r="AA12" s="28" t="s">
        <v>173</v>
      </c>
      <c r="AB12" s="28" t="s">
        <v>173</v>
      </c>
      <c r="AC12" s="28" t="s">
        <v>173</v>
      </c>
      <c r="AD12" s="28" t="s">
        <v>173</v>
      </c>
      <c r="AE12" s="28" t="s">
        <v>173</v>
      </c>
      <c r="AF12" s="28" t="s">
        <v>173</v>
      </c>
      <c r="AG12" s="28" t="s">
        <v>173</v>
      </c>
      <c r="AH12" s="28" t="s">
        <v>173</v>
      </c>
    </row>
    <row r="13" spans="1:34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 t="s">
        <v>173</v>
      </c>
      <c r="S13" s="28" t="s">
        <v>173</v>
      </c>
      <c r="T13" s="28" t="s">
        <v>173</v>
      </c>
      <c r="U13" s="28" t="s">
        <v>173</v>
      </c>
      <c r="V13" s="28" t="s">
        <v>173</v>
      </c>
      <c r="W13" s="28" t="s">
        <v>173</v>
      </c>
      <c r="X13" s="28" t="s">
        <v>173</v>
      </c>
      <c r="Y13" s="28" t="s">
        <v>173</v>
      </c>
      <c r="Z13" s="28" t="s">
        <v>173</v>
      </c>
      <c r="AA13" s="28" t="s">
        <v>173</v>
      </c>
      <c r="AB13" s="28" t="s">
        <v>173</v>
      </c>
      <c r="AC13" s="28" t="s">
        <v>173</v>
      </c>
      <c r="AD13" s="28" t="s">
        <v>173</v>
      </c>
      <c r="AE13" s="28" t="s">
        <v>173</v>
      </c>
      <c r="AF13" s="28" t="s">
        <v>173</v>
      </c>
      <c r="AG13" s="28" t="s">
        <v>173</v>
      </c>
      <c r="AH13" s="28" t="s">
        <v>173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 t="s">
        <v>173</v>
      </c>
      <c r="V14" s="28" t="s">
        <v>173</v>
      </c>
      <c r="W14" s="28" t="s">
        <v>173</v>
      </c>
      <c r="X14" s="28" t="s">
        <v>173</v>
      </c>
      <c r="Y14" s="28" t="s">
        <v>173</v>
      </c>
      <c r="Z14" s="28" t="s">
        <v>173</v>
      </c>
      <c r="AA14" s="28" t="s">
        <v>173</v>
      </c>
      <c r="AB14" s="28" t="s">
        <v>173</v>
      </c>
      <c r="AC14" s="28" t="s">
        <v>173</v>
      </c>
      <c r="AD14" s="28" t="s">
        <v>173</v>
      </c>
      <c r="AE14" s="28" t="s">
        <v>173</v>
      </c>
      <c r="AF14" s="28" t="s">
        <v>173</v>
      </c>
      <c r="AG14" s="28" t="s">
        <v>173</v>
      </c>
      <c r="AH14" s="28" t="s">
        <v>173</v>
      </c>
    </row>
    <row r="15" spans="1:34" x14ac:dyDescent="0.25">
      <c r="A15" s="26" t="s">
        <v>175</v>
      </c>
      <c r="B15" s="28" t="s">
        <v>160</v>
      </c>
      <c r="C15" s="28" t="s">
        <v>160</v>
      </c>
      <c r="D15" s="28" t="s">
        <v>160</v>
      </c>
      <c r="E15" s="28" t="s">
        <v>160</v>
      </c>
      <c r="F15" s="113" t="s">
        <v>389</v>
      </c>
      <c r="G15" s="28" t="s">
        <v>160</v>
      </c>
      <c r="H15" s="28" t="s">
        <v>160</v>
      </c>
      <c r="I15" s="28" t="s">
        <v>160</v>
      </c>
      <c r="J15" s="28" t="s">
        <v>160</v>
      </c>
      <c r="K15" s="28" t="s">
        <v>160</v>
      </c>
      <c r="L15" s="28" t="s">
        <v>160</v>
      </c>
      <c r="M15" s="28" t="s">
        <v>160</v>
      </c>
      <c r="N15" s="28" t="s">
        <v>160</v>
      </c>
      <c r="O15" s="28" t="s">
        <v>160</v>
      </c>
      <c r="P15" s="28" t="s">
        <v>160</v>
      </c>
      <c r="Q15" s="28" t="s">
        <v>160</v>
      </c>
      <c r="R15" s="28" t="s">
        <v>160</v>
      </c>
      <c r="S15" s="28" t="s">
        <v>160</v>
      </c>
      <c r="T15" s="28" t="s">
        <v>160</v>
      </c>
      <c r="U15" s="28" t="s">
        <v>160</v>
      </c>
      <c r="V15" s="28" t="s">
        <v>160</v>
      </c>
      <c r="W15" s="28" t="s">
        <v>160</v>
      </c>
      <c r="X15" s="28" t="s">
        <v>160</v>
      </c>
      <c r="Y15" s="28" t="s">
        <v>160</v>
      </c>
      <c r="Z15" s="28" t="s">
        <v>160</v>
      </c>
      <c r="AA15" s="28" t="s">
        <v>160</v>
      </c>
      <c r="AB15" s="28" t="s">
        <v>160</v>
      </c>
      <c r="AC15" s="28" t="s">
        <v>160</v>
      </c>
      <c r="AD15" s="28" t="s">
        <v>160</v>
      </c>
      <c r="AE15" s="28" t="s">
        <v>160</v>
      </c>
      <c r="AF15" s="28" t="s">
        <v>160</v>
      </c>
      <c r="AG15" s="28" t="s">
        <v>160</v>
      </c>
      <c r="AH15" s="28" t="s">
        <v>160</v>
      </c>
    </row>
    <row r="16" spans="1:34" x14ac:dyDescent="0.25">
      <c r="A16" s="26" t="s">
        <v>176</v>
      </c>
      <c r="B16" s="30">
        <v>2.75</v>
      </c>
      <c r="C16" s="30">
        <v>2.5</v>
      </c>
      <c r="D16" s="30">
        <v>2.5</v>
      </c>
      <c r="E16" s="30">
        <v>2.5</v>
      </c>
      <c r="F16" s="30">
        <f>AVERAGE(2.75,2.75,-6)</f>
        <v>-0.16666666666666666</v>
      </c>
      <c r="G16" s="30">
        <v>2.75</v>
      </c>
      <c r="H16" s="30">
        <v>2.75</v>
      </c>
      <c r="I16" s="30">
        <v>2.75</v>
      </c>
      <c r="J16" s="30">
        <v>2.5</v>
      </c>
      <c r="K16" s="30">
        <v>2.5</v>
      </c>
      <c r="L16" s="30">
        <v>2.5</v>
      </c>
      <c r="M16" s="30">
        <v>2.5</v>
      </c>
      <c r="N16" s="30">
        <v>2.5</v>
      </c>
      <c r="O16" s="30">
        <v>2.5</v>
      </c>
      <c r="P16" s="30">
        <v>2.5</v>
      </c>
      <c r="Q16" s="30">
        <v>2.5</v>
      </c>
      <c r="R16" s="30">
        <v>2.5</v>
      </c>
      <c r="S16" s="30">
        <v>2.5</v>
      </c>
      <c r="T16" s="30">
        <v>2.5</v>
      </c>
      <c r="U16" s="30">
        <v>2.5</v>
      </c>
      <c r="V16" s="30">
        <v>2.5</v>
      </c>
      <c r="W16" s="30">
        <v>2.5</v>
      </c>
      <c r="X16" s="30">
        <v>2.5</v>
      </c>
      <c r="Y16" s="30">
        <v>2.5</v>
      </c>
      <c r="Z16" s="30">
        <v>2.5</v>
      </c>
      <c r="AA16" s="30">
        <v>2.5</v>
      </c>
      <c r="AB16" s="30">
        <v>2.5</v>
      </c>
      <c r="AC16" s="30">
        <v>2.5</v>
      </c>
      <c r="AD16" s="30">
        <v>2.5</v>
      </c>
      <c r="AE16" s="30">
        <v>2.5</v>
      </c>
      <c r="AF16" s="30">
        <v>2.5</v>
      </c>
      <c r="AG16" s="30">
        <v>2.5</v>
      </c>
      <c r="AH16" s="30">
        <v>2.5</v>
      </c>
    </row>
    <row r="17" spans="1:34" x14ac:dyDescent="0.25">
      <c r="A17" s="26" t="s">
        <v>177</v>
      </c>
      <c r="B17" s="28" t="s">
        <v>181</v>
      </c>
      <c r="C17" s="28" t="s">
        <v>181</v>
      </c>
      <c r="D17" s="28" t="s">
        <v>181</v>
      </c>
      <c r="E17" s="28" t="s">
        <v>181</v>
      </c>
      <c r="F17" s="28" t="s">
        <v>181</v>
      </c>
      <c r="G17" s="28" t="s">
        <v>181</v>
      </c>
      <c r="H17" s="28" t="s">
        <v>181</v>
      </c>
      <c r="I17" s="28" t="s">
        <v>181</v>
      </c>
      <c r="J17" s="28" t="s">
        <v>181</v>
      </c>
      <c r="K17" s="28" t="s">
        <v>181</v>
      </c>
      <c r="L17" s="28" t="s">
        <v>181</v>
      </c>
      <c r="M17" s="28" t="s">
        <v>181</v>
      </c>
      <c r="N17" s="28" t="s">
        <v>181</v>
      </c>
      <c r="O17" s="28" t="s">
        <v>181</v>
      </c>
      <c r="P17" s="28" t="s">
        <v>181</v>
      </c>
      <c r="Q17" s="28" t="s">
        <v>181</v>
      </c>
      <c r="R17" s="28" t="s">
        <v>181</v>
      </c>
      <c r="S17" s="28" t="s">
        <v>181</v>
      </c>
      <c r="T17" s="28" t="s">
        <v>181</v>
      </c>
      <c r="U17" s="28" t="s">
        <v>181</v>
      </c>
      <c r="V17" s="28" t="s">
        <v>181</v>
      </c>
      <c r="W17" s="28" t="s">
        <v>181</v>
      </c>
      <c r="X17" s="28" t="s">
        <v>181</v>
      </c>
      <c r="Y17" s="28" t="s">
        <v>181</v>
      </c>
      <c r="Z17" s="28" t="s">
        <v>181</v>
      </c>
      <c r="AA17" s="28" t="s">
        <v>181</v>
      </c>
      <c r="AB17" s="28" t="s">
        <v>181</v>
      </c>
      <c r="AC17" s="28" t="s">
        <v>181</v>
      </c>
      <c r="AD17" s="28" t="s">
        <v>181</v>
      </c>
      <c r="AE17" s="28" t="s">
        <v>181</v>
      </c>
      <c r="AF17" s="28" t="s">
        <v>181</v>
      </c>
      <c r="AG17" s="28" t="s">
        <v>181</v>
      </c>
      <c r="AH17" s="28" t="s">
        <v>181</v>
      </c>
    </row>
    <row r="18" spans="1:34" x14ac:dyDescent="0.25">
      <c r="A18" s="26" t="s">
        <v>182</v>
      </c>
      <c r="B18" s="30">
        <v>2</v>
      </c>
      <c r="C18" s="30">
        <v>2</v>
      </c>
      <c r="D18" s="30">
        <v>2</v>
      </c>
      <c r="E18" s="30">
        <v>2</v>
      </c>
      <c r="F18" s="30">
        <v>2</v>
      </c>
      <c r="G18" s="30">
        <v>2</v>
      </c>
      <c r="H18" s="30">
        <v>2</v>
      </c>
      <c r="I18" s="30">
        <v>2</v>
      </c>
      <c r="J18" s="30">
        <v>2</v>
      </c>
      <c r="K18" s="30">
        <v>2</v>
      </c>
      <c r="L18" s="30">
        <v>2</v>
      </c>
      <c r="M18" s="30">
        <v>2</v>
      </c>
      <c r="N18" s="30">
        <v>2</v>
      </c>
      <c r="O18" s="30">
        <v>2</v>
      </c>
      <c r="P18" s="30">
        <v>2</v>
      </c>
      <c r="Q18" s="30">
        <v>2</v>
      </c>
      <c r="R18" s="30">
        <v>2</v>
      </c>
      <c r="S18" s="30">
        <v>2</v>
      </c>
      <c r="T18" s="30">
        <v>2</v>
      </c>
      <c r="U18" s="30">
        <v>2</v>
      </c>
      <c r="V18" s="30">
        <v>2</v>
      </c>
      <c r="W18" s="30">
        <v>2</v>
      </c>
      <c r="X18" s="30">
        <v>2</v>
      </c>
      <c r="Y18" s="30">
        <v>2</v>
      </c>
      <c r="Z18" s="30">
        <v>2</v>
      </c>
      <c r="AA18" s="30">
        <v>2</v>
      </c>
      <c r="AB18" s="30">
        <v>2</v>
      </c>
      <c r="AC18" s="30">
        <v>2</v>
      </c>
      <c r="AD18" s="30">
        <v>2</v>
      </c>
      <c r="AE18" s="30">
        <v>2</v>
      </c>
      <c r="AF18" s="30">
        <v>2</v>
      </c>
      <c r="AG18" s="30">
        <v>2</v>
      </c>
      <c r="AH18" s="30">
        <v>2</v>
      </c>
    </row>
    <row r="20" spans="1:34" x14ac:dyDescent="0.25">
      <c r="A20" s="31" t="s">
        <v>183</v>
      </c>
    </row>
    <row r="21" spans="1:34" x14ac:dyDescent="0.25">
      <c r="A21" s="77" t="s">
        <v>390</v>
      </c>
      <c r="B21" s="56" t="s">
        <v>391</v>
      </c>
    </row>
    <row r="22" spans="1:34" x14ac:dyDescent="0.25">
      <c r="A22" s="123" t="s">
        <v>392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2902E-46B0-462B-A829-94B00096945E}">
  <dimension ref="A1:AH22"/>
  <sheetViews>
    <sheetView workbookViewId="0">
      <selection activeCell="B7" sqref="B7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117</v>
      </c>
      <c r="I1" s="25" t="s">
        <v>118</v>
      </c>
    </row>
    <row r="3" spans="1:34" ht="18" x14ac:dyDescent="0.25">
      <c r="A3" s="25" t="s">
        <v>119</v>
      </c>
      <c r="B3" s="215">
        <v>18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382</v>
      </c>
      <c r="C4" s="215"/>
      <c r="D4" s="215"/>
      <c r="F4" s="216" t="s">
        <v>393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394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29" t="s">
        <v>181</v>
      </c>
      <c r="C8" s="29" t="s">
        <v>385</v>
      </c>
      <c r="D8" s="29" t="s">
        <v>385</v>
      </c>
      <c r="E8" s="29" t="s">
        <v>385</v>
      </c>
      <c r="F8" s="111" t="s">
        <v>386</v>
      </c>
      <c r="G8" s="29" t="s">
        <v>395</v>
      </c>
      <c r="H8" s="29" t="s">
        <v>395</v>
      </c>
      <c r="I8" s="29" t="s">
        <v>395</v>
      </c>
      <c r="J8" s="29" t="s">
        <v>385</v>
      </c>
      <c r="K8" s="29" t="s">
        <v>385</v>
      </c>
      <c r="L8" s="29" t="s">
        <v>385</v>
      </c>
      <c r="M8" s="29" t="s">
        <v>385</v>
      </c>
      <c r="N8" s="29" t="s">
        <v>385</v>
      </c>
      <c r="O8" s="29" t="s">
        <v>385</v>
      </c>
      <c r="P8" s="29" t="s">
        <v>385</v>
      </c>
      <c r="Q8" s="29" t="s">
        <v>385</v>
      </c>
      <c r="R8" s="29" t="s">
        <v>385</v>
      </c>
      <c r="S8" s="29" t="s">
        <v>385</v>
      </c>
      <c r="T8" s="29" t="s">
        <v>385</v>
      </c>
      <c r="U8" s="29" t="s">
        <v>385</v>
      </c>
      <c r="V8" s="29" t="s">
        <v>385</v>
      </c>
      <c r="W8" s="29" t="s">
        <v>385</v>
      </c>
      <c r="X8" s="29" t="s">
        <v>385</v>
      </c>
      <c r="Y8" s="29" t="s">
        <v>385</v>
      </c>
      <c r="Z8" s="29" t="s">
        <v>385</v>
      </c>
      <c r="AA8" s="29" t="s">
        <v>385</v>
      </c>
      <c r="AB8" s="29" t="s">
        <v>385</v>
      </c>
      <c r="AC8" s="29" t="s">
        <v>385</v>
      </c>
      <c r="AD8" s="29" t="s">
        <v>385</v>
      </c>
      <c r="AE8" s="29" t="s">
        <v>385</v>
      </c>
      <c r="AF8" s="29" t="s">
        <v>385</v>
      </c>
      <c r="AG8" s="29" t="s">
        <v>385</v>
      </c>
      <c r="AH8" s="29" t="s">
        <v>385</v>
      </c>
    </row>
    <row r="9" spans="1:34" x14ac:dyDescent="0.25">
      <c r="A9" s="26" t="s">
        <v>165</v>
      </c>
      <c r="B9" s="29" t="s">
        <v>387</v>
      </c>
      <c r="C9" s="29" t="s">
        <v>385</v>
      </c>
      <c r="D9" s="29" t="s">
        <v>385</v>
      </c>
      <c r="E9" s="29" t="s">
        <v>385</v>
      </c>
      <c r="F9" s="111" t="s">
        <v>388</v>
      </c>
      <c r="G9" s="81" t="s">
        <v>341</v>
      </c>
      <c r="H9" s="29" t="s">
        <v>396</v>
      </c>
      <c r="I9" s="81" t="s">
        <v>341</v>
      </c>
      <c r="J9" s="29" t="s">
        <v>385</v>
      </c>
      <c r="K9" s="29" t="s">
        <v>385</v>
      </c>
      <c r="L9" s="29" t="s">
        <v>385</v>
      </c>
      <c r="M9" s="29" t="s">
        <v>385</v>
      </c>
      <c r="N9" s="29" t="s">
        <v>385</v>
      </c>
      <c r="O9" s="29" t="s">
        <v>385</v>
      </c>
      <c r="P9" s="29" t="s">
        <v>385</v>
      </c>
      <c r="Q9" s="29" t="s">
        <v>385</v>
      </c>
      <c r="R9" s="29" t="s">
        <v>385</v>
      </c>
      <c r="S9" s="29" t="s">
        <v>385</v>
      </c>
      <c r="T9" s="29" t="s">
        <v>385</v>
      </c>
      <c r="U9" s="29" t="s">
        <v>385</v>
      </c>
      <c r="V9" s="29" t="s">
        <v>385</v>
      </c>
      <c r="W9" s="29" t="s">
        <v>385</v>
      </c>
      <c r="X9" s="29" t="s">
        <v>385</v>
      </c>
      <c r="Y9" s="29" t="s">
        <v>385</v>
      </c>
      <c r="Z9" s="29" t="s">
        <v>385</v>
      </c>
      <c r="AA9" s="29" t="s">
        <v>385</v>
      </c>
      <c r="AB9" s="29" t="s">
        <v>385</v>
      </c>
      <c r="AC9" s="29" t="s">
        <v>385</v>
      </c>
      <c r="AD9" s="29" t="s">
        <v>385</v>
      </c>
      <c r="AE9" s="29" t="s">
        <v>385</v>
      </c>
      <c r="AF9" s="29" t="s">
        <v>385</v>
      </c>
      <c r="AG9" s="29" t="s">
        <v>385</v>
      </c>
      <c r="AH9" s="29" t="s">
        <v>385</v>
      </c>
    </row>
    <row r="10" spans="1:34" x14ac:dyDescent="0.25">
      <c r="A10" s="131" t="s">
        <v>168</v>
      </c>
      <c r="B10" s="157">
        <v>114</v>
      </c>
      <c r="C10" s="157">
        <v>42</v>
      </c>
      <c r="D10" s="157">
        <v>42</v>
      </c>
      <c r="E10" s="157">
        <v>42</v>
      </c>
      <c r="F10" s="157">
        <v>115</v>
      </c>
      <c r="G10" s="198"/>
      <c r="H10" s="157">
        <v>116</v>
      </c>
      <c r="I10" s="198"/>
      <c r="J10" s="157">
        <v>42</v>
      </c>
      <c r="K10" s="157">
        <v>42</v>
      </c>
      <c r="L10" s="157">
        <v>42</v>
      </c>
      <c r="M10" s="157">
        <v>42</v>
      </c>
      <c r="N10" s="157">
        <v>42</v>
      </c>
      <c r="O10" s="157">
        <v>42</v>
      </c>
      <c r="P10" s="157">
        <v>42</v>
      </c>
      <c r="Q10" s="157">
        <v>42</v>
      </c>
      <c r="R10" s="157">
        <v>42</v>
      </c>
      <c r="S10" s="157">
        <v>42</v>
      </c>
      <c r="T10" s="157">
        <v>42</v>
      </c>
      <c r="U10" s="157">
        <v>42</v>
      </c>
      <c r="V10" s="157">
        <v>42</v>
      </c>
      <c r="W10" s="157">
        <v>42</v>
      </c>
      <c r="X10" s="157">
        <v>42</v>
      </c>
      <c r="Y10" s="157">
        <v>42</v>
      </c>
      <c r="Z10" s="157">
        <v>42</v>
      </c>
      <c r="AA10" s="157">
        <v>42</v>
      </c>
      <c r="AB10" s="157">
        <v>42</v>
      </c>
      <c r="AC10" s="157">
        <v>42</v>
      </c>
      <c r="AD10" s="157">
        <v>42</v>
      </c>
      <c r="AE10" s="157">
        <v>42</v>
      </c>
      <c r="AF10" s="157">
        <v>42</v>
      </c>
      <c r="AG10" s="157">
        <v>42</v>
      </c>
      <c r="AH10" s="157">
        <v>42</v>
      </c>
    </row>
    <row r="11" spans="1:34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80" t="s">
        <v>173</v>
      </c>
      <c r="H11" s="28" t="s">
        <v>173</v>
      </c>
      <c r="I11" s="80" t="s">
        <v>173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28" t="s">
        <v>170</v>
      </c>
      <c r="O11" s="28" t="s">
        <v>170</v>
      </c>
      <c r="P11" s="28" t="s">
        <v>170</v>
      </c>
      <c r="Q11" s="28" t="s">
        <v>170</v>
      </c>
      <c r="R11" s="28" t="s">
        <v>170</v>
      </c>
      <c r="S11" s="28" t="s">
        <v>170</v>
      </c>
      <c r="T11" s="28" t="s">
        <v>170</v>
      </c>
      <c r="U11" s="28" t="s">
        <v>170</v>
      </c>
      <c r="V11" s="28" t="s">
        <v>170</v>
      </c>
      <c r="W11" s="28" t="s">
        <v>170</v>
      </c>
      <c r="X11" s="28" t="s">
        <v>170</v>
      </c>
      <c r="Y11" s="28" t="s">
        <v>170</v>
      </c>
      <c r="Z11" s="28" t="s">
        <v>170</v>
      </c>
      <c r="AA11" s="28" t="s">
        <v>170</v>
      </c>
      <c r="AB11" s="28" t="s">
        <v>170</v>
      </c>
      <c r="AC11" s="28" t="s">
        <v>170</v>
      </c>
      <c r="AD11" s="28" t="s">
        <v>170</v>
      </c>
      <c r="AE11" s="28" t="s">
        <v>170</v>
      </c>
      <c r="AF11" s="28" t="s">
        <v>170</v>
      </c>
      <c r="AG11" s="28" t="s">
        <v>170</v>
      </c>
      <c r="AH11" s="28" t="s">
        <v>170</v>
      </c>
    </row>
    <row r="12" spans="1:34" x14ac:dyDescent="0.25">
      <c r="A12" s="26" t="s">
        <v>171</v>
      </c>
      <c r="B12" s="28" t="s">
        <v>173</v>
      </c>
      <c r="C12" s="28" t="s">
        <v>173</v>
      </c>
      <c r="D12" s="28" t="s">
        <v>173</v>
      </c>
      <c r="E12" s="28" t="s">
        <v>173</v>
      </c>
      <c r="F12" s="28" t="s">
        <v>173</v>
      </c>
      <c r="G12" s="80" t="s">
        <v>173</v>
      </c>
      <c r="H12" s="28" t="s">
        <v>173</v>
      </c>
      <c r="I12" s="80" t="s">
        <v>173</v>
      </c>
      <c r="J12" s="28" t="s">
        <v>173</v>
      </c>
      <c r="K12" s="28" t="s">
        <v>173</v>
      </c>
      <c r="L12" s="28" t="s">
        <v>173</v>
      </c>
      <c r="M12" s="28" t="s">
        <v>173</v>
      </c>
      <c r="N12" s="28" t="s">
        <v>173</v>
      </c>
      <c r="O12" s="28" t="s">
        <v>173</v>
      </c>
      <c r="P12" s="28" t="s">
        <v>173</v>
      </c>
      <c r="Q12" s="28" t="s">
        <v>173</v>
      </c>
      <c r="R12" s="28" t="s">
        <v>173</v>
      </c>
      <c r="S12" s="28" t="s">
        <v>173</v>
      </c>
      <c r="T12" s="28" t="s">
        <v>173</v>
      </c>
      <c r="U12" s="28" t="s">
        <v>173</v>
      </c>
      <c r="V12" s="28" t="s">
        <v>173</v>
      </c>
      <c r="W12" s="28" t="s">
        <v>173</v>
      </c>
      <c r="X12" s="28" t="s">
        <v>173</v>
      </c>
      <c r="Y12" s="28" t="s">
        <v>173</v>
      </c>
      <c r="Z12" s="28" t="s">
        <v>173</v>
      </c>
      <c r="AA12" s="28" t="s">
        <v>173</v>
      </c>
      <c r="AB12" s="28" t="s">
        <v>173</v>
      </c>
      <c r="AC12" s="28" t="s">
        <v>173</v>
      </c>
      <c r="AD12" s="28" t="s">
        <v>173</v>
      </c>
      <c r="AE12" s="28" t="s">
        <v>173</v>
      </c>
      <c r="AF12" s="28" t="s">
        <v>173</v>
      </c>
      <c r="AG12" s="28" t="s">
        <v>173</v>
      </c>
      <c r="AH12" s="28" t="s">
        <v>173</v>
      </c>
    </row>
    <row r="13" spans="1:34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80" t="s">
        <v>173</v>
      </c>
      <c r="H13" s="28" t="s">
        <v>173</v>
      </c>
      <c r="I13" s="80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 t="s">
        <v>173</v>
      </c>
      <c r="S13" s="28" t="s">
        <v>173</v>
      </c>
      <c r="T13" s="28" t="s">
        <v>173</v>
      </c>
      <c r="U13" s="28" t="s">
        <v>173</v>
      </c>
      <c r="V13" s="28" t="s">
        <v>173</v>
      </c>
      <c r="W13" s="28" t="s">
        <v>173</v>
      </c>
      <c r="X13" s="28" t="s">
        <v>173</v>
      </c>
      <c r="Y13" s="28" t="s">
        <v>173</v>
      </c>
      <c r="Z13" s="28" t="s">
        <v>173</v>
      </c>
      <c r="AA13" s="28" t="s">
        <v>173</v>
      </c>
      <c r="AB13" s="28" t="s">
        <v>173</v>
      </c>
      <c r="AC13" s="28" t="s">
        <v>173</v>
      </c>
      <c r="AD13" s="28" t="s">
        <v>173</v>
      </c>
      <c r="AE13" s="28" t="s">
        <v>173</v>
      </c>
      <c r="AF13" s="28" t="s">
        <v>173</v>
      </c>
      <c r="AG13" s="28" t="s">
        <v>173</v>
      </c>
      <c r="AH13" s="28" t="s">
        <v>173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80" t="s">
        <v>173</v>
      </c>
      <c r="H14" s="28" t="s">
        <v>173</v>
      </c>
      <c r="I14" s="80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 t="s">
        <v>173</v>
      </c>
      <c r="V14" s="28" t="s">
        <v>173</v>
      </c>
      <c r="W14" s="28" t="s">
        <v>173</v>
      </c>
      <c r="X14" s="28" t="s">
        <v>173</v>
      </c>
      <c r="Y14" s="28" t="s">
        <v>173</v>
      </c>
      <c r="Z14" s="28" t="s">
        <v>173</v>
      </c>
      <c r="AA14" s="28" t="s">
        <v>173</v>
      </c>
      <c r="AB14" s="28" t="s">
        <v>173</v>
      </c>
      <c r="AC14" s="28" t="s">
        <v>173</v>
      </c>
      <c r="AD14" s="28" t="s">
        <v>173</v>
      </c>
      <c r="AE14" s="28" t="s">
        <v>173</v>
      </c>
      <c r="AF14" s="28" t="s">
        <v>173</v>
      </c>
      <c r="AG14" s="28" t="s">
        <v>173</v>
      </c>
      <c r="AH14" s="28" t="s">
        <v>173</v>
      </c>
    </row>
    <row r="15" spans="1:34" x14ac:dyDescent="0.25">
      <c r="A15" s="26" t="s">
        <v>175</v>
      </c>
      <c r="B15" s="28" t="s">
        <v>160</v>
      </c>
      <c r="C15" s="28" t="s">
        <v>160</v>
      </c>
      <c r="D15" s="28" t="s">
        <v>160</v>
      </c>
      <c r="E15" s="28" t="s">
        <v>160</v>
      </c>
      <c r="F15" s="113" t="s">
        <v>389</v>
      </c>
      <c r="G15" s="84" t="s">
        <v>397</v>
      </c>
      <c r="H15" s="83" t="s">
        <v>397</v>
      </c>
      <c r="I15" s="84" t="s">
        <v>397</v>
      </c>
      <c r="J15" s="28" t="s">
        <v>160</v>
      </c>
      <c r="K15" s="28" t="s">
        <v>160</v>
      </c>
      <c r="L15" s="28" t="s">
        <v>160</v>
      </c>
      <c r="M15" s="28" t="s">
        <v>160</v>
      </c>
      <c r="N15" s="28" t="s">
        <v>160</v>
      </c>
      <c r="O15" s="28" t="s">
        <v>160</v>
      </c>
      <c r="P15" s="28" t="s">
        <v>160</v>
      </c>
      <c r="Q15" s="28" t="s">
        <v>160</v>
      </c>
      <c r="R15" s="28" t="s">
        <v>160</v>
      </c>
      <c r="S15" s="28" t="s">
        <v>160</v>
      </c>
      <c r="T15" s="28" t="s">
        <v>160</v>
      </c>
      <c r="U15" s="28" t="s">
        <v>160</v>
      </c>
      <c r="V15" s="28" t="s">
        <v>160</v>
      </c>
      <c r="W15" s="28" t="s">
        <v>160</v>
      </c>
      <c r="X15" s="28" t="s">
        <v>160</v>
      </c>
      <c r="Y15" s="28" t="s">
        <v>160</v>
      </c>
      <c r="Z15" s="28" t="s">
        <v>160</v>
      </c>
      <c r="AA15" s="28" t="s">
        <v>160</v>
      </c>
      <c r="AB15" s="28" t="s">
        <v>160</v>
      </c>
      <c r="AC15" s="28" t="s">
        <v>160</v>
      </c>
      <c r="AD15" s="28" t="s">
        <v>160</v>
      </c>
      <c r="AE15" s="28" t="s">
        <v>160</v>
      </c>
      <c r="AF15" s="28" t="s">
        <v>160</v>
      </c>
      <c r="AG15" s="28" t="s">
        <v>160</v>
      </c>
      <c r="AH15" s="28" t="s">
        <v>160</v>
      </c>
    </row>
    <row r="16" spans="1:34" x14ac:dyDescent="0.25">
      <c r="A16" s="26" t="s">
        <v>176</v>
      </c>
      <c r="B16" s="30">
        <v>2.75</v>
      </c>
      <c r="C16" s="30">
        <v>2.5</v>
      </c>
      <c r="D16" s="30">
        <v>2.5</v>
      </c>
      <c r="E16" s="30">
        <v>2.5</v>
      </c>
      <c r="F16" s="30">
        <f>AVERAGE(2.75,2.75,-6)</f>
        <v>-0.16666666666666666</v>
      </c>
      <c r="G16" s="179">
        <v>-6</v>
      </c>
      <c r="H16" s="88">
        <v>-6</v>
      </c>
      <c r="I16" s="179">
        <v>-6</v>
      </c>
      <c r="J16" s="30">
        <v>2.5</v>
      </c>
      <c r="K16" s="30">
        <v>2.5</v>
      </c>
      <c r="L16" s="30">
        <v>2.5</v>
      </c>
      <c r="M16" s="30">
        <v>2.5</v>
      </c>
      <c r="N16" s="30">
        <v>2.5</v>
      </c>
      <c r="O16" s="30">
        <v>2.5</v>
      </c>
      <c r="P16" s="30">
        <v>2.5</v>
      </c>
      <c r="Q16" s="30">
        <v>2.5</v>
      </c>
      <c r="R16" s="30">
        <v>2.5</v>
      </c>
      <c r="S16" s="30">
        <v>2.5</v>
      </c>
      <c r="T16" s="30">
        <v>2.5</v>
      </c>
      <c r="U16" s="30">
        <v>2.5</v>
      </c>
      <c r="V16" s="30">
        <v>2.5</v>
      </c>
      <c r="W16" s="30">
        <v>2.5</v>
      </c>
      <c r="X16" s="30">
        <v>2.5</v>
      </c>
      <c r="Y16" s="30">
        <v>2.5</v>
      </c>
      <c r="Z16" s="30">
        <v>2.5</v>
      </c>
      <c r="AA16" s="30">
        <v>2.5</v>
      </c>
      <c r="AB16" s="30">
        <v>2.5</v>
      </c>
      <c r="AC16" s="30">
        <v>2.5</v>
      </c>
      <c r="AD16" s="30">
        <v>2.5</v>
      </c>
      <c r="AE16" s="30">
        <v>2.5</v>
      </c>
      <c r="AF16" s="30">
        <v>2.5</v>
      </c>
      <c r="AG16" s="30">
        <v>2.5</v>
      </c>
      <c r="AH16" s="30">
        <v>2.5</v>
      </c>
    </row>
    <row r="17" spans="1:34" x14ac:dyDescent="0.25">
      <c r="A17" s="26" t="s">
        <v>177</v>
      </c>
      <c r="B17" s="28" t="s">
        <v>181</v>
      </c>
      <c r="C17" s="28" t="s">
        <v>181</v>
      </c>
      <c r="D17" s="28" t="s">
        <v>181</v>
      </c>
      <c r="E17" s="28" t="s">
        <v>181</v>
      </c>
      <c r="F17" s="28" t="s">
        <v>181</v>
      </c>
      <c r="G17" s="80" t="s">
        <v>341</v>
      </c>
      <c r="H17" s="28" t="s">
        <v>398</v>
      </c>
      <c r="I17" s="80" t="s">
        <v>341</v>
      </c>
      <c r="J17" s="28" t="s">
        <v>181</v>
      </c>
      <c r="K17" s="28" t="s">
        <v>181</v>
      </c>
      <c r="L17" s="28" t="s">
        <v>181</v>
      </c>
      <c r="M17" s="28" t="s">
        <v>181</v>
      </c>
      <c r="N17" s="28" t="s">
        <v>181</v>
      </c>
      <c r="O17" s="28" t="s">
        <v>181</v>
      </c>
      <c r="P17" s="28" t="s">
        <v>181</v>
      </c>
      <c r="Q17" s="28" t="s">
        <v>181</v>
      </c>
      <c r="R17" s="28" t="s">
        <v>181</v>
      </c>
      <c r="S17" s="28" t="s">
        <v>181</v>
      </c>
      <c r="T17" s="28" t="s">
        <v>181</v>
      </c>
      <c r="U17" s="28" t="s">
        <v>181</v>
      </c>
      <c r="V17" s="28" t="s">
        <v>181</v>
      </c>
      <c r="W17" s="28" t="s">
        <v>181</v>
      </c>
      <c r="X17" s="28" t="s">
        <v>181</v>
      </c>
      <c r="Y17" s="28" t="s">
        <v>181</v>
      </c>
      <c r="Z17" s="28" t="s">
        <v>181</v>
      </c>
      <c r="AA17" s="28" t="s">
        <v>181</v>
      </c>
      <c r="AB17" s="28" t="s">
        <v>181</v>
      </c>
      <c r="AC17" s="28" t="s">
        <v>181</v>
      </c>
      <c r="AD17" s="28" t="s">
        <v>181</v>
      </c>
      <c r="AE17" s="28" t="s">
        <v>181</v>
      </c>
      <c r="AF17" s="28" t="s">
        <v>181</v>
      </c>
      <c r="AG17" s="28" t="s">
        <v>181</v>
      </c>
      <c r="AH17" s="28" t="s">
        <v>181</v>
      </c>
    </row>
    <row r="18" spans="1:34" x14ac:dyDescent="0.25">
      <c r="A18" s="26" t="s">
        <v>182</v>
      </c>
      <c r="B18" s="30">
        <v>2</v>
      </c>
      <c r="C18" s="30">
        <v>2</v>
      </c>
      <c r="D18" s="30">
        <v>2</v>
      </c>
      <c r="E18" s="30">
        <v>2</v>
      </c>
      <c r="F18" s="30">
        <v>2</v>
      </c>
      <c r="G18" s="82">
        <v>0</v>
      </c>
      <c r="H18" s="30">
        <v>1</v>
      </c>
      <c r="I18" s="82">
        <v>0</v>
      </c>
      <c r="J18" s="30">
        <v>2</v>
      </c>
      <c r="K18" s="30">
        <v>2</v>
      </c>
      <c r="L18" s="30">
        <v>2</v>
      </c>
      <c r="M18" s="30">
        <v>2</v>
      </c>
      <c r="N18" s="30">
        <v>2</v>
      </c>
      <c r="O18" s="30">
        <v>2</v>
      </c>
      <c r="P18" s="30">
        <v>2</v>
      </c>
      <c r="Q18" s="30">
        <v>2</v>
      </c>
      <c r="R18" s="30">
        <v>2</v>
      </c>
      <c r="S18" s="30">
        <v>2</v>
      </c>
      <c r="T18" s="30">
        <v>2</v>
      </c>
      <c r="U18" s="30">
        <v>2</v>
      </c>
      <c r="V18" s="30">
        <v>2</v>
      </c>
      <c r="W18" s="30">
        <v>2</v>
      </c>
      <c r="X18" s="30">
        <v>2</v>
      </c>
      <c r="Y18" s="30">
        <v>2</v>
      </c>
      <c r="Z18" s="30">
        <v>2</v>
      </c>
      <c r="AA18" s="30">
        <v>2</v>
      </c>
      <c r="AB18" s="30">
        <v>2</v>
      </c>
      <c r="AC18" s="30">
        <v>2</v>
      </c>
      <c r="AD18" s="30">
        <v>2</v>
      </c>
      <c r="AE18" s="30">
        <v>2</v>
      </c>
      <c r="AF18" s="30">
        <v>2</v>
      </c>
      <c r="AG18" s="30">
        <v>2</v>
      </c>
      <c r="AH18" s="30">
        <v>2</v>
      </c>
    </row>
    <row r="20" spans="1:34" x14ac:dyDescent="0.25">
      <c r="A20" s="31" t="s">
        <v>183</v>
      </c>
    </row>
    <row r="21" spans="1:34" x14ac:dyDescent="0.25">
      <c r="A21" s="236" t="s">
        <v>399</v>
      </c>
      <c r="B21" s="56" t="s">
        <v>391</v>
      </c>
    </row>
    <row r="22" spans="1:34" x14ac:dyDescent="0.25">
      <c r="A22" s="236"/>
      <c r="B22" s="93" t="s">
        <v>343</v>
      </c>
    </row>
  </sheetData>
  <mergeCells count="6">
    <mergeCell ref="F3:O3"/>
    <mergeCell ref="F4:O5"/>
    <mergeCell ref="A21:A22"/>
    <mergeCell ref="B3:D3"/>
    <mergeCell ref="B4:D4"/>
    <mergeCell ref="B5:D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83884-4AB2-4DBF-B962-4928EC39AD3F}">
  <dimension ref="A1:AH21"/>
  <sheetViews>
    <sheetView workbookViewId="0">
      <selection activeCell="B7" sqref="B7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117</v>
      </c>
      <c r="I1" s="25" t="s">
        <v>118</v>
      </c>
    </row>
    <row r="3" spans="1:34" ht="18" x14ac:dyDescent="0.25">
      <c r="A3" s="25" t="s">
        <v>119</v>
      </c>
      <c r="B3" s="215">
        <v>19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400</v>
      </c>
      <c r="C4" s="215"/>
      <c r="D4" s="215"/>
      <c r="F4" s="216" t="s">
        <v>401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187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28" t="s">
        <v>402</v>
      </c>
      <c r="C8" s="28" t="s">
        <v>164</v>
      </c>
      <c r="D8" s="28" t="s">
        <v>164</v>
      </c>
      <c r="E8" s="28" t="s">
        <v>164</v>
      </c>
      <c r="F8" s="28" t="s">
        <v>164</v>
      </c>
      <c r="G8" s="28" t="s">
        <v>164</v>
      </c>
      <c r="H8" s="28" t="s">
        <v>164</v>
      </c>
      <c r="I8" s="28" t="s">
        <v>164</v>
      </c>
      <c r="J8" s="29" t="s">
        <v>164</v>
      </c>
      <c r="K8" s="28" t="s">
        <v>164</v>
      </c>
      <c r="L8" s="28" t="s">
        <v>164</v>
      </c>
      <c r="M8" s="28" t="s">
        <v>164</v>
      </c>
      <c r="N8" s="29" t="s">
        <v>164</v>
      </c>
      <c r="O8" s="29" t="s">
        <v>164</v>
      </c>
      <c r="P8" s="29" t="s">
        <v>164</v>
      </c>
      <c r="Q8" s="29" t="s">
        <v>164</v>
      </c>
      <c r="R8" s="29" t="s">
        <v>164</v>
      </c>
      <c r="S8" s="29" t="s">
        <v>164</v>
      </c>
      <c r="T8" s="29" t="s">
        <v>164</v>
      </c>
      <c r="U8" s="29" t="s">
        <v>164</v>
      </c>
      <c r="V8" s="29" t="s">
        <v>164</v>
      </c>
      <c r="W8" s="29"/>
      <c r="X8" s="29" t="s">
        <v>161</v>
      </c>
      <c r="Y8" s="29" t="s">
        <v>161</v>
      </c>
      <c r="Z8" s="29"/>
      <c r="AA8" s="29" t="s">
        <v>164</v>
      </c>
      <c r="AB8" s="29"/>
      <c r="AC8" s="29" t="s">
        <v>164</v>
      </c>
      <c r="AD8" s="29"/>
      <c r="AE8" s="29" t="s">
        <v>164</v>
      </c>
      <c r="AF8" s="29" t="s">
        <v>164</v>
      </c>
      <c r="AG8" s="29" t="s">
        <v>164</v>
      </c>
      <c r="AH8" s="29" t="s">
        <v>164</v>
      </c>
    </row>
    <row r="9" spans="1:34" x14ac:dyDescent="0.25">
      <c r="A9" s="26" t="s">
        <v>165</v>
      </c>
      <c r="B9" s="28" t="s">
        <v>403</v>
      </c>
      <c r="C9" s="28" t="s">
        <v>404</v>
      </c>
      <c r="D9" s="28" t="s">
        <v>164</v>
      </c>
      <c r="E9" s="28" t="s">
        <v>161</v>
      </c>
      <c r="F9" s="28" t="s">
        <v>161</v>
      </c>
      <c r="G9" s="28" t="s">
        <v>161</v>
      </c>
      <c r="H9" s="28" t="s">
        <v>161</v>
      </c>
      <c r="I9" s="28" t="s">
        <v>161</v>
      </c>
      <c r="J9" s="29"/>
      <c r="K9" s="28" t="s">
        <v>161</v>
      </c>
      <c r="L9" s="28" t="s">
        <v>164</v>
      </c>
      <c r="M9" s="28" t="s">
        <v>164</v>
      </c>
      <c r="N9" s="29" t="s">
        <v>167</v>
      </c>
      <c r="O9" s="29" t="s">
        <v>161</v>
      </c>
      <c r="P9" s="28" t="s">
        <v>164</v>
      </c>
      <c r="Q9" s="28" t="s">
        <v>164</v>
      </c>
      <c r="R9" s="28" t="s">
        <v>164</v>
      </c>
      <c r="S9" s="28" t="s">
        <v>164</v>
      </c>
      <c r="T9" s="28" t="s">
        <v>164</v>
      </c>
      <c r="U9" s="28" t="s">
        <v>164</v>
      </c>
      <c r="V9" s="28" t="s">
        <v>164</v>
      </c>
      <c r="W9" s="29"/>
      <c r="X9" s="28" t="s">
        <v>161</v>
      </c>
      <c r="Y9" s="28" t="s">
        <v>161</v>
      </c>
      <c r="Z9" s="29"/>
      <c r="AA9" s="28" t="s">
        <v>164</v>
      </c>
      <c r="AB9" s="29"/>
      <c r="AC9" s="28" t="s">
        <v>164</v>
      </c>
      <c r="AD9" s="29"/>
      <c r="AE9" s="28" t="s">
        <v>164</v>
      </c>
      <c r="AF9" s="28" t="s">
        <v>164</v>
      </c>
      <c r="AG9" s="28" t="s">
        <v>164</v>
      </c>
      <c r="AH9" s="28" t="s">
        <v>164</v>
      </c>
    </row>
    <row r="10" spans="1:34" x14ac:dyDescent="0.25">
      <c r="A10" s="131" t="s">
        <v>168</v>
      </c>
      <c r="B10" s="157">
        <v>97</v>
      </c>
      <c r="C10" s="157">
        <v>261</v>
      </c>
      <c r="D10" s="157">
        <v>43</v>
      </c>
      <c r="E10" s="157">
        <v>2</v>
      </c>
      <c r="F10" s="157">
        <v>2</v>
      </c>
      <c r="G10" s="157">
        <v>2</v>
      </c>
      <c r="H10" s="157">
        <v>2</v>
      </c>
      <c r="I10" s="157">
        <v>2</v>
      </c>
      <c r="J10" s="157"/>
      <c r="K10" s="157">
        <v>2</v>
      </c>
      <c r="L10" s="157">
        <v>43</v>
      </c>
      <c r="M10" s="157">
        <v>43</v>
      </c>
      <c r="N10" s="157">
        <v>117</v>
      </c>
      <c r="O10" s="157">
        <v>2</v>
      </c>
      <c r="P10" s="157">
        <v>43</v>
      </c>
      <c r="Q10" s="157">
        <v>43</v>
      </c>
      <c r="R10" s="157">
        <v>43</v>
      </c>
      <c r="S10" s="157">
        <v>43</v>
      </c>
      <c r="T10" s="157">
        <v>43</v>
      </c>
      <c r="U10" s="157">
        <v>43</v>
      </c>
      <c r="V10" s="157">
        <v>43</v>
      </c>
      <c r="W10" s="157"/>
      <c r="X10" s="157">
        <v>2</v>
      </c>
      <c r="Y10" s="157">
        <v>2</v>
      </c>
      <c r="Z10" s="157"/>
      <c r="AA10" s="157">
        <v>43</v>
      </c>
      <c r="AB10" s="157"/>
      <c r="AC10" s="157">
        <v>43</v>
      </c>
      <c r="AD10" s="157"/>
      <c r="AE10" s="157">
        <v>43</v>
      </c>
      <c r="AF10" s="157">
        <v>43</v>
      </c>
      <c r="AG10" s="157">
        <v>43</v>
      </c>
      <c r="AH10" s="157">
        <v>43</v>
      </c>
    </row>
    <row r="11" spans="1:34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/>
      <c r="K11" s="28" t="s">
        <v>170</v>
      </c>
      <c r="L11" s="28" t="s">
        <v>170</v>
      </c>
      <c r="M11" s="28" t="s">
        <v>170</v>
      </c>
      <c r="N11" s="28" t="s">
        <v>170</v>
      </c>
      <c r="O11" s="28" t="s">
        <v>170</v>
      </c>
      <c r="P11" s="29" t="s">
        <v>170</v>
      </c>
      <c r="Q11" s="29" t="s">
        <v>170</v>
      </c>
      <c r="R11" s="29" t="s">
        <v>170</v>
      </c>
      <c r="S11" s="29" t="s">
        <v>170</v>
      </c>
      <c r="T11" s="29" t="s">
        <v>170</v>
      </c>
      <c r="U11" s="29" t="s">
        <v>170</v>
      </c>
      <c r="V11" s="29" t="s">
        <v>170</v>
      </c>
      <c r="W11" s="28"/>
      <c r="X11" s="28" t="s">
        <v>170</v>
      </c>
      <c r="Y11" s="28" t="s">
        <v>170</v>
      </c>
      <c r="Z11" s="28"/>
      <c r="AA11" s="29" t="s">
        <v>170</v>
      </c>
      <c r="AB11" s="28"/>
      <c r="AC11" s="29" t="s">
        <v>170</v>
      </c>
      <c r="AD11" s="28"/>
      <c r="AE11" s="29" t="s">
        <v>170</v>
      </c>
      <c r="AF11" s="29" t="s">
        <v>170</v>
      </c>
      <c r="AG11" s="29" t="s">
        <v>170</v>
      </c>
      <c r="AH11" s="29" t="s">
        <v>170</v>
      </c>
    </row>
    <row r="12" spans="1:34" x14ac:dyDescent="0.25">
      <c r="A12" s="26" t="s">
        <v>171</v>
      </c>
      <c r="B12" s="28" t="s">
        <v>170</v>
      </c>
      <c r="C12" s="28" t="s">
        <v>170</v>
      </c>
      <c r="D12" s="28" t="s">
        <v>170</v>
      </c>
      <c r="E12" s="28" t="s">
        <v>170</v>
      </c>
      <c r="F12" s="28" t="s">
        <v>170</v>
      </c>
      <c r="G12" s="28" t="s">
        <v>170</v>
      </c>
      <c r="H12" s="28" t="s">
        <v>170</v>
      </c>
      <c r="I12" s="28" t="s">
        <v>170</v>
      </c>
      <c r="J12" s="28"/>
      <c r="K12" s="28" t="s">
        <v>170</v>
      </c>
      <c r="L12" s="28" t="s">
        <v>170</v>
      </c>
      <c r="M12" s="28" t="s">
        <v>170</v>
      </c>
      <c r="N12" s="28" t="s">
        <v>170</v>
      </c>
      <c r="O12" s="28" t="s">
        <v>170</v>
      </c>
      <c r="P12" s="28" t="s">
        <v>170</v>
      </c>
      <c r="Q12" s="28" t="s">
        <v>170</v>
      </c>
      <c r="R12" s="28" t="s">
        <v>170</v>
      </c>
      <c r="S12" s="28" t="s">
        <v>170</v>
      </c>
      <c r="T12" s="28" t="s">
        <v>170</v>
      </c>
      <c r="U12" s="28" t="s">
        <v>170</v>
      </c>
      <c r="V12" s="28" t="s">
        <v>170</v>
      </c>
      <c r="W12" s="28"/>
      <c r="X12" s="28" t="s">
        <v>170</v>
      </c>
      <c r="Y12" s="28" t="s">
        <v>170</v>
      </c>
      <c r="Z12" s="28"/>
      <c r="AA12" s="28" t="s">
        <v>170</v>
      </c>
      <c r="AB12" s="28"/>
      <c r="AC12" s="28" t="s">
        <v>170</v>
      </c>
      <c r="AD12" s="28"/>
      <c r="AE12" s="28" t="s">
        <v>170</v>
      </c>
      <c r="AF12" s="28" t="s">
        <v>170</v>
      </c>
      <c r="AG12" s="28" t="s">
        <v>170</v>
      </c>
      <c r="AH12" s="28" t="s">
        <v>170</v>
      </c>
    </row>
    <row r="13" spans="1:34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/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 t="s">
        <v>173</v>
      </c>
      <c r="S13" s="28" t="s">
        <v>173</v>
      </c>
      <c r="T13" s="28" t="s">
        <v>173</v>
      </c>
      <c r="U13" s="28" t="s">
        <v>173</v>
      </c>
      <c r="V13" s="28" t="s">
        <v>173</v>
      </c>
      <c r="W13" s="28"/>
      <c r="X13" s="28" t="s">
        <v>173</v>
      </c>
      <c r="Y13" s="28" t="s">
        <v>173</v>
      </c>
      <c r="Z13" s="28"/>
      <c r="AA13" s="28" t="s">
        <v>173</v>
      </c>
      <c r="AB13" s="28"/>
      <c r="AC13" s="28" t="s">
        <v>173</v>
      </c>
      <c r="AD13" s="28"/>
      <c r="AE13" s="28" t="s">
        <v>173</v>
      </c>
      <c r="AF13" s="28" t="s">
        <v>173</v>
      </c>
      <c r="AG13" s="28" t="s">
        <v>173</v>
      </c>
      <c r="AH13" s="28" t="s">
        <v>173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/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 t="s">
        <v>173</v>
      </c>
      <c r="V14" s="28" t="s">
        <v>173</v>
      </c>
      <c r="W14" s="28"/>
      <c r="X14" s="28" t="s">
        <v>173</v>
      </c>
      <c r="Y14" s="28" t="s">
        <v>173</v>
      </c>
      <c r="Z14" s="28"/>
      <c r="AA14" s="28" t="s">
        <v>173</v>
      </c>
      <c r="AB14" s="28"/>
      <c r="AC14" s="28" t="s">
        <v>173</v>
      </c>
      <c r="AD14" s="28"/>
      <c r="AE14" s="28" t="s">
        <v>173</v>
      </c>
      <c r="AF14" s="28" t="s">
        <v>173</v>
      </c>
      <c r="AG14" s="28" t="s">
        <v>173</v>
      </c>
      <c r="AH14" s="28" t="s">
        <v>173</v>
      </c>
    </row>
    <row r="15" spans="1:34" x14ac:dyDescent="0.25">
      <c r="A15" s="26" t="s">
        <v>175</v>
      </c>
      <c r="B15" s="28" t="s">
        <v>405</v>
      </c>
      <c r="C15" s="28" t="s">
        <v>160</v>
      </c>
      <c r="D15" s="28" t="s">
        <v>160</v>
      </c>
      <c r="E15" s="28" t="s">
        <v>160</v>
      </c>
      <c r="F15" s="28" t="s">
        <v>160</v>
      </c>
      <c r="G15" s="28" t="s">
        <v>160</v>
      </c>
      <c r="H15" s="28" t="s">
        <v>160</v>
      </c>
      <c r="I15" s="28" t="s">
        <v>160</v>
      </c>
      <c r="J15" s="28"/>
      <c r="K15" s="28" t="s">
        <v>160</v>
      </c>
      <c r="L15" s="28" t="s">
        <v>160</v>
      </c>
      <c r="M15" s="28" t="s">
        <v>160</v>
      </c>
      <c r="N15" s="28" t="s">
        <v>160</v>
      </c>
      <c r="O15" s="28" t="s">
        <v>160</v>
      </c>
      <c r="P15" s="28" t="s">
        <v>160</v>
      </c>
      <c r="Q15" s="28" t="s">
        <v>160</v>
      </c>
      <c r="R15" s="28" t="s">
        <v>160</v>
      </c>
      <c r="S15" s="28" t="s">
        <v>160</v>
      </c>
      <c r="T15" s="28" t="s">
        <v>160</v>
      </c>
      <c r="U15" s="28" t="s">
        <v>160</v>
      </c>
      <c r="V15" s="28" t="s">
        <v>160</v>
      </c>
      <c r="W15" s="28"/>
      <c r="X15" s="28" t="s">
        <v>160</v>
      </c>
      <c r="Y15" s="28" t="s">
        <v>160</v>
      </c>
      <c r="Z15" s="28"/>
      <c r="AA15" s="28" t="s">
        <v>160</v>
      </c>
      <c r="AB15" s="28"/>
      <c r="AC15" s="28" t="s">
        <v>160</v>
      </c>
      <c r="AD15" s="28"/>
      <c r="AE15" s="28" t="s">
        <v>160</v>
      </c>
      <c r="AF15" s="28" t="s">
        <v>160</v>
      </c>
      <c r="AG15" s="28" t="s">
        <v>160</v>
      </c>
      <c r="AH15" s="28" t="s">
        <v>160</v>
      </c>
    </row>
    <row r="16" spans="1:34" x14ac:dyDescent="0.25">
      <c r="A16" s="26" t="s">
        <v>176</v>
      </c>
      <c r="B16" s="30">
        <v>0</v>
      </c>
      <c r="C16" s="30">
        <f>AVERAGE(2.5,2.5,2.5,3)</f>
        <v>2.625</v>
      </c>
      <c r="D16" s="30">
        <v>2.5</v>
      </c>
      <c r="E16" s="30">
        <v>3</v>
      </c>
      <c r="F16" s="30">
        <v>3</v>
      </c>
      <c r="G16" s="30">
        <v>3</v>
      </c>
      <c r="H16" s="30">
        <v>3</v>
      </c>
      <c r="I16" s="30">
        <v>3</v>
      </c>
      <c r="J16" s="30"/>
      <c r="K16" s="30">
        <v>3</v>
      </c>
      <c r="L16" s="30">
        <v>2.5</v>
      </c>
      <c r="M16" s="30">
        <v>2.5</v>
      </c>
      <c r="N16" s="30">
        <f>AVERAGE(3,2.5)</f>
        <v>2.75</v>
      </c>
      <c r="O16" s="30">
        <v>3</v>
      </c>
      <c r="P16" s="30">
        <v>2.5</v>
      </c>
      <c r="Q16" s="30">
        <v>2.5</v>
      </c>
      <c r="R16" s="30">
        <v>2.5</v>
      </c>
      <c r="S16" s="30">
        <v>2.5</v>
      </c>
      <c r="T16" s="30">
        <v>2.5</v>
      </c>
      <c r="U16" s="30">
        <v>2.5</v>
      </c>
      <c r="V16" s="30">
        <v>2.5</v>
      </c>
      <c r="W16" s="30"/>
      <c r="X16" s="30">
        <v>3</v>
      </c>
      <c r="Y16" s="30">
        <v>3</v>
      </c>
      <c r="Z16" s="30"/>
      <c r="AA16" s="30">
        <v>2.5</v>
      </c>
      <c r="AB16" s="30"/>
      <c r="AC16" s="30">
        <v>2.5</v>
      </c>
      <c r="AD16" s="30"/>
      <c r="AE16" s="30">
        <v>2.5</v>
      </c>
      <c r="AF16" s="30">
        <v>2.5</v>
      </c>
      <c r="AG16" s="30">
        <v>2.5</v>
      </c>
      <c r="AH16" s="30">
        <v>2.5</v>
      </c>
    </row>
    <row r="17" spans="1:34" x14ac:dyDescent="0.25">
      <c r="A17" s="26" t="s">
        <v>177</v>
      </c>
      <c r="B17" s="28" t="s">
        <v>334</v>
      </c>
      <c r="C17" s="28" t="s">
        <v>181</v>
      </c>
      <c r="D17" s="28" t="s">
        <v>181</v>
      </c>
      <c r="E17" s="28" t="s">
        <v>178</v>
      </c>
      <c r="F17" s="28" t="s">
        <v>178</v>
      </c>
      <c r="G17" s="28" t="s">
        <v>178</v>
      </c>
      <c r="H17" s="28" t="s">
        <v>178</v>
      </c>
      <c r="I17" s="28" t="s">
        <v>178</v>
      </c>
      <c r="J17" s="28"/>
      <c r="K17" s="28" t="s">
        <v>178</v>
      </c>
      <c r="L17" s="28" t="s">
        <v>181</v>
      </c>
      <c r="M17" s="28" t="s">
        <v>181</v>
      </c>
      <c r="N17" s="28" t="s">
        <v>180</v>
      </c>
      <c r="O17" s="28" t="s">
        <v>178</v>
      </c>
      <c r="P17" s="28" t="s">
        <v>181</v>
      </c>
      <c r="Q17" s="28" t="s">
        <v>181</v>
      </c>
      <c r="R17" s="28" t="s">
        <v>181</v>
      </c>
      <c r="S17" s="28" t="s">
        <v>181</v>
      </c>
      <c r="T17" s="28" t="s">
        <v>181</v>
      </c>
      <c r="U17" s="28" t="s">
        <v>181</v>
      </c>
      <c r="V17" s="28" t="s">
        <v>181</v>
      </c>
      <c r="W17" s="28"/>
      <c r="X17" s="28" t="s">
        <v>178</v>
      </c>
      <c r="Y17" s="28" t="s">
        <v>178</v>
      </c>
      <c r="Z17" s="28"/>
      <c r="AA17" s="28" t="s">
        <v>181</v>
      </c>
      <c r="AB17" s="28"/>
      <c r="AC17" s="28" t="s">
        <v>181</v>
      </c>
      <c r="AD17" s="28"/>
      <c r="AE17" s="28" t="s">
        <v>181</v>
      </c>
      <c r="AF17" s="28" t="s">
        <v>181</v>
      </c>
      <c r="AG17" s="28" t="s">
        <v>181</v>
      </c>
      <c r="AH17" s="28" t="s">
        <v>181</v>
      </c>
    </row>
    <row r="18" spans="1:34" x14ac:dyDescent="0.25">
      <c r="A18" s="26" t="s">
        <v>182</v>
      </c>
      <c r="B18" s="30">
        <f>1/3</f>
        <v>0.33333333333333331</v>
      </c>
      <c r="C18" s="30">
        <f>AVERAGE(2,2,2,4)</f>
        <v>2.5</v>
      </c>
      <c r="D18" s="30">
        <v>2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/>
      <c r="K18" s="30">
        <v>4</v>
      </c>
      <c r="L18" s="30">
        <v>2</v>
      </c>
      <c r="M18" s="30">
        <v>2</v>
      </c>
      <c r="N18" s="30">
        <f>AVERAGE(4,2)</f>
        <v>3</v>
      </c>
      <c r="O18" s="30">
        <v>4</v>
      </c>
      <c r="P18" s="30">
        <v>2</v>
      </c>
      <c r="Q18" s="30">
        <v>2</v>
      </c>
      <c r="R18" s="30">
        <v>2</v>
      </c>
      <c r="S18" s="30">
        <v>2</v>
      </c>
      <c r="T18" s="30">
        <v>2</v>
      </c>
      <c r="U18" s="30">
        <v>2</v>
      </c>
      <c r="V18" s="30">
        <v>2</v>
      </c>
      <c r="W18" s="30"/>
      <c r="X18" s="30">
        <v>4</v>
      </c>
      <c r="Y18" s="30">
        <v>4</v>
      </c>
      <c r="Z18" s="30"/>
      <c r="AA18" s="30">
        <v>2</v>
      </c>
      <c r="AB18" s="30"/>
      <c r="AC18" s="30">
        <v>2</v>
      </c>
      <c r="AD18" s="30"/>
      <c r="AE18" s="30">
        <v>2</v>
      </c>
      <c r="AF18" s="30">
        <v>2</v>
      </c>
      <c r="AG18" s="30">
        <v>2</v>
      </c>
      <c r="AH18" s="30">
        <v>2</v>
      </c>
    </row>
    <row r="20" spans="1:34" x14ac:dyDescent="0.25">
      <c r="A20" s="31" t="s">
        <v>183</v>
      </c>
    </row>
    <row r="21" spans="1:34" x14ac:dyDescent="0.25">
      <c r="A21" s="26" t="s">
        <v>406</v>
      </c>
      <c r="B21" s="56" t="s">
        <v>407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0EED6-231D-4630-9F29-0FA3DE8F8E92}">
  <dimension ref="A1:AH23"/>
  <sheetViews>
    <sheetView workbookViewId="0">
      <selection activeCell="B7" sqref="B7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117</v>
      </c>
      <c r="I1" s="25" t="s">
        <v>118</v>
      </c>
    </row>
    <row r="3" spans="1:34" ht="18" x14ac:dyDescent="0.25">
      <c r="A3" s="25" t="s">
        <v>119</v>
      </c>
      <c r="B3" s="215">
        <v>20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400</v>
      </c>
      <c r="C4" s="215"/>
      <c r="D4" s="215"/>
      <c r="F4" s="216" t="s">
        <v>408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125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28" t="s">
        <v>402</v>
      </c>
      <c r="C8" s="28" t="s">
        <v>164</v>
      </c>
      <c r="D8" s="28" t="s">
        <v>164</v>
      </c>
      <c r="E8" s="28" t="s">
        <v>164</v>
      </c>
      <c r="F8" s="28" t="s">
        <v>164</v>
      </c>
      <c r="G8" s="28" t="s">
        <v>164</v>
      </c>
      <c r="H8" s="28" t="s">
        <v>164</v>
      </c>
      <c r="I8" s="28" t="s">
        <v>164</v>
      </c>
      <c r="J8" s="29" t="s">
        <v>164</v>
      </c>
      <c r="K8" s="28" t="s">
        <v>164</v>
      </c>
      <c r="L8" s="28" t="s">
        <v>164</v>
      </c>
      <c r="M8" s="28" t="s">
        <v>164</v>
      </c>
      <c r="N8" s="29" t="s">
        <v>164</v>
      </c>
      <c r="O8" s="29" t="s">
        <v>164</v>
      </c>
      <c r="P8" s="29" t="s">
        <v>164</v>
      </c>
      <c r="Q8" s="29" t="s">
        <v>164</v>
      </c>
      <c r="R8" s="29" t="s">
        <v>164</v>
      </c>
      <c r="S8" s="29" t="s">
        <v>164</v>
      </c>
      <c r="T8" s="29" t="s">
        <v>164</v>
      </c>
      <c r="U8" s="29" t="s">
        <v>164</v>
      </c>
      <c r="V8" s="29" t="s">
        <v>164</v>
      </c>
      <c r="W8" s="29"/>
      <c r="X8" s="29" t="s">
        <v>161</v>
      </c>
      <c r="Y8" s="29" t="s">
        <v>161</v>
      </c>
      <c r="Z8" s="29"/>
      <c r="AA8" s="29" t="s">
        <v>164</v>
      </c>
      <c r="AB8" s="29"/>
      <c r="AC8" s="29" t="s">
        <v>164</v>
      </c>
      <c r="AD8" s="29"/>
      <c r="AE8" s="29" t="s">
        <v>164</v>
      </c>
      <c r="AF8" s="29" t="s">
        <v>164</v>
      </c>
      <c r="AG8" s="29" t="s">
        <v>164</v>
      </c>
      <c r="AH8" s="29" t="s">
        <v>164</v>
      </c>
    </row>
    <row r="9" spans="1:34" x14ac:dyDescent="0.25">
      <c r="A9" s="26" t="s">
        <v>165</v>
      </c>
      <c r="B9" s="28" t="s">
        <v>403</v>
      </c>
      <c r="C9" s="28" t="s">
        <v>404</v>
      </c>
      <c r="D9" s="28" t="s">
        <v>164</v>
      </c>
      <c r="E9" s="28" t="s">
        <v>161</v>
      </c>
      <c r="F9" s="28" t="s">
        <v>161</v>
      </c>
      <c r="G9" s="28" t="s">
        <v>161</v>
      </c>
      <c r="H9" s="28" t="s">
        <v>161</v>
      </c>
      <c r="I9" s="28" t="s">
        <v>161</v>
      </c>
      <c r="J9" s="29"/>
      <c r="K9" s="28" t="s">
        <v>161</v>
      </c>
      <c r="L9" s="28" t="s">
        <v>164</v>
      </c>
      <c r="M9" s="28" t="s">
        <v>164</v>
      </c>
      <c r="N9" s="29" t="s">
        <v>167</v>
      </c>
      <c r="O9" s="29" t="s">
        <v>161</v>
      </c>
      <c r="P9" s="28" t="s">
        <v>164</v>
      </c>
      <c r="Q9" s="28" t="s">
        <v>164</v>
      </c>
      <c r="R9" s="28" t="s">
        <v>164</v>
      </c>
      <c r="S9" s="28" t="s">
        <v>164</v>
      </c>
      <c r="T9" s="28" t="s">
        <v>164</v>
      </c>
      <c r="U9" s="28" t="s">
        <v>164</v>
      </c>
      <c r="V9" s="28" t="s">
        <v>164</v>
      </c>
      <c r="W9" s="29"/>
      <c r="X9" s="28" t="s">
        <v>161</v>
      </c>
      <c r="Y9" s="28" t="s">
        <v>161</v>
      </c>
      <c r="Z9" s="29"/>
      <c r="AA9" s="28" t="s">
        <v>164</v>
      </c>
      <c r="AB9" s="29"/>
      <c r="AC9" s="28" t="s">
        <v>164</v>
      </c>
      <c r="AD9" s="29"/>
      <c r="AE9" s="28" t="s">
        <v>164</v>
      </c>
      <c r="AF9" s="28" t="s">
        <v>164</v>
      </c>
      <c r="AG9" s="28" t="s">
        <v>164</v>
      </c>
      <c r="AH9" s="28" t="s">
        <v>164</v>
      </c>
    </row>
    <row r="10" spans="1:34" x14ac:dyDescent="0.25">
      <c r="A10" s="131" t="s">
        <v>168</v>
      </c>
      <c r="B10" s="157">
        <v>97</v>
      </c>
      <c r="C10" s="157">
        <v>261</v>
      </c>
      <c r="D10" s="157">
        <v>43</v>
      </c>
      <c r="E10" s="157">
        <v>2</v>
      </c>
      <c r="F10" s="157">
        <v>2</v>
      </c>
      <c r="G10" s="157">
        <v>2</v>
      </c>
      <c r="H10" s="157">
        <v>2</v>
      </c>
      <c r="I10" s="157">
        <v>2</v>
      </c>
      <c r="J10" s="157"/>
      <c r="K10" s="157">
        <v>2</v>
      </c>
      <c r="L10" s="157">
        <v>43</v>
      </c>
      <c r="M10" s="157">
        <v>43</v>
      </c>
      <c r="N10" s="157">
        <v>117</v>
      </c>
      <c r="O10" s="157">
        <v>2</v>
      </c>
      <c r="P10" s="157">
        <v>43</v>
      </c>
      <c r="Q10" s="157">
        <v>43</v>
      </c>
      <c r="R10" s="157">
        <v>43</v>
      </c>
      <c r="S10" s="157">
        <v>43</v>
      </c>
      <c r="T10" s="157">
        <v>43</v>
      </c>
      <c r="U10" s="157">
        <v>43</v>
      </c>
      <c r="V10" s="157">
        <v>43</v>
      </c>
      <c r="W10" s="157"/>
      <c r="X10" s="157">
        <v>2</v>
      </c>
      <c r="Y10" s="157">
        <v>2</v>
      </c>
      <c r="Z10" s="157"/>
      <c r="AA10" s="157">
        <v>43</v>
      </c>
      <c r="AB10" s="157"/>
      <c r="AC10" s="157">
        <v>43</v>
      </c>
      <c r="AD10" s="157"/>
      <c r="AE10" s="157">
        <v>43</v>
      </c>
      <c r="AF10" s="157">
        <v>43</v>
      </c>
      <c r="AG10" s="157">
        <v>43</v>
      </c>
      <c r="AH10" s="157">
        <v>43</v>
      </c>
    </row>
    <row r="11" spans="1:34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/>
      <c r="K11" s="28" t="s">
        <v>170</v>
      </c>
      <c r="L11" s="28" t="s">
        <v>170</v>
      </c>
      <c r="M11" s="28" t="s">
        <v>170</v>
      </c>
      <c r="N11" s="28" t="s">
        <v>170</v>
      </c>
      <c r="O11" s="28" t="s">
        <v>170</v>
      </c>
      <c r="P11" s="29" t="s">
        <v>170</v>
      </c>
      <c r="Q11" s="29" t="s">
        <v>170</v>
      </c>
      <c r="R11" s="29" t="s">
        <v>170</v>
      </c>
      <c r="S11" s="29" t="s">
        <v>170</v>
      </c>
      <c r="T11" s="29" t="s">
        <v>170</v>
      </c>
      <c r="U11" s="29" t="s">
        <v>170</v>
      </c>
      <c r="V11" s="29" t="s">
        <v>170</v>
      </c>
      <c r="W11" s="28"/>
      <c r="X11" s="28" t="s">
        <v>170</v>
      </c>
      <c r="Y11" s="28" t="s">
        <v>170</v>
      </c>
      <c r="Z11" s="28"/>
      <c r="AA11" s="29" t="s">
        <v>170</v>
      </c>
      <c r="AB11" s="28"/>
      <c r="AC11" s="29" t="s">
        <v>170</v>
      </c>
      <c r="AD11" s="28"/>
      <c r="AE11" s="29" t="s">
        <v>170</v>
      </c>
      <c r="AF11" s="29" t="s">
        <v>170</v>
      </c>
      <c r="AG11" s="29" t="s">
        <v>170</v>
      </c>
      <c r="AH11" s="29" t="s">
        <v>170</v>
      </c>
    </row>
    <row r="12" spans="1:34" x14ac:dyDescent="0.25">
      <c r="A12" s="26" t="s">
        <v>171</v>
      </c>
      <c r="B12" s="28" t="s">
        <v>170</v>
      </c>
      <c r="C12" s="28" t="s">
        <v>170</v>
      </c>
      <c r="D12" s="28" t="s">
        <v>170</v>
      </c>
      <c r="E12" s="28" t="s">
        <v>170</v>
      </c>
      <c r="F12" s="28" t="s">
        <v>170</v>
      </c>
      <c r="G12" s="28" t="s">
        <v>170</v>
      </c>
      <c r="H12" s="28" t="s">
        <v>170</v>
      </c>
      <c r="I12" s="28" t="s">
        <v>170</v>
      </c>
      <c r="J12" s="28"/>
      <c r="K12" s="28" t="s">
        <v>170</v>
      </c>
      <c r="L12" s="28" t="s">
        <v>170</v>
      </c>
      <c r="M12" s="28" t="s">
        <v>170</v>
      </c>
      <c r="N12" s="28" t="s">
        <v>170</v>
      </c>
      <c r="O12" s="28" t="s">
        <v>170</v>
      </c>
      <c r="P12" s="28" t="s">
        <v>170</v>
      </c>
      <c r="Q12" s="28" t="s">
        <v>170</v>
      </c>
      <c r="R12" s="28" t="s">
        <v>170</v>
      </c>
      <c r="S12" s="28" t="s">
        <v>170</v>
      </c>
      <c r="T12" s="28" t="s">
        <v>170</v>
      </c>
      <c r="U12" s="28" t="s">
        <v>170</v>
      </c>
      <c r="V12" s="28" t="s">
        <v>170</v>
      </c>
      <c r="W12" s="28"/>
      <c r="X12" s="28" t="s">
        <v>170</v>
      </c>
      <c r="Y12" s="28" t="s">
        <v>170</v>
      </c>
      <c r="Z12" s="28"/>
      <c r="AA12" s="28" t="s">
        <v>170</v>
      </c>
      <c r="AB12" s="28"/>
      <c r="AC12" s="28" t="s">
        <v>170</v>
      </c>
      <c r="AD12" s="28"/>
      <c r="AE12" s="28" t="s">
        <v>170</v>
      </c>
      <c r="AF12" s="28" t="s">
        <v>170</v>
      </c>
      <c r="AG12" s="28" t="s">
        <v>170</v>
      </c>
      <c r="AH12" s="28" t="s">
        <v>170</v>
      </c>
    </row>
    <row r="13" spans="1:34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/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 t="s">
        <v>173</v>
      </c>
      <c r="S13" s="28" t="s">
        <v>173</v>
      </c>
      <c r="T13" s="28" t="s">
        <v>173</v>
      </c>
      <c r="U13" s="28" t="s">
        <v>173</v>
      </c>
      <c r="V13" s="28" t="s">
        <v>173</v>
      </c>
      <c r="W13" s="28"/>
      <c r="X13" s="28" t="s">
        <v>173</v>
      </c>
      <c r="Y13" s="28" t="s">
        <v>173</v>
      </c>
      <c r="Z13" s="28"/>
      <c r="AA13" s="28" t="s">
        <v>173</v>
      </c>
      <c r="AB13" s="28"/>
      <c r="AC13" s="28" t="s">
        <v>173</v>
      </c>
      <c r="AD13" s="28"/>
      <c r="AE13" s="28" t="s">
        <v>173</v>
      </c>
      <c r="AF13" s="28" t="s">
        <v>173</v>
      </c>
      <c r="AG13" s="28" t="s">
        <v>173</v>
      </c>
      <c r="AH13" s="28" t="s">
        <v>173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/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 t="s">
        <v>173</v>
      </c>
      <c r="V14" s="28" t="s">
        <v>173</v>
      </c>
      <c r="W14" s="28"/>
      <c r="X14" s="28" t="s">
        <v>173</v>
      </c>
      <c r="Y14" s="28" t="s">
        <v>173</v>
      </c>
      <c r="Z14" s="28"/>
      <c r="AA14" s="28" t="s">
        <v>173</v>
      </c>
      <c r="AB14" s="28"/>
      <c r="AC14" s="28" t="s">
        <v>173</v>
      </c>
      <c r="AD14" s="28"/>
      <c r="AE14" s="28" t="s">
        <v>173</v>
      </c>
      <c r="AF14" s="28" t="s">
        <v>173</v>
      </c>
      <c r="AG14" s="28" t="s">
        <v>173</v>
      </c>
      <c r="AH14" s="28" t="s">
        <v>173</v>
      </c>
    </row>
    <row r="15" spans="1:34" x14ac:dyDescent="0.25">
      <c r="A15" s="26" t="s">
        <v>175</v>
      </c>
      <c r="B15" s="28" t="s">
        <v>405</v>
      </c>
      <c r="C15" s="28" t="s">
        <v>160</v>
      </c>
      <c r="D15" s="28" t="s">
        <v>160</v>
      </c>
      <c r="E15" s="28" t="s">
        <v>160</v>
      </c>
      <c r="F15" s="28" t="s">
        <v>160</v>
      </c>
      <c r="G15" s="28" t="s">
        <v>160</v>
      </c>
      <c r="H15" s="28" t="s">
        <v>160</v>
      </c>
      <c r="I15" s="28" t="s">
        <v>160</v>
      </c>
      <c r="J15" s="28"/>
      <c r="K15" s="28" t="s">
        <v>160</v>
      </c>
      <c r="L15" s="28" t="s">
        <v>160</v>
      </c>
      <c r="M15" s="28" t="s">
        <v>160</v>
      </c>
      <c r="N15" s="28" t="s">
        <v>160</v>
      </c>
      <c r="O15" s="28" t="s">
        <v>160</v>
      </c>
      <c r="P15" s="28" t="s">
        <v>160</v>
      </c>
      <c r="Q15" s="28" t="s">
        <v>160</v>
      </c>
      <c r="R15" s="28" t="s">
        <v>160</v>
      </c>
      <c r="S15" s="28" t="s">
        <v>160</v>
      </c>
      <c r="T15" s="28" t="s">
        <v>160</v>
      </c>
      <c r="U15" s="28" t="s">
        <v>160</v>
      </c>
      <c r="V15" s="28" t="s">
        <v>160</v>
      </c>
      <c r="W15" s="28"/>
      <c r="X15" s="28" t="s">
        <v>160</v>
      </c>
      <c r="Y15" s="28" t="s">
        <v>160</v>
      </c>
      <c r="Z15" s="28"/>
      <c r="AA15" s="28" t="s">
        <v>160</v>
      </c>
      <c r="AB15" s="28"/>
      <c r="AC15" s="28" t="s">
        <v>160</v>
      </c>
      <c r="AD15" s="28"/>
      <c r="AE15" s="28" t="s">
        <v>160</v>
      </c>
      <c r="AF15" s="28" t="s">
        <v>160</v>
      </c>
      <c r="AG15" s="28" t="s">
        <v>160</v>
      </c>
      <c r="AH15" s="28" t="s">
        <v>160</v>
      </c>
    </row>
    <row r="16" spans="1:34" x14ac:dyDescent="0.25">
      <c r="A16" s="26" t="s">
        <v>176</v>
      </c>
      <c r="B16" s="30">
        <v>0</v>
      </c>
      <c r="C16" s="30">
        <f>AVERAGE(2.5,2.5,2.5,3)</f>
        <v>2.625</v>
      </c>
      <c r="D16" s="30">
        <v>2.5</v>
      </c>
      <c r="E16" s="30">
        <v>3</v>
      </c>
      <c r="F16" s="30">
        <v>3</v>
      </c>
      <c r="G16" s="30">
        <v>3</v>
      </c>
      <c r="H16" s="30">
        <v>3</v>
      </c>
      <c r="I16" s="30">
        <v>3</v>
      </c>
      <c r="J16" s="30"/>
      <c r="K16" s="30">
        <v>3</v>
      </c>
      <c r="L16" s="30">
        <v>2.5</v>
      </c>
      <c r="M16" s="30">
        <v>2.5</v>
      </c>
      <c r="N16" s="30">
        <f>AVERAGE(3,2.5)</f>
        <v>2.75</v>
      </c>
      <c r="O16" s="30">
        <v>3</v>
      </c>
      <c r="P16" s="30">
        <v>2.5</v>
      </c>
      <c r="Q16" s="30">
        <v>2.5</v>
      </c>
      <c r="R16" s="30">
        <v>2.5</v>
      </c>
      <c r="S16" s="30">
        <v>2.5</v>
      </c>
      <c r="T16" s="30">
        <v>2.5</v>
      </c>
      <c r="U16" s="30">
        <v>2.5</v>
      </c>
      <c r="V16" s="30">
        <v>2.5</v>
      </c>
      <c r="W16" s="30"/>
      <c r="X16" s="30">
        <v>3</v>
      </c>
      <c r="Y16" s="30">
        <v>3</v>
      </c>
      <c r="Z16" s="30"/>
      <c r="AA16" s="30">
        <v>2.5</v>
      </c>
      <c r="AB16" s="30"/>
      <c r="AC16" s="30">
        <v>2.5</v>
      </c>
      <c r="AD16" s="30"/>
      <c r="AE16" s="30">
        <v>2.5</v>
      </c>
      <c r="AF16" s="30">
        <v>2.5</v>
      </c>
      <c r="AG16" s="30">
        <v>2.5</v>
      </c>
      <c r="AH16" s="30">
        <v>2.5</v>
      </c>
    </row>
    <row r="17" spans="1:34" x14ac:dyDescent="0.25">
      <c r="A17" s="26" t="s">
        <v>177</v>
      </c>
      <c r="B17" s="28" t="s">
        <v>334</v>
      </c>
      <c r="C17" s="28" t="s">
        <v>181</v>
      </c>
      <c r="D17" s="28" t="s">
        <v>181</v>
      </c>
      <c r="E17" s="28" t="s">
        <v>178</v>
      </c>
      <c r="F17" s="28" t="s">
        <v>178</v>
      </c>
      <c r="G17" s="28" t="s">
        <v>178</v>
      </c>
      <c r="H17" s="28" t="s">
        <v>178</v>
      </c>
      <c r="I17" s="28" t="s">
        <v>178</v>
      </c>
      <c r="J17" s="28"/>
      <c r="K17" s="28" t="s">
        <v>178</v>
      </c>
      <c r="L17" s="28" t="s">
        <v>181</v>
      </c>
      <c r="M17" s="28" t="s">
        <v>181</v>
      </c>
      <c r="N17" s="28" t="s">
        <v>180</v>
      </c>
      <c r="O17" s="28" t="s">
        <v>178</v>
      </c>
      <c r="P17" s="28" t="s">
        <v>181</v>
      </c>
      <c r="Q17" s="28" t="s">
        <v>181</v>
      </c>
      <c r="R17" s="28" t="s">
        <v>181</v>
      </c>
      <c r="S17" s="28" t="s">
        <v>181</v>
      </c>
      <c r="T17" s="28" t="s">
        <v>181</v>
      </c>
      <c r="U17" s="28" t="s">
        <v>181</v>
      </c>
      <c r="V17" s="28" t="s">
        <v>181</v>
      </c>
      <c r="W17" s="28"/>
      <c r="X17" s="28" t="s">
        <v>178</v>
      </c>
      <c r="Y17" s="28" t="s">
        <v>178</v>
      </c>
      <c r="Z17" s="28"/>
      <c r="AA17" s="28" t="s">
        <v>181</v>
      </c>
      <c r="AB17" s="28"/>
      <c r="AC17" s="28" t="s">
        <v>181</v>
      </c>
      <c r="AD17" s="28"/>
      <c r="AE17" s="28" t="s">
        <v>181</v>
      </c>
      <c r="AF17" s="28" t="s">
        <v>181</v>
      </c>
      <c r="AG17" s="28" t="s">
        <v>181</v>
      </c>
      <c r="AH17" s="28" t="s">
        <v>181</v>
      </c>
    </row>
    <row r="18" spans="1:34" x14ac:dyDescent="0.25">
      <c r="A18" s="26" t="s">
        <v>182</v>
      </c>
      <c r="B18" s="30">
        <f>1/3</f>
        <v>0.33333333333333331</v>
      </c>
      <c r="C18" s="30">
        <f>AVERAGE(2,2,2,4)</f>
        <v>2.5</v>
      </c>
      <c r="D18" s="30">
        <v>2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/>
      <c r="K18" s="30">
        <v>4</v>
      </c>
      <c r="L18" s="30">
        <v>2</v>
      </c>
      <c r="M18" s="30">
        <v>2</v>
      </c>
      <c r="N18" s="30">
        <f>AVERAGE(4,2)</f>
        <v>3</v>
      </c>
      <c r="O18" s="30">
        <v>4</v>
      </c>
      <c r="P18" s="30">
        <v>2</v>
      </c>
      <c r="Q18" s="30">
        <v>2</v>
      </c>
      <c r="R18" s="30">
        <v>2</v>
      </c>
      <c r="S18" s="30">
        <v>2</v>
      </c>
      <c r="T18" s="30">
        <v>2</v>
      </c>
      <c r="U18" s="30">
        <v>2</v>
      </c>
      <c r="V18" s="30">
        <v>2</v>
      </c>
      <c r="W18" s="30"/>
      <c r="X18" s="30">
        <v>4</v>
      </c>
      <c r="Y18" s="30">
        <v>4</v>
      </c>
      <c r="Z18" s="30"/>
      <c r="AA18" s="30">
        <v>2</v>
      </c>
      <c r="AB18" s="30"/>
      <c r="AC18" s="30">
        <v>2</v>
      </c>
      <c r="AD18" s="30"/>
      <c r="AE18" s="30">
        <v>2</v>
      </c>
      <c r="AF18" s="30">
        <v>2</v>
      </c>
      <c r="AG18" s="30">
        <v>2</v>
      </c>
      <c r="AH18" s="30">
        <v>2</v>
      </c>
    </row>
    <row r="20" spans="1:34" x14ac:dyDescent="0.25">
      <c r="A20" s="31" t="s">
        <v>183</v>
      </c>
    </row>
    <row r="21" spans="1:34" x14ac:dyDescent="0.25">
      <c r="A21" s="93" t="s">
        <v>409</v>
      </c>
      <c r="B21" s="93" t="s">
        <v>407</v>
      </c>
    </row>
    <row r="22" spans="1:34" x14ac:dyDescent="0.25">
      <c r="A22" s="224" t="s">
        <v>410</v>
      </c>
      <c r="B22" s="93" t="s">
        <v>407</v>
      </c>
    </row>
    <row r="23" spans="1:34" x14ac:dyDescent="0.25">
      <c r="A23" s="224"/>
      <c r="B23" s="93" t="s">
        <v>411</v>
      </c>
    </row>
  </sheetData>
  <mergeCells count="6">
    <mergeCell ref="F3:O3"/>
    <mergeCell ref="F4:O5"/>
    <mergeCell ref="A22:A23"/>
    <mergeCell ref="B3:D3"/>
    <mergeCell ref="B4:D4"/>
    <mergeCell ref="B5:D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4DC07-27E7-417C-8625-E14D3B84BE7C}">
  <dimension ref="A1:AJ25"/>
  <sheetViews>
    <sheetView workbookViewId="0">
      <selection activeCell="E10" sqref="E10"/>
    </sheetView>
  </sheetViews>
  <sheetFormatPr defaultColWidth="9.140625" defaultRowHeight="15" x14ac:dyDescent="0.25"/>
  <cols>
    <col min="1" max="1" width="23.28515625" style="26" bestFit="1" customWidth="1"/>
    <col min="2" max="50" width="5.7109375" style="26" customWidth="1"/>
    <col min="51" max="16384" width="9.140625" style="26"/>
  </cols>
  <sheetData>
    <row r="1" spans="1:36" x14ac:dyDescent="0.25">
      <c r="A1" s="25" t="s">
        <v>116</v>
      </c>
      <c r="D1" s="25" t="s">
        <v>117</v>
      </c>
      <c r="I1" s="25" t="s">
        <v>118</v>
      </c>
    </row>
    <row r="3" spans="1:36" ht="18" x14ac:dyDescent="0.25">
      <c r="A3" s="25" t="s">
        <v>119</v>
      </c>
      <c r="B3" s="215">
        <v>21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6" ht="18" x14ac:dyDescent="0.25">
      <c r="A4" s="25" t="s">
        <v>121</v>
      </c>
      <c r="B4" s="215" t="s">
        <v>412</v>
      </c>
      <c r="C4" s="215"/>
      <c r="D4" s="215"/>
      <c r="F4" s="216" t="s">
        <v>413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6" ht="18" x14ac:dyDescent="0.25">
      <c r="A5" s="25" t="s">
        <v>124</v>
      </c>
      <c r="B5" s="215" t="s">
        <v>314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6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  <c r="AJ7" s="76" t="s">
        <v>158</v>
      </c>
    </row>
    <row r="8" spans="1:36" ht="15.75" customHeight="1" x14ac:dyDescent="0.25">
      <c r="A8" s="26" t="s">
        <v>159</v>
      </c>
      <c r="B8" s="28" t="s">
        <v>414</v>
      </c>
      <c r="C8" s="28" t="s">
        <v>256</v>
      </c>
      <c r="D8" s="28" t="s">
        <v>256</v>
      </c>
      <c r="E8" s="87" t="s">
        <v>256</v>
      </c>
      <c r="F8" s="28" t="s">
        <v>256</v>
      </c>
      <c r="G8" s="28" t="s">
        <v>256</v>
      </c>
      <c r="H8" s="28" t="s">
        <v>256</v>
      </c>
      <c r="I8" s="28" t="s">
        <v>256</v>
      </c>
      <c r="J8" s="28" t="s">
        <v>256</v>
      </c>
      <c r="K8" s="28" t="s">
        <v>256</v>
      </c>
      <c r="L8" s="28" t="s">
        <v>256</v>
      </c>
      <c r="M8" s="28" t="s">
        <v>256</v>
      </c>
      <c r="N8" s="28" t="s">
        <v>256</v>
      </c>
      <c r="O8" s="28" t="s">
        <v>256</v>
      </c>
      <c r="P8" s="29" t="s">
        <v>256</v>
      </c>
      <c r="Q8" s="29" t="s">
        <v>256</v>
      </c>
      <c r="R8" s="29" t="s">
        <v>256</v>
      </c>
      <c r="S8" s="28" t="s">
        <v>256</v>
      </c>
      <c r="T8" s="28" t="s">
        <v>256</v>
      </c>
      <c r="U8" s="29" t="s">
        <v>256</v>
      </c>
      <c r="V8" s="29" t="s">
        <v>256</v>
      </c>
      <c r="W8" s="29" t="s">
        <v>256</v>
      </c>
      <c r="X8" s="29" t="s">
        <v>256</v>
      </c>
      <c r="Y8" s="28" t="s">
        <v>256</v>
      </c>
      <c r="Z8" s="28" t="s">
        <v>256</v>
      </c>
      <c r="AA8" s="28" t="s">
        <v>256</v>
      </c>
      <c r="AB8" s="28" t="s">
        <v>256</v>
      </c>
      <c r="AC8" s="28" t="s">
        <v>256</v>
      </c>
      <c r="AD8" s="28" t="s">
        <v>256</v>
      </c>
      <c r="AE8" s="28" t="s">
        <v>256</v>
      </c>
      <c r="AF8" s="29" t="s">
        <v>256</v>
      </c>
      <c r="AG8" s="29" t="s">
        <v>256</v>
      </c>
      <c r="AH8" s="29" t="s">
        <v>256</v>
      </c>
      <c r="AJ8" s="28" t="s">
        <v>415</v>
      </c>
    </row>
    <row r="9" spans="1:36" ht="15.75" customHeight="1" x14ac:dyDescent="0.25">
      <c r="A9" s="26" t="s">
        <v>165</v>
      </c>
      <c r="B9" s="28" t="s">
        <v>260</v>
      </c>
      <c r="C9" s="113" t="s">
        <v>416</v>
      </c>
      <c r="D9" s="86" t="s">
        <v>256</v>
      </c>
      <c r="E9" s="113" t="s">
        <v>417</v>
      </c>
      <c r="F9" s="83" t="s">
        <v>260</v>
      </c>
      <c r="G9" s="28" t="s">
        <v>260</v>
      </c>
      <c r="H9" s="28" t="s">
        <v>259</v>
      </c>
      <c r="I9" s="28" t="s">
        <v>256</v>
      </c>
      <c r="J9" s="28" t="s">
        <v>260</v>
      </c>
      <c r="K9" s="28" t="s">
        <v>260</v>
      </c>
      <c r="L9" s="28" t="s">
        <v>260</v>
      </c>
      <c r="M9" s="28" t="s">
        <v>260</v>
      </c>
      <c r="N9" s="28" t="s">
        <v>260</v>
      </c>
      <c r="O9" s="28" t="s">
        <v>260</v>
      </c>
      <c r="P9" s="29" t="s">
        <v>261</v>
      </c>
      <c r="Q9" s="29" t="s">
        <v>261</v>
      </c>
      <c r="R9" s="29" t="s">
        <v>261</v>
      </c>
      <c r="S9" s="28" t="s">
        <v>256</v>
      </c>
      <c r="T9" s="28" t="s">
        <v>256</v>
      </c>
      <c r="U9" s="28" t="s">
        <v>260</v>
      </c>
      <c r="V9" s="28" t="s">
        <v>256</v>
      </c>
      <c r="W9" s="29" t="s">
        <v>418</v>
      </c>
      <c r="X9" s="28" t="s">
        <v>260</v>
      </c>
      <c r="Y9" s="113" t="s">
        <v>416</v>
      </c>
      <c r="Z9" s="28" t="s">
        <v>256</v>
      </c>
      <c r="AA9" s="28" t="s">
        <v>256</v>
      </c>
      <c r="AB9" s="28" t="s">
        <v>256</v>
      </c>
      <c r="AC9" s="28" t="s">
        <v>256</v>
      </c>
      <c r="AD9" s="28" t="s">
        <v>256</v>
      </c>
      <c r="AE9" s="28" t="s">
        <v>256</v>
      </c>
      <c r="AF9" s="28" t="s">
        <v>260</v>
      </c>
      <c r="AG9" s="29" t="s">
        <v>261</v>
      </c>
      <c r="AH9" s="29" t="s">
        <v>261</v>
      </c>
      <c r="AJ9" s="28" t="s">
        <v>283</v>
      </c>
    </row>
    <row r="10" spans="1:36" ht="15.75" customHeight="1" x14ac:dyDescent="0.25">
      <c r="A10" s="131" t="s">
        <v>168</v>
      </c>
      <c r="B10" s="157">
        <v>52</v>
      </c>
      <c r="C10" s="157">
        <v>118</v>
      </c>
      <c r="D10" s="157">
        <v>50</v>
      </c>
      <c r="E10" s="132">
        <v>122</v>
      </c>
      <c r="F10" s="157">
        <v>52</v>
      </c>
      <c r="G10" s="157">
        <v>52</v>
      </c>
      <c r="H10" s="157">
        <v>46</v>
      </c>
      <c r="I10" s="157">
        <v>50</v>
      </c>
      <c r="J10" s="157">
        <v>52</v>
      </c>
      <c r="K10" s="157">
        <v>52</v>
      </c>
      <c r="L10" s="157">
        <v>52</v>
      </c>
      <c r="M10" s="157">
        <v>52</v>
      </c>
      <c r="N10" s="157">
        <v>52</v>
      </c>
      <c r="O10" s="157">
        <v>52</v>
      </c>
      <c r="P10" s="157">
        <v>48</v>
      </c>
      <c r="Q10" s="157">
        <v>48</v>
      </c>
      <c r="R10" s="157">
        <v>48</v>
      </c>
      <c r="S10" s="157">
        <v>50</v>
      </c>
      <c r="T10" s="157">
        <v>50</v>
      </c>
      <c r="U10" s="157">
        <v>52</v>
      </c>
      <c r="V10" s="157">
        <v>50</v>
      </c>
      <c r="W10" s="157">
        <v>161</v>
      </c>
      <c r="X10" s="157">
        <v>52</v>
      </c>
      <c r="Y10" s="157">
        <v>118</v>
      </c>
      <c r="Z10" s="157">
        <v>50</v>
      </c>
      <c r="AA10" s="157">
        <v>50</v>
      </c>
      <c r="AB10" s="157">
        <v>50</v>
      </c>
      <c r="AC10" s="157">
        <v>50</v>
      </c>
      <c r="AD10" s="157">
        <v>50</v>
      </c>
      <c r="AE10" s="157">
        <v>50</v>
      </c>
      <c r="AF10" s="157">
        <v>52</v>
      </c>
      <c r="AG10" s="157">
        <v>48</v>
      </c>
      <c r="AH10" s="157">
        <v>48</v>
      </c>
      <c r="AJ10" s="157">
        <v>56</v>
      </c>
    </row>
    <row r="11" spans="1:36" ht="15.75" customHeight="1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28" t="s">
        <v>170</v>
      </c>
      <c r="O11" s="28" t="s">
        <v>170</v>
      </c>
      <c r="P11" s="29" t="s">
        <v>170</v>
      </c>
      <c r="Q11" s="29" t="s">
        <v>170</v>
      </c>
      <c r="R11" s="29" t="s">
        <v>170</v>
      </c>
      <c r="S11" s="28" t="s">
        <v>170</v>
      </c>
      <c r="T11" s="28" t="s">
        <v>170</v>
      </c>
      <c r="U11" s="28" t="s">
        <v>170</v>
      </c>
      <c r="V11" s="28" t="s">
        <v>170</v>
      </c>
      <c r="W11" s="28" t="s">
        <v>170</v>
      </c>
      <c r="X11" s="28" t="s">
        <v>170</v>
      </c>
      <c r="Y11" s="28" t="s">
        <v>170</v>
      </c>
      <c r="Z11" s="28" t="s">
        <v>170</v>
      </c>
      <c r="AA11" s="28" t="s">
        <v>170</v>
      </c>
      <c r="AB11" s="28" t="s">
        <v>170</v>
      </c>
      <c r="AC11" s="28" t="s">
        <v>170</v>
      </c>
      <c r="AD11" s="28" t="s">
        <v>170</v>
      </c>
      <c r="AE11" s="28" t="s">
        <v>170</v>
      </c>
      <c r="AF11" s="28" t="s">
        <v>170</v>
      </c>
      <c r="AG11" s="29" t="s">
        <v>170</v>
      </c>
      <c r="AH11" s="29" t="s">
        <v>170</v>
      </c>
      <c r="AJ11" s="29" t="s">
        <v>170</v>
      </c>
    </row>
    <row r="12" spans="1:36" ht="15.75" customHeight="1" x14ac:dyDescent="0.25">
      <c r="A12" s="26" t="s">
        <v>171</v>
      </c>
      <c r="B12" s="28" t="s">
        <v>173</v>
      </c>
      <c r="C12" s="28" t="s">
        <v>173</v>
      </c>
      <c r="D12" s="28" t="s">
        <v>173</v>
      </c>
      <c r="E12" s="28" t="s">
        <v>173</v>
      </c>
      <c r="F12" s="28" t="s">
        <v>173</v>
      </c>
      <c r="G12" s="28" t="s">
        <v>173</v>
      </c>
      <c r="H12" s="28" t="s">
        <v>173</v>
      </c>
      <c r="I12" s="28" t="s">
        <v>173</v>
      </c>
      <c r="J12" s="28" t="s">
        <v>173</v>
      </c>
      <c r="K12" s="28" t="s">
        <v>173</v>
      </c>
      <c r="L12" s="28" t="s">
        <v>173</v>
      </c>
      <c r="M12" s="28" t="s">
        <v>173</v>
      </c>
      <c r="N12" s="28" t="s">
        <v>173</v>
      </c>
      <c r="O12" s="28" t="s">
        <v>173</v>
      </c>
      <c r="P12" s="28" t="s">
        <v>173</v>
      </c>
      <c r="Q12" s="28" t="s">
        <v>173</v>
      </c>
      <c r="R12" s="28" t="s">
        <v>173</v>
      </c>
      <c r="S12" s="28" t="s">
        <v>173</v>
      </c>
      <c r="T12" s="28" t="s">
        <v>173</v>
      </c>
      <c r="U12" s="28" t="s">
        <v>173</v>
      </c>
      <c r="V12" s="28" t="s">
        <v>173</v>
      </c>
      <c r="W12" s="28" t="s">
        <v>173</v>
      </c>
      <c r="X12" s="28" t="s">
        <v>173</v>
      </c>
      <c r="Y12" s="28" t="s">
        <v>173</v>
      </c>
      <c r="Z12" s="28" t="s">
        <v>173</v>
      </c>
      <c r="AA12" s="28" t="s">
        <v>173</v>
      </c>
      <c r="AB12" s="28" t="s">
        <v>173</v>
      </c>
      <c r="AC12" s="28" t="s">
        <v>173</v>
      </c>
      <c r="AD12" s="28" t="s">
        <v>173</v>
      </c>
      <c r="AE12" s="28" t="s">
        <v>173</v>
      </c>
      <c r="AF12" s="28" t="s">
        <v>173</v>
      </c>
      <c r="AG12" s="28" t="s">
        <v>173</v>
      </c>
      <c r="AH12" s="28" t="s">
        <v>173</v>
      </c>
      <c r="AJ12" s="29" t="s">
        <v>173</v>
      </c>
    </row>
    <row r="13" spans="1:36" ht="15.75" customHeight="1" x14ac:dyDescent="0.25">
      <c r="A13" s="26" t="s">
        <v>172</v>
      </c>
      <c r="B13" s="28" t="s">
        <v>170</v>
      </c>
      <c r="C13" s="28" t="s">
        <v>170</v>
      </c>
      <c r="D13" s="28" t="s">
        <v>170</v>
      </c>
      <c r="E13" s="28" t="s">
        <v>170</v>
      </c>
      <c r="F13" s="28" t="s">
        <v>170</v>
      </c>
      <c r="G13" s="28" t="s">
        <v>170</v>
      </c>
      <c r="H13" s="28" t="s">
        <v>170</v>
      </c>
      <c r="I13" s="28" t="s">
        <v>170</v>
      </c>
      <c r="J13" s="28" t="s">
        <v>170</v>
      </c>
      <c r="K13" s="28" t="s">
        <v>170</v>
      </c>
      <c r="L13" s="28" t="s">
        <v>170</v>
      </c>
      <c r="M13" s="28" t="s">
        <v>170</v>
      </c>
      <c r="N13" s="28" t="s">
        <v>170</v>
      </c>
      <c r="O13" s="28" t="s">
        <v>170</v>
      </c>
      <c r="P13" s="28" t="s">
        <v>170</v>
      </c>
      <c r="Q13" s="28" t="s">
        <v>170</v>
      </c>
      <c r="R13" s="28" t="s">
        <v>170</v>
      </c>
      <c r="S13" s="28" t="s">
        <v>170</v>
      </c>
      <c r="T13" s="28" t="s">
        <v>170</v>
      </c>
      <c r="U13" s="28" t="s">
        <v>170</v>
      </c>
      <c r="V13" s="28" t="s">
        <v>170</v>
      </c>
      <c r="W13" s="28" t="s">
        <v>170</v>
      </c>
      <c r="X13" s="28" t="s">
        <v>170</v>
      </c>
      <c r="Y13" s="28" t="s">
        <v>170</v>
      </c>
      <c r="Z13" s="28" t="s">
        <v>170</v>
      </c>
      <c r="AA13" s="28" t="s">
        <v>170</v>
      </c>
      <c r="AB13" s="28" t="s">
        <v>170</v>
      </c>
      <c r="AC13" s="28" t="s">
        <v>170</v>
      </c>
      <c r="AD13" s="28" t="s">
        <v>170</v>
      </c>
      <c r="AE13" s="28" t="s">
        <v>170</v>
      </c>
      <c r="AF13" s="28" t="s">
        <v>170</v>
      </c>
      <c r="AG13" s="28" t="s">
        <v>170</v>
      </c>
      <c r="AH13" s="28" t="s">
        <v>170</v>
      </c>
      <c r="AJ13" s="28" t="s">
        <v>170</v>
      </c>
    </row>
    <row r="14" spans="1:36" ht="15.75" customHeight="1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 t="s">
        <v>173</v>
      </c>
      <c r="V14" s="28" t="s">
        <v>173</v>
      </c>
      <c r="W14" s="28" t="s">
        <v>173</v>
      </c>
      <c r="X14" s="28" t="s">
        <v>173</v>
      </c>
      <c r="Y14" s="28" t="s">
        <v>173</v>
      </c>
      <c r="Z14" s="28" t="s">
        <v>173</v>
      </c>
      <c r="AA14" s="28" t="s">
        <v>173</v>
      </c>
      <c r="AB14" s="28" t="s">
        <v>173</v>
      </c>
      <c r="AC14" s="28" t="s">
        <v>173</v>
      </c>
      <c r="AD14" s="28" t="s">
        <v>173</v>
      </c>
      <c r="AE14" s="28" t="s">
        <v>173</v>
      </c>
      <c r="AF14" s="28" t="s">
        <v>173</v>
      </c>
      <c r="AG14" s="28" t="s">
        <v>173</v>
      </c>
      <c r="AH14" s="28" t="s">
        <v>173</v>
      </c>
      <c r="AJ14" s="28" t="s">
        <v>173</v>
      </c>
    </row>
    <row r="15" spans="1:36" ht="15.75" customHeight="1" x14ac:dyDescent="0.25">
      <c r="A15" s="26" t="s">
        <v>175</v>
      </c>
      <c r="B15" s="28" t="s">
        <v>198</v>
      </c>
      <c r="C15" s="28" t="s">
        <v>198</v>
      </c>
      <c r="D15" s="28" t="s">
        <v>198</v>
      </c>
      <c r="E15" s="28" t="s">
        <v>198</v>
      </c>
      <c r="F15" s="28" t="s">
        <v>198</v>
      </c>
      <c r="G15" s="28" t="s">
        <v>198</v>
      </c>
      <c r="H15" s="28" t="s">
        <v>198</v>
      </c>
      <c r="I15" s="28" t="s">
        <v>198</v>
      </c>
      <c r="J15" s="28" t="s">
        <v>198</v>
      </c>
      <c r="K15" s="28" t="s">
        <v>198</v>
      </c>
      <c r="L15" s="28" t="s">
        <v>198</v>
      </c>
      <c r="M15" s="28" t="s">
        <v>198</v>
      </c>
      <c r="N15" s="28" t="s">
        <v>198</v>
      </c>
      <c r="O15" s="28" t="s">
        <v>198</v>
      </c>
      <c r="P15" s="28" t="s">
        <v>198</v>
      </c>
      <c r="Q15" s="28" t="s">
        <v>198</v>
      </c>
      <c r="R15" s="28" t="s">
        <v>198</v>
      </c>
      <c r="S15" s="28" t="s">
        <v>198</v>
      </c>
      <c r="T15" s="28" t="s">
        <v>198</v>
      </c>
      <c r="U15" s="28" t="s">
        <v>198</v>
      </c>
      <c r="V15" s="28" t="s">
        <v>198</v>
      </c>
      <c r="W15" s="28" t="s">
        <v>198</v>
      </c>
      <c r="X15" s="28" t="s">
        <v>198</v>
      </c>
      <c r="Y15" s="28" t="s">
        <v>198</v>
      </c>
      <c r="Z15" s="28" t="s">
        <v>198</v>
      </c>
      <c r="AA15" s="28" t="s">
        <v>198</v>
      </c>
      <c r="AB15" s="28" t="s">
        <v>198</v>
      </c>
      <c r="AC15" s="28" t="s">
        <v>198</v>
      </c>
      <c r="AD15" s="28" t="s">
        <v>198</v>
      </c>
      <c r="AE15" s="28" t="s">
        <v>198</v>
      </c>
      <c r="AF15" s="28" t="s">
        <v>198</v>
      </c>
      <c r="AG15" s="28" t="s">
        <v>198</v>
      </c>
      <c r="AH15" s="28" t="s">
        <v>198</v>
      </c>
      <c r="AJ15" s="28" t="s">
        <v>199</v>
      </c>
    </row>
    <row r="16" spans="1:36" ht="15.75" customHeight="1" x14ac:dyDescent="0.25">
      <c r="A16" s="26" t="s">
        <v>176</v>
      </c>
      <c r="B16" s="30">
        <v>0.5</v>
      </c>
      <c r="C16" s="30">
        <f>AVERAGE(1,1,1,0.5)</f>
        <v>0.875</v>
      </c>
      <c r="D16" s="30">
        <v>1</v>
      </c>
      <c r="E16" s="30">
        <f>AVERAGE(0.5,0.5,0.5,1)</f>
        <v>0.625</v>
      </c>
      <c r="F16" s="30">
        <v>0.5</v>
      </c>
      <c r="G16" s="30">
        <v>0.5</v>
      </c>
      <c r="H16" s="30">
        <f>5/3</f>
        <v>1.6666666666666667</v>
      </c>
      <c r="I16" s="30">
        <v>1</v>
      </c>
      <c r="J16" s="30">
        <v>0.5</v>
      </c>
      <c r="K16" s="30">
        <v>0.5</v>
      </c>
      <c r="L16" s="30">
        <v>0.5</v>
      </c>
      <c r="M16" s="30">
        <v>0.5</v>
      </c>
      <c r="N16" s="30">
        <v>0.5</v>
      </c>
      <c r="O16" s="30">
        <v>0.5</v>
      </c>
      <c r="P16" s="30">
        <f>4/3</f>
        <v>1.3333333333333333</v>
      </c>
      <c r="Q16" s="30">
        <f>4/3</f>
        <v>1.3333333333333333</v>
      </c>
      <c r="R16" s="30">
        <f>4/3</f>
        <v>1.3333333333333333</v>
      </c>
      <c r="S16" s="30">
        <v>1</v>
      </c>
      <c r="T16" s="30">
        <v>1</v>
      </c>
      <c r="U16" s="30">
        <v>0.5</v>
      </c>
      <c r="V16" s="30">
        <v>1</v>
      </c>
      <c r="W16" s="30">
        <f>AVERAGE(0.5,1)</f>
        <v>0.75</v>
      </c>
      <c r="X16" s="30">
        <v>0.5</v>
      </c>
      <c r="Y16" s="30">
        <f>AVERAGE(1,1,1,0.5)</f>
        <v>0.875</v>
      </c>
      <c r="Z16" s="30">
        <v>1</v>
      </c>
      <c r="AA16" s="30">
        <v>1</v>
      </c>
      <c r="AB16" s="30">
        <v>1</v>
      </c>
      <c r="AC16" s="30">
        <v>1</v>
      </c>
      <c r="AD16" s="30">
        <v>1</v>
      </c>
      <c r="AE16" s="30">
        <v>1</v>
      </c>
      <c r="AF16" s="30">
        <v>0.5</v>
      </c>
      <c r="AG16" s="30">
        <f>4/3</f>
        <v>1.3333333333333333</v>
      </c>
      <c r="AH16" s="30">
        <f>4/3</f>
        <v>1.3333333333333333</v>
      </c>
      <c r="AJ16" s="30">
        <v>-0.5</v>
      </c>
    </row>
    <row r="17" spans="1:36" ht="15.75" customHeight="1" x14ac:dyDescent="0.25">
      <c r="A17" s="26" t="s">
        <v>177</v>
      </c>
      <c r="B17" s="28" t="s">
        <v>181</v>
      </c>
      <c r="C17" s="28" t="s">
        <v>181</v>
      </c>
      <c r="D17" s="28" t="s">
        <v>181</v>
      </c>
      <c r="E17" s="28" t="s">
        <v>181</v>
      </c>
      <c r="F17" s="28" t="s">
        <v>181</v>
      </c>
      <c r="G17" s="28" t="s">
        <v>181</v>
      </c>
      <c r="H17" s="28" t="s">
        <v>181</v>
      </c>
      <c r="I17" s="28" t="s">
        <v>181</v>
      </c>
      <c r="J17" s="28" t="s">
        <v>181</v>
      </c>
      <c r="K17" s="28" t="s">
        <v>181</v>
      </c>
      <c r="L17" s="28" t="s">
        <v>181</v>
      </c>
      <c r="M17" s="28" t="s">
        <v>181</v>
      </c>
      <c r="N17" s="28" t="s">
        <v>181</v>
      </c>
      <c r="O17" s="28" t="s">
        <v>181</v>
      </c>
      <c r="P17" s="28" t="s">
        <v>181</v>
      </c>
      <c r="Q17" s="28" t="s">
        <v>181</v>
      </c>
      <c r="R17" s="28" t="s">
        <v>181</v>
      </c>
      <c r="S17" s="28" t="s">
        <v>181</v>
      </c>
      <c r="T17" s="28" t="s">
        <v>181</v>
      </c>
      <c r="U17" s="28" t="s">
        <v>181</v>
      </c>
      <c r="V17" s="28" t="s">
        <v>181</v>
      </c>
      <c r="W17" s="28" t="s">
        <v>181</v>
      </c>
      <c r="X17" s="28" t="s">
        <v>181</v>
      </c>
      <c r="Y17" s="28" t="s">
        <v>181</v>
      </c>
      <c r="Z17" s="28" t="s">
        <v>181</v>
      </c>
      <c r="AA17" s="28" t="s">
        <v>181</v>
      </c>
      <c r="AB17" s="28" t="s">
        <v>181</v>
      </c>
      <c r="AC17" s="28" t="s">
        <v>181</v>
      </c>
      <c r="AD17" s="28" t="s">
        <v>181</v>
      </c>
      <c r="AE17" s="28" t="s">
        <v>181</v>
      </c>
      <c r="AF17" s="28" t="s">
        <v>181</v>
      </c>
      <c r="AG17" s="28" t="s">
        <v>181</v>
      </c>
      <c r="AH17" s="28" t="s">
        <v>181</v>
      </c>
      <c r="AJ17" s="28" t="s">
        <v>181</v>
      </c>
    </row>
    <row r="18" spans="1:36" ht="15.75" customHeight="1" x14ac:dyDescent="0.25">
      <c r="A18" s="26" t="s">
        <v>182</v>
      </c>
      <c r="B18" s="30">
        <v>2</v>
      </c>
      <c r="C18" s="30">
        <v>2</v>
      </c>
      <c r="D18" s="30">
        <v>2</v>
      </c>
      <c r="E18" s="30">
        <v>2</v>
      </c>
      <c r="F18" s="30">
        <v>2</v>
      </c>
      <c r="G18" s="30">
        <v>2</v>
      </c>
      <c r="H18" s="30">
        <v>2</v>
      </c>
      <c r="I18" s="30">
        <v>2</v>
      </c>
      <c r="J18" s="30">
        <v>2</v>
      </c>
      <c r="K18" s="30">
        <v>2</v>
      </c>
      <c r="L18" s="30">
        <v>2</v>
      </c>
      <c r="M18" s="30">
        <v>2</v>
      </c>
      <c r="N18" s="30">
        <v>2</v>
      </c>
      <c r="O18" s="30">
        <v>2</v>
      </c>
      <c r="P18" s="30">
        <v>2</v>
      </c>
      <c r="Q18" s="30">
        <v>2</v>
      </c>
      <c r="R18" s="30">
        <v>2</v>
      </c>
      <c r="S18" s="30">
        <v>2</v>
      </c>
      <c r="T18" s="30">
        <v>2</v>
      </c>
      <c r="U18" s="30">
        <v>2</v>
      </c>
      <c r="V18" s="30">
        <v>2</v>
      </c>
      <c r="W18" s="30">
        <v>2</v>
      </c>
      <c r="X18" s="30">
        <v>2</v>
      </c>
      <c r="Y18" s="30">
        <v>2</v>
      </c>
      <c r="Z18" s="30">
        <v>2</v>
      </c>
      <c r="AA18" s="30">
        <v>2</v>
      </c>
      <c r="AB18" s="30">
        <v>2</v>
      </c>
      <c r="AC18" s="30">
        <v>2</v>
      </c>
      <c r="AD18" s="30">
        <v>2</v>
      </c>
      <c r="AE18" s="30">
        <v>2</v>
      </c>
      <c r="AF18" s="30">
        <v>2</v>
      </c>
      <c r="AG18" s="30">
        <v>2</v>
      </c>
      <c r="AH18" s="30">
        <v>2</v>
      </c>
      <c r="AJ18" s="30">
        <v>2</v>
      </c>
    </row>
    <row r="19" spans="1:36" x14ac:dyDescent="0.25">
      <c r="AH19" s="78" t="s">
        <v>419</v>
      </c>
      <c r="AJ19" s="78" t="s">
        <v>420</v>
      </c>
    </row>
    <row r="20" spans="1:36" x14ac:dyDescent="0.25">
      <c r="A20" s="31" t="s">
        <v>183</v>
      </c>
    </row>
    <row r="21" spans="1:36" x14ac:dyDescent="0.25">
      <c r="A21" s="93" t="s">
        <v>421</v>
      </c>
      <c r="B21" s="96" t="s">
        <v>422</v>
      </c>
    </row>
    <row r="22" spans="1:36" x14ac:dyDescent="0.25">
      <c r="A22" s="224" t="s">
        <v>423</v>
      </c>
      <c r="B22" s="96" t="s">
        <v>422</v>
      </c>
    </row>
    <row r="23" spans="1:36" x14ac:dyDescent="0.25">
      <c r="A23" s="224"/>
      <c r="B23" s="96" t="s">
        <v>424</v>
      </c>
    </row>
    <row r="25" spans="1:36" ht="51" customHeight="1" x14ac:dyDescent="0.25">
      <c r="A25" s="55" t="s">
        <v>425</v>
      </c>
      <c r="B25" s="237" t="s">
        <v>426</v>
      </c>
      <c r="C25" s="237"/>
      <c r="D25" s="237"/>
      <c r="E25" s="237"/>
      <c r="F25" s="237"/>
      <c r="G25" s="237"/>
      <c r="H25" s="237"/>
      <c r="I25" s="237"/>
      <c r="J25" s="237"/>
      <c r="K25" s="237"/>
      <c r="L25" s="237"/>
      <c r="M25" s="237"/>
      <c r="N25" s="237"/>
      <c r="O25" s="237"/>
      <c r="P25" s="237"/>
    </row>
  </sheetData>
  <mergeCells count="7">
    <mergeCell ref="F3:O3"/>
    <mergeCell ref="F4:O5"/>
    <mergeCell ref="B25:P25"/>
    <mergeCell ref="A22:A23"/>
    <mergeCell ref="B3:D3"/>
    <mergeCell ref="B4:D4"/>
    <mergeCell ref="B5:D5"/>
  </mergeCells>
  <hyperlinks>
    <hyperlink ref="A25" r:id="rId1" xr:uid="{57E6F9B7-29E7-4128-8A81-F5C663B377AB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6DF48-B6F3-4DE3-B428-87046D96103B}">
  <dimension ref="A1:AJ25"/>
  <sheetViews>
    <sheetView workbookViewId="0">
      <selection activeCell="E10" sqref="E10"/>
    </sheetView>
  </sheetViews>
  <sheetFormatPr defaultColWidth="9.140625" defaultRowHeight="15" x14ac:dyDescent="0.25"/>
  <cols>
    <col min="1" max="1" width="23.28515625" style="26" bestFit="1" customWidth="1"/>
    <col min="2" max="50" width="5.7109375" style="26" customWidth="1"/>
    <col min="51" max="16384" width="9.140625" style="26"/>
  </cols>
  <sheetData>
    <row r="1" spans="1:36" x14ac:dyDescent="0.25">
      <c r="A1" s="25" t="s">
        <v>116</v>
      </c>
      <c r="D1" s="25" t="s">
        <v>117</v>
      </c>
      <c r="I1" s="25" t="s">
        <v>118</v>
      </c>
    </row>
    <row r="3" spans="1:36" ht="18" x14ac:dyDescent="0.25">
      <c r="A3" s="25" t="s">
        <v>119</v>
      </c>
      <c r="B3" s="215">
        <v>22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6" ht="18" x14ac:dyDescent="0.25">
      <c r="A4" s="25" t="s">
        <v>121</v>
      </c>
      <c r="B4" s="215" t="s">
        <v>412</v>
      </c>
      <c r="C4" s="215"/>
      <c r="D4" s="215"/>
      <c r="F4" s="216" t="s">
        <v>427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6" ht="18" x14ac:dyDescent="0.25">
      <c r="A5" s="25" t="s">
        <v>124</v>
      </c>
      <c r="B5" s="215" t="s">
        <v>428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6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  <c r="AJ7" s="53" t="s">
        <v>158</v>
      </c>
    </row>
    <row r="8" spans="1:36" x14ac:dyDescent="0.25">
      <c r="A8" s="26" t="s">
        <v>159</v>
      </c>
      <c r="B8" s="28" t="s">
        <v>414</v>
      </c>
      <c r="C8" s="28" t="s">
        <v>256</v>
      </c>
      <c r="D8" s="28" t="s">
        <v>256</v>
      </c>
      <c r="E8" s="28" t="s">
        <v>256</v>
      </c>
      <c r="F8" s="28" t="s">
        <v>256</v>
      </c>
      <c r="G8" s="28" t="s">
        <v>256</v>
      </c>
      <c r="H8" s="28" t="s">
        <v>256</v>
      </c>
      <c r="I8" s="28" t="s">
        <v>256</v>
      </c>
      <c r="J8" s="28" t="s">
        <v>256</v>
      </c>
      <c r="K8" s="28" t="s">
        <v>256</v>
      </c>
      <c r="L8" s="28" t="s">
        <v>256</v>
      </c>
      <c r="M8" s="28" t="s">
        <v>256</v>
      </c>
      <c r="N8" s="28" t="s">
        <v>256</v>
      </c>
      <c r="O8" s="28" t="s">
        <v>256</v>
      </c>
      <c r="P8" s="29" t="s">
        <v>256</v>
      </c>
      <c r="Q8" s="29" t="s">
        <v>256</v>
      </c>
      <c r="R8" s="29" t="s">
        <v>256</v>
      </c>
      <c r="S8" s="28" t="s">
        <v>256</v>
      </c>
      <c r="T8" s="28" t="s">
        <v>256</v>
      </c>
      <c r="U8" s="29" t="s">
        <v>256</v>
      </c>
      <c r="V8" s="29" t="s">
        <v>256</v>
      </c>
      <c r="W8" s="29" t="s">
        <v>256</v>
      </c>
      <c r="X8" s="29" t="s">
        <v>256</v>
      </c>
      <c r="Y8" s="28" t="s">
        <v>256</v>
      </c>
      <c r="Z8" s="28" t="s">
        <v>256</v>
      </c>
      <c r="AA8" s="28" t="s">
        <v>256</v>
      </c>
      <c r="AB8" s="28" t="s">
        <v>256</v>
      </c>
      <c r="AC8" s="28" t="s">
        <v>256</v>
      </c>
      <c r="AD8" s="28" t="s">
        <v>256</v>
      </c>
      <c r="AE8" s="28" t="s">
        <v>256</v>
      </c>
      <c r="AF8" s="29" t="s">
        <v>256</v>
      </c>
      <c r="AG8" s="29" t="s">
        <v>256</v>
      </c>
      <c r="AH8" s="29" t="s">
        <v>256</v>
      </c>
      <c r="AJ8" s="28" t="s">
        <v>415</v>
      </c>
    </row>
    <row r="9" spans="1:36" x14ac:dyDescent="0.25">
      <c r="A9" s="26" t="s">
        <v>165</v>
      </c>
      <c r="B9" s="28" t="s">
        <v>260</v>
      </c>
      <c r="C9" s="113" t="s">
        <v>416</v>
      </c>
      <c r="D9" s="28" t="s">
        <v>256</v>
      </c>
      <c r="E9" s="113" t="s">
        <v>417</v>
      </c>
      <c r="F9" s="28" t="s">
        <v>260</v>
      </c>
      <c r="G9" s="28" t="s">
        <v>260</v>
      </c>
      <c r="H9" s="28" t="s">
        <v>259</v>
      </c>
      <c r="I9" s="28" t="s">
        <v>256</v>
      </c>
      <c r="J9" s="28" t="s">
        <v>260</v>
      </c>
      <c r="K9" s="28" t="s">
        <v>260</v>
      </c>
      <c r="L9" s="28" t="s">
        <v>260</v>
      </c>
      <c r="M9" s="28" t="s">
        <v>260</v>
      </c>
      <c r="N9" s="28" t="s">
        <v>260</v>
      </c>
      <c r="O9" s="28" t="s">
        <v>260</v>
      </c>
      <c r="P9" s="29" t="s">
        <v>261</v>
      </c>
      <c r="Q9" s="29" t="s">
        <v>261</v>
      </c>
      <c r="R9" s="29" t="s">
        <v>261</v>
      </c>
      <c r="S9" s="28" t="s">
        <v>256</v>
      </c>
      <c r="T9" s="28" t="s">
        <v>256</v>
      </c>
      <c r="U9" s="28" t="s">
        <v>260</v>
      </c>
      <c r="V9" s="28" t="s">
        <v>256</v>
      </c>
      <c r="W9" s="29" t="s">
        <v>418</v>
      </c>
      <c r="X9" s="28" t="s">
        <v>260</v>
      </c>
      <c r="Y9" s="113" t="s">
        <v>416</v>
      </c>
      <c r="Z9" s="28" t="s">
        <v>256</v>
      </c>
      <c r="AA9" s="28" t="s">
        <v>256</v>
      </c>
      <c r="AB9" s="28" t="s">
        <v>256</v>
      </c>
      <c r="AC9" s="28" t="s">
        <v>256</v>
      </c>
      <c r="AD9" s="28" t="s">
        <v>256</v>
      </c>
      <c r="AE9" s="28" t="s">
        <v>256</v>
      </c>
      <c r="AF9" s="28" t="s">
        <v>260</v>
      </c>
      <c r="AG9" s="29" t="s">
        <v>261</v>
      </c>
      <c r="AH9" s="29" t="s">
        <v>261</v>
      </c>
      <c r="AJ9" s="28" t="s">
        <v>283</v>
      </c>
    </row>
    <row r="10" spans="1:36" x14ac:dyDescent="0.25">
      <c r="A10" s="131" t="s">
        <v>168</v>
      </c>
      <c r="B10" s="157">
        <v>52</v>
      </c>
      <c r="C10" s="157">
        <v>118</v>
      </c>
      <c r="D10" s="157">
        <v>50</v>
      </c>
      <c r="E10" s="157">
        <v>122</v>
      </c>
      <c r="F10" s="157">
        <v>52</v>
      </c>
      <c r="G10" s="157">
        <v>52</v>
      </c>
      <c r="H10" s="157">
        <v>46</v>
      </c>
      <c r="I10" s="157">
        <v>50</v>
      </c>
      <c r="J10" s="157">
        <v>52</v>
      </c>
      <c r="K10" s="157">
        <v>52</v>
      </c>
      <c r="L10" s="157">
        <v>52</v>
      </c>
      <c r="M10" s="157">
        <v>52</v>
      </c>
      <c r="N10" s="157">
        <v>52</v>
      </c>
      <c r="O10" s="157">
        <v>52</v>
      </c>
      <c r="P10" s="157">
        <v>48</v>
      </c>
      <c r="Q10" s="157">
        <v>48</v>
      </c>
      <c r="R10" s="157">
        <v>48</v>
      </c>
      <c r="S10" s="157">
        <v>50</v>
      </c>
      <c r="T10" s="157">
        <v>50</v>
      </c>
      <c r="U10" s="157">
        <v>52</v>
      </c>
      <c r="V10" s="157">
        <v>50</v>
      </c>
      <c r="W10" s="157">
        <v>161</v>
      </c>
      <c r="X10" s="157">
        <v>52</v>
      </c>
      <c r="Y10" s="157">
        <v>118</v>
      </c>
      <c r="Z10" s="157">
        <v>50</v>
      </c>
      <c r="AA10" s="157">
        <v>50</v>
      </c>
      <c r="AB10" s="157">
        <v>50</v>
      </c>
      <c r="AC10" s="157">
        <v>50</v>
      </c>
      <c r="AD10" s="157">
        <v>50</v>
      </c>
      <c r="AE10" s="157">
        <v>50</v>
      </c>
      <c r="AF10" s="157">
        <v>52</v>
      </c>
      <c r="AG10" s="157">
        <v>48</v>
      </c>
      <c r="AH10" s="157">
        <v>48</v>
      </c>
      <c r="AJ10" s="157">
        <v>56</v>
      </c>
    </row>
    <row r="11" spans="1:36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28" t="s">
        <v>170</v>
      </c>
      <c r="O11" s="28" t="s">
        <v>170</v>
      </c>
      <c r="P11" s="29" t="s">
        <v>170</v>
      </c>
      <c r="Q11" s="29" t="s">
        <v>170</v>
      </c>
      <c r="R11" s="29" t="s">
        <v>170</v>
      </c>
      <c r="S11" s="28" t="s">
        <v>170</v>
      </c>
      <c r="T11" s="28" t="s">
        <v>170</v>
      </c>
      <c r="U11" s="28" t="s">
        <v>170</v>
      </c>
      <c r="V11" s="28" t="s">
        <v>170</v>
      </c>
      <c r="W11" s="28" t="s">
        <v>170</v>
      </c>
      <c r="X11" s="28" t="s">
        <v>170</v>
      </c>
      <c r="Y11" s="28" t="s">
        <v>170</v>
      </c>
      <c r="Z11" s="28" t="s">
        <v>170</v>
      </c>
      <c r="AA11" s="28" t="s">
        <v>170</v>
      </c>
      <c r="AB11" s="28" t="s">
        <v>170</v>
      </c>
      <c r="AC11" s="28" t="s">
        <v>170</v>
      </c>
      <c r="AD11" s="28" t="s">
        <v>170</v>
      </c>
      <c r="AE11" s="28" t="s">
        <v>170</v>
      </c>
      <c r="AF11" s="28" t="s">
        <v>170</v>
      </c>
      <c r="AG11" s="29" t="s">
        <v>170</v>
      </c>
      <c r="AH11" s="29" t="s">
        <v>170</v>
      </c>
      <c r="AJ11" s="29" t="s">
        <v>170</v>
      </c>
    </row>
    <row r="12" spans="1:36" x14ac:dyDescent="0.25">
      <c r="A12" s="26" t="s">
        <v>171</v>
      </c>
      <c r="B12" s="28" t="s">
        <v>173</v>
      </c>
      <c r="C12" s="28" t="s">
        <v>173</v>
      </c>
      <c r="D12" s="28" t="s">
        <v>173</v>
      </c>
      <c r="E12" s="28" t="s">
        <v>173</v>
      </c>
      <c r="F12" s="28" t="s">
        <v>173</v>
      </c>
      <c r="G12" s="28" t="s">
        <v>173</v>
      </c>
      <c r="H12" s="28" t="s">
        <v>173</v>
      </c>
      <c r="I12" s="28" t="s">
        <v>173</v>
      </c>
      <c r="J12" s="28" t="s">
        <v>173</v>
      </c>
      <c r="K12" s="28" t="s">
        <v>173</v>
      </c>
      <c r="L12" s="28" t="s">
        <v>173</v>
      </c>
      <c r="M12" s="28" t="s">
        <v>173</v>
      </c>
      <c r="N12" s="28" t="s">
        <v>173</v>
      </c>
      <c r="O12" s="28" t="s">
        <v>173</v>
      </c>
      <c r="P12" s="28" t="s">
        <v>173</v>
      </c>
      <c r="Q12" s="28" t="s">
        <v>173</v>
      </c>
      <c r="R12" s="28" t="s">
        <v>173</v>
      </c>
      <c r="S12" s="28" t="s">
        <v>173</v>
      </c>
      <c r="T12" s="28" t="s">
        <v>173</v>
      </c>
      <c r="U12" s="28" t="s">
        <v>173</v>
      </c>
      <c r="V12" s="28" t="s">
        <v>173</v>
      </c>
      <c r="W12" s="28" t="s">
        <v>173</v>
      </c>
      <c r="X12" s="28" t="s">
        <v>173</v>
      </c>
      <c r="Y12" s="28" t="s">
        <v>173</v>
      </c>
      <c r="Z12" s="28" t="s">
        <v>173</v>
      </c>
      <c r="AA12" s="28" t="s">
        <v>173</v>
      </c>
      <c r="AB12" s="28" t="s">
        <v>173</v>
      </c>
      <c r="AC12" s="28" t="s">
        <v>173</v>
      </c>
      <c r="AD12" s="28" t="s">
        <v>173</v>
      </c>
      <c r="AE12" s="28" t="s">
        <v>173</v>
      </c>
      <c r="AF12" s="28" t="s">
        <v>173</v>
      </c>
      <c r="AG12" s="28" t="s">
        <v>173</v>
      </c>
      <c r="AH12" s="28" t="s">
        <v>173</v>
      </c>
      <c r="AJ12" s="29" t="s">
        <v>173</v>
      </c>
    </row>
    <row r="13" spans="1:36" x14ac:dyDescent="0.25">
      <c r="A13" s="26" t="s">
        <v>172</v>
      </c>
      <c r="B13" s="28" t="s">
        <v>170</v>
      </c>
      <c r="C13" s="28" t="s">
        <v>170</v>
      </c>
      <c r="D13" s="28" t="s">
        <v>170</v>
      </c>
      <c r="E13" s="28" t="s">
        <v>170</v>
      </c>
      <c r="F13" s="28" t="s">
        <v>170</v>
      </c>
      <c r="G13" s="28" t="s">
        <v>170</v>
      </c>
      <c r="H13" s="28" t="s">
        <v>170</v>
      </c>
      <c r="I13" s="28" t="s">
        <v>170</v>
      </c>
      <c r="J13" s="28" t="s">
        <v>170</v>
      </c>
      <c r="K13" s="28" t="s">
        <v>170</v>
      </c>
      <c r="L13" s="28" t="s">
        <v>170</v>
      </c>
      <c r="M13" s="28" t="s">
        <v>170</v>
      </c>
      <c r="N13" s="28" t="s">
        <v>170</v>
      </c>
      <c r="O13" s="28" t="s">
        <v>170</v>
      </c>
      <c r="P13" s="28" t="s">
        <v>170</v>
      </c>
      <c r="Q13" s="28" t="s">
        <v>170</v>
      </c>
      <c r="R13" s="28" t="s">
        <v>170</v>
      </c>
      <c r="S13" s="28" t="s">
        <v>170</v>
      </c>
      <c r="T13" s="28" t="s">
        <v>170</v>
      </c>
      <c r="U13" s="28" t="s">
        <v>170</v>
      </c>
      <c r="V13" s="28" t="s">
        <v>170</v>
      </c>
      <c r="W13" s="28" t="s">
        <v>170</v>
      </c>
      <c r="X13" s="28" t="s">
        <v>170</v>
      </c>
      <c r="Y13" s="28" t="s">
        <v>170</v>
      </c>
      <c r="Z13" s="28" t="s">
        <v>170</v>
      </c>
      <c r="AA13" s="28" t="s">
        <v>170</v>
      </c>
      <c r="AB13" s="28" t="s">
        <v>170</v>
      </c>
      <c r="AC13" s="28" t="s">
        <v>170</v>
      </c>
      <c r="AD13" s="28" t="s">
        <v>170</v>
      </c>
      <c r="AE13" s="28" t="s">
        <v>170</v>
      </c>
      <c r="AF13" s="28" t="s">
        <v>170</v>
      </c>
      <c r="AG13" s="28" t="s">
        <v>170</v>
      </c>
      <c r="AH13" s="28" t="s">
        <v>170</v>
      </c>
      <c r="AJ13" s="28" t="s">
        <v>170</v>
      </c>
    </row>
    <row r="14" spans="1:36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 t="s">
        <v>173</v>
      </c>
      <c r="V14" s="28" t="s">
        <v>173</v>
      </c>
      <c r="W14" s="28" t="s">
        <v>173</v>
      </c>
      <c r="X14" s="28" t="s">
        <v>173</v>
      </c>
      <c r="Y14" s="28" t="s">
        <v>173</v>
      </c>
      <c r="Z14" s="28" t="s">
        <v>173</v>
      </c>
      <c r="AA14" s="28" t="s">
        <v>173</v>
      </c>
      <c r="AB14" s="28" t="s">
        <v>173</v>
      </c>
      <c r="AC14" s="28" t="s">
        <v>173</v>
      </c>
      <c r="AD14" s="28" t="s">
        <v>173</v>
      </c>
      <c r="AE14" s="28" t="s">
        <v>173</v>
      </c>
      <c r="AF14" s="28" t="s">
        <v>173</v>
      </c>
      <c r="AG14" s="28" t="s">
        <v>173</v>
      </c>
      <c r="AH14" s="28" t="s">
        <v>173</v>
      </c>
      <c r="AJ14" s="28" t="s">
        <v>173</v>
      </c>
    </row>
    <row r="15" spans="1:36" x14ac:dyDescent="0.25">
      <c r="A15" s="26" t="s">
        <v>175</v>
      </c>
      <c r="B15" s="28" t="s">
        <v>198</v>
      </c>
      <c r="C15" s="28" t="s">
        <v>198</v>
      </c>
      <c r="D15" s="28" t="s">
        <v>198</v>
      </c>
      <c r="E15" s="28" t="s">
        <v>198</v>
      </c>
      <c r="F15" s="28" t="s">
        <v>198</v>
      </c>
      <c r="G15" s="28" t="s">
        <v>198</v>
      </c>
      <c r="H15" s="28" t="s">
        <v>198</v>
      </c>
      <c r="I15" s="28" t="s">
        <v>198</v>
      </c>
      <c r="J15" s="28" t="s">
        <v>198</v>
      </c>
      <c r="K15" s="28" t="s">
        <v>198</v>
      </c>
      <c r="L15" s="28" t="s">
        <v>198</v>
      </c>
      <c r="M15" s="28" t="s">
        <v>198</v>
      </c>
      <c r="N15" s="28" t="s">
        <v>198</v>
      </c>
      <c r="O15" s="28" t="s">
        <v>198</v>
      </c>
      <c r="P15" s="28" t="s">
        <v>198</v>
      </c>
      <c r="Q15" s="28" t="s">
        <v>198</v>
      </c>
      <c r="R15" s="28" t="s">
        <v>198</v>
      </c>
      <c r="S15" s="28" t="s">
        <v>198</v>
      </c>
      <c r="T15" s="28" t="s">
        <v>198</v>
      </c>
      <c r="U15" s="28" t="s">
        <v>198</v>
      </c>
      <c r="V15" s="28" t="s">
        <v>198</v>
      </c>
      <c r="W15" s="28" t="s">
        <v>198</v>
      </c>
      <c r="X15" s="28" t="s">
        <v>198</v>
      </c>
      <c r="Y15" s="28" t="s">
        <v>198</v>
      </c>
      <c r="Z15" s="28" t="s">
        <v>198</v>
      </c>
      <c r="AA15" s="28" t="s">
        <v>198</v>
      </c>
      <c r="AB15" s="28" t="s">
        <v>198</v>
      </c>
      <c r="AC15" s="28" t="s">
        <v>198</v>
      </c>
      <c r="AD15" s="28" t="s">
        <v>198</v>
      </c>
      <c r="AE15" s="28" t="s">
        <v>198</v>
      </c>
      <c r="AF15" s="28" t="s">
        <v>198</v>
      </c>
      <c r="AG15" s="28" t="s">
        <v>198</v>
      </c>
      <c r="AH15" s="28" t="s">
        <v>198</v>
      </c>
      <c r="AJ15" s="28" t="s">
        <v>199</v>
      </c>
    </row>
    <row r="16" spans="1:36" x14ac:dyDescent="0.25">
      <c r="A16" s="26" t="s">
        <v>176</v>
      </c>
      <c r="B16" s="30">
        <v>0.5</v>
      </c>
      <c r="C16" s="30">
        <f>AVERAGE(1,1,1,0.5)</f>
        <v>0.875</v>
      </c>
      <c r="D16" s="30">
        <v>1</v>
      </c>
      <c r="E16" s="30">
        <f>AVERAGE(0.5,0.5,0.5,1)</f>
        <v>0.625</v>
      </c>
      <c r="F16" s="30">
        <v>0.5</v>
      </c>
      <c r="G16" s="30">
        <v>0.5</v>
      </c>
      <c r="H16" s="30">
        <f>5/3</f>
        <v>1.6666666666666667</v>
      </c>
      <c r="I16" s="30">
        <v>1</v>
      </c>
      <c r="J16" s="30">
        <v>0.5</v>
      </c>
      <c r="K16" s="30">
        <v>0.5</v>
      </c>
      <c r="L16" s="30">
        <v>0.5</v>
      </c>
      <c r="M16" s="30">
        <v>0.5</v>
      </c>
      <c r="N16" s="30">
        <v>0.5</v>
      </c>
      <c r="O16" s="30">
        <v>0.5</v>
      </c>
      <c r="P16" s="30">
        <f>4/3</f>
        <v>1.3333333333333333</v>
      </c>
      <c r="Q16" s="30">
        <f>4/3</f>
        <v>1.3333333333333333</v>
      </c>
      <c r="R16" s="30">
        <f>4/3</f>
        <v>1.3333333333333333</v>
      </c>
      <c r="S16" s="30">
        <v>1</v>
      </c>
      <c r="T16" s="30">
        <v>1</v>
      </c>
      <c r="U16" s="30">
        <v>0.5</v>
      </c>
      <c r="V16" s="30">
        <v>1</v>
      </c>
      <c r="W16" s="30">
        <f>AVERAGE(0.5,1)</f>
        <v>0.75</v>
      </c>
      <c r="X16" s="30">
        <v>0.5</v>
      </c>
      <c r="Y16" s="30">
        <f>AVERAGE(1,1,1,0.5)</f>
        <v>0.875</v>
      </c>
      <c r="Z16" s="30">
        <v>1</v>
      </c>
      <c r="AA16" s="30">
        <v>1</v>
      </c>
      <c r="AB16" s="30">
        <v>1</v>
      </c>
      <c r="AC16" s="30">
        <v>1</v>
      </c>
      <c r="AD16" s="30">
        <v>1</v>
      </c>
      <c r="AE16" s="30">
        <v>1</v>
      </c>
      <c r="AF16" s="30">
        <v>0.5</v>
      </c>
      <c r="AG16" s="30">
        <f>4/3</f>
        <v>1.3333333333333333</v>
      </c>
      <c r="AH16" s="30">
        <f>4/3</f>
        <v>1.3333333333333333</v>
      </c>
      <c r="AJ16" s="30">
        <v>-0.5</v>
      </c>
    </row>
    <row r="17" spans="1:36" x14ac:dyDescent="0.25">
      <c r="A17" s="26" t="s">
        <v>177</v>
      </c>
      <c r="B17" s="28" t="s">
        <v>181</v>
      </c>
      <c r="C17" s="28" t="s">
        <v>181</v>
      </c>
      <c r="D17" s="28" t="s">
        <v>181</v>
      </c>
      <c r="E17" s="28" t="s">
        <v>181</v>
      </c>
      <c r="F17" s="28" t="s">
        <v>181</v>
      </c>
      <c r="G17" s="28" t="s">
        <v>181</v>
      </c>
      <c r="H17" s="28" t="s">
        <v>181</v>
      </c>
      <c r="I17" s="28" t="s">
        <v>181</v>
      </c>
      <c r="J17" s="28" t="s">
        <v>181</v>
      </c>
      <c r="K17" s="28" t="s">
        <v>181</v>
      </c>
      <c r="L17" s="28" t="s">
        <v>181</v>
      </c>
      <c r="M17" s="28" t="s">
        <v>181</v>
      </c>
      <c r="N17" s="28" t="s">
        <v>181</v>
      </c>
      <c r="O17" s="28" t="s">
        <v>181</v>
      </c>
      <c r="P17" s="28" t="s">
        <v>181</v>
      </c>
      <c r="Q17" s="28" t="s">
        <v>181</v>
      </c>
      <c r="R17" s="28" t="s">
        <v>181</v>
      </c>
      <c r="S17" s="28" t="s">
        <v>181</v>
      </c>
      <c r="T17" s="28" t="s">
        <v>181</v>
      </c>
      <c r="U17" s="28" t="s">
        <v>181</v>
      </c>
      <c r="V17" s="28" t="s">
        <v>181</v>
      </c>
      <c r="W17" s="28" t="s">
        <v>181</v>
      </c>
      <c r="X17" s="28" t="s">
        <v>181</v>
      </c>
      <c r="Y17" s="28" t="s">
        <v>181</v>
      </c>
      <c r="Z17" s="28" t="s">
        <v>181</v>
      </c>
      <c r="AA17" s="28" t="s">
        <v>181</v>
      </c>
      <c r="AB17" s="28" t="s">
        <v>181</v>
      </c>
      <c r="AC17" s="28" t="s">
        <v>181</v>
      </c>
      <c r="AD17" s="28" t="s">
        <v>181</v>
      </c>
      <c r="AE17" s="28" t="s">
        <v>181</v>
      </c>
      <c r="AF17" s="28" t="s">
        <v>181</v>
      </c>
      <c r="AG17" s="28" t="s">
        <v>181</v>
      </c>
      <c r="AH17" s="28" t="s">
        <v>181</v>
      </c>
      <c r="AJ17" s="28" t="s">
        <v>181</v>
      </c>
    </row>
    <row r="18" spans="1:36" x14ac:dyDescent="0.25">
      <c r="A18" s="26" t="s">
        <v>182</v>
      </c>
      <c r="B18" s="30">
        <v>2</v>
      </c>
      <c r="C18" s="30">
        <v>2</v>
      </c>
      <c r="D18" s="30">
        <v>2</v>
      </c>
      <c r="E18" s="30">
        <v>2</v>
      </c>
      <c r="F18" s="30">
        <v>2</v>
      </c>
      <c r="G18" s="30">
        <v>2</v>
      </c>
      <c r="H18" s="30">
        <v>2</v>
      </c>
      <c r="I18" s="30">
        <v>2</v>
      </c>
      <c r="J18" s="30">
        <v>2</v>
      </c>
      <c r="K18" s="30">
        <v>2</v>
      </c>
      <c r="L18" s="30">
        <v>2</v>
      </c>
      <c r="M18" s="30">
        <v>2</v>
      </c>
      <c r="N18" s="30">
        <v>2</v>
      </c>
      <c r="O18" s="30">
        <v>2</v>
      </c>
      <c r="P18" s="30">
        <v>2</v>
      </c>
      <c r="Q18" s="30">
        <v>2</v>
      </c>
      <c r="R18" s="30">
        <v>2</v>
      </c>
      <c r="S18" s="30">
        <v>2</v>
      </c>
      <c r="T18" s="30">
        <v>2</v>
      </c>
      <c r="U18" s="30">
        <v>2</v>
      </c>
      <c r="V18" s="30">
        <v>2</v>
      </c>
      <c r="W18" s="30">
        <v>2</v>
      </c>
      <c r="X18" s="30">
        <v>2</v>
      </c>
      <c r="Y18" s="30">
        <v>2</v>
      </c>
      <c r="Z18" s="30">
        <v>2</v>
      </c>
      <c r="AA18" s="30">
        <v>2</v>
      </c>
      <c r="AB18" s="30">
        <v>2</v>
      </c>
      <c r="AC18" s="30">
        <v>2</v>
      </c>
      <c r="AD18" s="30">
        <v>2</v>
      </c>
      <c r="AE18" s="30">
        <v>2</v>
      </c>
      <c r="AF18" s="30">
        <v>2</v>
      </c>
      <c r="AG18" s="30">
        <v>2</v>
      </c>
      <c r="AH18" s="30">
        <v>2</v>
      </c>
      <c r="AJ18" s="30">
        <v>2</v>
      </c>
    </row>
    <row r="19" spans="1:36" x14ac:dyDescent="0.25">
      <c r="AH19" s="78" t="s">
        <v>429</v>
      </c>
      <c r="AJ19" s="78" t="s">
        <v>430</v>
      </c>
    </row>
    <row r="20" spans="1:36" x14ac:dyDescent="0.25">
      <c r="A20" s="31" t="s">
        <v>183</v>
      </c>
    </row>
    <row r="21" spans="1:36" x14ac:dyDescent="0.25">
      <c r="A21" s="93" t="s">
        <v>431</v>
      </c>
      <c r="B21" s="96" t="s">
        <v>422</v>
      </c>
    </row>
    <row r="22" spans="1:36" x14ac:dyDescent="0.25">
      <c r="A22" s="224" t="s">
        <v>432</v>
      </c>
      <c r="B22" s="96" t="s">
        <v>422</v>
      </c>
    </row>
    <row r="23" spans="1:36" x14ac:dyDescent="0.25">
      <c r="A23" s="224"/>
      <c r="B23" s="96" t="s">
        <v>424</v>
      </c>
    </row>
    <row r="25" spans="1:36" ht="53.25" customHeight="1" x14ac:dyDescent="0.25">
      <c r="A25" s="55" t="s">
        <v>425</v>
      </c>
      <c r="B25" s="237" t="s">
        <v>426</v>
      </c>
      <c r="C25" s="237"/>
      <c r="D25" s="237"/>
      <c r="E25" s="237"/>
      <c r="F25" s="237"/>
      <c r="G25" s="237"/>
      <c r="H25" s="237"/>
      <c r="I25" s="237"/>
      <c r="J25" s="237"/>
      <c r="K25" s="237"/>
      <c r="L25" s="237"/>
      <c r="M25" s="237"/>
      <c r="N25" s="237"/>
      <c r="O25" s="237"/>
      <c r="P25" s="237"/>
    </row>
  </sheetData>
  <mergeCells count="7">
    <mergeCell ref="F3:O3"/>
    <mergeCell ref="F4:O5"/>
    <mergeCell ref="B25:P25"/>
    <mergeCell ref="A22:A23"/>
    <mergeCell ref="B3:D3"/>
    <mergeCell ref="B4:D4"/>
    <mergeCell ref="B5:D5"/>
  </mergeCells>
  <hyperlinks>
    <hyperlink ref="A25" r:id="rId1" xr:uid="{3509802D-865B-48CB-9157-8371B052F661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C1095-5C82-4E77-BCD1-FBEF162181BA}">
  <dimension ref="A1:AH21"/>
  <sheetViews>
    <sheetView workbookViewId="0">
      <selection activeCell="E10" sqref="E10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117</v>
      </c>
      <c r="I1" s="25" t="s">
        <v>118</v>
      </c>
    </row>
    <row r="3" spans="1:34" ht="18" x14ac:dyDescent="0.25">
      <c r="A3" s="25" t="s">
        <v>119</v>
      </c>
      <c r="B3" s="215">
        <v>23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412</v>
      </c>
      <c r="C4" s="215"/>
      <c r="D4" s="215"/>
      <c r="F4" s="216" t="s">
        <v>433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125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28" t="s">
        <v>414</v>
      </c>
      <c r="C8" s="28" t="s">
        <v>256</v>
      </c>
      <c r="D8" s="28" t="s">
        <v>256</v>
      </c>
      <c r="E8" s="28" t="s">
        <v>256</v>
      </c>
      <c r="F8" s="28" t="s">
        <v>256</v>
      </c>
      <c r="G8" s="28" t="s">
        <v>256</v>
      </c>
      <c r="H8" s="28" t="s">
        <v>256</v>
      </c>
      <c r="I8" s="28" t="s">
        <v>256</v>
      </c>
      <c r="J8" s="28" t="s">
        <v>256</v>
      </c>
      <c r="K8" s="28" t="s">
        <v>256</v>
      </c>
      <c r="L8" s="28" t="s">
        <v>256</v>
      </c>
      <c r="M8" s="28" t="s">
        <v>256</v>
      </c>
      <c r="N8" s="28" t="s">
        <v>256</v>
      </c>
      <c r="O8" s="28" t="s">
        <v>256</v>
      </c>
      <c r="P8" s="29" t="s">
        <v>256</v>
      </c>
      <c r="Q8" s="29" t="s">
        <v>256</v>
      </c>
      <c r="R8" s="29" t="s">
        <v>256</v>
      </c>
      <c r="S8" s="28" t="s">
        <v>256</v>
      </c>
      <c r="T8" s="28" t="s">
        <v>256</v>
      </c>
      <c r="U8" s="29" t="s">
        <v>256</v>
      </c>
      <c r="V8" s="29" t="s">
        <v>256</v>
      </c>
      <c r="W8" s="29" t="s">
        <v>256</v>
      </c>
      <c r="X8" s="29" t="s">
        <v>256</v>
      </c>
      <c r="Y8" s="28" t="s">
        <v>256</v>
      </c>
      <c r="Z8" s="28" t="s">
        <v>256</v>
      </c>
      <c r="AA8" s="28" t="s">
        <v>256</v>
      </c>
      <c r="AB8" s="28" t="s">
        <v>256</v>
      </c>
      <c r="AC8" s="28" t="s">
        <v>256</v>
      </c>
      <c r="AD8" s="28" t="s">
        <v>256</v>
      </c>
      <c r="AE8" s="28" t="s">
        <v>256</v>
      </c>
      <c r="AF8" s="29" t="s">
        <v>256</v>
      </c>
      <c r="AG8" s="29" t="s">
        <v>256</v>
      </c>
      <c r="AH8" s="29" t="s">
        <v>256</v>
      </c>
    </row>
    <row r="9" spans="1:34" x14ac:dyDescent="0.25">
      <c r="A9" s="26" t="s">
        <v>165</v>
      </c>
      <c r="B9" s="28" t="s">
        <v>260</v>
      </c>
      <c r="C9" s="113" t="s">
        <v>416</v>
      </c>
      <c r="D9" s="28" t="s">
        <v>256</v>
      </c>
      <c r="E9" s="113" t="s">
        <v>417</v>
      </c>
      <c r="F9" s="28" t="s">
        <v>260</v>
      </c>
      <c r="G9" s="28" t="s">
        <v>260</v>
      </c>
      <c r="H9" s="28" t="s">
        <v>259</v>
      </c>
      <c r="I9" s="28" t="s">
        <v>256</v>
      </c>
      <c r="J9" s="28" t="s">
        <v>260</v>
      </c>
      <c r="K9" s="28" t="s">
        <v>260</v>
      </c>
      <c r="L9" s="28" t="s">
        <v>260</v>
      </c>
      <c r="M9" s="28" t="s">
        <v>260</v>
      </c>
      <c r="N9" s="28" t="s">
        <v>260</v>
      </c>
      <c r="O9" s="28" t="s">
        <v>260</v>
      </c>
      <c r="P9" s="29" t="s">
        <v>261</v>
      </c>
      <c r="Q9" s="29" t="s">
        <v>261</v>
      </c>
      <c r="R9" s="29" t="s">
        <v>261</v>
      </c>
      <c r="S9" s="28" t="s">
        <v>256</v>
      </c>
      <c r="T9" s="28" t="s">
        <v>256</v>
      </c>
      <c r="U9" s="28" t="s">
        <v>260</v>
      </c>
      <c r="V9" s="28" t="s">
        <v>256</v>
      </c>
      <c r="W9" s="29" t="s">
        <v>418</v>
      </c>
      <c r="X9" s="28" t="s">
        <v>260</v>
      </c>
      <c r="Y9" s="113" t="s">
        <v>416</v>
      </c>
      <c r="Z9" s="28" t="s">
        <v>256</v>
      </c>
      <c r="AA9" s="28" t="s">
        <v>256</v>
      </c>
      <c r="AB9" s="28" t="s">
        <v>256</v>
      </c>
      <c r="AC9" s="28" t="s">
        <v>256</v>
      </c>
      <c r="AD9" s="28" t="s">
        <v>256</v>
      </c>
      <c r="AE9" s="28" t="s">
        <v>256</v>
      </c>
      <c r="AF9" s="28" t="s">
        <v>260</v>
      </c>
      <c r="AG9" s="29" t="s">
        <v>261</v>
      </c>
      <c r="AH9" s="29" t="s">
        <v>261</v>
      </c>
    </row>
    <row r="10" spans="1:34" x14ac:dyDescent="0.25">
      <c r="A10" s="131" t="s">
        <v>168</v>
      </c>
      <c r="B10" s="157">
        <v>52</v>
      </c>
      <c r="C10" s="157">
        <v>118</v>
      </c>
      <c r="D10" s="157">
        <v>50</v>
      </c>
      <c r="E10" s="157">
        <v>122</v>
      </c>
      <c r="F10" s="157">
        <v>52</v>
      </c>
      <c r="G10" s="157">
        <v>52</v>
      </c>
      <c r="H10" s="157">
        <v>46</v>
      </c>
      <c r="I10" s="157">
        <v>50</v>
      </c>
      <c r="J10" s="157">
        <v>52</v>
      </c>
      <c r="K10" s="157">
        <v>52</v>
      </c>
      <c r="L10" s="157">
        <v>52</v>
      </c>
      <c r="M10" s="157">
        <v>52</v>
      </c>
      <c r="N10" s="157">
        <v>52</v>
      </c>
      <c r="O10" s="157">
        <v>52</v>
      </c>
      <c r="P10" s="157">
        <v>48</v>
      </c>
      <c r="Q10" s="157">
        <v>48</v>
      </c>
      <c r="R10" s="157">
        <v>48</v>
      </c>
      <c r="S10" s="157">
        <v>50</v>
      </c>
      <c r="T10" s="157">
        <v>50</v>
      </c>
      <c r="U10" s="157">
        <v>52</v>
      </c>
      <c r="V10" s="157">
        <v>50</v>
      </c>
      <c r="W10" s="157">
        <v>161</v>
      </c>
      <c r="X10" s="157">
        <v>52</v>
      </c>
      <c r="Y10" s="157">
        <v>118</v>
      </c>
      <c r="Z10" s="157">
        <v>50</v>
      </c>
      <c r="AA10" s="157">
        <v>50</v>
      </c>
      <c r="AB10" s="157">
        <v>50</v>
      </c>
      <c r="AC10" s="157">
        <v>50</v>
      </c>
      <c r="AD10" s="157">
        <v>50</v>
      </c>
      <c r="AE10" s="157">
        <v>50</v>
      </c>
      <c r="AF10" s="157">
        <v>52</v>
      </c>
      <c r="AG10" s="157">
        <v>48</v>
      </c>
      <c r="AH10" s="157">
        <v>48</v>
      </c>
    </row>
    <row r="11" spans="1:34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28" t="s">
        <v>170</v>
      </c>
      <c r="O11" s="28" t="s">
        <v>170</v>
      </c>
      <c r="P11" s="29" t="s">
        <v>170</v>
      </c>
      <c r="Q11" s="29" t="s">
        <v>170</v>
      </c>
      <c r="R11" s="29" t="s">
        <v>170</v>
      </c>
      <c r="S11" s="28" t="s">
        <v>170</v>
      </c>
      <c r="T11" s="28" t="s">
        <v>170</v>
      </c>
      <c r="U11" s="28" t="s">
        <v>170</v>
      </c>
      <c r="V11" s="28" t="s">
        <v>170</v>
      </c>
      <c r="W11" s="28" t="s">
        <v>170</v>
      </c>
      <c r="X11" s="28" t="s">
        <v>170</v>
      </c>
      <c r="Y11" s="28" t="s">
        <v>170</v>
      </c>
      <c r="Z11" s="28" t="s">
        <v>170</v>
      </c>
      <c r="AA11" s="28" t="s">
        <v>170</v>
      </c>
      <c r="AB11" s="28" t="s">
        <v>170</v>
      </c>
      <c r="AC11" s="28" t="s">
        <v>170</v>
      </c>
      <c r="AD11" s="28" t="s">
        <v>170</v>
      </c>
      <c r="AE11" s="28" t="s">
        <v>170</v>
      </c>
      <c r="AF11" s="28" t="s">
        <v>170</v>
      </c>
      <c r="AG11" s="29" t="s">
        <v>170</v>
      </c>
      <c r="AH11" s="29" t="s">
        <v>170</v>
      </c>
    </row>
    <row r="12" spans="1:34" x14ac:dyDescent="0.25">
      <c r="A12" s="26" t="s">
        <v>171</v>
      </c>
      <c r="B12" s="28" t="s">
        <v>173</v>
      </c>
      <c r="C12" s="28" t="s">
        <v>173</v>
      </c>
      <c r="D12" s="28" t="s">
        <v>173</v>
      </c>
      <c r="E12" s="28" t="s">
        <v>173</v>
      </c>
      <c r="F12" s="28" t="s">
        <v>173</v>
      </c>
      <c r="G12" s="28" t="s">
        <v>173</v>
      </c>
      <c r="H12" s="28" t="s">
        <v>173</v>
      </c>
      <c r="I12" s="28" t="s">
        <v>173</v>
      </c>
      <c r="J12" s="28" t="s">
        <v>173</v>
      </c>
      <c r="K12" s="28" t="s">
        <v>173</v>
      </c>
      <c r="L12" s="28" t="s">
        <v>173</v>
      </c>
      <c r="M12" s="28" t="s">
        <v>173</v>
      </c>
      <c r="N12" s="28" t="s">
        <v>173</v>
      </c>
      <c r="O12" s="28" t="s">
        <v>173</v>
      </c>
      <c r="P12" s="28" t="s">
        <v>173</v>
      </c>
      <c r="Q12" s="28" t="s">
        <v>173</v>
      </c>
      <c r="R12" s="28" t="s">
        <v>173</v>
      </c>
      <c r="S12" s="28" t="s">
        <v>173</v>
      </c>
      <c r="T12" s="28" t="s">
        <v>173</v>
      </c>
      <c r="U12" s="28" t="s">
        <v>173</v>
      </c>
      <c r="V12" s="28" t="s">
        <v>173</v>
      </c>
      <c r="W12" s="28" t="s">
        <v>173</v>
      </c>
      <c r="X12" s="28" t="s">
        <v>173</v>
      </c>
      <c r="Y12" s="28" t="s">
        <v>173</v>
      </c>
      <c r="Z12" s="28" t="s">
        <v>173</v>
      </c>
      <c r="AA12" s="28" t="s">
        <v>173</v>
      </c>
      <c r="AB12" s="28" t="s">
        <v>173</v>
      </c>
      <c r="AC12" s="28" t="s">
        <v>173</v>
      </c>
      <c r="AD12" s="28" t="s">
        <v>173</v>
      </c>
      <c r="AE12" s="28" t="s">
        <v>173</v>
      </c>
      <c r="AF12" s="28" t="s">
        <v>173</v>
      </c>
      <c r="AG12" s="28" t="s">
        <v>173</v>
      </c>
      <c r="AH12" s="28" t="s">
        <v>173</v>
      </c>
    </row>
    <row r="13" spans="1:34" x14ac:dyDescent="0.25">
      <c r="A13" s="26" t="s">
        <v>172</v>
      </c>
      <c r="B13" s="28" t="s">
        <v>170</v>
      </c>
      <c r="C13" s="28" t="s">
        <v>170</v>
      </c>
      <c r="D13" s="28" t="s">
        <v>170</v>
      </c>
      <c r="E13" s="28" t="s">
        <v>170</v>
      </c>
      <c r="F13" s="28" t="s">
        <v>170</v>
      </c>
      <c r="G13" s="28" t="s">
        <v>170</v>
      </c>
      <c r="H13" s="28" t="s">
        <v>170</v>
      </c>
      <c r="I13" s="28" t="s">
        <v>170</v>
      </c>
      <c r="J13" s="28" t="s">
        <v>170</v>
      </c>
      <c r="K13" s="28" t="s">
        <v>170</v>
      </c>
      <c r="L13" s="28" t="s">
        <v>170</v>
      </c>
      <c r="M13" s="28" t="s">
        <v>170</v>
      </c>
      <c r="N13" s="28" t="s">
        <v>170</v>
      </c>
      <c r="O13" s="28" t="s">
        <v>170</v>
      </c>
      <c r="P13" s="28" t="s">
        <v>170</v>
      </c>
      <c r="Q13" s="28" t="s">
        <v>170</v>
      </c>
      <c r="R13" s="28" t="s">
        <v>170</v>
      </c>
      <c r="S13" s="28" t="s">
        <v>170</v>
      </c>
      <c r="T13" s="28" t="s">
        <v>170</v>
      </c>
      <c r="U13" s="28" t="s">
        <v>170</v>
      </c>
      <c r="V13" s="28" t="s">
        <v>170</v>
      </c>
      <c r="W13" s="28" t="s">
        <v>170</v>
      </c>
      <c r="X13" s="28" t="s">
        <v>170</v>
      </c>
      <c r="Y13" s="28" t="s">
        <v>170</v>
      </c>
      <c r="Z13" s="28" t="s">
        <v>170</v>
      </c>
      <c r="AA13" s="28" t="s">
        <v>170</v>
      </c>
      <c r="AB13" s="28" t="s">
        <v>170</v>
      </c>
      <c r="AC13" s="28" t="s">
        <v>170</v>
      </c>
      <c r="AD13" s="28" t="s">
        <v>170</v>
      </c>
      <c r="AE13" s="28" t="s">
        <v>170</v>
      </c>
      <c r="AF13" s="28" t="s">
        <v>170</v>
      </c>
      <c r="AG13" s="28" t="s">
        <v>170</v>
      </c>
      <c r="AH13" s="28" t="s">
        <v>170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 t="s">
        <v>173</v>
      </c>
      <c r="V14" s="28" t="s">
        <v>173</v>
      </c>
      <c r="W14" s="28" t="s">
        <v>173</v>
      </c>
      <c r="X14" s="28" t="s">
        <v>173</v>
      </c>
      <c r="Y14" s="28" t="s">
        <v>173</v>
      </c>
      <c r="Z14" s="28" t="s">
        <v>173</v>
      </c>
      <c r="AA14" s="28" t="s">
        <v>173</v>
      </c>
      <c r="AB14" s="28" t="s">
        <v>173</v>
      </c>
      <c r="AC14" s="28" t="s">
        <v>173</v>
      </c>
      <c r="AD14" s="28" t="s">
        <v>173</v>
      </c>
      <c r="AE14" s="28" t="s">
        <v>173</v>
      </c>
      <c r="AF14" s="28" t="s">
        <v>173</v>
      </c>
      <c r="AG14" s="28" t="s">
        <v>173</v>
      </c>
      <c r="AH14" s="28" t="s">
        <v>173</v>
      </c>
    </row>
    <row r="15" spans="1:34" x14ac:dyDescent="0.25">
      <c r="A15" s="26" t="s">
        <v>175</v>
      </c>
      <c r="B15" s="28" t="s">
        <v>198</v>
      </c>
      <c r="C15" s="28" t="s">
        <v>198</v>
      </c>
      <c r="D15" s="28" t="s">
        <v>198</v>
      </c>
      <c r="E15" s="28" t="s">
        <v>198</v>
      </c>
      <c r="F15" s="28" t="s">
        <v>198</v>
      </c>
      <c r="G15" s="28" t="s">
        <v>198</v>
      </c>
      <c r="H15" s="28" t="s">
        <v>198</v>
      </c>
      <c r="I15" s="28" t="s">
        <v>198</v>
      </c>
      <c r="J15" s="28" t="s">
        <v>198</v>
      </c>
      <c r="K15" s="28" t="s">
        <v>198</v>
      </c>
      <c r="L15" s="28" t="s">
        <v>198</v>
      </c>
      <c r="M15" s="28" t="s">
        <v>198</v>
      </c>
      <c r="N15" s="28" t="s">
        <v>198</v>
      </c>
      <c r="O15" s="28" t="s">
        <v>198</v>
      </c>
      <c r="P15" s="28" t="s">
        <v>198</v>
      </c>
      <c r="Q15" s="28" t="s">
        <v>198</v>
      </c>
      <c r="R15" s="28" t="s">
        <v>198</v>
      </c>
      <c r="S15" s="28" t="s">
        <v>198</v>
      </c>
      <c r="T15" s="28" t="s">
        <v>198</v>
      </c>
      <c r="U15" s="28" t="s">
        <v>198</v>
      </c>
      <c r="V15" s="28" t="s">
        <v>198</v>
      </c>
      <c r="W15" s="28" t="s">
        <v>198</v>
      </c>
      <c r="X15" s="28" t="s">
        <v>198</v>
      </c>
      <c r="Y15" s="28" t="s">
        <v>198</v>
      </c>
      <c r="Z15" s="28" t="s">
        <v>198</v>
      </c>
      <c r="AA15" s="28" t="s">
        <v>198</v>
      </c>
      <c r="AB15" s="28" t="s">
        <v>198</v>
      </c>
      <c r="AC15" s="28" t="s">
        <v>198</v>
      </c>
      <c r="AD15" s="28" t="s">
        <v>198</v>
      </c>
      <c r="AE15" s="28" t="s">
        <v>198</v>
      </c>
      <c r="AF15" s="28" t="s">
        <v>198</v>
      </c>
      <c r="AG15" s="28" t="s">
        <v>198</v>
      </c>
      <c r="AH15" s="28" t="s">
        <v>198</v>
      </c>
    </row>
    <row r="16" spans="1:34" x14ac:dyDescent="0.25">
      <c r="A16" s="26" t="s">
        <v>176</v>
      </c>
      <c r="B16" s="30">
        <v>0.5</v>
      </c>
      <c r="C16" s="30">
        <f>AVERAGE(1,1,1,0.5)</f>
        <v>0.875</v>
      </c>
      <c r="D16" s="30">
        <v>1</v>
      </c>
      <c r="E16" s="30">
        <f>AVERAGE(0.5,0.5,0.5,1)</f>
        <v>0.625</v>
      </c>
      <c r="F16" s="30">
        <v>0.5</v>
      </c>
      <c r="G16" s="30">
        <v>0.5</v>
      </c>
      <c r="H16" s="30">
        <f>5/3</f>
        <v>1.6666666666666667</v>
      </c>
      <c r="I16" s="30">
        <v>1</v>
      </c>
      <c r="J16" s="30">
        <v>0.5</v>
      </c>
      <c r="K16" s="30">
        <v>0.5</v>
      </c>
      <c r="L16" s="30">
        <v>0.5</v>
      </c>
      <c r="M16" s="30">
        <v>0.5</v>
      </c>
      <c r="N16" s="30">
        <v>0.5</v>
      </c>
      <c r="O16" s="30">
        <v>0.5</v>
      </c>
      <c r="P16" s="30">
        <f>4/3</f>
        <v>1.3333333333333333</v>
      </c>
      <c r="Q16" s="30">
        <f>4/3</f>
        <v>1.3333333333333333</v>
      </c>
      <c r="R16" s="30">
        <f>4/3</f>
        <v>1.3333333333333333</v>
      </c>
      <c r="S16" s="30">
        <v>1</v>
      </c>
      <c r="T16" s="30">
        <v>1</v>
      </c>
      <c r="U16" s="30">
        <v>0.5</v>
      </c>
      <c r="V16" s="30">
        <v>1</v>
      </c>
      <c r="W16" s="30">
        <f>AVERAGE(0.5,1)</f>
        <v>0.75</v>
      </c>
      <c r="X16" s="30">
        <v>0.5</v>
      </c>
      <c r="Y16" s="30">
        <f>AVERAGE(1,1,1,0.5)</f>
        <v>0.875</v>
      </c>
      <c r="Z16" s="30">
        <v>1</v>
      </c>
      <c r="AA16" s="30">
        <v>1</v>
      </c>
      <c r="AB16" s="30">
        <v>1</v>
      </c>
      <c r="AC16" s="30">
        <v>1</v>
      </c>
      <c r="AD16" s="30">
        <v>1</v>
      </c>
      <c r="AE16" s="30">
        <v>1</v>
      </c>
      <c r="AF16" s="30">
        <v>0.5</v>
      </c>
      <c r="AG16" s="30">
        <f>4/3</f>
        <v>1.3333333333333333</v>
      </c>
      <c r="AH16" s="30">
        <f>4/3</f>
        <v>1.3333333333333333</v>
      </c>
    </row>
    <row r="17" spans="1:34" x14ac:dyDescent="0.25">
      <c r="A17" s="26" t="s">
        <v>177</v>
      </c>
      <c r="B17" s="28" t="s">
        <v>181</v>
      </c>
      <c r="C17" s="28" t="s">
        <v>181</v>
      </c>
      <c r="D17" s="28" t="s">
        <v>181</v>
      </c>
      <c r="E17" s="28" t="s">
        <v>181</v>
      </c>
      <c r="F17" s="28" t="s">
        <v>181</v>
      </c>
      <c r="G17" s="28" t="s">
        <v>181</v>
      </c>
      <c r="H17" s="28" t="s">
        <v>181</v>
      </c>
      <c r="I17" s="28" t="s">
        <v>181</v>
      </c>
      <c r="J17" s="28" t="s">
        <v>181</v>
      </c>
      <c r="K17" s="28" t="s">
        <v>181</v>
      </c>
      <c r="L17" s="28" t="s">
        <v>181</v>
      </c>
      <c r="M17" s="28" t="s">
        <v>181</v>
      </c>
      <c r="N17" s="28" t="s">
        <v>181</v>
      </c>
      <c r="O17" s="28" t="s">
        <v>181</v>
      </c>
      <c r="P17" s="28" t="s">
        <v>181</v>
      </c>
      <c r="Q17" s="28" t="s">
        <v>181</v>
      </c>
      <c r="R17" s="28" t="s">
        <v>181</v>
      </c>
      <c r="S17" s="28" t="s">
        <v>181</v>
      </c>
      <c r="T17" s="28" t="s">
        <v>181</v>
      </c>
      <c r="U17" s="28" t="s">
        <v>181</v>
      </c>
      <c r="V17" s="28" t="s">
        <v>181</v>
      </c>
      <c r="W17" s="28" t="s">
        <v>181</v>
      </c>
      <c r="X17" s="28" t="s">
        <v>181</v>
      </c>
      <c r="Y17" s="28" t="s">
        <v>181</v>
      </c>
      <c r="Z17" s="28" t="s">
        <v>181</v>
      </c>
      <c r="AA17" s="28" t="s">
        <v>181</v>
      </c>
      <c r="AB17" s="28" t="s">
        <v>181</v>
      </c>
      <c r="AC17" s="28" t="s">
        <v>181</v>
      </c>
      <c r="AD17" s="28" t="s">
        <v>181</v>
      </c>
      <c r="AE17" s="28" t="s">
        <v>181</v>
      </c>
      <c r="AF17" s="28" t="s">
        <v>181</v>
      </c>
      <c r="AG17" s="28" t="s">
        <v>181</v>
      </c>
      <c r="AH17" s="28" t="s">
        <v>181</v>
      </c>
    </row>
    <row r="18" spans="1:34" x14ac:dyDescent="0.25">
      <c r="A18" s="26" t="s">
        <v>182</v>
      </c>
      <c r="B18" s="30">
        <v>2</v>
      </c>
      <c r="C18" s="30">
        <v>2</v>
      </c>
      <c r="D18" s="30">
        <v>2</v>
      </c>
      <c r="E18" s="30">
        <v>2</v>
      </c>
      <c r="F18" s="30">
        <v>2</v>
      </c>
      <c r="G18" s="30">
        <v>2</v>
      </c>
      <c r="H18" s="30">
        <v>2</v>
      </c>
      <c r="I18" s="30">
        <v>2</v>
      </c>
      <c r="J18" s="30">
        <v>2</v>
      </c>
      <c r="K18" s="30">
        <v>2</v>
      </c>
      <c r="L18" s="30">
        <v>2</v>
      </c>
      <c r="M18" s="30">
        <v>2</v>
      </c>
      <c r="N18" s="30">
        <v>2</v>
      </c>
      <c r="O18" s="30">
        <v>2</v>
      </c>
      <c r="P18" s="30">
        <v>2</v>
      </c>
      <c r="Q18" s="30">
        <v>2</v>
      </c>
      <c r="R18" s="30">
        <v>2</v>
      </c>
      <c r="S18" s="30">
        <v>2</v>
      </c>
      <c r="T18" s="30">
        <v>2</v>
      </c>
      <c r="U18" s="30">
        <v>2</v>
      </c>
      <c r="V18" s="30">
        <v>2</v>
      </c>
      <c r="W18" s="30">
        <v>2</v>
      </c>
      <c r="X18" s="30">
        <v>2</v>
      </c>
      <c r="Y18" s="30">
        <v>2</v>
      </c>
      <c r="Z18" s="30">
        <v>2</v>
      </c>
      <c r="AA18" s="30">
        <v>2</v>
      </c>
      <c r="AB18" s="30">
        <v>2</v>
      </c>
      <c r="AC18" s="30">
        <v>2</v>
      </c>
      <c r="AD18" s="30">
        <v>2</v>
      </c>
      <c r="AE18" s="30">
        <v>2</v>
      </c>
      <c r="AF18" s="30">
        <v>2</v>
      </c>
      <c r="AG18" s="30">
        <v>2</v>
      </c>
      <c r="AH18" s="30">
        <v>2</v>
      </c>
    </row>
    <row r="20" spans="1:34" x14ac:dyDescent="0.25">
      <c r="A20" s="31" t="s">
        <v>183</v>
      </c>
    </row>
    <row r="21" spans="1:34" x14ac:dyDescent="0.25">
      <c r="A21" s="26" t="s">
        <v>434</v>
      </c>
      <c r="B21" s="56" t="s">
        <v>422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42913-AD26-493E-A568-B3C457FC6E1E}">
  <dimension ref="A1:AM23"/>
  <sheetViews>
    <sheetView workbookViewId="0">
      <selection activeCell="N9" sqref="N9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9" x14ac:dyDescent="0.25">
      <c r="A1" s="25" t="s">
        <v>116</v>
      </c>
      <c r="D1" s="25" t="s">
        <v>117</v>
      </c>
      <c r="I1" s="25" t="s">
        <v>118</v>
      </c>
    </row>
    <row r="3" spans="1:39" ht="18" x14ac:dyDescent="0.25">
      <c r="A3" s="25" t="s">
        <v>119</v>
      </c>
      <c r="B3" s="215">
        <v>24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9" ht="18" x14ac:dyDescent="0.25">
      <c r="A4" s="25" t="s">
        <v>121</v>
      </c>
      <c r="B4" s="215" t="s">
        <v>435</v>
      </c>
      <c r="C4" s="215"/>
      <c r="D4" s="215"/>
      <c r="F4" s="216" t="s">
        <v>436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9" ht="18" x14ac:dyDescent="0.25">
      <c r="A5" s="25" t="s">
        <v>124</v>
      </c>
      <c r="B5" s="215" t="s">
        <v>377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9" ht="45" x14ac:dyDescent="0.25">
      <c r="A7" s="27" t="s">
        <v>126</v>
      </c>
      <c r="B7" s="57" t="s">
        <v>17</v>
      </c>
      <c r="C7" s="58" t="s">
        <v>127</v>
      </c>
      <c r="D7" s="58" t="s">
        <v>128</v>
      </c>
      <c r="E7" s="59" t="s">
        <v>129</v>
      </c>
      <c r="F7" s="60" t="s">
        <v>130</v>
      </c>
      <c r="G7" s="61" t="s">
        <v>131</v>
      </c>
      <c r="H7" s="61" t="s">
        <v>132</v>
      </c>
      <c r="I7" s="62" t="s">
        <v>133</v>
      </c>
      <c r="J7" s="63" t="s">
        <v>134</v>
      </c>
      <c r="K7" s="64" t="s">
        <v>135</v>
      </c>
      <c r="L7" s="64" t="s">
        <v>136</v>
      </c>
      <c r="M7" s="64" t="s">
        <v>137</v>
      </c>
      <c r="N7" s="65" t="s">
        <v>138</v>
      </c>
      <c r="O7" s="65" t="s">
        <v>139</v>
      </c>
      <c r="P7" s="67" t="s">
        <v>140</v>
      </c>
      <c r="Q7" s="67" t="s">
        <v>141</v>
      </c>
      <c r="R7" s="66" t="s">
        <v>142</v>
      </c>
      <c r="S7" s="68" t="s">
        <v>143</v>
      </c>
      <c r="T7" s="69" t="s">
        <v>144</v>
      </c>
      <c r="U7" s="69" t="s">
        <v>145</v>
      </c>
      <c r="V7" s="70" t="s">
        <v>146</v>
      </c>
      <c r="W7" s="70" t="s">
        <v>147</v>
      </c>
      <c r="X7" s="71" t="s">
        <v>148</v>
      </c>
      <c r="Y7" s="71" t="s">
        <v>149</v>
      </c>
      <c r="Z7" s="72" t="s">
        <v>150</v>
      </c>
      <c r="AA7" s="72" t="s">
        <v>151</v>
      </c>
      <c r="AB7" s="73" t="s">
        <v>152</v>
      </c>
      <c r="AC7" s="73" t="s">
        <v>153</v>
      </c>
      <c r="AD7" s="73" t="s">
        <v>154</v>
      </c>
      <c r="AE7" s="74" t="s">
        <v>155</v>
      </c>
      <c r="AF7" s="75" t="s">
        <v>156</v>
      </c>
      <c r="AG7" s="76" t="s">
        <v>157</v>
      </c>
      <c r="AH7" s="76" t="s">
        <v>158</v>
      </c>
      <c r="AJ7" s="66" t="s">
        <v>142</v>
      </c>
      <c r="AK7" s="72" t="s">
        <v>151</v>
      </c>
      <c r="AL7" s="73" t="s">
        <v>153</v>
      </c>
      <c r="AM7" s="74" t="s">
        <v>155</v>
      </c>
    </row>
    <row r="8" spans="1:39" x14ac:dyDescent="0.25">
      <c r="A8" s="26" t="s">
        <v>159</v>
      </c>
      <c r="B8" s="113" t="s">
        <v>437</v>
      </c>
      <c r="C8" s="28" t="s">
        <v>340</v>
      </c>
      <c r="D8" s="28" t="s">
        <v>396</v>
      </c>
      <c r="E8" s="28" t="s">
        <v>396</v>
      </c>
      <c r="F8" s="28" t="s">
        <v>396</v>
      </c>
      <c r="G8" s="28" t="s">
        <v>396</v>
      </c>
      <c r="H8" s="28" t="s">
        <v>396</v>
      </c>
      <c r="I8" s="28" t="s">
        <v>396</v>
      </c>
      <c r="J8" s="28" t="s">
        <v>396</v>
      </c>
      <c r="K8" s="28" t="s">
        <v>396</v>
      </c>
      <c r="L8" s="28" t="s">
        <v>396</v>
      </c>
      <c r="M8" s="28" t="s">
        <v>396</v>
      </c>
      <c r="N8" s="80" t="s">
        <v>341</v>
      </c>
      <c r="O8" s="80" t="s">
        <v>341</v>
      </c>
      <c r="P8" s="28" t="s">
        <v>396</v>
      </c>
      <c r="Q8" s="28" t="s">
        <v>396</v>
      </c>
      <c r="R8" s="28" t="s">
        <v>395</v>
      </c>
      <c r="S8" s="28" t="s">
        <v>396</v>
      </c>
      <c r="T8" s="80" t="s">
        <v>341</v>
      </c>
      <c r="U8" s="80" t="s">
        <v>341</v>
      </c>
      <c r="V8" s="80" t="s">
        <v>341</v>
      </c>
      <c r="W8" s="80" t="s">
        <v>341</v>
      </c>
      <c r="X8" s="80" t="s">
        <v>341</v>
      </c>
      <c r="Y8" s="80" t="s">
        <v>341</v>
      </c>
      <c r="Z8" s="80" t="s">
        <v>341</v>
      </c>
      <c r="AA8" s="80" t="s">
        <v>341</v>
      </c>
      <c r="AB8" s="80" t="s">
        <v>341</v>
      </c>
      <c r="AC8" s="80" t="s">
        <v>341</v>
      </c>
      <c r="AD8" s="80" t="s">
        <v>341</v>
      </c>
      <c r="AE8" s="80" t="s">
        <v>341</v>
      </c>
      <c r="AF8" s="80" t="s">
        <v>341</v>
      </c>
      <c r="AG8" s="80" t="s">
        <v>341</v>
      </c>
      <c r="AH8" s="80" t="s">
        <v>341</v>
      </c>
      <c r="AJ8" s="80" t="s">
        <v>341</v>
      </c>
      <c r="AK8" s="28" t="s">
        <v>438</v>
      </c>
      <c r="AL8" s="28" t="s">
        <v>438</v>
      </c>
      <c r="AM8" s="28" t="s">
        <v>438</v>
      </c>
    </row>
    <row r="9" spans="1:39" x14ac:dyDescent="0.25">
      <c r="A9" s="26" t="s">
        <v>165</v>
      </c>
      <c r="B9" s="28" t="s">
        <v>396</v>
      </c>
      <c r="C9" s="80" t="s">
        <v>341</v>
      </c>
      <c r="D9" s="80" t="s">
        <v>341</v>
      </c>
      <c r="E9" s="80" t="s">
        <v>341</v>
      </c>
      <c r="F9" s="80" t="s">
        <v>341</v>
      </c>
      <c r="G9" s="80" t="s">
        <v>341</v>
      </c>
      <c r="H9" s="80" t="s">
        <v>341</v>
      </c>
      <c r="I9" s="80" t="s">
        <v>341</v>
      </c>
      <c r="J9" s="80" t="s">
        <v>341</v>
      </c>
      <c r="K9" s="80" t="s">
        <v>341</v>
      </c>
      <c r="L9" s="80" t="s">
        <v>341</v>
      </c>
      <c r="M9" s="80" t="s">
        <v>341</v>
      </c>
      <c r="N9" s="80" t="s">
        <v>341</v>
      </c>
      <c r="O9" s="80" t="s">
        <v>341</v>
      </c>
      <c r="P9" s="80" t="s">
        <v>341</v>
      </c>
      <c r="Q9" s="80" t="s">
        <v>341</v>
      </c>
      <c r="R9" s="28" t="s">
        <v>396</v>
      </c>
      <c r="S9" s="80" t="s">
        <v>341</v>
      </c>
      <c r="T9" s="84" t="s">
        <v>341</v>
      </c>
      <c r="U9" s="80" t="s">
        <v>341</v>
      </c>
      <c r="V9" s="80" t="s">
        <v>341</v>
      </c>
      <c r="W9" s="80" t="s">
        <v>341</v>
      </c>
      <c r="X9" s="80" t="s">
        <v>341</v>
      </c>
      <c r="Y9" s="80" t="s">
        <v>341</v>
      </c>
      <c r="Z9" s="80" t="s">
        <v>341</v>
      </c>
      <c r="AA9" s="80" t="s">
        <v>341</v>
      </c>
      <c r="AB9" s="80" t="s">
        <v>341</v>
      </c>
      <c r="AC9" s="80" t="s">
        <v>341</v>
      </c>
      <c r="AD9" s="80" t="s">
        <v>341</v>
      </c>
      <c r="AE9" s="80" t="s">
        <v>341</v>
      </c>
      <c r="AF9" s="80" t="s">
        <v>341</v>
      </c>
      <c r="AG9" s="80" t="s">
        <v>341</v>
      </c>
      <c r="AH9" s="80" t="s">
        <v>341</v>
      </c>
      <c r="AJ9" s="80" t="s">
        <v>341</v>
      </c>
      <c r="AK9" s="80" t="s">
        <v>341</v>
      </c>
      <c r="AL9" s="80" t="s">
        <v>341</v>
      </c>
      <c r="AM9" s="80" t="s">
        <v>341</v>
      </c>
    </row>
    <row r="10" spans="1:39" x14ac:dyDescent="0.25">
      <c r="A10" s="131" t="s">
        <v>168</v>
      </c>
      <c r="B10" s="157">
        <v>116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57">
        <v>116</v>
      </c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J10" s="198"/>
      <c r="AK10" s="198"/>
      <c r="AL10" s="198"/>
      <c r="AM10" s="198"/>
    </row>
    <row r="11" spans="1:39" x14ac:dyDescent="0.25">
      <c r="A11" s="26" t="s">
        <v>169</v>
      </c>
      <c r="B11" s="28" t="s">
        <v>173</v>
      </c>
      <c r="C11" s="80" t="s">
        <v>173</v>
      </c>
      <c r="D11" s="80" t="s">
        <v>173</v>
      </c>
      <c r="E11" s="80" t="s">
        <v>173</v>
      </c>
      <c r="F11" s="80" t="s">
        <v>173</v>
      </c>
      <c r="G11" s="80" t="s">
        <v>173</v>
      </c>
      <c r="H11" s="80" t="s">
        <v>173</v>
      </c>
      <c r="I11" s="80" t="s">
        <v>173</v>
      </c>
      <c r="J11" s="80" t="s">
        <v>173</v>
      </c>
      <c r="K11" s="80" t="s">
        <v>173</v>
      </c>
      <c r="L11" s="80" t="s">
        <v>173</v>
      </c>
      <c r="M11" s="80" t="s">
        <v>173</v>
      </c>
      <c r="N11" s="80" t="s">
        <v>173</v>
      </c>
      <c r="O11" s="80" t="s">
        <v>173</v>
      </c>
      <c r="P11" s="80" t="s">
        <v>173</v>
      </c>
      <c r="Q11" s="80" t="s">
        <v>173</v>
      </c>
      <c r="R11" s="28" t="s">
        <v>173</v>
      </c>
      <c r="S11" s="80" t="s">
        <v>173</v>
      </c>
      <c r="T11" s="84" t="s">
        <v>173</v>
      </c>
      <c r="U11" s="80" t="s">
        <v>173</v>
      </c>
      <c r="V11" s="80" t="s">
        <v>173</v>
      </c>
      <c r="W11" s="80" t="s">
        <v>173</v>
      </c>
      <c r="X11" s="80" t="s">
        <v>173</v>
      </c>
      <c r="Y11" s="80" t="s">
        <v>173</v>
      </c>
      <c r="Z11" s="80" t="s">
        <v>173</v>
      </c>
      <c r="AA11" s="80" t="s">
        <v>173</v>
      </c>
      <c r="AB11" s="80" t="s">
        <v>173</v>
      </c>
      <c r="AC11" s="80" t="s">
        <v>173</v>
      </c>
      <c r="AD11" s="80" t="s">
        <v>173</v>
      </c>
      <c r="AE11" s="80" t="s">
        <v>173</v>
      </c>
      <c r="AF11" s="80" t="s">
        <v>173</v>
      </c>
      <c r="AG11" s="80" t="s">
        <v>173</v>
      </c>
      <c r="AH11" s="80" t="s">
        <v>173</v>
      </c>
      <c r="AJ11" s="80" t="s">
        <v>173</v>
      </c>
      <c r="AK11" s="80" t="s">
        <v>173</v>
      </c>
      <c r="AL11" s="80" t="s">
        <v>173</v>
      </c>
      <c r="AM11" s="80" t="s">
        <v>173</v>
      </c>
    </row>
    <row r="12" spans="1:39" x14ac:dyDescent="0.25">
      <c r="A12" s="26" t="s">
        <v>171</v>
      </c>
      <c r="B12" s="28" t="s">
        <v>173</v>
      </c>
      <c r="C12" s="80" t="s">
        <v>173</v>
      </c>
      <c r="D12" s="80" t="s">
        <v>173</v>
      </c>
      <c r="E12" s="80" t="s">
        <v>173</v>
      </c>
      <c r="F12" s="80" t="s">
        <v>173</v>
      </c>
      <c r="G12" s="80" t="s">
        <v>173</v>
      </c>
      <c r="H12" s="80" t="s">
        <v>173</v>
      </c>
      <c r="I12" s="80" t="s">
        <v>173</v>
      </c>
      <c r="J12" s="80" t="s">
        <v>173</v>
      </c>
      <c r="K12" s="80" t="s">
        <v>173</v>
      </c>
      <c r="L12" s="80" t="s">
        <v>173</v>
      </c>
      <c r="M12" s="80" t="s">
        <v>173</v>
      </c>
      <c r="N12" s="80" t="s">
        <v>173</v>
      </c>
      <c r="O12" s="80" t="s">
        <v>173</v>
      </c>
      <c r="P12" s="80" t="s">
        <v>173</v>
      </c>
      <c r="Q12" s="80" t="s">
        <v>173</v>
      </c>
      <c r="R12" s="28" t="s">
        <v>173</v>
      </c>
      <c r="S12" s="80" t="s">
        <v>173</v>
      </c>
      <c r="T12" s="80" t="s">
        <v>173</v>
      </c>
      <c r="U12" s="80" t="s">
        <v>173</v>
      </c>
      <c r="V12" s="80" t="s">
        <v>173</v>
      </c>
      <c r="W12" s="80" t="s">
        <v>173</v>
      </c>
      <c r="X12" s="80" t="s">
        <v>173</v>
      </c>
      <c r="Y12" s="80" t="s">
        <v>173</v>
      </c>
      <c r="Z12" s="80" t="s">
        <v>173</v>
      </c>
      <c r="AA12" s="80" t="s">
        <v>173</v>
      </c>
      <c r="AB12" s="80" t="s">
        <v>173</v>
      </c>
      <c r="AC12" s="80" t="s">
        <v>173</v>
      </c>
      <c r="AD12" s="80" t="s">
        <v>173</v>
      </c>
      <c r="AE12" s="80" t="s">
        <v>173</v>
      </c>
      <c r="AF12" s="80" t="s">
        <v>173</v>
      </c>
      <c r="AG12" s="80" t="s">
        <v>173</v>
      </c>
      <c r="AH12" s="80" t="s">
        <v>173</v>
      </c>
      <c r="AJ12" s="80" t="s">
        <v>173</v>
      </c>
      <c r="AK12" s="80" t="s">
        <v>173</v>
      </c>
      <c r="AL12" s="80" t="s">
        <v>173</v>
      </c>
      <c r="AM12" s="80" t="s">
        <v>173</v>
      </c>
    </row>
    <row r="13" spans="1:39" x14ac:dyDescent="0.25">
      <c r="A13" s="26" t="s">
        <v>172</v>
      </c>
      <c r="B13" s="28" t="s">
        <v>173</v>
      </c>
      <c r="C13" s="80" t="s">
        <v>173</v>
      </c>
      <c r="D13" s="80" t="s">
        <v>173</v>
      </c>
      <c r="E13" s="80" t="s">
        <v>173</v>
      </c>
      <c r="F13" s="80" t="s">
        <v>173</v>
      </c>
      <c r="G13" s="80" t="s">
        <v>173</v>
      </c>
      <c r="H13" s="80" t="s">
        <v>173</v>
      </c>
      <c r="I13" s="80" t="s">
        <v>173</v>
      </c>
      <c r="J13" s="80" t="s">
        <v>173</v>
      </c>
      <c r="K13" s="80" t="s">
        <v>173</v>
      </c>
      <c r="L13" s="80" t="s">
        <v>173</v>
      </c>
      <c r="M13" s="80" t="s">
        <v>173</v>
      </c>
      <c r="N13" s="80" t="s">
        <v>173</v>
      </c>
      <c r="O13" s="80" t="s">
        <v>173</v>
      </c>
      <c r="P13" s="80" t="s">
        <v>173</v>
      </c>
      <c r="Q13" s="80" t="s">
        <v>173</v>
      </c>
      <c r="R13" s="28" t="s">
        <v>173</v>
      </c>
      <c r="S13" s="80" t="s">
        <v>173</v>
      </c>
      <c r="T13" s="84" t="s">
        <v>173</v>
      </c>
      <c r="U13" s="80" t="s">
        <v>173</v>
      </c>
      <c r="V13" s="80" t="s">
        <v>173</v>
      </c>
      <c r="W13" s="80" t="s">
        <v>173</v>
      </c>
      <c r="X13" s="80" t="s">
        <v>173</v>
      </c>
      <c r="Y13" s="80" t="s">
        <v>173</v>
      </c>
      <c r="Z13" s="80" t="s">
        <v>173</v>
      </c>
      <c r="AA13" s="80" t="s">
        <v>173</v>
      </c>
      <c r="AB13" s="80" t="s">
        <v>173</v>
      </c>
      <c r="AC13" s="80" t="s">
        <v>173</v>
      </c>
      <c r="AD13" s="80" t="s">
        <v>173</v>
      </c>
      <c r="AE13" s="80" t="s">
        <v>173</v>
      </c>
      <c r="AF13" s="80" t="s">
        <v>173</v>
      </c>
      <c r="AG13" s="80" t="s">
        <v>173</v>
      </c>
      <c r="AH13" s="80" t="s">
        <v>173</v>
      </c>
      <c r="AJ13" s="80" t="s">
        <v>173</v>
      </c>
      <c r="AK13" s="80" t="s">
        <v>173</v>
      </c>
      <c r="AL13" s="80" t="s">
        <v>173</v>
      </c>
      <c r="AM13" s="80" t="s">
        <v>173</v>
      </c>
    </row>
    <row r="14" spans="1:39" x14ac:dyDescent="0.25">
      <c r="A14" s="26" t="s">
        <v>174</v>
      </c>
      <c r="B14" s="28" t="s">
        <v>173</v>
      </c>
      <c r="C14" s="80" t="s">
        <v>173</v>
      </c>
      <c r="D14" s="80" t="s">
        <v>173</v>
      </c>
      <c r="E14" s="80" t="s">
        <v>173</v>
      </c>
      <c r="F14" s="80" t="s">
        <v>173</v>
      </c>
      <c r="G14" s="80" t="s">
        <v>173</v>
      </c>
      <c r="H14" s="80" t="s">
        <v>173</v>
      </c>
      <c r="I14" s="80" t="s">
        <v>173</v>
      </c>
      <c r="J14" s="80" t="s">
        <v>173</v>
      </c>
      <c r="K14" s="80" t="s">
        <v>173</v>
      </c>
      <c r="L14" s="80" t="s">
        <v>173</v>
      </c>
      <c r="M14" s="80" t="s">
        <v>173</v>
      </c>
      <c r="N14" s="80" t="s">
        <v>173</v>
      </c>
      <c r="O14" s="80" t="s">
        <v>173</v>
      </c>
      <c r="P14" s="80" t="s">
        <v>173</v>
      </c>
      <c r="Q14" s="80" t="s">
        <v>173</v>
      </c>
      <c r="R14" s="28" t="s">
        <v>173</v>
      </c>
      <c r="S14" s="80" t="s">
        <v>173</v>
      </c>
      <c r="T14" s="84" t="s">
        <v>173</v>
      </c>
      <c r="U14" s="80" t="s">
        <v>173</v>
      </c>
      <c r="V14" s="80" t="s">
        <v>173</v>
      </c>
      <c r="W14" s="80" t="s">
        <v>173</v>
      </c>
      <c r="X14" s="80" t="s">
        <v>173</v>
      </c>
      <c r="Y14" s="80" t="s">
        <v>173</v>
      </c>
      <c r="Z14" s="80" t="s">
        <v>173</v>
      </c>
      <c r="AA14" s="80" t="s">
        <v>173</v>
      </c>
      <c r="AB14" s="80" t="s">
        <v>173</v>
      </c>
      <c r="AC14" s="80" t="s">
        <v>173</v>
      </c>
      <c r="AD14" s="80" t="s">
        <v>173</v>
      </c>
      <c r="AE14" s="80" t="s">
        <v>173</v>
      </c>
      <c r="AF14" s="80" t="s">
        <v>173</v>
      </c>
      <c r="AG14" s="80" t="s">
        <v>173</v>
      </c>
      <c r="AH14" s="80" t="s">
        <v>173</v>
      </c>
      <c r="AJ14" s="80" t="s">
        <v>173</v>
      </c>
      <c r="AK14" s="80" t="s">
        <v>173</v>
      </c>
      <c r="AL14" s="80" t="s">
        <v>173</v>
      </c>
      <c r="AM14" s="80" t="s">
        <v>173</v>
      </c>
    </row>
    <row r="15" spans="1:39" x14ac:dyDescent="0.25">
      <c r="A15" s="26" t="s">
        <v>175</v>
      </c>
      <c r="B15" s="28" t="s">
        <v>397</v>
      </c>
      <c r="C15" s="80" t="s">
        <v>397</v>
      </c>
      <c r="D15" s="80" t="s">
        <v>397</v>
      </c>
      <c r="E15" s="80" t="s">
        <v>397</v>
      </c>
      <c r="F15" s="80" t="s">
        <v>397</v>
      </c>
      <c r="G15" s="80" t="s">
        <v>397</v>
      </c>
      <c r="H15" s="80" t="s">
        <v>397</v>
      </c>
      <c r="I15" s="80" t="s">
        <v>397</v>
      </c>
      <c r="J15" s="80" t="s">
        <v>397</v>
      </c>
      <c r="K15" s="80" t="s">
        <v>397</v>
      </c>
      <c r="L15" s="80" t="s">
        <v>397</v>
      </c>
      <c r="M15" s="80" t="s">
        <v>397</v>
      </c>
      <c r="N15" s="80" t="s">
        <v>397</v>
      </c>
      <c r="O15" s="80" t="s">
        <v>397</v>
      </c>
      <c r="P15" s="80" t="s">
        <v>397</v>
      </c>
      <c r="Q15" s="80" t="s">
        <v>397</v>
      </c>
      <c r="R15" s="28" t="s">
        <v>397</v>
      </c>
      <c r="S15" s="80" t="s">
        <v>397</v>
      </c>
      <c r="T15" s="84" t="s">
        <v>397</v>
      </c>
      <c r="U15" s="80" t="s">
        <v>397</v>
      </c>
      <c r="V15" s="80" t="s">
        <v>397</v>
      </c>
      <c r="W15" s="80" t="s">
        <v>397</v>
      </c>
      <c r="X15" s="80" t="s">
        <v>397</v>
      </c>
      <c r="Y15" s="80" t="s">
        <v>397</v>
      </c>
      <c r="Z15" s="80" t="s">
        <v>397</v>
      </c>
      <c r="AA15" s="80" t="s">
        <v>397</v>
      </c>
      <c r="AB15" s="80" t="s">
        <v>397</v>
      </c>
      <c r="AC15" s="80" t="s">
        <v>397</v>
      </c>
      <c r="AD15" s="80" t="s">
        <v>397</v>
      </c>
      <c r="AE15" s="80" t="s">
        <v>397</v>
      </c>
      <c r="AF15" s="80" t="s">
        <v>397</v>
      </c>
      <c r="AG15" s="80" t="s">
        <v>397</v>
      </c>
      <c r="AH15" s="80" t="s">
        <v>397</v>
      </c>
      <c r="AJ15" s="80" t="s">
        <v>397</v>
      </c>
      <c r="AK15" s="80" t="s">
        <v>397</v>
      </c>
      <c r="AL15" s="80" t="s">
        <v>397</v>
      </c>
      <c r="AM15" s="80" t="s">
        <v>397</v>
      </c>
    </row>
    <row r="16" spans="1:39" x14ac:dyDescent="0.25">
      <c r="A16" s="26" t="s">
        <v>176</v>
      </c>
      <c r="B16" s="30">
        <v>-6</v>
      </c>
      <c r="C16" s="82">
        <v>-6</v>
      </c>
      <c r="D16" s="82">
        <v>-6</v>
      </c>
      <c r="E16" s="82">
        <v>-6</v>
      </c>
      <c r="F16" s="82">
        <v>-6</v>
      </c>
      <c r="G16" s="82">
        <v>-6</v>
      </c>
      <c r="H16" s="82">
        <v>-6</v>
      </c>
      <c r="I16" s="82">
        <v>-6</v>
      </c>
      <c r="J16" s="82">
        <v>-6</v>
      </c>
      <c r="K16" s="82">
        <v>-6</v>
      </c>
      <c r="L16" s="82">
        <v>-6</v>
      </c>
      <c r="M16" s="82">
        <v>-6</v>
      </c>
      <c r="N16" s="82">
        <v>-6</v>
      </c>
      <c r="O16" s="82">
        <v>-6</v>
      </c>
      <c r="P16" s="82">
        <v>-6</v>
      </c>
      <c r="Q16" s="82">
        <v>-6</v>
      </c>
      <c r="R16" s="30">
        <v>-6</v>
      </c>
      <c r="S16" s="82">
        <v>-6</v>
      </c>
      <c r="T16" s="179">
        <v>-6</v>
      </c>
      <c r="U16" s="82">
        <v>-6</v>
      </c>
      <c r="V16" s="82">
        <v>-6</v>
      </c>
      <c r="W16" s="82">
        <v>-6</v>
      </c>
      <c r="X16" s="82">
        <v>-6</v>
      </c>
      <c r="Y16" s="82">
        <v>-6</v>
      </c>
      <c r="Z16" s="82">
        <v>-6</v>
      </c>
      <c r="AA16" s="82">
        <v>-6</v>
      </c>
      <c r="AB16" s="82">
        <v>-6</v>
      </c>
      <c r="AC16" s="82">
        <v>-6</v>
      </c>
      <c r="AD16" s="82">
        <v>-6</v>
      </c>
      <c r="AE16" s="82">
        <v>-6</v>
      </c>
      <c r="AF16" s="82">
        <v>-6</v>
      </c>
      <c r="AG16" s="82">
        <v>-6</v>
      </c>
      <c r="AH16" s="82">
        <v>-6</v>
      </c>
      <c r="AJ16" s="82">
        <v>-6</v>
      </c>
      <c r="AK16" s="82">
        <v>-6</v>
      </c>
      <c r="AL16" s="82">
        <v>-6</v>
      </c>
      <c r="AM16" s="82">
        <v>-6</v>
      </c>
    </row>
    <row r="17" spans="1:39" x14ac:dyDescent="0.25">
      <c r="A17" s="26" t="s">
        <v>177</v>
      </c>
      <c r="B17" s="28" t="s">
        <v>398</v>
      </c>
      <c r="C17" s="80" t="s">
        <v>341</v>
      </c>
      <c r="D17" s="80" t="s">
        <v>341</v>
      </c>
      <c r="E17" s="80" t="s">
        <v>341</v>
      </c>
      <c r="F17" s="80" t="s">
        <v>341</v>
      </c>
      <c r="G17" s="80" t="s">
        <v>341</v>
      </c>
      <c r="H17" s="80" t="s">
        <v>341</v>
      </c>
      <c r="I17" s="80" t="s">
        <v>341</v>
      </c>
      <c r="J17" s="80" t="s">
        <v>341</v>
      </c>
      <c r="K17" s="80" t="s">
        <v>341</v>
      </c>
      <c r="L17" s="80" t="s">
        <v>341</v>
      </c>
      <c r="M17" s="80" t="s">
        <v>341</v>
      </c>
      <c r="N17" s="80" t="s">
        <v>341</v>
      </c>
      <c r="O17" s="80" t="s">
        <v>341</v>
      </c>
      <c r="P17" s="80" t="s">
        <v>341</v>
      </c>
      <c r="Q17" s="80" t="s">
        <v>341</v>
      </c>
      <c r="R17" s="28" t="s">
        <v>398</v>
      </c>
      <c r="S17" s="80" t="s">
        <v>341</v>
      </c>
      <c r="T17" s="84" t="s">
        <v>341</v>
      </c>
      <c r="U17" s="80" t="s">
        <v>341</v>
      </c>
      <c r="V17" s="80" t="s">
        <v>341</v>
      </c>
      <c r="W17" s="80" t="s">
        <v>341</v>
      </c>
      <c r="X17" s="80" t="s">
        <v>341</v>
      </c>
      <c r="Y17" s="80" t="s">
        <v>341</v>
      </c>
      <c r="Z17" s="80" t="s">
        <v>341</v>
      </c>
      <c r="AA17" s="80" t="s">
        <v>341</v>
      </c>
      <c r="AB17" s="80" t="s">
        <v>341</v>
      </c>
      <c r="AC17" s="80" t="s">
        <v>341</v>
      </c>
      <c r="AD17" s="80" t="s">
        <v>341</v>
      </c>
      <c r="AE17" s="80" t="s">
        <v>341</v>
      </c>
      <c r="AF17" s="80" t="s">
        <v>341</v>
      </c>
      <c r="AG17" s="80" t="s">
        <v>341</v>
      </c>
      <c r="AH17" s="80" t="s">
        <v>341</v>
      </c>
      <c r="AJ17" s="80" t="s">
        <v>341</v>
      </c>
      <c r="AK17" s="80" t="s">
        <v>341</v>
      </c>
      <c r="AL17" s="80" t="s">
        <v>341</v>
      </c>
      <c r="AM17" s="80" t="s">
        <v>341</v>
      </c>
    </row>
    <row r="18" spans="1:39" x14ac:dyDescent="0.25">
      <c r="A18" s="26" t="s">
        <v>182</v>
      </c>
      <c r="B18" s="30">
        <v>1</v>
      </c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30">
        <v>1</v>
      </c>
      <c r="S18" s="82">
        <v>0</v>
      </c>
      <c r="T18" s="179">
        <v>0</v>
      </c>
      <c r="U18" s="82">
        <v>0</v>
      </c>
      <c r="V18" s="82">
        <v>0</v>
      </c>
      <c r="W18" s="82">
        <v>0</v>
      </c>
      <c r="X18" s="82">
        <v>0</v>
      </c>
      <c r="Y18" s="82">
        <v>0</v>
      </c>
      <c r="Z18" s="82">
        <v>0</v>
      </c>
      <c r="AA18" s="82">
        <v>0</v>
      </c>
      <c r="AB18" s="82">
        <v>0</v>
      </c>
      <c r="AC18" s="82">
        <v>0</v>
      </c>
      <c r="AD18" s="82">
        <v>0</v>
      </c>
      <c r="AE18" s="82">
        <v>0</v>
      </c>
      <c r="AF18" s="82">
        <v>0</v>
      </c>
      <c r="AG18" s="82">
        <v>0</v>
      </c>
      <c r="AH18" s="82">
        <v>0</v>
      </c>
      <c r="AJ18" s="82">
        <v>0</v>
      </c>
      <c r="AK18" s="82">
        <v>0</v>
      </c>
      <c r="AL18" s="82">
        <v>0</v>
      </c>
      <c r="AM18" s="82">
        <v>0</v>
      </c>
    </row>
    <row r="19" spans="1:39" x14ac:dyDescent="0.25">
      <c r="R19" s="78" t="s">
        <v>439</v>
      </c>
      <c r="AJ19" s="223" t="s">
        <v>440</v>
      </c>
      <c r="AK19" s="223"/>
      <c r="AL19" s="223"/>
      <c r="AM19" s="223"/>
    </row>
    <row r="20" spans="1:39" x14ac:dyDescent="0.25">
      <c r="A20" s="31" t="s">
        <v>183</v>
      </c>
    </row>
    <row r="21" spans="1:39" x14ac:dyDescent="0.25">
      <c r="A21" s="26" t="s">
        <v>441</v>
      </c>
      <c r="B21" s="56" t="s">
        <v>442</v>
      </c>
    </row>
    <row r="22" spans="1:39" x14ac:dyDescent="0.25">
      <c r="A22" s="56" t="s">
        <v>443</v>
      </c>
      <c r="B22" s="56"/>
    </row>
    <row r="23" spans="1:39" x14ac:dyDescent="0.25">
      <c r="A23" s="56" t="s">
        <v>444</v>
      </c>
      <c r="B23" s="56"/>
    </row>
  </sheetData>
  <mergeCells count="6">
    <mergeCell ref="AJ19:AM19"/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80721-1E8C-4CBD-9098-8B04723931C1}">
  <dimension ref="A1:AH23"/>
  <sheetViews>
    <sheetView workbookViewId="0">
      <selection activeCell="D10" sqref="D10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117</v>
      </c>
      <c r="I1" s="25" t="s">
        <v>118</v>
      </c>
    </row>
    <row r="3" spans="1:34" ht="18" x14ac:dyDescent="0.25">
      <c r="A3" s="25" t="s">
        <v>119</v>
      </c>
      <c r="B3" s="215">
        <v>25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445</v>
      </c>
      <c r="C4" s="215"/>
      <c r="D4" s="215"/>
      <c r="F4" s="216" t="s">
        <v>446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377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ht="15.75" customHeight="1" x14ac:dyDescent="0.25">
      <c r="A8" s="26" t="s">
        <v>159</v>
      </c>
      <c r="B8" s="28" t="s">
        <v>447</v>
      </c>
      <c r="C8" s="28" t="s">
        <v>448</v>
      </c>
      <c r="D8" s="28" t="s">
        <v>448</v>
      </c>
      <c r="E8" s="28" t="s">
        <v>448</v>
      </c>
      <c r="F8" s="28" t="s">
        <v>448</v>
      </c>
      <c r="G8" s="28" t="s">
        <v>448</v>
      </c>
      <c r="H8" s="28" t="s">
        <v>448</v>
      </c>
      <c r="I8" s="28" t="s">
        <v>448</v>
      </c>
      <c r="J8" s="28" t="s">
        <v>448</v>
      </c>
      <c r="K8" s="28" t="s">
        <v>448</v>
      </c>
      <c r="L8" s="28" t="s">
        <v>448</v>
      </c>
      <c r="M8" s="28" t="s">
        <v>448</v>
      </c>
      <c r="N8" s="28" t="s">
        <v>448</v>
      </c>
      <c r="O8" s="28" t="s">
        <v>448</v>
      </c>
      <c r="P8" s="28" t="s">
        <v>448</v>
      </c>
      <c r="Q8" s="28" t="s">
        <v>448</v>
      </c>
      <c r="R8" s="28" t="s">
        <v>448</v>
      </c>
      <c r="S8" s="28" t="s">
        <v>448</v>
      </c>
      <c r="T8" s="28" t="s">
        <v>448</v>
      </c>
      <c r="U8" s="28" t="s">
        <v>448</v>
      </c>
      <c r="V8" s="28" t="s">
        <v>448</v>
      </c>
      <c r="W8" s="28" t="s">
        <v>448</v>
      </c>
      <c r="X8" s="28" t="s">
        <v>448</v>
      </c>
      <c r="Y8" s="28" t="s">
        <v>448</v>
      </c>
      <c r="Z8" s="28" t="s">
        <v>448</v>
      </c>
      <c r="AA8" s="28" t="s">
        <v>448</v>
      </c>
      <c r="AB8" s="28" t="s">
        <v>448</v>
      </c>
      <c r="AC8" s="28" t="s">
        <v>448</v>
      </c>
      <c r="AD8" s="28" t="s">
        <v>448</v>
      </c>
      <c r="AE8" s="29" t="s">
        <v>448</v>
      </c>
      <c r="AF8" s="28" t="s">
        <v>448</v>
      </c>
      <c r="AG8" s="28" t="s">
        <v>448</v>
      </c>
      <c r="AH8" s="28" t="s">
        <v>448</v>
      </c>
    </row>
    <row r="9" spans="1:34" ht="15.75" customHeight="1" x14ac:dyDescent="0.25">
      <c r="A9" s="26" t="s">
        <v>165</v>
      </c>
      <c r="B9" s="28" t="s">
        <v>448</v>
      </c>
      <c r="C9" s="113" t="s">
        <v>449</v>
      </c>
      <c r="D9" s="28" t="s">
        <v>450</v>
      </c>
      <c r="E9" s="28" t="s">
        <v>448</v>
      </c>
      <c r="F9" s="28" t="s">
        <v>448</v>
      </c>
      <c r="G9" s="28" t="s">
        <v>448</v>
      </c>
      <c r="H9" s="28" t="s">
        <v>448</v>
      </c>
      <c r="I9" s="28" t="s">
        <v>448</v>
      </c>
      <c r="J9" s="28" t="s">
        <v>448</v>
      </c>
      <c r="K9" s="28" t="s">
        <v>451</v>
      </c>
      <c r="L9" s="28" t="s">
        <v>451</v>
      </c>
      <c r="M9" s="28" t="s">
        <v>451</v>
      </c>
      <c r="N9" s="113" t="s">
        <v>452</v>
      </c>
      <c r="O9" s="28" t="s">
        <v>448</v>
      </c>
      <c r="P9" s="113" t="s">
        <v>453</v>
      </c>
      <c r="Q9" s="113" t="s">
        <v>453</v>
      </c>
      <c r="R9" s="29" t="s">
        <v>454</v>
      </c>
      <c r="S9" s="113" t="s">
        <v>452</v>
      </c>
      <c r="T9" s="28" t="s">
        <v>448</v>
      </c>
      <c r="U9" s="28" t="s">
        <v>448</v>
      </c>
      <c r="V9" s="113" t="s">
        <v>455</v>
      </c>
      <c r="W9" s="28" t="s">
        <v>448</v>
      </c>
      <c r="X9" s="28" t="s">
        <v>448</v>
      </c>
      <c r="Y9" s="28" t="s">
        <v>448</v>
      </c>
      <c r="Z9" s="28" t="s">
        <v>448</v>
      </c>
      <c r="AA9" s="28" t="s">
        <v>448</v>
      </c>
      <c r="AB9" s="28" t="s">
        <v>448</v>
      </c>
      <c r="AC9" s="28" t="s">
        <v>448</v>
      </c>
      <c r="AD9" s="28" t="s">
        <v>448</v>
      </c>
      <c r="AE9" s="94" t="s">
        <v>456</v>
      </c>
      <c r="AF9" s="28" t="s">
        <v>448</v>
      </c>
      <c r="AG9" s="28" t="s">
        <v>457</v>
      </c>
      <c r="AH9" s="28" t="s">
        <v>457</v>
      </c>
    </row>
    <row r="10" spans="1:34" ht="15.75" customHeight="1" x14ac:dyDescent="0.25">
      <c r="A10" s="131" t="s">
        <v>168</v>
      </c>
      <c r="B10" s="157">
        <v>79</v>
      </c>
      <c r="C10" s="157">
        <v>123</v>
      </c>
      <c r="D10" s="157">
        <v>124</v>
      </c>
      <c r="E10" s="157">
        <v>79</v>
      </c>
      <c r="F10" s="157">
        <v>79</v>
      </c>
      <c r="G10" s="157">
        <v>79</v>
      </c>
      <c r="H10" s="157">
        <v>79</v>
      </c>
      <c r="I10" s="157">
        <v>79</v>
      </c>
      <c r="J10" s="157">
        <v>79</v>
      </c>
      <c r="K10" s="157">
        <v>141</v>
      </c>
      <c r="L10" s="157">
        <v>141</v>
      </c>
      <c r="M10" s="157">
        <v>141</v>
      </c>
      <c r="N10" s="157">
        <v>127</v>
      </c>
      <c r="O10" s="157">
        <v>79</v>
      </c>
      <c r="P10" s="157">
        <v>142</v>
      </c>
      <c r="Q10" s="157">
        <v>142</v>
      </c>
      <c r="R10" s="157">
        <v>81</v>
      </c>
      <c r="S10" s="157">
        <v>127</v>
      </c>
      <c r="T10" s="157">
        <v>79</v>
      </c>
      <c r="U10" s="157">
        <v>79</v>
      </c>
      <c r="V10" s="157">
        <v>132</v>
      </c>
      <c r="W10" s="157">
        <v>79</v>
      </c>
      <c r="X10" s="157">
        <v>79</v>
      </c>
      <c r="Y10" s="157">
        <v>79</v>
      </c>
      <c r="Z10" s="157">
        <v>79</v>
      </c>
      <c r="AA10" s="157">
        <v>79</v>
      </c>
      <c r="AB10" s="157">
        <v>79</v>
      </c>
      <c r="AC10" s="157">
        <v>79</v>
      </c>
      <c r="AD10" s="157">
        <v>79</v>
      </c>
      <c r="AE10" s="157">
        <v>128</v>
      </c>
      <c r="AF10" s="157">
        <v>79</v>
      </c>
      <c r="AG10" s="157">
        <v>82</v>
      </c>
      <c r="AH10" s="157">
        <v>82</v>
      </c>
    </row>
    <row r="11" spans="1:34" ht="15.75" customHeight="1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28" t="s">
        <v>170</v>
      </c>
      <c r="O11" s="28" t="s">
        <v>170</v>
      </c>
      <c r="P11" s="28" t="s">
        <v>170</v>
      </c>
      <c r="Q11" s="28" t="s">
        <v>170</v>
      </c>
      <c r="R11" s="28" t="s">
        <v>170</v>
      </c>
      <c r="S11" s="28" t="s">
        <v>170</v>
      </c>
      <c r="T11" s="28" t="s">
        <v>170</v>
      </c>
      <c r="U11" s="28" t="s">
        <v>170</v>
      </c>
      <c r="V11" s="28" t="s">
        <v>170</v>
      </c>
      <c r="W11" s="28" t="s">
        <v>170</v>
      </c>
      <c r="X11" s="28" t="s">
        <v>170</v>
      </c>
      <c r="Y11" s="28" t="s">
        <v>170</v>
      </c>
      <c r="Z11" s="28" t="s">
        <v>170</v>
      </c>
      <c r="AA11" s="28" t="s">
        <v>170</v>
      </c>
      <c r="AB11" s="28" t="s">
        <v>170</v>
      </c>
      <c r="AC11" s="28" t="s">
        <v>170</v>
      </c>
      <c r="AD11" s="28" t="s">
        <v>170</v>
      </c>
      <c r="AE11" s="28" t="s">
        <v>170</v>
      </c>
      <c r="AF11" s="28" t="s">
        <v>170</v>
      </c>
      <c r="AG11" s="28" t="s">
        <v>170</v>
      </c>
      <c r="AH11" s="28" t="s">
        <v>170</v>
      </c>
    </row>
    <row r="12" spans="1:34" ht="15.75" customHeight="1" x14ac:dyDescent="0.25">
      <c r="A12" s="26" t="s">
        <v>171</v>
      </c>
      <c r="B12" s="28" t="s">
        <v>170</v>
      </c>
      <c r="C12" s="28" t="s">
        <v>170</v>
      </c>
      <c r="D12" s="28" t="s">
        <v>173</v>
      </c>
      <c r="E12" s="28" t="s">
        <v>170</v>
      </c>
      <c r="F12" s="28" t="s">
        <v>170</v>
      </c>
      <c r="G12" s="28" t="s">
        <v>170</v>
      </c>
      <c r="H12" s="28" t="s">
        <v>170</v>
      </c>
      <c r="I12" s="28" t="s">
        <v>170</v>
      </c>
      <c r="J12" s="28" t="s">
        <v>170</v>
      </c>
      <c r="K12" s="28" t="s">
        <v>170</v>
      </c>
      <c r="L12" s="28" t="s">
        <v>170</v>
      </c>
      <c r="M12" s="28" t="s">
        <v>170</v>
      </c>
      <c r="N12" s="28" t="s">
        <v>170</v>
      </c>
      <c r="O12" s="28" t="s">
        <v>170</v>
      </c>
      <c r="P12" s="28" t="s">
        <v>170</v>
      </c>
      <c r="Q12" s="28" t="s">
        <v>170</v>
      </c>
      <c r="R12" s="28" t="s">
        <v>170</v>
      </c>
      <c r="S12" s="28" t="s">
        <v>170</v>
      </c>
      <c r="T12" s="28" t="s">
        <v>170</v>
      </c>
      <c r="U12" s="28" t="s">
        <v>170</v>
      </c>
      <c r="V12" s="28" t="s">
        <v>170</v>
      </c>
      <c r="W12" s="28" t="s">
        <v>170</v>
      </c>
      <c r="X12" s="28" t="s">
        <v>170</v>
      </c>
      <c r="Y12" s="28" t="s">
        <v>170</v>
      </c>
      <c r="Z12" s="28" t="s">
        <v>170</v>
      </c>
      <c r="AA12" s="28" t="s">
        <v>170</v>
      </c>
      <c r="AB12" s="28" t="s">
        <v>170</v>
      </c>
      <c r="AC12" s="28" t="s">
        <v>170</v>
      </c>
      <c r="AD12" s="28" t="s">
        <v>170</v>
      </c>
      <c r="AE12" s="28" t="s">
        <v>170</v>
      </c>
      <c r="AF12" s="28" t="s">
        <v>170</v>
      </c>
      <c r="AG12" s="28" t="s">
        <v>170</v>
      </c>
      <c r="AH12" s="28" t="s">
        <v>170</v>
      </c>
    </row>
    <row r="13" spans="1:34" ht="15.75" customHeight="1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 t="s">
        <v>173</v>
      </c>
      <c r="S13" s="28" t="s">
        <v>173</v>
      </c>
      <c r="T13" s="28" t="s">
        <v>173</v>
      </c>
      <c r="U13" s="28" t="s">
        <v>173</v>
      </c>
      <c r="V13" s="28" t="s">
        <v>173</v>
      </c>
      <c r="W13" s="28" t="s">
        <v>173</v>
      </c>
      <c r="X13" s="28" t="s">
        <v>173</v>
      </c>
      <c r="Y13" s="28" t="s">
        <v>173</v>
      </c>
      <c r="Z13" s="28" t="s">
        <v>173</v>
      </c>
      <c r="AA13" s="28" t="s">
        <v>173</v>
      </c>
      <c r="AB13" s="28" t="s">
        <v>173</v>
      </c>
      <c r="AC13" s="28" t="s">
        <v>173</v>
      </c>
      <c r="AD13" s="28" t="s">
        <v>173</v>
      </c>
      <c r="AE13" s="28" t="s">
        <v>266</v>
      </c>
      <c r="AF13" s="28" t="s">
        <v>173</v>
      </c>
      <c r="AG13" s="28" t="s">
        <v>173</v>
      </c>
      <c r="AH13" s="28" t="s">
        <v>173</v>
      </c>
    </row>
    <row r="14" spans="1:34" ht="15.75" customHeight="1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 t="s">
        <v>173</v>
      </c>
      <c r="V14" s="28" t="s">
        <v>173</v>
      </c>
      <c r="W14" s="28" t="s">
        <v>173</v>
      </c>
      <c r="X14" s="28" t="s">
        <v>173</v>
      </c>
      <c r="Y14" s="28" t="s">
        <v>173</v>
      </c>
      <c r="Z14" s="28" t="s">
        <v>173</v>
      </c>
      <c r="AA14" s="28" t="s">
        <v>173</v>
      </c>
      <c r="AB14" s="28" t="s">
        <v>173</v>
      </c>
      <c r="AC14" s="28" t="s">
        <v>173</v>
      </c>
      <c r="AD14" s="28" t="s">
        <v>173</v>
      </c>
      <c r="AE14" s="28" t="s">
        <v>173</v>
      </c>
      <c r="AF14" s="28" t="s">
        <v>173</v>
      </c>
      <c r="AG14" s="28" t="s">
        <v>173</v>
      </c>
      <c r="AH14" s="28" t="s">
        <v>173</v>
      </c>
    </row>
    <row r="15" spans="1:34" ht="15.75" customHeight="1" x14ac:dyDescent="0.25">
      <c r="A15" s="26" t="s">
        <v>175</v>
      </c>
      <c r="B15" s="28" t="s">
        <v>198</v>
      </c>
      <c r="C15" s="113" t="s">
        <v>458</v>
      </c>
      <c r="D15" s="28" t="s">
        <v>459</v>
      </c>
      <c r="E15" s="28" t="s">
        <v>198</v>
      </c>
      <c r="F15" s="28" t="s">
        <v>198</v>
      </c>
      <c r="G15" s="28" t="s">
        <v>198</v>
      </c>
      <c r="H15" s="28" t="s">
        <v>198</v>
      </c>
      <c r="I15" s="28" t="s">
        <v>198</v>
      </c>
      <c r="J15" s="28" t="s">
        <v>198</v>
      </c>
      <c r="K15" s="28" t="s">
        <v>199</v>
      </c>
      <c r="L15" s="28" t="s">
        <v>199</v>
      </c>
      <c r="M15" s="28" t="s">
        <v>199</v>
      </c>
      <c r="N15" s="113" t="s">
        <v>460</v>
      </c>
      <c r="O15" s="28" t="s">
        <v>198</v>
      </c>
      <c r="P15" s="28" t="s">
        <v>461</v>
      </c>
      <c r="Q15" s="28" t="s">
        <v>461</v>
      </c>
      <c r="R15" s="28" t="s">
        <v>461</v>
      </c>
      <c r="S15" s="113" t="s">
        <v>460</v>
      </c>
      <c r="T15" s="28" t="s">
        <v>198</v>
      </c>
      <c r="U15" s="28" t="s">
        <v>198</v>
      </c>
      <c r="V15" s="113" t="s">
        <v>460</v>
      </c>
      <c r="W15" s="28" t="s">
        <v>198</v>
      </c>
      <c r="X15" s="28" t="s">
        <v>198</v>
      </c>
      <c r="Y15" s="28" t="s">
        <v>198</v>
      </c>
      <c r="Z15" s="28" t="s">
        <v>198</v>
      </c>
      <c r="AA15" s="28" t="s">
        <v>198</v>
      </c>
      <c r="AB15" s="28" t="s">
        <v>198</v>
      </c>
      <c r="AC15" s="28" t="s">
        <v>198</v>
      </c>
      <c r="AD15" s="28" t="s">
        <v>198</v>
      </c>
      <c r="AE15" s="28" t="s">
        <v>268</v>
      </c>
      <c r="AF15" s="28" t="s">
        <v>198</v>
      </c>
      <c r="AG15" s="28" t="s">
        <v>198</v>
      </c>
      <c r="AH15" s="28" t="s">
        <v>198</v>
      </c>
    </row>
    <row r="16" spans="1:34" ht="15.75" customHeight="1" x14ac:dyDescent="0.25">
      <c r="A16" s="26" t="s">
        <v>176</v>
      </c>
      <c r="B16" s="30">
        <v>0.75</v>
      </c>
      <c r="C16" s="30">
        <f>AVERAGE(-4,-4,0.75)</f>
        <v>-2.4166666666666665</v>
      </c>
      <c r="D16" s="30">
        <f>AVERAGE(-3,-6)</f>
        <v>-4.5</v>
      </c>
      <c r="E16" s="30">
        <v>0.75</v>
      </c>
      <c r="F16" s="30">
        <v>0.75</v>
      </c>
      <c r="G16" s="30">
        <v>0.75</v>
      </c>
      <c r="H16" s="30">
        <v>0.75</v>
      </c>
      <c r="I16" s="30">
        <v>0.75</v>
      </c>
      <c r="J16" s="30">
        <v>0.75</v>
      </c>
      <c r="K16" s="30">
        <v>-0.5</v>
      </c>
      <c r="L16" s="30">
        <v>-0.5</v>
      </c>
      <c r="M16" s="30">
        <v>-0.5</v>
      </c>
      <c r="N16" s="30">
        <f>AVERAGE(0.75,0.75,-4)</f>
        <v>-0.83333333333333337</v>
      </c>
      <c r="O16" s="30">
        <v>0.75</v>
      </c>
      <c r="P16" s="30">
        <v>-4</v>
      </c>
      <c r="Q16" s="30">
        <v>-4</v>
      </c>
      <c r="R16" s="30">
        <v>-4</v>
      </c>
      <c r="S16" s="30">
        <f>AVERAGE(0.75,0.75,-4)</f>
        <v>-0.83333333333333337</v>
      </c>
      <c r="T16" s="30">
        <v>0.75</v>
      </c>
      <c r="U16" s="30">
        <v>0.75</v>
      </c>
      <c r="V16" s="30">
        <f>AVERAGE(0.75,0.75,-4)</f>
        <v>-0.83333333333333337</v>
      </c>
      <c r="W16" s="30">
        <v>0.75</v>
      </c>
      <c r="X16" s="30">
        <v>0.75</v>
      </c>
      <c r="Y16" s="30">
        <v>0.75</v>
      </c>
      <c r="Z16" s="30">
        <v>0.75</v>
      </c>
      <c r="AA16" s="30">
        <v>0.75</v>
      </c>
      <c r="AB16" s="30">
        <v>0.75</v>
      </c>
      <c r="AC16" s="30">
        <v>0.75</v>
      </c>
      <c r="AD16" s="30">
        <v>0.75</v>
      </c>
      <c r="AE16" s="30">
        <f>AVERAGE(-1.25,0.75)</f>
        <v>-0.25</v>
      </c>
      <c r="AF16" s="30">
        <v>0.75</v>
      </c>
      <c r="AG16" s="30">
        <f>5/3</f>
        <v>1.6666666666666667</v>
      </c>
      <c r="AH16" s="30">
        <f>5/3</f>
        <v>1.6666666666666667</v>
      </c>
    </row>
    <row r="17" spans="1:34" ht="15.75" customHeight="1" x14ac:dyDescent="0.25">
      <c r="A17" s="26" t="s">
        <v>177</v>
      </c>
      <c r="B17" s="28" t="s">
        <v>462</v>
      </c>
      <c r="C17" s="113" t="s">
        <v>463</v>
      </c>
      <c r="D17" s="28" t="s">
        <v>181</v>
      </c>
      <c r="E17" s="28" t="s">
        <v>462</v>
      </c>
      <c r="F17" s="28" t="s">
        <v>462</v>
      </c>
      <c r="G17" s="28" t="s">
        <v>462</v>
      </c>
      <c r="H17" s="28" t="s">
        <v>462</v>
      </c>
      <c r="I17" s="28" t="s">
        <v>462</v>
      </c>
      <c r="J17" s="28" t="s">
        <v>462</v>
      </c>
      <c r="K17" s="28" t="s">
        <v>462</v>
      </c>
      <c r="L17" s="28" t="s">
        <v>462</v>
      </c>
      <c r="M17" s="28" t="s">
        <v>462</v>
      </c>
      <c r="N17" s="28" t="s">
        <v>462</v>
      </c>
      <c r="O17" s="28" t="s">
        <v>462</v>
      </c>
      <c r="P17" s="113" t="s">
        <v>464</v>
      </c>
      <c r="Q17" s="113" t="s">
        <v>464</v>
      </c>
      <c r="R17" s="28" t="s">
        <v>462</v>
      </c>
      <c r="S17" s="28" t="s">
        <v>462</v>
      </c>
      <c r="T17" s="28" t="s">
        <v>462</v>
      </c>
      <c r="U17" s="28" t="s">
        <v>462</v>
      </c>
      <c r="V17" s="113" t="s">
        <v>465</v>
      </c>
      <c r="W17" s="28" t="s">
        <v>462</v>
      </c>
      <c r="X17" s="28" t="s">
        <v>462</v>
      </c>
      <c r="Y17" s="28" t="s">
        <v>462</v>
      </c>
      <c r="Z17" s="28" t="s">
        <v>462</v>
      </c>
      <c r="AA17" s="28" t="s">
        <v>462</v>
      </c>
      <c r="AB17" s="28" t="s">
        <v>462</v>
      </c>
      <c r="AC17" s="28" t="s">
        <v>462</v>
      </c>
      <c r="AD17" s="28" t="s">
        <v>462</v>
      </c>
      <c r="AE17" s="124" t="s">
        <v>466</v>
      </c>
      <c r="AF17" s="28" t="s">
        <v>462</v>
      </c>
      <c r="AG17" s="28" t="s">
        <v>462</v>
      </c>
      <c r="AH17" s="28" t="s">
        <v>462</v>
      </c>
    </row>
    <row r="18" spans="1:34" ht="15.75" customHeight="1" x14ac:dyDescent="0.25">
      <c r="A18" s="26" t="s">
        <v>182</v>
      </c>
      <c r="B18" s="30">
        <v>1.25</v>
      </c>
      <c r="C18" s="30">
        <f>AVERAGE(2,2,1.25)</f>
        <v>1.75</v>
      </c>
      <c r="D18" s="30">
        <v>2</v>
      </c>
      <c r="E18" s="30">
        <v>1.25</v>
      </c>
      <c r="F18" s="30">
        <v>1.25</v>
      </c>
      <c r="G18" s="30">
        <v>1.25</v>
      </c>
      <c r="H18" s="30">
        <v>1.25</v>
      </c>
      <c r="I18" s="30">
        <v>1.25</v>
      </c>
      <c r="J18" s="30">
        <v>1.25</v>
      </c>
      <c r="K18" s="30">
        <v>1.25</v>
      </c>
      <c r="L18" s="30">
        <v>1.25</v>
      </c>
      <c r="M18" s="30">
        <v>1.25</v>
      </c>
      <c r="N18" s="30">
        <v>1.25</v>
      </c>
      <c r="O18" s="30">
        <v>1.25</v>
      </c>
      <c r="P18" s="30">
        <f>AVERAGE(2,2,1.25)</f>
        <v>1.75</v>
      </c>
      <c r="Q18" s="30">
        <f>AVERAGE(2,2,1.25)</f>
        <v>1.75</v>
      </c>
      <c r="R18" s="30">
        <v>1.25</v>
      </c>
      <c r="S18" s="30">
        <v>1.25</v>
      </c>
      <c r="T18" s="30">
        <v>1.25</v>
      </c>
      <c r="U18" s="30">
        <v>1.25</v>
      </c>
      <c r="V18" s="30">
        <f>AVERAGE(1.25,1.25,2)</f>
        <v>1.5</v>
      </c>
      <c r="W18" s="30">
        <v>1.25</v>
      </c>
      <c r="X18" s="30">
        <v>1.25</v>
      </c>
      <c r="Y18" s="30">
        <v>1.25</v>
      </c>
      <c r="Z18" s="30">
        <v>1.25</v>
      </c>
      <c r="AA18" s="30">
        <v>1.25</v>
      </c>
      <c r="AB18" s="30">
        <v>1.25</v>
      </c>
      <c r="AC18" s="30">
        <v>1.25</v>
      </c>
      <c r="AD18" s="30">
        <v>1.25</v>
      </c>
      <c r="AE18" s="30">
        <f>AVERAGE(2.5,25/16)</f>
        <v>2.03125</v>
      </c>
      <c r="AF18" s="30">
        <v>1.25</v>
      </c>
      <c r="AG18" s="30">
        <v>1</v>
      </c>
      <c r="AH18" s="30">
        <v>1</v>
      </c>
    </row>
    <row r="20" spans="1:34" x14ac:dyDescent="0.25">
      <c r="A20" s="31" t="s">
        <v>183</v>
      </c>
    </row>
    <row r="21" spans="1:34" x14ac:dyDescent="0.25">
      <c r="A21" s="235" t="s">
        <v>467</v>
      </c>
      <c r="B21" s="56" t="s">
        <v>468</v>
      </c>
    </row>
    <row r="22" spans="1:34" x14ac:dyDescent="0.25">
      <c r="A22" s="235"/>
      <c r="B22" s="93" t="s">
        <v>469</v>
      </c>
    </row>
    <row r="23" spans="1:34" x14ac:dyDescent="0.25">
      <c r="A23" s="235"/>
      <c r="B23" s="93" t="s">
        <v>470</v>
      </c>
    </row>
  </sheetData>
  <mergeCells count="6">
    <mergeCell ref="F3:O3"/>
    <mergeCell ref="F4:O5"/>
    <mergeCell ref="A21:A23"/>
    <mergeCell ref="B3:D3"/>
    <mergeCell ref="B4:D4"/>
    <mergeCell ref="B5:D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0CC5A-1FF3-4CF8-AE97-A2B59E2F872F}">
  <dimension ref="A1:AK26"/>
  <sheetViews>
    <sheetView topLeftCell="T1" workbookViewId="0">
      <selection activeCell="AF10" sqref="AF10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7" x14ac:dyDescent="0.25">
      <c r="A1" s="25" t="s">
        <v>116</v>
      </c>
      <c r="D1" s="25" t="s">
        <v>117</v>
      </c>
      <c r="I1" s="25" t="s">
        <v>118</v>
      </c>
    </row>
    <row r="3" spans="1:37" ht="18" x14ac:dyDescent="0.25">
      <c r="A3" s="25" t="s">
        <v>119</v>
      </c>
      <c r="B3" s="215">
        <v>26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7" ht="18" x14ac:dyDescent="0.25">
      <c r="A4" s="25" t="s">
        <v>121</v>
      </c>
      <c r="B4" s="215" t="s">
        <v>471</v>
      </c>
      <c r="C4" s="215"/>
      <c r="D4" s="215"/>
      <c r="F4" s="216" t="s">
        <v>472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7" ht="18" x14ac:dyDescent="0.25">
      <c r="A5" s="25" t="s">
        <v>124</v>
      </c>
      <c r="B5" s="215" t="s">
        <v>187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7" ht="45" x14ac:dyDescent="0.25">
      <c r="A7" s="27" t="s">
        <v>126</v>
      </c>
      <c r="B7" s="57" t="s">
        <v>17</v>
      </c>
      <c r="C7" s="58" t="s">
        <v>127</v>
      </c>
      <c r="D7" s="58" t="s">
        <v>128</v>
      </c>
      <c r="E7" s="59" t="s">
        <v>129</v>
      </c>
      <c r="F7" s="60" t="s">
        <v>130</v>
      </c>
      <c r="G7" s="61" t="s">
        <v>131</v>
      </c>
      <c r="H7" s="61" t="s">
        <v>132</v>
      </c>
      <c r="I7" s="62" t="s">
        <v>133</v>
      </c>
      <c r="J7" s="63" t="s">
        <v>134</v>
      </c>
      <c r="K7" s="64" t="s">
        <v>135</v>
      </c>
      <c r="L7" s="64" t="s">
        <v>136</v>
      </c>
      <c r="M7" s="64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  <c r="AJ7" s="43" t="s">
        <v>17</v>
      </c>
      <c r="AK7" s="46" t="s">
        <v>146</v>
      </c>
    </row>
    <row r="8" spans="1:37" x14ac:dyDescent="0.25">
      <c r="A8" s="26" t="s">
        <v>159</v>
      </c>
      <c r="B8" s="28" t="s">
        <v>462</v>
      </c>
      <c r="C8" s="28" t="s">
        <v>473</v>
      </c>
      <c r="D8" s="28" t="s">
        <v>473</v>
      </c>
      <c r="E8" s="28" t="s">
        <v>473</v>
      </c>
      <c r="F8" s="113" t="s">
        <v>474</v>
      </c>
      <c r="G8" s="28" t="s">
        <v>473</v>
      </c>
      <c r="H8" s="28" t="s">
        <v>473</v>
      </c>
      <c r="I8" s="28" t="s">
        <v>473</v>
      </c>
      <c r="J8" s="113" t="s">
        <v>475</v>
      </c>
      <c r="K8" s="28" t="s">
        <v>476</v>
      </c>
      <c r="L8" s="28" t="s">
        <v>476</v>
      </c>
      <c r="M8" s="28" t="s">
        <v>476</v>
      </c>
      <c r="N8" s="85" t="s">
        <v>473</v>
      </c>
      <c r="O8" s="29" t="s">
        <v>473</v>
      </c>
      <c r="P8" s="29" t="s">
        <v>473</v>
      </c>
      <c r="Q8" s="29" t="s">
        <v>473</v>
      </c>
      <c r="R8" s="29" t="s">
        <v>473</v>
      </c>
      <c r="S8" s="29" t="s">
        <v>473</v>
      </c>
      <c r="T8" s="29" t="s">
        <v>473</v>
      </c>
      <c r="U8" s="29" t="s">
        <v>473</v>
      </c>
      <c r="V8" s="29" t="s">
        <v>473</v>
      </c>
      <c r="W8" s="29" t="s">
        <v>473</v>
      </c>
      <c r="X8" s="29" t="s">
        <v>473</v>
      </c>
      <c r="Y8" s="29" t="s">
        <v>473</v>
      </c>
      <c r="Z8" s="29" t="s">
        <v>473</v>
      </c>
      <c r="AA8" s="28" t="s">
        <v>473</v>
      </c>
      <c r="AB8" s="29" t="s">
        <v>473</v>
      </c>
      <c r="AC8" s="29" t="s">
        <v>473</v>
      </c>
      <c r="AD8" s="29" t="s">
        <v>473</v>
      </c>
      <c r="AE8" s="29" t="s">
        <v>473</v>
      </c>
      <c r="AF8" s="29" t="s">
        <v>477</v>
      </c>
      <c r="AG8" s="29" t="s">
        <v>473</v>
      </c>
      <c r="AH8" s="29" t="s">
        <v>473</v>
      </c>
      <c r="AJ8" s="29" t="s">
        <v>462</v>
      </c>
      <c r="AK8" s="28" t="s">
        <v>478</v>
      </c>
    </row>
    <row r="9" spans="1:37" x14ac:dyDescent="0.25">
      <c r="A9" s="26" t="s">
        <v>165</v>
      </c>
      <c r="B9" s="28" t="s">
        <v>479</v>
      </c>
      <c r="C9" s="28" t="s">
        <v>479</v>
      </c>
      <c r="D9" s="28" t="s">
        <v>473</v>
      </c>
      <c r="E9" s="28" t="s">
        <v>473</v>
      </c>
      <c r="F9" s="113" t="s">
        <v>480</v>
      </c>
      <c r="G9" s="28" t="s">
        <v>473</v>
      </c>
      <c r="H9" s="28" t="s">
        <v>473</v>
      </c>
      <c r="I9" s="28" t="s">
        <v>473</v>
      </c>
      <c r="J9" s="113" t="s">
        <v>481</v>
      </c>
      <c r="K9" s="113" t="s">
        <v>482</v>
      </c>
      <c r="L9" s="113" t="s">
        <v>482</v>
      </c>
      <c r="M9" s="113" t="s">
        <v>482</v>
      </c>
      <c r="N9" s="83" t="s">
        <v>473</v>
      </c>
      <c r="O9" s="28" t="s">
        <v>473</v>
      </c>
      <c r="P9" s="28" t="s">
        <v>473</v>
      </c>
      <c r="Q9" s="28" t="s">
        <v>473</v>
      </c>
      <c r="R9" s="28" t="s">
        <v>473</v>
      </c>
      <c r="S9" s="28" t="s">
        <v>473</v>
      </c>
      <c r="T9" s="28" t="s">
        <v>473</v>
      </c>
      <c r="U9" s="28" t="s">
        <v>473</v>
      </c>
      <c r="V9" s="28" t="s">
        <v>473</v>
      </c>
      <c r="W9" s="28" t="s">
        <v>473</v>
      </c>
      <c r="X9" s="28" t="s">
        <v>473</v>
      </c>
      <c r="Y9" s="28" t="s">
        <v>473</v>
      </c>
      <c r="Z9" s="28" t="s">
        <v>473</v>
      </c>
      <c r="AA9" s="28" t="s">
        <v>473</v>
      </c>
      <c r="AB9" s="28" t="s">
        <v>473</v>
      </c>
      <c r="AC9" s="28" t="s">
        <v>473</v>
      </c>
      <c r="AD9" s="28" t="s">
        <v>473</v>
      </c>
      <c r="AE9" s="28" t="s">
        <v>473</v>
      </c>
      <c r="AF9" s="29" t="s">
        <v>483</v>
      </c>
      <c r="AG9" s="28" t="s">
        <v>473</v>
      </c>
      <c r="AH9" s="28" t="s">
        <v>473</v>
      </c>
      <c r="AJ9" s="28" t="s">
        <v>484</v>
      </c>
      <c r="AK9" s="111" t="s">
        <v>482</v>
      </c>
    </row>
    <row r="10" spans="1:37" x14ac:dyDescent="0.25">
      <c r="A10" s="131" t="s">
        <v>168</v>
      </c>
      <c r="B10" s="157">
        <v>87</v>
      </c>
      <c r="C10" s="157">
        <v>87</v>
      </c>
      <c r="D10" s="157">
        <v>85</v>
      </c>
      <c r="E10" s="157">
        <v>85</v>
      </c>
      <c r="F10" s="157">
        <v>129</v>
      </c>
      <c r="G10" s="157">
        <v>85</v>
      </c>
      <c r="H10" s="157">
        <v>85</v>
      </c>
      <c r="I10" s="157">
        <v>85</v>
      </c>
      <c r="J10" s="157">
        <v>130</v>
      </c>
      <c r="K10" s="157">
        <v>86</v>
      </c>
      <c r="L10" s="157">
        <v>86</v>
      </c>
      <c r="M10" s="157">
        <v>86</v>
      </c>
      <c r="N10" s="158">
        <v>85</v>
      </c>
      <c r="O10" s="157">
        <v>85</v>
      </c>
      <c r="P10" s="157">
        <v>85</v>
      </c>
      <c r="Q10" s="157">
        <v>85</v>
      </c>
      <c r="R10" s="157">
        <v>85</v>
      </c>
      <c r="S10" s="157">
        <v>85</v>
      </c>
      <c r="T10" s="157">
        <v>85</v>
      </c>
      <c r="U10" s="157">
        <v>85</v>
      </c>
      <c r="V10" s="157">
        <v>85</v>
      </c>
      <c r="W10" s="157">
        <v>85</v>
      </c>
      <c r="X10" s="157">
        <v>85</v>
      </c>
      <c r="Y10" s="157">
        <v>85</v>
      </c>
      <c r="Z10" s="157">
        <v>85</v>
      </c>
      <c r="AA10" s="157">
        <v>85</v>
      </c>
      <c r="AB10" s="157">
        <v>85</v>
      </c>
      <c r="AC10" s="157">
        <v>85</v>
      </c>
      <c r="AD10" s="157">
        <v>85</v>
      </c>
      <c r="AE10" s="157">
        <v>85</v>
      </c>
      <c r="AF10" s="157">
        <v>240</v>
      </c>
      <c r="AG10" s="157">
        <v>85</v>
      </c>
      <c r="AH10" s="157">
        <v>85</v>
      </c>
      <c r="AJ10" s="157">
        <v>139</v>
      </c>
      <c r="AK10" s="157">
        <v>86</v>
      </c>
    </row>
    <row r="11" spans="1:37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83" t="s">
        <v>170</v>
      </c>
      <c r="O11" s="28" t="s">
        <v>170</v>
      </c>
      <c r="P11" s="28" t="s">
        <v>170</v>
      </c>
      <c r="Q11" s="28" t="s">
        <v>170</v>
      </c>
      <c r="R11" s="28" t="s">
        <v>170</v>
      </c>
      <c r="S11" s="28" t="s">
        <v>170</v>
      </c>
      <c r="T11" s="28" t="s">
        <v>170</v>
      </c>
      <c r="U11" s="28" t="s">
        <v>170</v>
      </c>
      <c r="V11" s="28" t="s">
        <v>170</v>
      </c>
      <c r="W11" s="28" t="s">
        <v>170</v>
      </c>
      <c r="X11" s="28" t="s">
        <v>170</v>
      </c>
      <c r="Y11" s="28" t="s">
        <v>170</v>
      </c>
      <c r="Z11" s="28" t="s">
        <v>170</v>
      </c>
      <c r="AA11" s="28" t="s">
        <v>170</v>
      </c>
      <c r="AB11" s="28" t="s">
        <v>170</v>
      </c>
      <c r="AC11" s="28" t="s">
        <v>170</v>
      </c>
      <c r="AD11" s="28" t="s">
        <v>170</v>
      </c>
      <c r="AE11" s="28" t="s">
        <v>170</v>
      </c>
      <c r="AF11" s="28" t="s">
        <v>170</v>
      </c>
      <c r="AG11" s="28" t="s">
        <v>170</v>
      </c>
      <c r="AH11" s="28" t="s">
        <v>170</v>
      </c>
      <c r="AJ11" s="28" t="s">
        <v>170</v>
      </c>
      <c r="AK11" s="28" t="s">
        <v>170</v>
      </c>
    </row>
    <row r="12" spans="1:37" x14ac:dyDescent="0.25">
      <c r="A12" s="26" t="s">
        <v>171</v>
      </c>
      <c r="B12" s="28" t="s">
        <v>170</v>
      </c>
      <c r="C12" s="28" t="s">
        <v>170</v>
      </c>
      <c r="D12" s="28" t="s">
        <v>170</v>
      </c>
      <c r="E12" s="28" t="s">
        <v>170</v>
      </c>
      <c r="F12" s="116" t="s">
        <v>288</v>
      </c>
      <c r="G12" s="28" t="s">
        <v>170</v>
      </c>
      <c r="H12" s="28" t="s">
        <v>170</v>
      </c>
      <c r="I12" s="28" t="s">
        <v>170</v>
      </c>
      <c r="J12" s="28" t="s">
        <v>170</v>
      </c>
      <c r="K12" s="28" t="s">
        <v>170</v>
      </c>
      <c r="L12" s="28" t="s">
        <v>170</v>
      </c>
      <c r="M12" s="28" t="s">
        <v>170</v>
      </c>
      <c r="N12" s="83" t="s">
        <v>170</v>
      </c>
      <c r="O12" s="28" t="s">
        <v>170</v>
      </c>
      <c r="P12" s="28" t="s">
        <v>170</v>
      </c>
      <c r="Q12" s="28" t="s">
        <v>170</v>
      </c>
      <c r="R12" s="28" t="s">
        <v>170</v>
      </c>
      <c r="S12" s="28" t="s">
        <v>170</v>
      </c>
      <c r="T12" s="28" t="s">
        <v>170</v>
      </c>
      <c r="U12" s="28" t="s">
        <v>170</v>
      </c>
      <c r="V12" s="28" t="s">
        <v>170</v>
      </c>
      <c r="W12" s="28" t="s">
        <v>170</v>
      </c>
      <c r="X12" s="28" t="s">
        <v>170</v>
      </c>
      <c r="Y12" s="28" t="s">
        <v>170</v>
      </c>
      <c r="Z12" s="28" t="s">
        <v>170</v>
      </c>
      <c r="AA12" s="28" t="s">
        <v>170</v>
      </c>
      <c r="AB12" s="28" t="s">
        <v>170</v>
      </c>
      <c r="AC12" s="28" t="s">
        <v>170</v>
      </c>
      <c r="AD12" s="28" t="s">
        <v>170</v>
      </c>
      <c r="AE12" s="28" t="s">
        <v>170</v>
      </c>
      <c r="AF12" s="28" t="s">
        <v>170</v>
      </c>
      <c r="AG12" s="28" t="s">
        <v>170</v>
      </c>
      <c r="AH12" s="28" t="s">
        <v>170</v>
      </c>
      <c r="AJ12" s="28" t="s">
        <v>170</v>
      </c>
      <c r="AK12" s="28" t="s">
        <v>170</v>
      </c>
    </row>
    <row r="13" spans="1:37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113" t="s">
        <v>485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83" t="s">
        <v>173</v>
      </c>
      <c r="O13" s="28" t="s">
        <v>173</v>
      </c>
      <c r="P13" s="28" t="s">
        <v>173</v>
      </c>
      <c r="Q13" s="28" t="s">
        <v>173</v>
      </c>
      <c r="R13" s="28" t="s">
        <v>173</v>
      </c>
      <c r="S13" s="28" t="s">
        <v>173</v>
      </c>
      <c r="T13" s="28" t="s">
        <v>173</v>
      </c>
      <c r="U13" s="28" t="s">
        <v>173</v>
      </c>
      <c r="V13" s="28" t="s">
        <v>173</v>
      </c>
      <c r="W13" s="28" t="s">
        <v>173</v>
      </c>
      <c r="X13" s="28" t="s">
        <v>173</v>
      </c>
      <c r="Y13" s="28" t="s">
        <v>173</v>
      </c>
      <c r="Z13" s="28" t="s">
        <v>173</v>
      </c>
      <c r="AA13" s="28" t="s">
        <v>173</v>
      </c>
      <c r="AB13" s="28" t="s">
        <v>173</v>
      </c>
      <c r="AC13" s="28" t="s">
        <v>173</v>
      </c>
      <c r="AD13" s="28" t="s">
        <v>173</v>
      </c>
      <c r="AE13" s="28" t="s">
        <v>173</v>
      </c>
      <c r="AF13" s="28" t="s">
        <v>173</v>
      </c>
      <c r="AG13" s="28" t="s">
        <v>173</v>
      </c>
      <c r="AH13" s="28" t="s">
        <v>173</v>
      </c>
      <c r="AJ13" s="28" t="s">
        <v>173</v>
      </c>
      <c r="AK13" s="28" t="s">
        <v>173</v>
      </c>
    </row>
    <row r="14" spans="1:37" x14ac:dyDescent="0.25">
      <c r="A14" s="26" t="s">
        <v>174</v>
      </c>
      <c r="B14" s="28" t="s">
        <v>170</v>
      </c>
      <c r="C14" s="28" t="s">
        <v>170</v>
      </c>
      <c r="D14" s="28" t="s">
        <v>170</v>
      </c>
      <c r="E14" s="28" t="s">
        <v>170</v>
      </c>
      <c r="F14" s="116" t="s">
        <v>288</v>
      </c>
      <c r="G14" s="28" t="s">
        <v>170</v>
      </c>
      <c r="H14" s="28" t="s">
        <v>170</v>
      </c>
      <c r="I14" s="28" t="s">
        <v>170</v>
      </c>
      <c r="J14" s="28" t="s">
        <v>170</v>
      </c>
      <c r="K14" s="28" t="s">
        <v>170</v>
      </c>
      <c r="L14" s="28" t="s">
        <v>170</v>
      </c>
      <c r="M14" s="28" t="s">
        <v>170</v>
      </c>
      <c r="N14" s="83" t="s">
        <v>170</v>
      </c>
      <c r="O14" s="28" t="s">
        <v>170</v>
      </c>
      <c r="P14" s="28" t="s">
        <v>170</v>
      </c>
      <c r="Q14" s="28" t="s">
        <v>170</v>
      </c>
      <c r="R14" s="28" t="s">
        <v>170</v>
      </c>
      <c r="S14" s="28" t="s">
        <v>170</v>
      </c>
      <c r="T14" s="28" t="s">
        <v>170</v>
      </c>
      <c r="U14" s="28" t="s">
        <v>170</v>
      </c>
      <c r="V14" s="28" t="s">
        <v>170</v>
      </c>
      <c r="W14" s="28" t="s">
        <v>170</v>
      </c>
      <c r="X14" s="28" t="s">
        <v>170</v>
      </c>
      <c r="Y14" s="28" t="s">
        <v>170</v>
      </c>
      <c r="Z14" s="28" t="s">
        <v>170</v>
      </c>
      <c r="AA14" s="28" t="s">
        <v>170</v>
      </c>
      <c r="AB14" s="28" t="s">
        <v>170</v>
      </c>
      <c r="AC14" s="28" t="s">
        <v>170</v>
      </c>
      <c r="AD14" s="28" t="s">
        <v>170</v>
      </c>
      <c r="AE14" s="28" t="s">
        <v>170</v>
      </c>
      <c r="AF14" s="103" t="s">
        <v>355</v>
      </c>
      <c r="AG14" s="28" t="s">
        <v>170</v>
      </c>
      <c r="AH14" s="28" t="s">
        <v>170</v>
      </c>
      <c r="AJ14" s="28" t="s">
        <v>170</v>
      </c>
      <c r="AK14" s="28" t="s">
        <v>170</v>
      </c>
    </row>
    <row r="15" spans="1:37" x14ac:dyDescent="0.25">
      <c r="A15" s="26" t="s">
        <v>175</v>
      </c>
      <c r="B15" s="28" t="s">
        <v>486</v>
      </c>
      <c r="C15" s="28" t="s">
        <v>486</v>
      </c>
      <c r="D15" s="28" t="s">
        <v>198</v>
      </c>
      <c r="E15" s="28" t="s">
        <v>198</v>
      </c>
      <c r="F15" s="28" t="s">
        <v>199</v>
      </c>
      <c r="G15" s="28" t="s">
        <v>198</v>
      </c>
      <c r="H15" s="28" t="s">
        <v>198</v>
      </c>
      <c r="I15" s="28" t="s">
        <v>198</v>
      </c>
      <c r="J15" s="113" t="s">
        <v>487</v>
      </c>
      <c r="K15" s="28" t="s">
        <v>199</v>
      </c>
      <c r="L15" s="28" t="s">
        <v>199</v>
      </c>
      <c r="M15" s="28" t="s">
        <v>199</v>
      </c>
      <c r="N15" s="83" t="s">
        <v>198</v>
      </c>
      <c r="O15" s="28" t="s">
        <v>198</v>
      </c>
      <c r="P15" s="28" t="s">
        <v>198</v>
      </c>
      <c r="Q15" s="28" t="s">
        <v>198</v>
      </c>
      <c r="R15" s="28" t="s">
        <v>198</v>
      </c>
      <c r="S15" s="28" t="s">
        <v>198</v>
      </c>
      <c r="T15" s="28" t="s">
        <v>198</v>
      </c>
      <c r="U15" s="28" t="s">
        <v>198</v>
      </c>
      <c r="V15" s="28" t="s">
        <v>198</v>
      </c>
      <c r="W15" s="28" t="s">
        <v>198</v>
      </c>
      <c r="X15" s="28" t="s">
        <v>198</v>
      </c>
      <c r="Y15" s="28" t="s">
        <v>198</v>
      </c>
      <c r="Z15" s="28" t="s">
        <v>198</v>
      </c>
      <c r="AA15" s="28" t="s">
        <v>198</v>
      </c>
      <c r="AB15" s="28" t="s">
        <v>198</v>
      </c>
      <c r="AC15" s="28" t="s">
        <v>198</v>
      </c>
      <c r="AD15" s="28" t="s">
        <v>198</v>
      </c>
      <c r="AE15" s="28" t="s">
        <v>198</v>
      </c>
      <c r="AF15" s="28" t="s">
        <v>488</v>
      </c>
      <c r="AG15" s="28" t="s">
        <v>198</v>
      </c>
      <c r="AH15" s="28" t="s">
        <v>198</v>
      </c>
      <c r="AJ15" s="28" t="s">
        <v>199</v>
      </c>
      <c r="AK15" s="28" t="s">
        <v>199</v>
      </c>
    </row>
    <row r="16" spans="1:37" x14ac:dyDescent="0.25">
      <c r="A16" s="26" t="s">
        <v>176</v>
      </c>
      <c r="B16" s="30">
        <f>-7/6</f>
        <v>-1.1666666666666667</v>
      </c>
      <c r="C16" s="30">
        <f>-7/6</f>
        <v>-1.1666666666666667</v>
      </c>
      <c r="D16" s="30">
        <v>0.75</v>
      </c>
      <c r="E16" s="30">
        <v>0.75</v>
      </c>
      <c r="F16" s="30">
        <f>AVERAGE(0,0,-1.25)</f>
        <v>-0.41666666666666669</v>
      </c>
      <c r="G16" s="30">
        <v>0.75</v>
      </c>
      <c r="H16" s="30">
        <v>0.75</v>
      </c>
      <c r="I16" s="30">
        <v>0.75</v>
      </c>
      <c r="J16" s="30">
        <f>AVERAGE(0.75,0.75,0.75,0)</f>
        <v>0.5625</v>
      </c>
      <c r="K16" s="30">
        <v>0</v>
      </c>
      <c r="L16" s="30">
        <v>0</v>
      </c>
      <c r="M16" s="30">
        <v>0</v>
      </c>
      <c r="N16" s="88">
        <v>0.75</v>
      </c>
      <c r="O16" s="30">
        <v>0.75</v>
      </c>
      <c r="P16" s="30">
        <v>0.75</v>
      </c>
      <c r="Q16" s="30">
        <v>0.75</v>
      </c>
      <c r="R16" s="30">
        <v>0.75</v>
      </c>
      <c r="S16" s="30">
        <v>0.75</v>
      </c>
      <c r="T16" s="30">
        <v>0.75</v>
      </c>
      <c r="U16" s="30">
        <v>0.75</v>
      </c>
      <c r="V16" s="30">
        <v>0.75</v>
      </c>
      <c r="W16" s="30">
        <v>0.75</v>
      </c>
      <c r="X16" s="30">
        <v>0.75</v>
      </c>
      <c r="Y16" s="30">
        <v>0.75</v>
      </c>
      <c r="Z16" s="30">
        <v>0.75</v>
      </c>
      <c r="AA16" s="30">
        <v>0.75</v>
      </c>
      <c r="AB16" s="30">
        <v>0.75</v>
      </c>
      <c r="AC16" s="30">
        <v>0.75</v>
      </c>
      <c r="AD16" s="30">
        <v>0.75</v>
      </c>
      <c r="AE16" s="30">
        <v>0.75</v>
      </c>
      <c r="AF16" s="30">
        <f>AVERAGE(0.75,0.75,-3)</f>
        <v>-0.5</v>
      </c>
      <c r="AG16" s="30">
        <v>0.75</v>
      </c>
      <c r="AH16" s="30">
        <v>0.75</v>
      </c>
      <c r="AJ16" s="30">
        <f>-1/6</f>
        <v>-0.16666666666666666</v>
      </c>
      <c r="AK16" s="30">
        <v>0</v>
      </c>
    </row>
    <row r="17" spans="1:37" x14ac:dyDescent="0.25">
      <c r="A17" s="26" t="s">
        <v>177</v>
      </c>
      <c r="B17" s="29" t="s">
        <v>489</v>
      </c>
      <c r="C17" s="29" t="s">
        <v>489</v>
      </c>
      <c r="D17" s="29" t="s">
        <v>489</v>
      </c>
      <c r="E17" s="29" t="s">
        <v>489</v>
      </c>
      <c r="F17" s="77" t="s">
        <v>490</v>
      </c>
      <c r="G17" s="29" t="s">
        <v>489</v>
      </c>
      <c r="H17" s="29" t="s">
        <v>489</v>
      </c>
      <c r="I17" s="29" t="s">
        <v>489</v>
      </c>
      <c r="J17" s="29" t="s">
        <v>489</v>
      </c>
      <c r="K17" s="29" t="s">
        <v>489</v>
      </c>
      <c r="L17" s="29" t="s">
        <v>489</v>
      </c>
      <c r="M17" s="29" t="s">
        <v>489</v>
      </c>
      <c r="N17" s="28" t="s">
        <v>489</v>
      </c>
      <c r="O17" s="28" t="s">
        <v>489</v>
      </c>
      <c r="P17" s="28" t="s">
        <v>489</v>
      </c>
      <c r="Q17" s="28" t="s">
        <v>489</v>
      </c>
      <c r="R17" s="28" t="s">
        <v>489</v>
      </c>
      <c r="S17" s="28" t="s">
        <v>489</v>
      </c>
      <c r="T17" s="28" t="s">
        <v>489</v>
      </c>
      <c r="U17" s="28" t="s">
        <v>489</v>
      </c>
      <c r="V17" s="28" t="s">
        <v>489</v>
      </c>
      <c r="W17" s="28" t="s">
        <v>489</v>
      </c>
      <c r="X17" s="28" t="s">
        <v>489</v>
      </c>
      <c r="Y17" s="28" t="s">
        <v>489</v>
      </c>
      <c r="Z17" s="28" t="s">
        <v>489</v>
      </c>
      <c r="AA17" s="28" t="s">
        <v>489</v>
      </c>
      <c r="AB17" s="28" t="s">
        <v>489</v>
      </c>
      <c r="AC17" s="28" t="s">
        <v>489</v>
      </c>
      <c r="AD17" s="28" t="s">
        <v>489</v>
      </c>
      <c r="AE17" s="28" t="s">
        <v>489</v>
      </c>
      <c r="AF17" s="211" t="s">
        <v>491</v>
      </c>
      <c r="AG17" s="28" t="s">
        <v>489</v>
      </c>
      <c r="AH17" s="28" t="s">
        <v>489</v>
      </c>
      <c r="AJ17" s="28" t="s">
        <v>489</v>
      </c>
      <c r="AK17" s="28" t="s">
        <v>489</v>
      </c>
    </row>
    <row r="18" spans="1:37" x14ac:dyDescent="0.25">
      <c r="A18" s="26" t="s">
        <v>182</v>
      </c>
      <c r="B18" s="30">
        <v>0.75</v>
      </c>
      <c r="C18" s="30">
        <v>0.75</v>
      </c>
      <c r="D18" s="30">
        <v>0.75</v>
      </c>
      <c r="E18" s="30">
        <v>0.75</v>
      </c>
      <c r="F18" s="30">
        <f>AVERAGE(0.75,0.75,3)</f>
        <v>1.5</v>
      </c>
      <c r="G18" s="30">
        <v>0.75</v>
      </c>
      <c r="H18" s="30">
        <v>0.75</v>
      </c>
      <c r="I18" s="30">
        <v>0.75</v>
      </c>
      <c r="J18" s="30">
        <v>0.75</v>
      </c>
      <c r="K18" s="30">
        <v>0.75</v>
      </c>
      <c r="L18" s="30">
        <v>0.75</v>
      </c>
      <c r="M18" s="30">
        <v>0.75</v>
      </c>
      <c r="N18" s="30">
        <v>0.75</v>
      </c>
      <c r="O18" s="30">
        <v>0.75</v>
      </c>
      <c r="P18" s="30">
        <v>0.75</v>
      </c>
      <c r="Q18" s="30">
        <v>0.75</v>
      </c>
      <c r="R18" s="30">
        <v>0.75</v>
      </c>
      <c r="S18" s="30">
        <v>0.75</v>
      </c>
      <c r="T18" s="30">
        <v>0.75</v>
      </c>
      <c r="U18" s="30">
        <v>0.75</v>
      </c>
      <c r="V18" s="30">
        <v>0.75</v>
      </c>
      <c r="W18" s="30">
        <v>0.75</v>
      </c>
      <c r="X18" s="30">
        <v>0.75</v>
      </c>
      <c r="Y18" s="30">
        <v>0.75</v>
      </c>
      <c r="Z18" s="30">
        <v>0.75</v>
      </c>
      <c r="AA18" s="30">
        <v>0.75</v>
      </c>
      <c r="AB18" s="30">
        <v>0.75</v>
      </c>
      <c r="AC18" s="30">
        <v>0.75</v>
      </c>
      <c r="AD18" s="30">
        <v>0.75</v>
      </c>
      <c r="AE18" s="30">
        <v>0.75</v>
      </c>
      <c r="AF18" s="30">
        <f>AVERAGE(0.75,0.75,1/3)</f>
        <v>0.61111111111111105</v>
      </c>
      <c r="AG18" s="30">
        <v>0.75</v>
      </c>
      <c r="AH18" s="30">
        <v>0.75</v>
      </c>
      <c r="AJ18" s="30">
        <v>0.75</v>
      </c>
      <c r="AK18" s="30">
        <v>0.75</v>
      </c>
    </row>
    <row r="19" spans="1:37" ht="15.75" customHeight="1" x14ac:dyDescent="0.25">
      <c r="B19" s="78" t="s">
        <v>492</v>
      </c>
      <c r="V19" s="78" t="s">
        <v>493</v>
      </c>
      <c r="AJ19" s="78" t="s">
        <v>494</v>
      </c>
      <c r="AK19" s="78" t="s">
        <v>495</v>
      </c>
    </row>
    <row r="20" spans="1:37" x14ac:dyDescent="0.25">
      <c r="A20" s="31" t="s">
        <v>183</v>
      </c>
    </row>
    <row r="21" spans="1:37" x14ac:dyDescent="0.25">
      <c r="A21" s="235" t="s">
        <v>496</v>
      </c>
      <c r="B21" s="56" t="s">
        <v>497</v>
      </c>
    </row>
    <row r="22" spans="1:37" x14ac:dyDescent="0.25">
      <c r="A22" s="235"/>
      <c r="B22" s="93" t="s">
        <v>498</v>
      </c>
    </row>
    <row r="23" spans="1:37" x14ac:dyDescent="0.25">
      <c r="A23" s="235" t="s">
        <v>499</v>
      </c>
      <c r="B23" s="56" t="s">
        <v>497</v>
      </c>
    </row>
    <row r="24" spans="1:37" x14ac:dyDescent="0.25">
      <c r="A24" s="235"/>
      <c r="B24" s="93" t="s">
        <v>498</v>
      </c>
    </row>
    <row r="25" spans="1:37" x14ac:dyDescent="0.25">
      <c r="A25" s="235" t="s">
        <v>500</v>
      </c>
      <c r="B25" s="56" t="s">
        <v>497</v>
      </c>
    </row>
    <row r="26" spans="1:37" x14ac:dyDescent="0.25">
      <c r="A26" s="235"/>
      <c r="B26" s="93" t="s">
        <v>501</v>
      </c>
    </row>
  </sheetData>
  <mergeCells count="8">
    <mergeCell ref="A25:A26"/>
    <mergeCell ref="A23:A24"/>
    <mergeCell ref="F3:O3"/>
    <mergeCell ref="F4:O5"/>
    <mergeCell ref="A21:A22"/>
    <mergeCell ref="B3:D3"/>
    <mergeCell ref="B4:D4"/>
    <mergeCell ref="B5:D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3FA89-BE7C-4EB3-AAB4-ABBDA266147B}">
  <dimension ref="A1:AJ24"/>
  <sheetViews>
    <sheetView topLeftCell="P1" workbookViewId="0">
      <selection activeCell="AH21" sqref="AH21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6" x14ac:dyDescent="0.25">
      <c r="A1" s="25" t="s">
        <v>116</v>
      </c>
      <c r="D1" s="25" t="s">
        <v>117</v>
      </c>
      <c r="I1" s="25" t="s">
        <v>118</v>
      </c>
    </row>
    <row r="3" spans="1:36" ht="18" x14ac:dyDescent="0.25">
      <c r="A3" s="25" t="s">
        <v>119</v>
      </c>
      <c r="B3" s="215">
        <v>27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6" ht="18" x14ac:dyDescent="0.25">
      <c r="A4" s="25" t="s">
        <v>121</v>
      </c>
      <c r="B4" s="215" t="s">
        <v>471</v>
      </c>
      <c r="C4" s="215"/>
      <c r="D4" s="215"/>
      <c r="F4" s="216" t="s">
        <v>502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6" ht="18" x14ac:dyDescent="0.25">
      <c r="A5" s="25" t="s">
        <v>124</v>
      </c>
      <c r="B5" s="215" t="s">
        <v>125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6" ht="45" x14ac:dyDescent="0.25">
      <c r="A7" s="27" t="s">
        <v>126</v>
      </c>
      <c r="B7" s="57" t="s">
        <v>17</v>
      </c>
      <c r="C7" s="58" t="s">
        <v>127</v>
      </c>
      <c r="D7" s="58" t="s">
        <v>128</v>
      </c>
      <c r="E7" s="59" t="s">
        <v>129</v>
      </c>
      <c r="F7" s="60" t="s">
        <v>130</v>
      </c>
      <c r="G7" s="61" t="s">
        <v>131</v>
      </c>
      <c r="H7" s="61" t="s">
        <v>132</v>
      </c>
      <c r="I7" s="62" t="s">
        <v>133</v>
      </c>
      <c r="J7" s="63" t="s">
        <v>134</v>
      </c>
      <c r="K7" s="64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  <c r="AJ7" s="46" t="s">
        <v>146</v>
      </c>
    </row>
    <row r="8" spans="1:36" ht="15.75" customHeight="1" x14ac:dyDescent="0.25">
      <c r="A8" s="26" t="s">
        <v>159</v>
      </c>
      <c r="B8" s="28" t="s">
        <v>462</v>
      </c>
      <c r="C8" s="28" t="s">
        <v>473</v>
      </c>
      <c r="D8" s="28" t="s">
        <v>473</v>
      </c>
      <c r="E8" s="28" t="s">
        <v>473</v>
      </c>
      <c r="F8" s="113" t="s">
        <v>474</v>
      </c>
      <c r="G8" s="28" t="s">
        <v>473</v>
      </c>
      <c r="H8" s="28" t="s">
        <v>473</v>
      </c>
      <c r="I8" s="28" t="s">
        <v>473</v>
      </c>
      <c r="J8" s="113" t="s">
        <v>475</v>
      </c>
      <c r="K8" s="28" t="s">
        <v>476</v>
      </c>
      <c r="L8" s="83" t="s">
        <v>476</v>
      </c>
      <c r="M8" s="28" t="s">
        <v>476</v>
      </c>
      <c r="N8" s="29" t="s">
        <v>473</v>
      </c>
      <c r="O8" s="29" t="s">
        <v>473</v>
      </c>
      <c r="P8" s="29" t="s">
        <v>473</v>
      </c>
      <c r="Q8" s="29" t="s">
        <v>473</v>
      </c>
      <c r="R8" s="29" t="s">
        <v>473</v>
      </c>
      <c r="S8" s="29" t="s">
        <v>473</v>
      </c>
      <c r="T8" s="29" t="s">
        <v>473</v>
      </c>
      <c r="U8" s="29" t="s">
        <v>473</v>
      </c>
      <c r="V8" s="29" t="s">
        <v>473</v>
      </c>
      <c r="W8" s="29" t="s">
        <v>473</v>
      </c>
      <c r="X8" s="29" t="s">
        <v>473</v>
      </c>
      <c r="Y8" s="29" t="s">
        <v>473</v>
      </c>
      <c r="Z8" s="29" t="s">
        <v>473</v>
      </c>
      <c r="AA8" s="28" t="s">
        <v>473</v>
      </c>
      <c r="AB8" s="28" t="s">
        <v>473</v>
      </c>
      <c r="AC8" s="29" t="s">
        <v>473</v>
      </c>
      <c r="AD8" s="28" t="s">
        <v>473</v>
      </c>
      <c r="AE8" s="29" t="s">
        <v>473</v>
      </c>
      <c r="AF8" s="29" t="s">
        <v>477</v>
      </c>
      <c r="AG8" s="29" t="s">
        <v>473</v>
      </c>
      <c r="AH8" s="28" t="s">
        <v>473</v>
      </c>
      <c r="AJ8" s="28" t="s">
        <v>478</v>
      </c>
    </row>
    <row r="9" spans="1:36" ht="15.75" customHeight="1" x14ac:dyDescent="0.25">
      <c r="A9" s="26" t="s">
        <v>165</v>
      </c>
      <c r="B9" s="28" t="s">
        <v>479</v>
      </c>
      <c r="C9" s="28" t="s">
        <v>479</v>
      </c>
      <c r="D9" s="28" t="s">
        <v>473</v>
      </c>
      <c r="E9" s="28" t="s">
        <v>473</v>
      </c>
      <c r="F9" s="113" t="s">
        <v>480</v>
      </c>
      <c r="G9" s="28" t="s">
        <v>473</v>
      </c>
      <c r="H9" s="28" t="s">
        <v>473</v>
      </c>
      <c r="I9" s="28" t="s">
        <v>473</v>
      </c>
      <c r="J9" s="113" t="s">
        <v>481</v>
      </c>
      <c r="K9" s="113" t="s">
        <v>482</v>
      </c>
      <c r="L9" s="159" t="s">
        <v>482</v>
      </c>
      <c r="M9" s="111" t="s">
        <v>482</v>
      </c>
      <c r="N9" s="28" t="s">
        <v>473</v>
      </c>
      <c r="O9" s="28" t="s">
        <v>473</v>
      </c>
      <c r="P9" s="28" t="s">
        <v>473</v>
      </c>
      <c r="Q9" s="28" t="s">
        <v>473</v>
      </c>
      <c r="R9" s="28" t="s">
        <v>473</v>
      </c>
      <c r="S9" s="28" t="s">
        <v>473</v>
      </c>
      <c r="T9" s="28" t="s">
        <v>473</v>
      </c>
      <c r="U9" s="28" t="s">
        <v>473</v>
      </c>
      <c r="V9" s="28" t="s">
        <v>473</v>
      </c>
      <c r="W9" s="28" t="s">
        <v>473</v>
      </c>
      <c r="X9" s="28" t="s">
        <v>473</v>
      </c>
      <c r="Y9" s="28" t="s">
        <v>473</v>
      </c>
      <c r="Z9" s="28" t="s">
        <v>473</v>
      </c>
      <c r="AA9" s="28" t="s">
        <v>473</v>
      </c>
      <c r="AB9" s="28" t="s">
        <v>473</v>
      </c>
      <c r="AC9" s="28" t="s">
        <v>473</v>
      </c>
      <c r="AD9" s="28" t="s">
        <v>473</v>
      </c>
      <c r="AE9" s="28" t="s">
        <v>473</v>
      </c>
      <c r="AF9" s="29" t="s">
        <v>483</v>
      </c>
      <c r="AG9" s="28" t="s">
        <v>473</v>
      </c>
      <c r="AH9" s="28" t="s">
        <v>473</v>
      </c>
      <c r="AJ9" s="111" t="s">
        <v>482</v>
      </c>
    </row>
    <row r="10" spans="1:36" ht="15.75" customHeight="1" x14ac:dyDescent="0.25">
      <c r="A10" s="131" t="s">
        <v>168</v>
      </c>
      <c r="B10" s="157">
        <v>87</v>
      </c>
      <c r="C10" s="157">
        <v>87</v>
      </c>
      <c r="D10" s="157">
        <v>85</v>
      </c>
      <c r="E10" s="157">
        <v>85</v>
      </c>
      <c r="F10" s="157">
        <v>129</v>
      </c>
      <c r="G10" s="157">
        <v>85</v>
      </c>
      <c r="H10" s="157">
        <v>85</v>
      </c>
      <c r="I10" s="157">
        <v>85</v>
      </c>
      <c r="J10" s="157">
        <v>130</v>
      </c>
      <c r="K10" s="157">
        <v>86</v>
      </c>
      <c r="L10" s="158">
        <v>86</v>
      </c>
      <c r="M10" s="157">
        <v>86</v>
      </c>
      <c r="N10" s="157">
        <v>85</v>
      </c>
      <c r="O10" s="157">
        <v>85</v>
      </c>
      <c r="P10" s="157">
        <v>85</v>
      </c>
      <c r="Q10" s="157">
        <v>85</v>
      </c>
      <c r="R10" s="157">
        <v>85</v>
      </c>
      <c r="S10" s="157">
        <v>85</v>
      </c>
      <c r="T10" s="157">
        <v>85</v>
      </c>
      <c r="U10" s="157">
        <v>85</v>
      </c>
      <c r="V10" s="157">
        <v>85</v>
      </c>
      <c r="W10" s="157">
        <v>85</v>
      </c>
      <c r="X10" s="157">
        <v>85</v>
      </c>
      <c r="Y10" s="157">
        <v>85</v>
      </c>
      <c r="Z10" s="157">
        <v>85</v>
      </c>
      <c r="AA10" s="157">
        <v>85</v>
      </c>
      <c r="AB10" s="157">
        <v>85</v>
      </c>
      <c r="AC10" s="157">
        <v>85</v>
      </c>
      <c r="AD10" s="157">
        <v>85</v>
      </c>
      <c r="AE10" s="157">
        <v>85</v>
      </c>
      <c r="AF10" s="157">
        <v>240</v>
      </c>
      <c r="AG10" s="157">
        <v>85</v>
      </c>
      <c r="AH10" s="157">
        <v>85</v>
      </c>
      <c r="AJ10" s="157">
        <v>86</v>
      </c>
    </row>
    <row r="11" spans="1:36" ht="15.75" customHeight="1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 t="s">
        <v>170</v>
      </c>
      <c r="K11" s="28" t="s">
        <v>170</v>
      </c>
      <c r="L11" s="83" t="s">
        <v>170</v>
      </c>
      <c r="M11" s="28" t="s">
        <v>170</v>
      </c>
      <c r="N11" s="28" t="s">
        <v>170</v>
      </c>
      <c r="O11" s="28" t="s">
        <v>170</v>
      </c>
      <c r="P11" s="28" t="s">
        <v>170</v>
      </c>
      <c r="Q11" s="28" t="s">
        <v>170</v>
      </c>
      <c r="R11" s="28" t="s">
        <v>170</v>
      </c>
      <c r="S11" s="28" t="s">
        <v>170</v>
      </c>
      <c r="T11" s="28" t="s">
        <v>170</v>
      </c>
      <c r="U11" s="28" t="s">
        <v>170</v>
      </c>
      <c r="V11" s="28" t="s">
        <v>170</v>
      </c>
      <c r="W11" s="28" t="s">
        <v>170</v>
      </c>
      <c r="X11" s="28" t="s">
        <v>170</v>
      </c>
      <c r="Y11" s="28" t="s">
        <v>170</v>
      </c>
      <c r="Z11" s="28" t="s">
        <v>170</v>
      </c>
      <c r="AA11" s="28" t="s">
        <v>170</v>
      </c>
      <c r="AB11" s="28" t="s">
        <v>170</v>
      </c>
      <c r="AC11" s="28" t="s">
        <v>170</v>
      </c>
      <c r="AD11" s="28" t="s">
        <v>170</v>
      </c>
      <c r="AE11" s="28" t="s">
        <v>170</v>
      </c>
      <c r="AF11" s="28" t="s">
        <v>170</v>
      </c>
      <c r="AG11" s="28" t="s">
        <v>170</v>
      </c>
      <c r="AH11" s="28" t="s">
        <v>170</v>
      </c>
      <c r="AJ11" s="28" t="s">
        <v>170</v>
      </c>
    </row>
    <row r="12" spans="1:36" ht="15.75" customHeight="1" x14ac:dyDescent="0.25">
      <c r="A12" s="26" t="s">
        <v>171</v>
      </c>
      <c r="B12" s="28" t="s">
        <v>170</v>
      </c>
      <c r="C12" s="28" t="s">
        <v>170</v>
      </c>
      <c r="D12" s="28" t="s">
        <v>170</v>
      </c>
      <c r="E12" s="28" t="s">
        <v>170</v>
      </c>
      <c r="F12" s="116" t="s">
        <v>288</v>
      </c>
      <c r="G12" s="28" t="s">
        <v>170</v>
      </c>
      <c r="H12" s="28" t="s">
        <v>170</v>
      </c>
      <c r="I12" s="28" t="s">
        <v>170</v>
      </c>
      <c r="J12" s="28" t="s">
        <v>170</v>
      </c>
      <c r="K12" s="28" t="s">
        <v>170</v>
      </c>
      <c r="L12" s="83" t="s">
        <v>170</v>
      </c>
      <c r="M12" s="28" t="s">
        <v>170</v>
      </c>
      <c r="N12" s="28" t="s">
        <v>170</v>
      </c>
      <c r="O12" s="28" t="s">
        <v>170</v>
      </c>
      <c r="P12" s="28" t="s">
        <v>170</v>
      </c>
      <c r="Q12" s="28" t="s">
        <v>170</v>
      </c>
      <c r="R12" s="28" t="s">
        <v>170</v>
      </c>
      <c r="S12" s="28" t="s">
        <v>170</v>
      </c>
      <c r="T12" s="28" t="s">
        <v>170</v>
      </c>
      <c r="U12" s="28" t="s">
        <v>170</v>
      </c>
      <c r="V12" s="28" t="s">
        <v>170</v>
      </c>
      <c r="W12" s="28" t="s">
        <v>170</v>
      </c>
      <c r="X12" s="28" t="s">
        <v>170</v>
      </c>
      <c r="Y12" s="28" t="s">
        <v>170</v>
      </c>
      <c r="Z12" s="28" t="s">
        <v>170</v>
      </c>
      <c r="AA12" s="28" t="s">
        <v>170</v>
      </c>
      <c r="AB12" s="28" t="s">
        <v>170</v>
      </c>
      <c r="AC12" s="28" t="s">
        <v>170</v>
      </c>
      <c r="AD12" s="28" t="s">
        <v>170</v>
      </c>
      <c r="AE12" s="28" t="s">
        <v>170</v>
      </c>
      <c r="AF12" s="28" t="s">
        <v>170</v>
      </c>
      <c r="AG12" s="28" t="s">
        <v>170</v>
      </c>
      <c r="AH12" s="28" t="s">
        <v>170</v>
      </c>
      <c r="AJ12" s="28" t="s">
        <v>170</v>
      </c>
    </row>
    <row r="13" spans="1:36" ht="15.75" customHeight="1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113" t="s">
        <v>485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83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 t="s">
        <v>173</v>
      </c>
      <c r="S13" s="28" t="s">
        <v>173</v>
      </c>
      <c r="T13" s="28" t="s">
        <v>173</v>
      </c>
      <c r="U13" s="28" t="s">
        <v>173</v>
      </c>
      <c r="V13" s="28" t="s">
        <v>173</v>
      </c>
      <c r="W13" s="28" t="s">
        <v>173</v>
      </c>
      <c r="X13" s="28" t="s">
        <v>173</v>
      </c>
      <c r="Y13" s="28" t="s">
        <v>173</v>
      </c>
      <c r="Z13" s="28" t="s">
        <v>173</v>
      </c>
      <c r="AA13" s="28" t="s">
        <v>173</v>
      </c>
      <c r="AB13" s="28" t="s">
        <v>173</v>
      </c>
      <c r="AC13" s="28" t="s">
        <v>173</v>
      </c>
      <c r="AD13" s="28" t="s">
        <v>173</v>
      </c>
      <c r="AE13" s="28" t="s">
        <v>173</v>
      </c>
      <c r="AF13" s="28" t="s">
        <v>173</v>
      </c>
      <c r="AG13" s="28" t="s">
        <v>173</v>
      </c>
      <c r="AH13" s="28" t="s">
        <v>173</v>
      </c>
      <c r="AJ13" s="28" t="s">
        <v>173</v>
      </c>
    </row>
    <row r="14" spans="1:36" ht="15.75" customHeight="1" x14ac:dyDescent="0.25">
      <c r="A14" s="26" t="s">
        <v>174</v>
      </c>
      <c r="B14" s="28" t="s">
        <v>170</v>
      </c>
      <c r="C14" s="28" t="s">
        <v>170</v>
      </c>
      <c r="D14" s="28" t="s">
        <v>170</v>
      </c>
      <c r="E14" s="28" t="s">
        <v>170</v>
      </c>
      <c r="F14" s="116" t="s">
        <v>288</v>
      </c>
      <c r="G14" s="28" t="s">
        <v>170</v>
      </c>
      <c r="H14" s="28" t="s">
        <v>170</v>
      </c>
      <c r="I14" s="28" t="s">
        <v>170</v>
      </c>
      <c r="J14" s="28" t="s">
        <v>170</v>
      </c>
      <c r="K14" s="28" t="s">
        <v>170</v>
      </c>
      <c r="L14" s="83" t="s">
        <v>170</v>
      </c>
      <c r="M14" s="28" t="s">
        <v>170</v>
      </c>
      <c r="N14" s="28" t="s">
        <v>170</v>
      </c>
      <c r="O14" s="28" t="s">
        <v>170</v>
      </c>
      <c r="P14" s="28" t="s">
        <v>170</v>
      </c>
      <c r="Q14" s="28" t="s">
        <v>170</v>
      </c>
      <c r="R14" s="28" t="s">
        <v>170</v>
      </c>
      <c r="S14" s="28" t="s">
        <v>170</v>
      </c>
      <c r="T14" s="28" t="s">
        <v>170</v>
      </c>
      <c r="U14" s="28" t="s">
        <v>170</v>
      </c>
      <c r="V14" s="28" t="s">
        <v>170</v>
      </c>
      <c r="W14" s="28" t="s">
        <v>170</v>
      </c>
      <c r="X14" s="28" t="s">
        <v>170</v>
      </c>
      <c r="Y14" s="28" t="s">
        <v>170</v>
      </c>
      <c r="Z14" s="28" t="s">
        <v>170</v>
      </c>
      <c r="AA14" s="28" t="s">
        <v>170</v>
      </c>
      <c r="AB14" s="28" t="s">
        <v>170</v>
      </c>
      <c r="AC14" s="28" t="s">
        <v>170</v>
      </c>
      <c r="AD14" s="28" t="s">
        <v>170</v>
      </c>
      <c r="AE14" s="28" t="s">
        <v>170</v>
      </c>
      <c r="AF14" s="103" t="s">
        <v>355</v>
      </c>
      <c r="AG14" s="28" t="s">
        <v>170</v>
      </c>
      <c r="AH14" s="28" t="s">
        <v>170</v>
      </c>
      <c r="AJ14" s="28" t="s">
        <v>170</v>
      </c>
    </row>
    <row r="15" spans="1:36" ht="15.75" customHeight="1" x14ac:dyDescent="0.25">
      <c r="A15" s="26" t="s">
        <v>175</v>
      </c>
      <c r="B15" s="29" t="s">
        <v>486</v>
      </c>
      <c r="C15" s="29" t="s">
        <v>486</v>
      </c>
      <c r="D15" s="29" t="s">
        <v>198</v>
      </c>
      <c r="E15" s="29" t="s">
        <v>198</v>
      </c>
      <c r="F15" s="29" t="s">
        <v>199</v>
      </c>
      <c r="G15" s="29" t="s">
        <v>198</v>
      </c>
      <c r="H15" s="29" t="s">
        <v>198</v>
      </c>
      <c r="I15" s="29" t="s">
        <v>198</v>
      </c>
      <c r="J15" s="111" t="s">
        <v>487</v>
      </c>
      <c r="K15" s="29" t="s">
        <v>199</v>
      </c>
      <c r="L15" s="28" t="s">
        <v>199</v>
      </c>
      <c r="M15" s="28" t="s">
        <v>199</v>
      </c>
      <c r="N15" s="28" t="s">
        <v>198</v>
      </c>
      <c r="O15" s="28" t="s">
        <v>198</v>
      </c>
      <c r="P15" s="28" t="s">
        <v>198</v>
      </c>
      <c r="Q15" s="28" t="s">
        <v>198</v>
      </c>
      <c r="R15" s="28" t="s">
        <v>198</v>
      </c>
      <c r="S15" s="28" t="s">
        <v>198</v>
      </c>
      <c r="T15" s="28" t="s">
        <v>198</v>
      </c>
      <c r="U15" s="28" t="s">
        <v>198</v>
      </c>
      <c r="V15" s="28" t="s">
        <v>198</v>
      </c>
      <c r="W15" s="28" t="s">
        <v>198</v>
      </c>
      <c r="X15" s="28" t="s">
        <v>198</v>
      </c>
      <c r="Y15" s="28" t="s">
        <v>198</v>
      </c>
      <c r="Z15" s="28" t="s">
        <v>198</v>
      </c>
      <c r="AA15" s="28" t="s">
        <v>198</v>
      </c>
      <c r="AB15" s="28" t="s">
        <v>198</v>
      </c>
      <c r="AC15" s="28" t="s">
        <v>198</v>
      </c>
      <c r="AD15" s="28" t="s">
        <v>198</v>
      </c>
      <c r="AE15" s="28" t="s">
        <v>198</v>
      </c>
      <c r="AF15" s="28" t="s">
        <v>488</v>
      </c>
      <c r="AG15" s="28" t="s">
        <v>198</v>
      </c>
      <c r="AH15" s="28" t="s">
        <v>198</v>
      </c>
      <c r="AJ15" s="28" t="s">
        <v>199</v>
      </c>
    </row>
    <row r="16" spans="1:36" ht="15.75" customHeight="1" x14ac:dyDescent="0.25">
      <c r="A16" s="26" t="s">
        <v>176</v>
      </c>
      <c r="B16" s="30">
        <f>-7/6</f>
        <v>-1.1666666666666667</v>
      </c>
      <c r="C16" s="30">
        <f>-7/6</f>
        <v>-1.1666666666666667</v>
      </c>
      <c r="D16" s="30">
        <v>0.75</v>
      </c>
      <c r="E16" s="30">
        <v>0.75</v>
      </c>
      <c r="F16" s="30">
        <f>AVERAGE(0,0,-1.25)</f>
        <v>-0.41666666666666669</v>
      </c>
      <c r="G16" s="30">
        <v>0.75</v>
      </c>
      <c r="H16" s="30">
        <v>0.75</v>
      </c>
      <c r="I16" s="30">
        <v>0.75</v>
      </c>
      <c r="J16" s="30">
        <f>AVERAGE(0.75,0.75,0.75,0)</f>
        <v>0.5625</v>
      </c>
      <c r="K16" s="30">
        <v>0</v>
      </c>
      <c r="L16" s="30">
        <v>0</v>
      </c>
      <c r="M16" s="30">
        <v>0</v>
      </c>
      <c r="N16" s="30">
        <v>0.75</v>
      </c>
      <c r="O16" s="30">
        <v>0.75</v>
      </c>
      <c r="P16" s="30">
        <v>0.75</v>
      </c>
      <c r="Q16" s="30">
        <v>0.75</v>
      </c>
      <c r="R16" s="30">
        <v>0.75</v>
      </c>
      <c r="S16" s="30">
        <v>0.75</v>
      </c>
      <c r="T16" s="30">
        <v>0.75</v>
      </c>
      <c r="U16" s="30">
        <v>0.75</v>
      </c>
      <c r="V16" s="30">
        <v>0.75</v>
      </c>
      <c r="W16" s="30">
        <v>0.75</v>
      </c>
      <c r="X16" s="30">
        <v>0.75</v>
      </c>
      <c r="Y16" s="30">
        <v>0.75</v>
      </c>
      <c r="Z16" s="30">
        <v>0.75</v>
      </c>
      <c r="AA16" s="30">
        <v>0.75</v>
      </c>
      <c r="AB16" s="30">
        <v>0.75</v>
      </c>
      <c r="AC16" s="30">
        <v>0.75</v>
      </c>
      <c r="AD16" s="30">
        <v>0.75</v>
      </c>
      <c r="AE16" s="30">
        <v>0.75</v>
      </c>
      <c r="AF16" s="30">
        <f>AVERAGE(0.75,0.75,-3)</f>
        <v>-0.5</v>
      </c>
      <c r="AG16" s="30">
        <v>0.75</v>
      </c>
      <c r="AH16" s="30">
        <v>0.75</v>
      </c>
      <c r="AJ16" s="30">
        <v>0</v>
      </c>
    </row>
    <row r="17" spans="1:36" ht="15.75" customHeight="1" x14ac:dyDescent="0.25">
      <c r="A17" s="26" t="s">
        <v>177</v>
      </c>
      <c r="B17" s="28" t="s">
        <v>489</v>
      </c>
      <c r="C17" s="28" t="s">
        <v>489</v>
      </c>
      <c r="D17" s="28" t="s">
        <v>489</v>
      </c>
      <c r="E17" s="28" t="s">
        <v>489</v>
      </c>
      <c r="F17" s="77" t="s">
        <v>490</v>
      </c>
      <c r="G17" s="28" t="s">
        <v>489</v>
      </c>
      <c r="H17" s="28" t="s">
        <v>489</v>
      </c>
      <c r="I17" s="28" t="s">
        <v>489</v>
      </c>
      <c r="J17" s="28" t="s">
        <v>489</v>
      </c>
      <c r="K17" s="28" t="s">
        <v>489</v>
      </c>
      <c r="L17" s="28" t="s">
        <v>489</v>
      </c>
      <c r="M17" s="28" t="s">
        <v>489</v>
      </c>
      <c r="N17" s="28" t="s">
        <v>489</v>
      </c>
      <c r="O17" s="28" t="s">
        <v>489</v>
      </c>
      <c r="P17" s="28" t="s">
        <v>489</v>
      </c>
      <c r="Q17" s="28" t="s">
        <v>489</v>
      </c>
      <c r="R17" s="28" t="s">
        <v>489</v>
      </c>
      <c r="S17" s="28" t="s">
        <v>489</v>
      </c>
      <c r="T17" s="28" t="s">
        <v>489</v>
      </c>
      <c r="U17" s="28" t="s">
        <v>489</v>
      </c>
      <c r="V17" s="28" t="s">
        <v>489</v>
      </c>
      <c r="W17" s="28" t="s">
        <v>489</v>
      </c>
      <c r="X17" s="28" t="s">
        <v>489</v>
      </c>
      <c r="Y17" s="28" t="s">
        <v>489</v>
      </c>
      <c r="Z17" s="28" t="s">
        <v>489</v>
      </c>
      <c r="AA17" s="28" t="s">
        <v>489</v>
      </c>
      <c r="AB17" s="28" t="s">
        <v>489</v>
      </c>
      <c r="AC17" s="28" t="s">
        <v>489</v>
      </c>
      <c r="AD17" s="28" t="s">
        <v>489</v>
      </c>
      <c r="AE17" s="28" t="s">
        <v>489</v>
      </c>
      <c r="AF17" s="211" t="s">
        <v>491</v>
      </c>
      <c r="AG17" s="28" t="s">
        <v>489</v>
      </c>
      <c r="AH17" s="28" t="s">
        <v>489</v>
      </c>
      <c r="AJ17" s="28" t="s">
        <v>489</v>
      </c>
    </row>
    <row r="18" spans="1:36" ht="15.75" customHeight="1" x14ac:dyDescent="0.25">
      <c r="A18" s="26" t="s">
        <v>182</v>
      </c>
      <c r="B18" s="30">
        <v>0.75</v>
      </c>
      <c r="C18" s="30">
        <v>0.75</v>
      </c>
      <c r="D18" s="30">
        <v>0.75</v>
      </c>
      <c r="E18" s="30">
        <v>0.75</v>
      </c>
      <c r="F18" s="30">
        <f>AVERAGE(0.75,0.75,3)</f>
        <v>1.5</v>
      </c>
      <c r="G18" s="30">
        <v>0.75</v>
      </c>
      <c r="H18" s="30">
        <v>0.75</v>
      </c>
      <c r="I18" s="30">
        <v>0.75</v>
      </c>
      <c r="J18" s="30">
        <v>0.75</v>
      </c>
      <c r="K18" s="30">
        <v>0.75</v>
      </c>
      <c r="L18" s="30">
        <v>0.75</v>
      </c>
      <c r="M18" s="30">
        <v>0.75</v>
      </c>
      <c r="N18" s="30">
        <v>0.75</v>
      </c>
      <c r="O18" s="30">
        <v>0.75</v>
      </c>
      <c r="P18" s="30">
        <v>0.75</v>
      </c>
      <c r="Q18" s="30">
        <v>0.75</v>
      </c>
      <c r="R18" s="30">
        <v>0.75</v>
      </c>
      <c r="S18" s="30">
        <v>0.75</v>
      </c>
      <c r="T18" s="30">
        <v>0.75</v>
      </c>
      <c r="U18" s="30">
        <v>0.75</v>
      </c>
      <c r="V18" s="30">
        <v>0.75</v>
      </c>
      <c r="W18" s="30">
        <v>0.75</v>
      </c>
      <c r="X18" s="30">
        <v>0.75</v>
      </c>
      <c r="Y18" s="30">
        <v>0.75</v>
      </c>
      <c r="Z18" s="30">
        <v>0.75</v>
      </c>
      <c r="AA18" s="30">
        <v>0.75</v>
      </c>
      <c r="AB18" s="30">
        <v>0.75</v>
      </c>
      <c r="AC18" s="30">
        <v>0.75</v>
      </c>
      <c r="AD18" s="30">
        <v>0.75</v>
      </c>
      <c r="AE18" s="30">
        <v>0.75</v>
      </c>
      <c r="AF18" s="30">
        <f>AVERAGE(0.75,0.75,1/3)</f>
        <v>0.61111111111111105</v>
      </c>
      <c r="AG18" s="30">
        <v>0.75</v>
      </c>
      <c r="AH18" s="30">
        <v>0.75</v>
      </c>
      <c r="AJ18" s="30">
        <v>0.75</v>
      </c>
    </row>
    <row r="19" spans="1:36" ht="15.75" customHeight="1" x14ac:dyDescent="0.25">
      <c r="V19" s="78" t="s">
        <v>503</v>
      </c>
      <c r="AJ19" s="78" t="s">
        <v>504</v>
      </c>
    </row>
    <row r="20" spans="1:36" x14ac:dyDescent="0.25">
      <c r="A20" s="31" t="s">
        <v>183</v>
      </c>
    </row>
    <row r="21" spans="1:36" x14ac:dyDescent="0.25">
      <c r="A21" s="236" t="s">
        <v>505</v>
      </c>
      <c r="B21" s="56" t="s">
        <v>497</v>
      </c>
    </row>
    <row r="22" spans="1:36" x14ac:dyDescent="0.25">
      <c r="A22" s="236"/>
      <c r="B22" s="93" t="s">
        <v>498</v>
      </c>
    </row>
    <row r="23" spans="1:36" x14ac:dyDescent="0.25">
      <c r="A23" s="235" t="s">
        <v>506</v>
      </c>
      <c r="B23" s="56" t="s">
        <v>497</v>
      </c>
    </row>
    <row r="24" spans="1:36" x14ac:dyDescent="0.25">
      <c r="A24" s="235"/>
      <c r="B24" s="93" t="s">
        <v>501</v>
      </c>
    </row>
  </sheetData>
  <mergeCells count="7">
    <mergeCell ref="A23:A24"/>
    <mergeCell ref="F3:O3"/>
    <mergeCell ref="F4:O5"/>
    <mergeCell ref="A21:A22"/>
    <mergeCell ref="B3:D3"/>
    <mergeCell ref="B4:D4"/>
    <mergeCell ref="B5:D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47E6-7522-4DA3-B7A9-6A748288E100}">
  <dimension ref="A1:AH22"/>
  <sheetViews>
    <sheetView workbookViewId="0">
      <selection activeCell="J9" sqref="J9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117</v>
      </c>
      <c r="I1" s="25" t="s">
        <v>118</v>
      </c>
    </row>
    <row r="3" spans="1:34" ht="18" x14ac:dyDescent="0.25">
      <c r="A3" s="25" t="s">
        <v>119</v>
      </c>
      <c r="B3" s="215">
        <v>28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507</v>
      </c>
      <c r="C4" s="215"/>
      <c r="D4" s="215"/>
      <c r="F4" s="216" t="s">
        <v>508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361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29" t="s">
        <v>509</v>
      </c>
      <c r="C8" s="29" t="s">
        <v>322</v>
      </c>
      <c r="D8" s="29" t="s">
        <v>322</v>
      </c>
      <c r="E8" s="28" t="s">
        <v>316</v>
      </c>
      <c r="F8" s="28" t="s">
        <v>316</v>
      </c>
      <c r="G8" s="29" t="s">
        <v>322</v>
      </c>
      <c r="H8" s="29" t="s">
        <v>322</v>
      </c>
      <c r="I8" s="29" t="s">
        <v>322</v>
      </c>
      <c r="J8" s="29" t="s">
        <v>252</v>
      </c>
      <c r="K8" s="29" t="s">
        <v>322</v>
      </c>
      <c r="L8" s="29" t="s">
        <v>322</v>
      </c>
      <c r="M8" s="29" t="s">
        <v>322</v>
      </c>
      <c r="N8" s="29" t="s">
        <v>302</v>
      </c>
      <c r="O8" s="28" t="s">
        <v>302</v>
      </c>
      <c r="P8" s="29" t="s">
        <v>322</v>
      </c>
      <c r="Q8" s="29" t="s">
        <v>322</v>
      </c>
      <c r="R8" s="29" t="s">
        <v>318</v>
      </c>
      <c r="S8" s="29" t="s">
        <v>347</v>
      </c>
      <c r="T8" s="29" t="s">
        <v>222</v>
      </c>
      <c r="U8" s="29" t="s">
        <v>319</v>
      </c>
      <c r="V8" s="29" t="s">
        <v>348</v>
      </c>
      <c r="W8" s="29" t="s">
        <v>222</v>
      </c>
      <c r="X8" s="29" t="s">
        <v>322</v>
      </c>
      <c r="Y8" s="29" t="s">
        <v>348</v>
      </c>
      <c r="Z8" s="29"/>
      <c r="AA8" s="29" t="s">
        <v>348</v>
      </c>
      <c r="AB8" s="29"/>
      <c r="AC8" s="29" t="s">
        <v>322</v>
      </c>
      <c r="AD8" s="29"/>
      <c r="AE8" s="29" t="s">
        <v>322</v>
      </c>
      <c r="AF8" s="29"/>
      <c r="AG8" s="29"/>
      <c r="AH8" s="29" t="s">
        <v>322</v>
      </c>
    </row>
    <row r="9" spans="1:34" x14ac:dyDescent="0.25">
      <c r="A9" s="26" t="s">
        <v>165</v>
      </c>
      <c r="B9" s="29" t="s">
        <v>322</v>
      </c>
      <c r="C9" s="28" t="s">
        <v>324</v>
      </c>
      <c r="D9" s="28" t="s">
        <v>324</v>
      </c>
      <c r="E9" s="29" t="s">
        <v>283</v>
      </c>
      <c r="F9" s="29" t="s">
        <v>283</v>
      </c>
      <c r="G9" s="29" t="s">
        <v>316</v>
      </c>
      <c r="H9" s="28" t="s">
        <v>395</v>
      </c>
      <c r="I9" s="28" t="s">
        <v>395</v>
      </c>
      <c r="J9" s="29" t="s">
        <v>197</v>
      </c>
      <c r="K9" s="28" t="s">
        <v>324</v>
      </c>
      <c r="L9" s="28" t="s">
        <v>227</v>
      </c>
      <c r="M9" s="28" t="s">
        <v>324</v>
      </c>
      <c r="N9" s="115" t="s">
        <v>326</v>
      </c>
      <c r="O9" s="28" t="s">
        <v>324</v>
      </c>
      <c r="P9" s="28" t="s">
        <v>324</v>
      </c>
      <c r="Q9" s="28" t="s">
        <v>324</v>
      </c>
      <c r="R9" s="28" t="s">
        <v>227</v>
      </c>
      <c r="S9" s="29" t="s">
        <v>327</v>
      </c>
      <c r="T9" s="111" t="s">
        <v>328</v>
      </c>
      <c r="U9" s="29" t="s">
        <v>329</v>
      </c>
      <c r="V9" s="29"/>
      <c r="W9" s="29"/>
      <c r="X9" s="29" t="s">
        <v>322</v>
      </c>
      <c r="Y9" s="28" t="s">
        <v>227</v>
      </c>
      <c r="Z9" s="29"/>
      <c r="AA9" s="28" t="s">
        <v>227</v>
      </c>
      <c r="AB9" s="29"/>
      <c r="AC9" s="29" t="s">
        <v>322</v>
      </c>
      <c r="AD9" s="29"/>
      <c r="AE9" s="29" t="s">
        <v>322</v>
      </c>
      <c r="AF9" s="29"/>
      <c r="AG9" s="29"/>
      <c r="AH9" s="28" t="s">
        <v>324</v>
      </c>
    </row>
    <row r="10" spans="1:34" x14ac:dyDescent="0.25">
      <c r="A10" s="131" t="s">
        <v>168</v>
      </c>
      <c r="B10" s="157">
        <v>98</v>
      </c>
      <c r="C10" s="157">
        <v>57</v>
      </c>
      <c r="D10" s="157">
        <v>57</v>
      </c>
      <c r="E10" s="157">
        <v>56</v>
      </c>
      <c r="F10" s="157">
        <v>56</v>
      </c>
      <c r="G10" s="157">
        <v>63</v>
      </c>
      <c r="H10" s="157">
        <v>68</v>
      </c>
      <c r="I10" s="157">
        <v>68</v>
      </c>
      <c r="J10" s="157">
        <v>34</v>
      </c>
      <c r="K10" s="157">
        <v>57</v>
      </c>
      <c r="L10" s="157">
        <v>35</v>
      </c>
      <c r="M10" s="157">
        <v>57</v>
      </c>
      <c r="N10" s="157">
        <v>194</v>
      </c>
      <c r="O10" s="157">
        <v>57</v>
      </c>
      <c r="P10" s="157">
        <v>57</v>
      </c>
      <c r="Q10" s="157">
        <v>57</v>
      </c>
      <c r="R10" s="157">
        <v>35</v>
      </c>
      <c r="S10" s="157">
        <v>107</v>
      </c>
      <c r="T10" s="157">
        <v>111</v>
      </c>
      <c r="U10" s="157">
        <v>108</v>
      </c>
      <c r="V10" s="157"/>
      <c r="W10" s="157"/>
      <c r="X10" s="157">
        <v>98</v>
      </c>
      <c r="Y10" s="157">
        <v>35</v>
      </c>
      <c r="Z10" s="157"/>
      <c r="AA10" s="157">
        <v>35</v>
      </c>
      <c r="AB10" s="157"/>
      <c r="AC10" s="157">
        <v>98</v>
      </c>
      <c r="AD10" s="157"/>
      <c r="AE10" s="157">
        <v>98</v>
      </c>
      <c r="AF10" s="157"/>
      <c r="AG10" s="157"/>
      <c r="AH10" s="157">
        <v>57</v>
      </c>
    </row>
    <row r="11" spans="1:34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29" t="s">
        <v>170</v>
      </c>
      <c r="H11" s="29" t="s">
        <v>170</v>
      </c>
      <c r="I11" s="29" t="s">
        <v>170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28" t="s">
        <v>170</v>
      </c>
      <c r="O11" s="28" t="s">
        <v>170</v>
      </c>
      <c r="P11" s="28" t="s">
        <v>170</v>
      </c>
      <c r="Q11" s="28" t="s">
        <v>170</v>
      </c>
      <c r="R11" s="28" t="s">
        <v>170</v>
      </c>
      <c r="S11" s="28" t="s">
        <v>170</v>
      </c>
      <c r="T11" s="28" t="s">
        <v>170</v>
      </c>
      <c r="U11" s="28" t="s">
        <v>170</v>
      </c>
      <c r="V11" s="28"/>
      <c r="W11" s="28"/>
      <c r="X11" s="28" t="s">
        <v>170</v>
      </c>
      <c r="Y11" s="28" t="s">
        <v>170</v>
      </c>
      <c r="Z11" s="28"/>
      <c r="AA11" s="28" t="s">
        <v>170</v>
      </c>
      <c r="AB11" s="28"/>
      <c r="AC11" s="28" t="s">
        <v>170</v>
      </c>
      <c r="AD11" s="28"/>
      <c r="AE11" s="28" t="s">
        <v>170</v>
      </c>
      <c r="AF11" s="28"/>
      <c r="AG11" s="28"/>
      <c r="AH11" s="28" t="s">
        <v>170</v>
      </c>
    </row>
    <row r="12" spans="1:34" x14ac:dyDescent="0.25">
      <c r="A12" s="26" t="s">
        <v>171</v>
      </c>
      <c r="B12" s="28" t="s">
        <v>170</v>
      </c>
      <c r="C12" s="28" t="s">
        <v>170</v>
      </c>
      <c r="D12" s="28" t="s">
        <v>170</v>
      </c>
      <c r="E12" s="28" t="s">
        <v>173</v>
      </c>
      <c r="F12" s="28" t="s">
        <v>173</v>
      </c>
      <c r="G12" s="28" t="s">
        <v>173</v>
      </c>
      <c r="H12" s="29" t="s">
        <v>170</v>
      </c>
      <c r="I12" s="29" t="s">
        <v>170</v>
      </c>
      <c r="J12" s="28" t="s">
        <v>173</v>
      </c>
      <c r="K12" s="28" t="s">
        <v>170</v>
      </c>
      <c r="L12" s="28" t="s">
        <v>170</v>
      </c>
      <c r="M12" s="28" t="s">
        <v>170</v>
      </c>
      <c r="N12" s="28" t="s">
        <v>170</v>
      </c>
      <c r="O12" s="28" t="s">
        <v>170</v>
      </c>
      <c r="P12" s="28" t="s">
        <v>170</v>
      </c>
      <c r="Q12" s="28" t="s">
        <v>170</v>
      </c>
      <c r="R12" s="28" t="s">
        <v>170</v>
      </c>
      <c r="S12" s="28" t="s">
        <v>170</v>
      </c>
      <c r="T12" s="28" t="s">
        <v>170</v>
      </c>
      <c r="U12" s="28" t="s">
        <v>170</v>
      </c>
      <c r="V12" s="28"/>
      <c r="W12" s="28"/>
      <c r="X12" s="28" t="s">
        <v>170</v>
      </c>
      <c r="Y12" s="28" t="s">
        <v>170</v>
      </c>
      <c r="Z12" s="28"/>
      <c r="AA12" s="28" t="s">
        <v>170</v>
      </c>
      <c r="AB12" s="28"/>
      <c r="AC12" s="28" t="s">
        <v>170</v>
      </c>
      <c r="AD12" s="28"/>
      <c r="AE12" s="28" t="s">
        <v>170</v>
      </c>
      <c r="AF12" s="28"/>
      <c r="AG12" s="28"/>
      <c r="AH12" s="28" t="s">
        <v>170</v>
      </c>
    </row>
    <row r="13" spans="1:34" x14ac:dyDescent="0.25">
      <c r="A13" s="26" t="s">
        <v>172</v>
      </c>
      <c r="B13" s="28" t="s">
        <v>173</v>
      </c>
      <c r="C13" s="28" t="s">
        <v>170</v>
      </c>
      <c r="D13" s="28" t="s">
        <v>170</v>
      </c>
      <c r="E13" s="28" t="s">
        <v>170</v>
      </c>
      <c r="F13" s="28" t="s">
        <v>170</v>
      </c>
      <c r="G13" s="28" t="s">
        <v>173</v>
      </c>
      <c r="H13" s="28" t="s">
        <v>173</v>
      </c>
      <c r="I13" s="28" t="s">
        <v>173</v>
      </c>
      <c r="J13" s="28" t="s">
        <v>170</v>
      </c>
      <c r="K13" s="28" t="s">
        <v>170</v>
      </c>
      <c r="L13" s="28" t="s">
        <v>170</v>
      </c>
      <c r="M13" s="28" t="s">
        <v>170</v>
      </c>
      <c r="N13" s="28" t="s">
        <v>170</v>
      </c>
      <c r="O13" s="28" t="s">
        <v>170</v>
      </c>
      <c r="P13" s="28" t="s">
        <v>170</v>
      </c>
      <c r="Q13" s="28" t="s">
        <v>170</v>
      </c>
      <c r="R13" s="28" t="s">
        <v>170</v>
      </c>
      <c r="S13" s="130" t="s">
        <v>266</v>
      </c>
      <c r="T13" s="28" t="s">
        <v>170</v>
      </c>
      <c r="U13" s="28" t="s">
        <v>170</v>
      </c>
      <c r="V13" s="28"/>
      <c r="W13" s="28"/>
      <c r="X13" s="28" t="s">
        <v>173</v>
      </c>
      <c r="Y13" s="28" t="s">
        <v>170</v>
      </c>
      <c r="Z13" s="28"/>
      <c r="AA13" s="28" t="s">
        <v>170</v>
      </c>
      <c r="AB13" s="28"/>
      <c r="AC13" s="28" t="s">
        <v>173</v>
      </c>
      <c r="AD13" s="28"/>
      <c r="AE13" s="28" t="s">
        <v>173</v>
      </c>
      <c r="AF13" s="28"/>
      <c r="AG13" s="28"/>
      <c r="AH13" s="28" t="s">
        <v>170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 t="s">
        <v>173</v>
      </c>
      <c r="V14" s="28"/>
      <c r="W14" s="28"/>
      <c r="X14" s="28" t="s">
        <v>173</v>
      </c>
      <c r="Y14" s="28" t="s">
        <v>173</v>
      </c>
      <c r="Z14" s="28"/>
      <c r="AA14" s="28" t="s">
        <v>173</v>
      </c>
      <c r="AB14" s="28"/>
      <c r="AC14" s="28" t="s">
        <v>173</v>
      </c>
      <c r="AD14" s="28"/>
      <c r="AE14" s="28" t="s">
        <v>173</v>
      </c>
      <c r="AF14" s="28"/>
      <c r="AG14" s="28"/>
      <c r="AH14" s="28" t="s">
        <v>173</v>
      </c>
    </row>
    <row r="15" spans="1:34" x14ac:dyDescent="0.25">
      <c r="A15" s="26" t="s">
        <v>175</v>
      </c>
      <c r="B15" s="28" t="s">
        <v>199</v>
      </c>
      <c r="C15" s="28" t="s">
        <v>199</v>
      </c>
      <c r="D15" s="28" t="s">
        <v>199</v>
      </c>
      <c r="E15" s="28" t="s">
        <v>199</v>
      </c>
      <c r="F15" s="28" t="s">
        <v>199</v>
      </c>
      <c r="G15" s="28" t="s">
        <v>267</v>
      </c>
      <c r="H15" s="28" t="s">
        <v>397</v>
      </c>
      <c r="I15" s="28" t="s">
        <v>397</v>
      </c>
      <c r="J15" s="28" t="s">
        <v>199</v>
      </c>
      <c r="K15" s="28" t="s">
        <v>199</v>
      </c>
      <c r="L15" s="28" t="s">
        <v>199</v>
      </c>
      <c r="M15" s="28" t="s">
        <v>199</v>
      </c>
      <c r="N15" s="28" t="s">
        <v>333</v>
      </c>
      <c r="O15" s="28" t="s">
        <v>199</v>
      </c>
      <c r="P15" s="28" t="s">
        <v>199</v>
      </c>
      <c r="Q15" s="28" t="s">
        <v>199</v>
      </c>
      <c r="R15" s="28" t="s">
        <v>199</v>
      </c>
      <c r="S15" s="28" t="s">
        <v>198</v>
      </c>
      <c r="T15" s="28" t="s">
        <v>198</v>
      </c>
      <c r="U15" s="28" t="s">
        <v>268</v>
      </c>
      <c r="V15" s="28"/>
      <c r="W15" s="28"/>
      <c r="X15" s="28" t="s">
        <v>199</v>
      </c>
      <c r="Y15" s="28" t="s">
        <v>199</v>
      </c>
      <c r="Z15" s="28"/>
      <c r="AA15" s="28" t="s">
        <v>199</v>
      </c>
      <c r="AB15" s="28"/>
      <c r="AC15" s="28" t="s">
        <v>199</v>
      </c>
      <c r="AD15" s="28"/>
      <c r="AE15" s="28" t="s">
        <v>199</v>
      </c>
      <c r="AF15" s="28"/>
      <c r="AG15" s="28"/>
      <c r="AH15" s="28" t="s">
        <v>199</v>
      </c>
    </row>
    <row r="16" spans="1:34" x14ac:dyDescent="0.25">
      <c r="A16" s="26" t="s">
        <v>176</v>
      </c>
      <c r="B16" s="30">
        <v>-2</v>
      </c>
      <c r="C16" s="30">
        <v>-0.5</v>
      </c>
      <c r="D16" s="30">
        <v>-0.5</v>
      </c>
      <c r="E16" s="30">
        <v>-0.5</v>
      </c>
      <c r="F16" s="30">
        <v>-0.5</v>
      </c>
      <c r="G16" s="30">
        <v>-3</v>
      </c>
      <c r="H16" s="30">
        <v>-6</v>
      </c>
      <c r="I16" s="30">
        <v>-6</v>
      </c>
      <c r="J16" s="30">
        <v>-0.5</v>
      </c>
      <c r="K16" s="30">
        <v>-0.5</v>
      </c>
      <c r="L16" s="30">
        <v>-0.5</v>
      </c>
      <c r="M16" s="30">
        <v>-0.5</v>
      </c>
      <c r="N16" s="30">
        <f>AVERAGE(-0.5,-0.5,0.5)</f>
        <v>-0.16666666666666666</v>
      </c>
      <c r="O16" s="30">
        <v>-0.5</v>
      </c>
      <c r="P16" s="30">
        <v>-0.5</v>
      </c>
      <c r="Q16" s="30">
        <v>-0.5</v>
      </c>
      <c r="R16" s="30">
        <v>-0.5</v>
      </c>
      <c r="S16" s="30">
        <f>AVERAGE(1,2)</f>
        <v>1.5</v>
      </c>
      <c r="T16" s="30">
        <v>1</v>
      </c>
      <c r="U16" s="30">
        <f>AVERAGE(-0.5,1)</f>
        <v>0.25</v>
      </c>
      <c r="V16" s="30"/>
      <c r="W16" s="30"/>
      <c r="X16" s="30">
        <v>-2</v>
      </c>
      <c r="Y16" s="30">
        <v>-0.5</v>
      </c>
      <c r="Z16" s="30"/>
      <c r="AA16" s="30">
        <v>-0.5</v>
      </c>
      <c r="AB16" s="30"/>
      <c r="AC16" s="30">
        <v>-2</v>
      </c>
      <c r="AD16" s="30"/>
      <c r="AE16" s="30">
        <v>-2</v>
      </c>
      <c r="AF16" s="30"/>
      <c r="AG16" s="30"/>
      <c r="AH16" s="30">
        <v>-0.5</v>
      </c>
    </row>
    <row r="17" spans="1:34" x14ac:dyDescent="0.25">
      <c r="A17" s="26" t="s">
        <v>177</v>
      </c>
      <c r="B17" s="28" t="s">
        <v>334</v>
      </c>
      <c r="C17" s="28" t="s">
        <v>181</v>
      </c>
      <c r="D17" s="28" t="s">
        <v>181</v>
      </c>
      <c r="E17" s="28" t="s">
        <v>181</v>
      </c>
      <c r="F17" s="28" t="s">
        <v>181</v>
      </c>
      <c r="G17" s="28" t="s">
        <v>181</v>
      </c>
      <c r="H17" s="28" t="s">
        <v>181</v>
      </c>
      <c r="I17" s="28" t="s">
        <v>181</v>
      </c>
      <c r="J17" s="28" t="s">
        <v>200</v>
      </c>
      <c r="K17" s="28" t="s">
        <v>181</v>
      </c>
      <c r="L17" s="28" t="s">
        <v>200</v>
      </c>
      <c r="M17" s="28" t="s">
        <v>181</v>
      </c>
      <c r="N17" s="28" t="s">
        <v>200</v>
      </c>
      <c r="O17" s="28" t="s">
        <v>181</v>
      </c>
      <c r="P17" s="28" t="s">
        <v>181</v>
      </c>
      <c r="Q17" s="28" t="s">
        <v>181</v>
      </c>
      <c r="R17" s="28" t="s">
        <v>200</v>
      </c>
      <c r="S17" s="28" t="s">
        <v>292</v>
      </c>
      <c r="T17" s="113" t="s">
        <v>269</v>
      </c>
      <c r="U17" s="28" t="s">
        <v>292</v>
      </c>
      <c r="V17" s="28"/>
      <c r="W17" s="28"/>
      <c r="X17" s="28" t="s">
        <v>334</v>
      </c>
      <c r="Y17" s="28" t="s">
        <v>200</v>
      </c>
      <c r="Z17" s="28"/>
      <c r="AA17" s="28" t="s">
        <v>200</v>
      </c>
      <c r="AB17" s="28"/>
      <c r="AC17" s="28" t="s">
        <v>334</v>
      </c>
      <c r="AD17" s="28"/>
      <c r="AE17" s="28" t="s">
        <v>334</v>
      </c>
      <c r="AF17" s="28"/>
      <c r="AG17" s="28"/>
      <c r="AH17" s="28" t="s">
        <v>181</v>
      </c>
    </row>
    <row r="18" spans="1:34" x14ac:dyDescent="0.25">
      <c r="A18" s="26" t="s">
        <v>182</v>
      </c>
      <c r="B18" s="30">
        <f>1/3</f>
        <v>0.33333333333333331</v>
      </c>
      <c r="C18" s="30">
        <v>2</v>
      </c>
      <c r="D18" s="30">
        <v>2</v>
      </c>
      <c r="E18" s="30">
        <v>2</v>
      </c>
      <c r="F18" s="30">
        <v>2</v>
      </c>
      <c r="G18" s="30">
        <v>2</v>
      </c>
      <c r="H18" s="30">
        <v>2</v>
      </c>
      <c r="I18" s="30">
        <v>2</v>
      </c>
      <c r="J18" s="30">
        <v>3</v>
      </c>
      <c r="K18" s="30">
        <v>2</v>
      </c>
      <c r="L18" s="30">
        <v>3</v>
      </c>
      <c r="M18" s="30">
        <v>2</v>
      </c>
      <c r="N18" s="30">
        <v>3</v>
      </c>
      <c r="O18" s="30">
        <v>2</v>
      </c>
      <c r="P18" s="30">
        <v>2</v>
      </c>
      <c r="Q18" s="30">
        <v>2</v>
      </c>
      <c r="R18" s="30">
        <v>3</v>
      </c>
      <c r="S18" s="30">
        <f>AVERAGE(3,2)</f>
        <v>2.5</v>
      </c>
      <c r="T18" s="30">
        <f>AVERAGE(2,2,3)</f>
        <v>2.3333333333333335</v>
      </c>
      <c r="U18" s="30">
        <f>AVERAGE(3,2)</f>
        <v>2.5</v>
      </c>
      <c r="V18" s="30"/>
      <c r="W18" s="30"/>
      <c r="X18" s="30">
        <f>1/3</f>
        <v>0.33333333333333331</v>
      </c>
      <c r="Y18" s="30">
        <v>3</v>
      </c>
      <c r="Z18" s="30"/>
      <c r="AA18" s="30">
        <v>3</v>
      </c>
      <c r="AB18" s="30"/>
      <c r="AC18" s="30">
        <f>1/3</f>
        <v>0.33333333333333331</v>
      </c>
      <c r="AD18" s="30"/>
      <c r="AE18" s="30">
        <f>1/3</f>
        <v>0.33333333333333331</v>
      </c>
      <c r="AF18" s="30"/>
      <c r="AG18" s="30"/>
      <c r="AH18" s="30">
        <v>2</v>
      </c>
    </row>
    <row r="20" spans="1:34" x14ac:dyDescent="0.25">
      <c r="A20" s="31" t="s">
        <v>183</v>
      </c>
    </row>
    <row r="21" spans="1:34" x14ac:dyDescent="0.25">
      <c r="A21" s="235" t="s">
        <v>510</v>
      </c>
      <c r="B21" s="56" t="s">
        <v>336</v>
      </c>
    </row>
    <row r="22" spans="1:34" x14ac:dyDescent="0.25">
      <c r="A22" s="235"/>
      <c r="B22" s="93" t="s">
        <v>511</v>
      </c>
    </row>
  </sheetData>
  <mergeCells count="6">
    <mergeCell ref="F3:O3"/>
    <mergeCell ref="F4:O5"/>
    <mergeCell ref="A21:A22"/>
    <mergeCell ref="B3:D3"/>
    <mergeCell ref="B4:D4"/>
    <mergeCell ref="B5:D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D0085-DAB6-49D9-A317-410E53C92CB5}">
  <dimension ref="A1:AH22"/>
  <sheetViews>
    <sheetView workbookViewId="0">
      <selection activeCell="J9" sqref="J9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117</v>
      </c>
      <c r="I1" s="25" t="s">
        <v>118</v>
      </c>
    </row>
    <row r="3" spans="1:34" ht="18" x14ac:dyDescent="0.25">
      <c r="A3" s="25" t="s">
        <v>119</v>
      </c>
      <c r="B3" s="215">
        <v>29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507</v>
      </c>
      <c r="C4" s="215"/>
      <c r="D4" s="215"/>
      <c r="F4" s="216" t="s">
        <v>512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513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29" t="s">
        <v>509</v>
      </c>
      <c r="C8" s="29" t="s">
        <v>322</v>
      </c>
      <c r="D8" s="29" t="s">
        <v>322</v>
      </c>
      <c r="E8" s="28" t="s">
        <v>316</v>
      </c>
      <c r="F8" s="28" t="s">
        <v>316</v>
      </c>
      <c r="G8" s="81" t="s">
        <v>341</v>
      </c>
      <c r="H8" s="81" t="s">
        <v>341</v>
      </c>
      <c r="I8" s="81" t="s">
        <v>341</v>
      </c>
      <c r="J8" s="29" t="s">
        <v>252</v>
      </c>
      <c r="K8" s="29" t="s">
        <v>322</v>
      </c>
      <c r="L8" s="29" t="s">
        <v>322</v>
      </c>
      <c r="M8" s="29" t="s">
        <v>322</v>
      </c>
      <c r="N8" s="29" t="s">
        <v>302</v>
      </c>
      <c r="O8" s="28" t="s">
        <v>302</v>
      </c>
      <c r="P8" s="29" t="s">
        <v>347</v>
      </c>
      <c r="Q8" s="29" t="s">
        <v>347</v>
      </c>
      <c r="R8" s="29" t="s">
        <v>318</v>
      </c>
      <c r="S8" s="29" t="s">
        <v>347</v>
      </c>
      <c r="T8" s="29" t="s">
        <v>222</v>
      </c>
      <c r="U8" s="29" t="s">
        <v>319</v>
      </c>
      <c r="V8" s="29" t="s">
        <v>514</v>
      </c>
      <c r="W8" s="29" t="s">
        <v>222</v>
      </c>
      <c r="X8" s="29" t="s">
        <v>515</v>
      </c>
      <c r="Y8" s="29" t="s">
        <v>348</v>
      </c>
      <c r="Z8" s="29"/>
      <c r="AA8" s="29" t="s">
        <v>348</v>
      </c>
      <c r="AB8" s="29"/>
      <c r="AC8" s="29" t="s">
        <v>322</v>
      </c>
      <c r="AD8" s="29"/>
      <c r="AE8" s="29" t="s">
        <v>322</v>
      </c>
      <c r="AF8" s="29"/>
      <c r="AG8" s="29"/>
      <c r="AH8" s="29" t="s">
        <v>322</v>
      </c>
    </row>
    <row r="9" spans="1:34" x14ac:dyDescent="0.25">
      <c r="A9" s="26" t="s">
        <v>165</v>
      </c>
      <c r="B9" s="29" t="s">
        <v>322</v>
      </c>
      <c r="C9" s="28" t="s">
        <v>324</v>
      </c>
      <c r="D9" s="28" t="s">
        <v>324</v>
      </c>
      <c r="E9" s="29" t="s">
        <v>283</v>
      </c>
      <c r="F9" s="29" t="s">
        <v>283</v>
      </c>
      <c r="G9" s="81" t="s">
        <v>341</v>
      </c>
      <c r="H9" s="81" t="s">
        <v>341</v>
      </c>
      <c r="I9" s="81" t="s">
        <v>341</v>
      </c>
      <c r="J9" s="29" t="s">
        <v>197</v>
      </c>
      <c r="K9" s="28" t="s">
        <v>324</v>
      </c>
      <c r="L9" s="28" t="s">
        <v>227</v>
      </c>
      <c r="M9" s="28" t="s">
        <v>324</v>
      </c>
      <c r="N9" s="115" t="s">
        <v>326</v>
      </c>
      <c r="O9" s="28" t="s">
        <v>324</v>
      </c>
      <c r="P9" s="28" t="s">
        <v>324</v>
      </c>
      <c r="Q9" s="28" t="s">
        <v>324</v>
      </c>
      <c r="R9" s="28" t="s">
        <v>227</v>
      </c>
      <c r="S9" s="29" t="s">
        <v>327</v>
      </c>
      <c r="T9" s="111" t="s">
        <v>328</v>
      </c>
      <c r="U9" s="29" t="s">
        <v>329</v>
      </c>
      <c r="V9" s="29"/>
      <c r="W9" s="29"/>
      <c r="X9" s="29"/>
      <c r="Y9" s="29"/>
      <c r="Z9" s="29"/>
      <c r="AA9" s="28" t="s">
        <v>227</v>
      </c>
      <c r="AB9" s="29"/>
      <c r="AC9" s="29" t="s">
        <v>322</v>
      </c>
      <c r="AD9" s="29"/>
      <c r="AE9" s="29" t="s">
        <v>322</v>
      </c>
      <c r="AF9" s="29"/>
      <c r="AG9" s="29"/>
      <c r="AH9" s="28" t="s">
        <v>324</v>
      </c>
    </row>
    <row r="10" spans="1:34" x14ac:dyDescent="0.25">
      <c r="A10" s="131" t="s">
        <v>168</v>
      </c>
      <c r="B10" s="157">
        <v>98</v>
      </c>
      <c r="C10" s="157">
        <v>57</v>
      </c>
      <c r="D10" s="157">
        <v>57</v>
      </c>
      <c r="E10" s="157">
        <v>56</v>
      </c>
      <c r="F10" s="157">
        <v>56</v>
      </c>
      <c r="G10" s="198"/>
      <c r="H10" s="198"/>
      <c r="I10" s="198"/>
      <c r="J10" s="157">
        <v>34</v>
      </c>
      <c r="K10" s="157">
        <v>57</v>
      </c>
      <c r="L10" s="157">
        <v>35</v>
      </c>
      <c r="M10" s="157">
        <v>57</v>
      </c>
      <c r="N10" s="157">
        <v>194</v>
      </c>
      <c r="O10" s="157">
        <v>57</v>
      </c>
      <c r="P10" s="157">
        <v>57</v>
      </c>
      <c r="Q10" s="157">
        <v>57</v>
      </c>
      <c r="R10" s="157">
        <v>35</v>
      </c>
      <c r="S10" s="157">
        <v>107</v>
      </c>
      <c r="T10" s="157">
        <v>111</v>
      </c>
      <c r="U10" s="157">
        <v>108</v>
      </c>
      <c r="V10" s="157"/>
      <c r="W10" s="157"/>
      <c r="X10" s="157"/>
      <c r="Y10" s="157"/>
      <c r="Z10" s="157"/>
      <c r="AA10" s="157">
        <v>35</v>
      </c>
      <c r="AB10" s="157"/>
      <c r="AC10" s="157">
        <v>98</v>
      </c>
      <c r="AD10" s="157"/>
      <c r="AE10" s="157">
        <v>98</v>
      </c>
      <c r="AF10" s="157"/>
      <c r="AG10" s="157"/>
      <c r="AH10" s="157">
        <v>57</v>
      </c>
    </row>
    <row r="11" spans="1:34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80" t="s">
        <v>173</v>
      </c>
      <c r="H11" s="80" t="s">
        <v>173</v>
      </c>
      <c r="I11" s="80" t="s">
        <v>173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28" t="s">
        <v>170</v>
      </c>
      <c r="O11" s="28" t="s">
        <v>170</v>
      </c>
      <c r="P11" s="28" t="s">
        <v>170</v>
      </c>
      <c r="Q11" s="28" t="s">
        <v>170</v>
      </c>
      <c r="R11" s="28" t="s">
        <v>170</v>
      </c>
      <c r="S11" s="28" t="s">
        <v>170</v>
      </c>
      <c r="T11" s="28" t="s">
        <v>170</v>
      </c>
      <c r="U11" s="28" t="s">
        <v>170</v>
      </c>
      <c r="V11" s="28"/>
      <c r="W11" s="28"/>
      <c r="X11" s="28"/>
      <c r="Y11" s="28"/>
      <c r="Z11" s="28"/>
      <c r="AA11" s="28" t="s">
        <v>170</v>
      </c>
      <c r="AB11" s="28"/>
      <c r="AC11" s="28" t="s">
        <v>170</v>
      </c>
      <c r="AD11" s="28"/>
      <c r="AE11" s="28" t="s">
        <v>170</v>
      </c>
      <c r="AF11" s="28"/>
      <c r="AG11" s="28"/>
      <c r="AH11" s="28" t="s">
        <v>170</v>
      </c>
    </row>
    <row r="12" spans="1:34" x14ac:dyDescent="0.25">
      <c r="A12" s="26" t="s">
        <v>171</v>
      </c>
      <c r="B12" s="28" t="s">
        <v>170</v>
      </c>
      <c r="C12" s="28" t="s">
        <v>170</v>
      </c>
      <c r="D12" s="28" t="s">
        <v>170</v>
      </c>
      <c r="E12" s="28" t="s">
        <v>173</v>
      </c>
      <c r="F12" s="28" t="s">
        <v>173</v>
      </c>
      <c r="G12" s="80" t="s">
        <v>170</v>
      </c>
      <c r="H12" s="80" t="s">
        <v>170</v>
      </c>
      <c r="I12" s="80" t="s">
        <v>170</v>
      </c>
      <c r="J12" s="28" t="s">
        <v>173</v>
      </c>
      <c r="K12" s="28" t="s">
        <v>170</v>
      </c>
      <c r="L12" s="28" t="s">
        <v>170</v>
      </c>
      <c r="M12" s="28" t="s">
        <v>170</v>
      </c>
      <c r="N12" s="28" t="s">
        <v>170</v>
      </c>
      <c r="O12" s="28" t="s">
        <v>170</v>
      </c>
      <c r="P12" s="28" t="s">
        <v>170</v>
      </c>
      <c r="Q12" s="28" t="s">
        <v>170</v>
      </c>
      <c r="R12" s="28" t="s">
        <v>170</v>
      </c>
      <c r="S12" s="28" t="s">
        <v>170</v>
      </c>
      <c r="T12" s="28" t="s">
        <v>170</v>
      </c>
      <c r="U12" s="28" t="s">
        <v>170</v>
      </c>
      <c r="V12" s="28"/>
      <c r="W12" s="28"/>
      <c r="X12" s="28"/>
      <c r="Y12" s="28"/>
      <c r="Z12" s="28"/>
      <c r="AA12" s="28" t="s">
        <v>170</v>
      </c>
      <c r="AB12" s="28"/>
      <c r="AC12" s="28" t="s">
        <v>170</v>
      </c>
      <c r="AD12" s="28"/>
      <c r="AE12" s="28" t="s">
        <v>170</v>
      </c>
      <c r="AF12" s="28"/>
      <c r="AG12" s="28"/>
      <c r="AH12" s="28" t="s">
        <v>170</v>
      </c>
    </row>
    <row r="13" spans="1:34" x14ac:dyDescent="0.25">
      <c r="A13" s="26" t="s">
        <v>172</v>
      </c>
      <c r="B13" s="28" t="s">
        <v>173</v>
      </c>
      <c r="C13" s="28" t="s">
        <v>170</v>
      </c>
      <c r="D13" s="28" t="s">
        <v>170</v>
      </c>
      <c r="E13" s="28" t="s">
        <v>170</v>
      </c>
      <c r="F13" s="28" t="s">
        <v>170</v>
      </c>
      <c r="G13" s="80" t="s">
        <v>173</v>
      </c>
      <c r="H13" s="80" t="s">
        <v>173</v>
      </c>
      <c r="I13" s="80" t="s">
        <v>173</v>
      </c>
      <c r="J13" s="28" t="s">
        <v>170</v>
      </c>
      <c r="K13" s="28" t="s">
        <v>170</v>
      </c>
      <c r="L13" s="28" t="s">
        <v>170</v>
      </c>
      <c r="M13" s="28" t="s">
        <v>170</v>
      </c>
      <c r="N13" s="28" t="s">
        <v>170</v>
      </c>
      <c r="O13" s="28" t="s">
        <v>170</v>
      </c>
      <c r="P13" s="28" t="s">
        <v>170</v>
      </c>
      <c r="Q13" s="28" t="s">
        <v>170</v>
      </c>
      <c r="R13" s="28" t="s">
        <v>170</v>
      </c>
      <c r="S13" s="130" t="s">
        <v>266</v>
      </c>
      <c r="T13" s="28" t="s">
        <v>170</v>
      </c>
      <c r="U13" s="28" t="s">
        <v>170</v>
      </c>
      <c r="V13" s="28"/>
      <c r="W13" s="28"/>
      <c r="X13" s="28"/>
      <c r="Y13" s="28"/>
      <c r="Z13" s="28"/>
      <c r="AA13" s="28" t="s">
        <v>170</v>
      </c>
      <c r="AB13" s="28"/>
      <c r="AC13" s="28" t="s">
        <v>173</v>
      </c>
      <c r="AD13" s="28"/>
      <c r="AE13" s="28" t="s">
        <v>173</v>
      </c>
      <c r="AF13" s="28"/>
      <c r="AG13" s="28"/>
      <c r="AH13" s="28" t="s">
        <v>170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80" t="s">
        <v>173</v>
      </c>
      <c r="H14" s="80" t="s">
        <v>173</v>
      </c>
      <c r="I14" s="80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 t="s">
        <v>173</v>
      </c>
      <c r="V14" s="28"/>
      <c r="W14" s="28"/>
      <c r="X14" s="28"/>
      <c r="Y14" s="28"/>
      <c r="Z14" s="28"/>
      <c r="AA14" s="28" t="s">
        <v>173</v>
      </c>
      <c r="AB14" s="28"/>
      <c r="AC14" s="28" t="s">
        <v>173</v>
      </c>
      <c r="AD14" s="28"/>
      <c r="AE14" s="28" t="s">
        <v>173</v>
      </c>
      <c r="AF14" s="28"/>
      <c r="AG14" s="28"/>
      <c r="AH14" s="28" t="s">
        <v>173</v>
      </c>
    </row>
    <row r="15" spans="1:34" x14ac:dyDescent="0.25">
      <c r="A15" s="26" t="s">
        <v>175</v>
      </c>
      <c r="B15" s="28" t="s">
        <v>199</v>
      </c>
      <c r="C15" s="28" t="s">
        <v>199</v>
      </c>
      <c r="D15" s="28" t="s">
        <v>199</v>
      </c>
      <c r="E15" s="28" t="s">
        <v>199</v>
      </c>
      <c r="F15" s="28" t="s">
        <v>199</v>
      </c>
      <c r="G15" s="80" t="s">
        <v>199</v>
      </c>
      <c r="H15" s="80" t="s">
        <v>199</v>
      </c>
      <c r="I15" s="80" t="s">
        <v>199</v>
      </c>
      <c r="J15" s="28" t="s">
        <v>199</v>
      </c>
      <c r="K15" s="28" t="s">
        <v>199</v>
      </c>
      <c r="L15" s="28" t="s">
        <v>199</v>
      </c>
      <c r="M15" s="28" t="s">
        <v>199</v>
      </c>
      <c r="N15" s="28" t="s">
        <v>333</v>
      </c>
      <c r="O15" s="28" t="s">
        <v>199</v>
      </c>
      <c r="P15" s="28" t="s">
        <v>199</v>
      </c>
      <c r="Q15" s="28" t="s">
        <v>199</v>
      </c>
      <c r="R15" s="28" t="s">
        <v>199</v>
      </c>
      <c r="S15" s="28" t="s">
        <v>198</v>
      </c>
      <c r="T15" s="28" t="s">
        <v>198</v>
      </c>
      <c r="U15" s="28" t="s">
        <v>268</v>
      </c>
      <c r="V15" s="28"/>
      <c r="W15" s="28"/>
      <c r="X15" s="28"/>
      <c r="Y15" s="28"/>
      <c r="Z15" s="28"/>
      <c r="AA15" s="28" t="s">
        <v>199</v>
      </c>
      <c r="AB15" s="28"/>
      <c r="AC15" s="28" t="s">
        <v>199</v>
      </c>
      <c r="AD15" s="28"/>
      <c r="AE15" s="28" t="s">
        <v>199</v>
      </c>
      <c r="AF15" s="28"/>
      <c r="AG15" s="28"/>
      <c r="AH15" s="28" t="s">
        <v>199</v>
      </c>
    </row>
    <row r="16" spans="1:34" x14ac:dyDescent="0.25">
      <c r="A16" s="26" t="s">
        <v>176</v>
      </c>
      <c r="B16" s="30">
        <v>-2</v>
      </c>
      <c r="C16" s="30">
        <v>-0.5</v>
      </c>
      <c r="D16" s="30">
        <v>-0.5</v>
      </c>
      <c r="E16" s="30">
        <v>-0.5</v>
      </c>
      <c r="F16" s="30">
        <v>-0.5</v>
      </c>
      <c r="G16" s="82">
        <v>-2</v>
      </c>
      <c r="H16" s="82">
        <v>-2</v>
      </c>
      <c r="I16" s="82">
        <v>-2</v>
      </c>
      <c r="J16" s="30">
        <v>-0.5</v>
      </c>
      <c r="K16" s="30">
        <v>-0.5</v>
      </c>
      <c r="L16" s="30">
        <v>-0.5</v>
      </c>
      <c r="M16" s="30">
        <v>-0.5</v>
      </c>
      <c r="N16" s="30">
        <f>AVERAGE(-0.5,-0.5,0.5)</f>
        <v>-0.16666666666666666</v>
      </c>
      <c r="O16" s="30">
        <v>-0.5</v>
      </c>
      <c r="P16" s="30">
        <v>-0.5</v>
      </c>
      <c r="Q16" s="30">
        <v>-0.5</v>
      </c>
      <c r="R16" s="30">
        <v>-0.5</v>
      </c>
      <c r="S16" s="30">
        <f>AVERAGE(1,2)</f>
        <v>1.5</v>
      </c>
      <c r="T16" s="30">
        <v>1</v>
      </c>
      <c r="U16" s="30">
        <f>AVERAGE(-0.5,1)</f>
        <v>0.25</v>
      </c>
      <c r="V16" s="30"/>
      <c r="W16" s="30"/>
      <c r="X16" s="30"/>
      <c r="Y16" s="30"/>
      <c r="Z16" s="30"/>
      <c r="AA16" s="30">
        <v>-0.5</v>
      </c>
      <c r="AB16" s="30"/>
      <c r="AC16" s="30">
        <v>-2</v>
      </c>
      <c r="AD16" s="30"/>
      <c r="AE16" s="30">
        <v>-2</v>
      </c>
      <c r="AF16" s="30"/>
      <c r="AG16" s="30"/>
      <c r="AH16" s="30">
        <v>-0.5</v>
      </c>
    </row>
    <row r="17" spans="1:34" x14ac:dyDescent="0.25">
      <c r="A17" s="26" t="s">
        <v>177</v>
      </c>
      <c r="B17" s="28" t="s">
        <v>334</v>
      </c>
      <c r="C17" s="28" t="s">
        <v>181</v>
      </c>
      <c r="D17" s="28" t="s">
        <v>181</v>
      </c>
      <c r="E17" s="28" t="s">
        <v>181</v>
      </c>
      <c r="F17" s="28" t="s">
        <v>181</v>
      </c>
      <c r="G17" s="80" t="s">
        <v>341</v>
      </c>
      <c r="H17" s="80" t="s">
        <v>341</v>
      </c>
      <c r="I17" s="80" t="s">
        <v>341</v>
      </c>
      <c r="J17" s="28" t="s">
        <v>200</v>
      </c>
      <c r="K17" s="28" t="s">
        <v>181</v>
      </c>
      <c r="L17" s="28" t="s">
        <v>200</v>
      </c>
      <c r="M17" s="28" t="s">
        <v>181</v>
      </c>
      <c r="N17" s="28" t="s">
        <v>200</v>
      </c>
      <c r="O17" s="28" t="s">
        <v>181</v>
      </c>
      <c r="P17" s="28" t="s">
        <v>181</v>
      </c>
      <c r="Q17" s="28" t="s">
        <v>181</v>
      </c>
      <c r="R17" s="28" t="s">
        <v>200</v>
      </c>
      <c r="S17" s="28" t="s">
        <v>292</v>
      </c>
      <c r="T17" s="113" t="s">
        <v>269</v>
      </c>
      <c r="U17" s="28" t="s">
        <v>292</v>
      </c>
      <c r="V17" s="28"/>
      <c r="W17" s="28"/>
      <c r="X17" s="28"/>
      <c r="Y17" s="28"/>
      <c r="Z17" s="28"/>
      <c r="AA17" s="28" t="s">
        <v>200</v>
      </c>
      <c r="AB17" s="28"/>
      <c r="AC17" s="28" t="s">
        <v>334</v>
      </c>
      <c r="AD17" s="28"/>
      <c r="AE17" s="28" t="s">
        <v>334</v>
      </c>
      <c r="AF17" s="28"/>
      <c r="AG17" s="28"/>
      <c r="AH17" s="28" t="s">
        <v>181</v>
      </c>
    </row>
    <row r="18" spans="1:34" x14ac:dyDescent="0.25">
      <c r="A18" s="26" t="s">
        <v>182</v>
      </c>
      <c r="B18" s="30">
        <f>1/3</f>
        <v>0.33333333333333331</v>
      </c>
      <c r="C18" s="30">
        <v>2</v>
      </c>
      <c r="D18" s="30">
        <v>2</v>
      </c>
      <c r="E18" s="30">
        <v>2</v>
      </c>
      <c r="F18" s="30">
        <v>2</v>
      </c>
      <c r="G18" s="82">
        <v>0</v>
      </c>
      <c r="H18" s="82">
        <v>0</v>
      </c>
      <c r="I18" s="82">
        <v>0</v>
      </c>
      <c r="J18" s="30">
        <v>3</v>
      </c>
      <c r="K18" s="30">
        <v>2</v>
      </c>
      <c r="L18" s="30">
        <v>3</v>
      </c>
      <c r="M18" s="30">
        <v>2</v>
      </c>
      <c r="N18" s="30">
        <v>3</v>
      </c>
      <c r="O18" s="30">
        <v>2</v>
      </c>
      <c r="P18" s="30">
        <v>2</v>
      </c>
      <c r="Q18" s="30">
        <v>2</v>
      </c>
      <c r="R18" s="30">
        <v>3</v>
      </c>
      <c r="S18" s="30">
        <f>AVERAGE(3,2)</f>
        <v>2.5</v>
      </c>
      <c r="T18" s="30">
        <f>AVERAGE(2,2,3)</f>
        <v>2.3333333333333335</v>
      </c>
      <c r="U18" s="30">
        <f>AVERAGE(3,2)</f>
        <v>2.5</v>
      </c>
      <c r="V18" s="30"/>
      <c r="W18" s="30"/>
      <c r="X18" s="30"/>
      <c r="Y18" s="30"/>
      <c r="Z18" s="30"/>
      <c r="AA18" s="30">
        <v>3</v>
      </c>
      <c r="AB18" s="30"/>
      <c r="AC18" s="30">
        <f>1/3</f>
        <v>0.33333333333333331</v>
      </c>
      <c r="AD18" s="30"/>
      <c r="AE18" s="30">
        <f>1/3</f>
        <v>0.33333333333333331</v>
      </c>
      <c r="AF18" s="30"/>
      <c r="AG18" s="30"/>
      <c r="AH18" s="30">
        <v>2</v>
      </c>
    </row>
    <row r="20" spans="1:34" x14ac:dyDescent="0.25">
      <c r="A20" s="31" t="s">
        <v>183</v>
      </c>
    </row>
    <row r="21" spans="1:34" x14ac:dyDescent="0.25">
      <c r="A21" s="235" t="s">
        <v>516</v>
      </c>
      <c r="B21" s="56" t="s">
        <v>336</v>
      </c>
    </row>
    <row r="22" spans="1:34" x14ac:dyDescent="0.25">
      <c r="A22" s="235"/>
      <c r="B22" s="93" t="s">
        <v>343</v>
      </c>
    </row>
  </sheetData>
  <mergeCells count="6">
    <mergeCell ref="F3:O3"/>
    <mergeCell ref="F4:O5"/>
    <mergeCell ref="A21:A22"/>
    <mergeCell ref="B3:D3"/>
    <mergeCell ref="B4:D4"/>
    <mergeCell ref="B5:D5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0F06A-65D3-4801-9F81-F6844FE0A97A}">
  <dimension ref="A1:AH22"/>
  <sheetViews>
    <sheetView workbookViewId="0">
      <selection activeCell="J9" sqref="J9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117</v>
      </c>
      <c r="I1" s="25" t="s">
        <v>118</v>
      </c>
    </row>
    <row r="3" spans="1:34" ht="18" x14ac:dyDescent="0.25">
      <c r="A3" s="25" t="s">
        <v>119</v>
      </c>
      <c r="B3" s="215">
        <v>30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507</v>
      </c>
      <c r="C4" s="215"/>
      <c r="D4" s="215"/>
      <c r="F4" s="216" t="s">
        <v>517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518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29" t="s">
        <v>509</v>
      </c>
      <c r="C8" s="29" t="s">
        <v>322</v>
      </c>
      <c r="D8" s="29" t="s">
        <v>322</v>
      </c>
      <c r="E8" s="28" t="s">
        <v>316</v>
      </c>
      <c r="F8" s="28" t="s">
        <v>316</v>
      </c>
      <c r="G8" s="29" t="s">
        <v>317</v>
      </c>
      <c r="H8" s="29" t="s">
        <v>317</v>
      </c>
      <c r="I8" s="29" t="s">
        <v>317</v>
      </c>
      <c r="J8" s="29" t="s">
        <v>252</v>
      </c>
      <c r="K8" s="29" t="s">
        <v>322</v>
      </c>
      <c r="L8" s="29" t="s">
        <v>322</v>
      </c>
      <c r="M8" s="29" t="s">
        <v>322</v>
      </c>
      <c r="N8" s="29" t="s">
        <v>302</v>
      </c>
      <c r="O8" s="28" t="s">
        <v>302</v>
      </c>
      <c r="P8" s="29" t="s">
        <v>347</v>
      </c>
      <c r="Q8" s="29" t="s">
        <v>347</v>
      </c>
      <c r="R8" s="29" t="s">
        <v>318</v>
      </c>
      <c r="S8" s="29" t="s">
        <v>347</v>
      </c>
      <c r="T8" s="29" t="s">
        <v>222</v>
      </c>
      <c r="U8" s="29" t="s">
        <v>319</v>
      </c>
      <c r="V8" s="29"/>
      <c r="W8" s="29"/>
      <c r="X8" s="29"/>
      <c r="Y8" s="29" t="s">
        <v>348</v>
      </c>
      <c r="Z8" s="29"/>
      <c r="AA8" s="29" t="s">
        <v>348</v>
      </c>
      <c r="AB8" s="29"/>
      <c r="AC8" s="29" t="s">
        <v>322</v>
      </c>
      <c r="AD8" s="29"/>
      <c r="AE8" s="29" t="s">
        <v>322</v>
      </c>
      <c r="AF8" s="29"/>
      <c r="AG8" s="29" t="s">
        <v>221</v>
      </c>
      <c r="AH8" s="29" t="s">
        <v>322</v>
      </c>
    </row>
    <row r="9" spans="1:34" x14ac:dyDescent="0.25">
      <c r="A9" s="26" t="s">
        <v>165</v>
      </c>
      <c r="B9" s="29" t="s">
        <v>322</v>
      </c>
      <c r="C9" s="28" t="s">
        <v>324</v>
      </c>
      <c r="D9" s="28" t="s">
        <v>324</v>
      </c>
      <c r="E9" s="29" t="s">
        <v>283</v>
      </c>
      <c r="F9" s="29" t="s">
        <v>283</v>
      </c>
      <c r="G9" s="28" t="s">
        <v>325</v>
      </c>
      <c r="H9" s="28" t="s">
        <v>325</v>
      </c>
      <c r="I9" s="28" t="s">
        <v>325</v>
      </c>
      <c r="J9" s="29" t="s">
        <v>197</v>
      </c>
      <c r="K9" s="28" t="s">
        <v>324</v>
      </c>
      <c r="L9" s="28" t="s">
        <v>227</v>
      </c>
      <c r="M9" s="28" t="s">
        <v>324</v>
      </c>
      <c r="N9" s="115" t="s">
        <v>326</v>
      </c>
      <c r="O9" s="28" t="s">
        <v>324</v>
      </c>
      <c r="P9" s="28" t="s">
        <v>324</v>
      </c>
      <c r="Q9" s="28" t="s">
        <v>324</v>
      </c>
      <c r="R9" s="28" t="s">
        <v>227</v>
      </c>
      <c r="S9" s="29" t="s">
        <v>327</v>
      </c>
      <c r="T9" s="111" t="s">
        <v>328</v>
      </c>
      <c r="U9" s="29" t="s">
        <v>329</v>
      </c>
      <c r="V9" s="29"/>
      <c r="W9" s="29"/>
      <c r="X9" s="29"/>
      <c r="Y9" s="28" t="s">
        <v>227</v>
      </c>
      <c r="Z9" s="29"/>
      <c r="AA9" s="28" t="s">
        <v>227</v>
      </c>
      <c r="AB9" s="29"/>
      <c r="AC9" s="29" t="s">
        <v>322</v>
      </c>
      <c r="AD9" s="29"/>
      <c r="AE9" s="29" t="s">
        <v>322</v>
      </c>
      <c r="AF9" s="29"/>
      <c r="AG9" s="29" t="s">
        <v>225</v>
      </c>
      <c r="AH9" s="28" t="s">
        <v>324</v>
      </c>
    </row>
    <row r="10" spans="1:34" x14ac:dyDescent="0.25">
      <c r="A10" s="131" t="s">
        <v>168</v>
      </c>
      <c r="B10" s="157">
        <v>98</v>
      </c>
      <c r="C10" s="157">
        <v>57</v>
      </c>
      <c r="D10" s="157">
        <v>57</v>
      </c>
      <c r="E10" s="157">
        <v>56</v>
      </c>
      <c r="F10" s="157">
        <v>56</v>
      </c>
      <c r="G10" s="157">
        <v>39</v>
      </c>
      <c r="H10" s="157">
        <v>39</v>
      </c>
      <c r="I10" s="157">
        <v>39</v>
      </c>
      <c r="J10" s="157">
        <v>34</v>
      </c>
      <c r="K10" s="157">
        <v>57</v>
      </c>
      <c r="L10" s="157">
        <v>35</v>
      </c>
      <c r="M10" s="157">
        <v>57</v>
      </c>
      <c r="N10" s="157">
        <v>194</v>
      </c>
      <c r="O10" s="157">
        <v>57</v>
      </c>
      <c r="P10" s="157">
        <v>57</v>
      </c>
      <c r="Q10" s="157">
        <v>57</v>
      </c>
      <c r="R10" s="157">
        <v>35</v>
      </c>
      <c r="S10" s="157">
        <v>107</v>
      </c>
      <c r="T10" s="157">
        <v>111</v>
      </c>
      <c r="U10" s="157">
        <v>108</v>
      </c>
      <c r="V10" s="157"/>
      <c r="W10" s="157"/>
      <c r="X10" s="157"/>
      <c r="Y10" s="157">
        <v>35</v>
      </c>
      <c r="Z10" s="157"/>
      <c r="AA10" s="157">
        <v>35</v>
      </c>
      <c r="AB10" s="157"/>
      <c r="AC10" s="157">
        <v>98</v>
      </c>
      <c r="AD10" s="157"/>
      <c r="AE10" s="157">
        <v>98</v>
      </c>
      <c r="AF10" s="157"/>
      <c r="AG10" s="157">
        <v>27</v>
      </c>
      <c r="AH10" s="157">
        <v>57</v>
      </c>
    </row>
    <row r="11" spans="1:34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28" t="s">
        <v>170</v>
      </c>
      <c r="O11" s="28" t="s">
        <v>170</v>
      </c>
      <c r="P11" s="28" t="s">
        <v>170</v>
      </c>
      <c r="Q11" s="28" t="s">
        <v>170</v>
      </c>
      <c r="R11" s="28" t="s">
        <v>170</v>
      </c>
      <c r="S11" s="28" t="s">
        <v>170</v>
      </c>
      <c r="T11" s="28" t="s">
        <v>170</v>
      </c>
      <c r="U11" s="28" t="s">
        <v>170</v>
      </c>
      <c r="V11" s="28"/>
      <c r="W11" s="28"/>
      <c r="X11" s="28"/>
      <c r="Y11" s="28" t="s">
        <v>170</v>
      </c>
      <c r="Z11" s="28"/>
      <c r="AA11" s="28" t="s">
        <v>170</v>
      </c>
      <c r="AB11" s="28"/>
      <c r="AC11" s="28" t="s">
        <v>170</v>
      </c>
      <c r="AD11" s="28"/>
      <c r="AE11" s="28" t="s">
        <v>170</v>
      </c>
      <c r="AF11" s="28"/>
      <c r="AG11" s="28" t="s">
        <v>170</v>
      </c>
      <c r="AH11" s="28" t="s">
        <v>170</v>
      </c>
    </row>
    <row r="12" spans="1:34" x14ac:dyDescent="0.25">
      <c r="A12" s="26" t="s">
        <v>171</v>
      </c>
      <c r="B12" s="28" t="s">
        <v>170</v>
      </c>
      <c r="C12" s="28" t="s">
        <v>170</v>
      </c>
      <c r="D12" s="28" t="s">
        <v>170</v>
      </c>
      <c r="E12" s="28" t="s">
        <v>173</v>
      </c>
      <c r="F12" s="28" t="s">
        <v>173</v>
      </c>
      <c r="G12" s="28" t="s">
        <v>170</v>
      </c>
      <c r="H12" s="28" t="s">
        <v>170</v>
      </c>
      <c r="I12" s="28" t="s">
        <v>170</v>
      </c>
      <c r="J12" s="28" t="s">
        <v>173</v>
      </c>
      <c r="K12" s="28" t="s">
        <v>170</v>
      </c>
      <c r="L12" s="28" t="s">
        <v>170</v>
      </c>
      <c r="M12" s="28" t="s">
        <v>170</v>
      </c>
      <c r="N12" s="28" t="s">
        <v>170</v>
      </c>
      <c r="O12" s="28" t="s">
        <v>170</v>
      </c>
      <c r="P12" s="28" t="s">
        <v>170</v>
      </c>
      <c r="Q12" s="28" t="s">
        <v>170</v>
      </c>
      <c r="R12" s="28" t="s">
        <v>170</v>
      </c>
      <c r="S12" s="28" t="s">
        <v>170</v>
      </c>
      <c r="T12" s="28" t="s">
        <v>170</v>
      </c>
      <c r="U12" s="28" t="s">
        <v>170</v>
      </c>
      <c r="V12" s="28"/>
      <c r="W12" s="28"/>
      <c r="X12" s="28"/>
      <c r="Y12" s="28" t="s">
        <v>170</v>
      </c>
      <c r="Z12" s="28"/>
      <c r="AA12" s="28" t="s">
        <v>170</v>
      </c>
      <c r="AB12" s="28"/>
      <c r="AC12" s="28" t="s">
        <v>170</v>
      </c>
      <c r="AD12" s="28"/>
      <c r="AE12" s="28" t="s">
        <v>170</v>
      </c>
      <c r="AF12" s="28"/>
      <c r="AG12" s="28" t="s">
        <v>170</v>
      </c>
      <c r="AH12" s="28" t="s">
        <v>170</v>
      </c>
    </row>
    <row r="13" spans="1:34" x14ac:dyDescent="0.25">
      <c r="A13" s="26" t="s">
        <v>172</v>
      </c>
      <c r="B13" s="28" t="s">
        <v>173</v>
      </c>
      <c r="C13" s="28" t="s">
        <v>170</v>
      </c>
      <c r="D13" s="28" t="s">
        <v>170</v>
      </c>
      <c r="E13" s="28" t="s">
        <v>170</v>
      </c>
      <c r="F13" s="28" t="s">
        <v>170</v>
      </c>
      <c r="G13" s="28" t="s">
        <v>173</v>
      </c>
      <c r="H13" s="28" t="s">
        <v>173</v>
      </c>
      <c r="I13" s="28" t="s">
        <v>173</v>
      </c>
      <c r="J13" s="28" t="s">
        <v>170</v>
      </c>
      <c r="K13" s="28" t="s">
        <v>170</v>
      </c>
      <c r="L13" s="28" t="s">
        <v>170</v>
      </c>
      <c r="M13" s="28" t="s">
        <v>170</v>
      </c>
      <c r="N13" s="28" t="s">
        <v>170</v>
      </c>
      <c r="O13" s="28" t="s">
        <v>170</v>
      </c>
      <c r="P13" s="28" t="s">
        <v>170</v>
      </c>
      <c r="Q13" s="28" t="s">
        <v>170</v>
      </c>
      <c r="R13" s="28" t="s">
        <v>170</v>
      </c>
      <c r="S13" s="130" t="s">
        <v>266</v>
      </c>
      <c r="T13" s="28" t="s">
        <v>170</v>
      </c>
      <c r="U13" s="28" t="s">
        <v>170</v>
      </c>
      <c r="V13" s="28"/>
      <c r="W13" s="28"/>
      <c r="X13" s="28"/>
      <c r="Y13" s="28" t="s">
        <v>170</v>
      </c>
      <c r="Z13" s="28"/>
      <c r="AA13" s="28" t="s">
        <v>170</v>
      </c>
      <c r="AB13" s="28"/>
      <c r="AC13" s="28" t="s">
        <v>173</v>
      </c>
      <c r="AD13" s="28"/>
      <c r="AE13" s="28" t="s">
        <v>173</v>
      </c>
      <c r="AF13" s="28"/>
      <c r="AG13" s="28" t="s">
        <v>170</v>
      </c>
      <c r="AH13" s="28" t="s">
        <v>170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 t="s">
        <v>173</v>
      </c>
      <c r="V14" s="28"/>
      <c r="W14" s="28"/>
      <c r="X14" s="28"/>
      <c r="Y14" s="28" t="s">
        <v>173</v>
      </c>
      <c r="Z14" s="28"/>
      <c r="AA14" s="28" t="s">
        <v>173</v>
      </c>
      <c r="AB14" s="28"/>
      <c r="AC14" s="28" t="s">
        <v>173</v>
      </c>
      <c r="AD14" s="28"/>
      <c r="AE14" s="28" t="s">
        <v>173</v>
      </c>
      <c r="AF14" s="28"/>
      <c r="AG14" s="28" t="s">
        <v>173</v>
      </c>
      <c r="AH14" s="28" t="s">
        <v>173</v>
      </c>
    </row>
    <row r="15" spans="1:34" x14ac:dyDescent="0.25">
      <c r="A15" s="26" t="s">
        <v>175</v>
      </c>
      <c r="B15" s="28" t="s">
        <v>199</v>
      </c>
      <c r="C15" s="28" t="s">
        <v>199</v>
      </c>
      <c r="D15" s="28" t="s">
        <v>199</v>
      </c>
      <c r="E15" s="28" t="s">
        <v>199</v>
      </c>
      <c r="F15" s="28" t="s">
        <v>199</v>
      </c>
      <c r="G15" s="28" t="s">
        <v>199</v>
      </c>
      <c r="H15" s="28" t="s">
        <v>199</v>
      </c>
      <c r="I15" s="28" t="s">
        <v>199</v>
      </c>
      <c r="J15" s="28" t="s">
        <v>199</v>
      </c>
      <c r="K15" s="28" t="s">
        <v>199</v>
      </c>
      <c r="L15" s="28" t="s">
        <v>199</v>
      </c>
      <c r="M15" s="28" t="s">
        <v>199</v>
      </c>
      <c r="N15" s="28" t="s">
        <v>333</v>
      </c>
      <c r="O15" s="28" t="s">
        <v>199</v>
      </c>
      <c r="P15" s="28" t="s">
        <v>199</v>
      </c>
      <c r="Q15" s="28" t="s">
        <v>199</v>
      </c>
      <c r="R15" s="28" t="s">
        <v>199</v>
      </c>
      <c r="S15" s="28" t="s">
        <v>198</v>
      </c>
      <c r="T15" s="28" t="s">
        <v>198</v>
      </c>
      <c r="U15" s="28" t="s">
        <v>268</v>
      </c>
      <c r="V15" s="28"/>
      <c r="W15" s="28"/>
      <c r="X15" s="28"/>
      <c r="Y15" s="28" t="s">
        <v>199</v>
      </c>
      <c r="Z15" s="28"/>
      <c r="AA15" s="28" t="s">
        <v>199</v>
      </c>
      <c r="AB15" s="28"/>
      <c r="AC15" s="28" t="s">
        <v>199</v>
      </c>
      <c r="AD15" s="28"/>
      <c r="AE15" s="28" t="s">
        <v>199</v>
      </c>
      <c r="AF15" s="28"/>
      <c r="AG15" s="28" t="s">
        <v>198</v>
      </c>
      <c r="AH15" s="28" t="s">
        <v>199</v>
      </c>
    </row>
    <row r="16" spans="1:34" x14ac:dyDescent="0.25">
      <c r="A16" s="26" t="s">
        <v>176</v>
      </c>
      <c r="B16" s="30">
        <v>-2</v>
      </c>
      <c r="C16" s="30">
        <v>-0.5</v>
      </c>
      <c r="D16" s="30">
        <v>-0.5</v>
      </c>
      <c r="E16" s="30">
        <v>-0.5</v>
      </c>
      <c r="F16" s="30">
        <v>-0.5</v>
      </c>
      <c r="G16" s="30">
        <v>-2</v>
      </c>
      <c r="H16" s="30">
        <v>-2</v>
      </c>
      <c r="I16" s="30">
        <v>-2</v>
      </c>
      <c r="J16" s="30">
        <v>-0.5</v>
      </c>
      <c r="K16" s="30">
        <v>-0.5</v>
      </c>
      <c r="L16" s="30">
        <v>-0.5</v>
      </c>
      <c r="M16" s="30">
        <v>-0.5</v>
      </c>
      <c r="N16" s="30">
        <f>AVERAGE(-0.5,-0.5,0.5)</f>
        <v>-0.16666666666666666</v>
      </c>
      <c r="O16" s="30">
        <v>-0.5</v>
      </c>
      <c r="P16" s="30">
        <v>-0.5</v>
      </c>
      <c r="Q16" s="30">
        <v>-0.5</v>
      </c>
      <c r="R16" s="30">
        <v>-0.5</v>
      </c>
      <c r="S16" s="30">
        <f>AVERAGE(1,2)</f>
        <v>1.5</v>
      </c>
      <c r="T16" s="30">
        <v>1</v>
      </c>
      <c r="U16" s="30">
        <f>AVERAGE(-0.5,1)</f>
        <v>0.25</v>
      </c>
      <c r="V16" s="30"/>
      <c r="W16" s="30"/>
      <c r="X16" s="30"/>
      <c r="Y16" s="30">
        <v>-0.5</v>
      </c>
      <c r="Z16" s="30"/>
      <c r="AA16" s="30">
        <v>-0.5</v>
      </c>
      <c r="AB16" s="30"/>
      <c r="AC16" s="30">
        <v>-2</v>
      </c>
      <c r="AD16" s="30"/>
      <c r="AE16" s="30">
        <v>-2</v>
      </c>
      <c r="AF16" s="30"/>
      <c r="AG16" s="30">
        <f>4/3</f>
        <v>1.3333333333333333</v>
      </c>
      <c r="AH16" s="30">
        <v>-0.5</v>
      </c>
    </row>
    <row r="17" spans="1:34" x14ac:dyDescent="0.25">
      <c r="A17" s="26" t="s">
        <v>177</v>
      </c>
      <c r="B17" s="28" t="s">
        <v>334</v>
      </c>
      <c r="C17" s="28" t="s">
        <v>181</v>
      </c>
      <c r="D17" s="28" t="s">
        <v>181</v>
      </c>
      <c r="E17" s="28" t="s">
        <v>181</v>
      </c>
      <c r="F17" s="28" t="s">
        <v>181</v>
      </c>
      <c r="G17" s="28" t="s">
        <v>200</v>
      </c>
      <c r="H17" s="28" t="s">
        <v>200</v>
      </c>
      <c r="I17" s="28" t="s">
        <v>200</v>
      </c>
      <c r="J17" s="28" t="s">
        <v>200</v>
      </c>
      <c r="K17" s="28" t="s">
        <v>181</v>
      </c>
      <c r="L17" s="28" t="s">
        <v>200</v>
      </c>
      <c r="M17" s="28" t="s">
        <v>181</v>
      </c>
      <c r="N17" s="28" t="s">
        <v>200</v>
      </c>
      <c r="O17" s="28" t="s">
        <v>181</v>
      </c>
      <c r="P17" s="28" t="s">
        <v>181</v>
      </c>
      <c r="Q17" s="28" t="s">
        <v>181</v>
      </c>
      <c r="R17" s="28" t="s">
        <v>200</v>
      </c>
      <c r="S17" s="28" t="s">
        <v>292</v>
      </c>
      <c r="T17" s="113" t="s">
        <v>269</v>
      </c>
      <c r="U17" s="28" t="s">
        <v>292</v>
      </c>
      <c r="V17" s="28"/>
      <c r="W17" s="28"/>
      <c r="X17" s="28"/>
      <c r="Y17" s="28" t="s">
        <v>200</v>
      </c>
      <c r="Z17" s="28"/>
      <c r="AA17" s="28" t="s">
        <v>200</v>
      </c>
      <c r="AB17" s="28"/>
      <c r="AC17" s="28" t="s">
        <v>334</v>
      </c>
      <c r="AD17" s="28"/>
      <c r="AE17" s="28" t="s">
        <v>334</v>
      </c>
      <c r="AF17" s="28"/>
      <c r="AG17" s="28" t="s">
        <v>200</v>
      </c>
      <c r="AH17" s="28" t="s">
        <v>181</v>
      </c>
    </row>
    <row r="18" spans="1:34" x14ac:dyDescent="0.25">
      <c r="A18" s="26" t="s">
        <v>182</v>
      </c>
      <c r="B18" s="30">
        <f>1/3</f>
        <v>0.33333333333333331</v>
      </c>
      <c r="C18" s="30">
        <v>2</v>
      </c>
      <c r="D18" s="30">
        <v>2</v>
      </c>
      <c r="E18" s="30">
        <v>2</v>
      </c>
      <c r="F18" s="30">
        <v>2</v>
      </c>
      <c r="G18" s="30">
        <v>3</v>
      </c>
      <c r="H18" s="30">
        <v>3</v>
      </c>
      <c r="I18" s="30">
        <v>3</v>
      </c>
      <c r="J18" s="30">
        <v>3</v>
      </c>
      <c r="K18" s="30">
        <v>2</v>
      </c>
      <c r="L18" s="30">
        <v>3</v>
      </c>
      <c r="M18" s="30">
        <v>2</v>
      </c>
      <c r="N18" s="30">
        <v>3</v>
      </c>
      <c r="O18" s="30">
        <v>2</v>
      </c>
      <c r="P18" s="30">
        <v>2</v>
      </c>
      <c r="Q18" s="30">
        <v>2</v>
      </c>
      <c r="R18" s="30">
        <v>3</v>
      </c>
      <c r="S18" s="30">
        <f>AVERAGE(3,2)</f>
        <v>2.5</v>
      </c>
      <c r="T18" s="30">
        <f>AVERAGE(2,2,3)</f>
        <v>2.3333333333333335</v>
      </c>
      <c r="U18" s="30">
        <f>AVERAGE(3,2)</f>
        <v>2.5</v>
      </c>
      <c r="V18" s="30"/>
      <c r="W18" s="30"/>
      <c r="X18" s="30"/>
      <c r="Y18" s="30">
        <v>3</v>
      </c>
      <c r="Z18" s="30"/>
      <c r="AA18" s="30">
        <v>3</v>
      </c>
      <c r="AB18" s="30"/>
      <c r="AC18" s="30">
        <f>1/3</f>
        <v>0.33333333333333331</v>
      </c>
      <c r="AD18" s="30"/>
      <c r="AE18" s="30">
        <f>1/3</f>
        <v>0.33333333333333331</v>
      </c>
      <c r="AF18" s="30"/>
      <c r="AG18" s="30">
        <v>3</v>
      </c>
      <c r="AH18" s="30">
        <v>2</v>
      </c>
    </row>
    <row r="20" spans="1:34" x14ac:dyDescent="0.25">
      <c r="A20" s="31" t="s">
        <v>183</v>
      </c>
    </row>
    <row r="21" spans="1:34" x14ac:dyDescent="0.25">
      <c r="A21" s="235" t="s">
        <v>519</v>
      </c>
      <c r="B21" s="56" t="s">
        <v>336</v>
      </c>
    </row>
    <row r="22" spans="1:34" x14ac:dyDescent="0.25">
      <c r="A22" s="235"/>
      <c r="B22" s="93" t="s">
        <v>337</v>
      </c>
    </row>
  </sheetData>
  <mergeCells count="6">
    <mergeCell ref="F3:O3"/>
    <mergeCell ref="F4:O5"/>
    <mergeCell ref="A21:A22"/>
    <mergeCell ref="B3:D3"/>
    <mergeCell ref="B4:D4"/>
    <mergeCell ref="B5:D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7835E-C493-43DD-A315-948C566EF2BC}">
  <dimension ref="A1:AH35"/>
  <sheetViews>
    <sheetView topLeftCell="A5" workbookViewId="0">
      <selection activeCell="V22" sqref="V22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117</v>
      </c>
      <c r="I1" s="25" t="s">
        <v>118</v>
      </c>
    </row>
    <row r="3" spans="1:34" ht="18" x14ac:dyDescent="0.25">
      <c r="A3" s="25" t="s">
        <v>119</v>
      </c>
      <c r="B3" s="215" t="s">
        <v>520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521</v>
      </c>
      <c r="C4" s="215"/>
      <c r="D4" s="215"/>
      <c r="F4" s="216" t="s">
        <v>522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187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57" t="s">
        <v>17</v>
      </c>
      <c r="C7" s="58" t="s">
        <v>127</v>
      </c>
      <c r="D7" s="58" t="s">
        <v>128</v>
      </c>
      <c r="E7" s="59" t="s">
        <v>129</v>
      </c>
      <c r="F7" s="60" t="s">
        <v>130</v>
      </c>
      <c r="G7" s="61" t="s">
        <v>131</v>
      </c>
      <c r="H7" s="61" t="s">
        <v>132</v>
      </c>
      <c r="I7" s="62" t="s">
        <v>133</v>
      </c>
      <c r="J7" s="63" t="s">
        <v>134</v>
      </c>
      <c r="K7" s="64" t="s">
        <v>135</v>
      </c>
      <c r="L7" s="64" t="s">
        <v>136</v>
      </c>
      <c r="M7" s="64" t="s">
        <v>137</v>
      </c>
      <c r="N7" s="65" t="s">
        <v>138</v>
      </c>
      <c r="O7" s="65" t="s">
        <v>139</v>
      </c>
      <c r="P7" s="67" t="s">
        <v>140</v>
      </c>
      <c r="Q7" s="67" t="s">
        <v>141</v>
      </c>
      <c r="R7" s="66" t="s">
        <v>142</v>
      </c>
      <c r="S7" s="68" t="s">
        <v>143</v>
      </c>
      <c r="T7" s="69" t="s">
        <v>144</v>
      </c>
      <c r="U7" s="69" t="s">
        <v>145</v>
      </c>
      <c r="V7" s="70" t="s">
        <v>146</v>
      </c>
      <c r="W7" s="70" t="s">
        <v>147</v>
      </c>
      <c r="X7" s="71" t="s">
        <v>148</v>
      </c>
      <c r="Y7" s="71" t="s">
        <v>149</v>
      </c>
      <c r="Z7" s="72" t="s">
        <v>150</v>
      </c>
      <c r="AA7" s="72" t="s">
        <v>151</v>
      </c>
      <c r="AB7" s="73" t="s">
        <v>152</v>
      </c>
      <c r="AC7" s="73" t="s">
        <v>153</v>
      </c>
      <c r="AD7" s="73" t="s">
        <v>154</v>
      </c>
      <c r="AE7" s="74" t="s">
        <v>155</v>
      </c>
      <c r="AF7" s="75" t="s">
        <v>156</v>
      </c>
      <c r="AG7" s="76" t="s">
        <v>157</v>
      </c>
      <c r="AH7" s="76" t="s">
        <v>158</v>
      </c>
    </row>
    <row r="8" spans="1:34" x14ac:dyDescent="0.25">
      <c r="A8" s="26" t="s">
        <v>159</v>
      </c>
      <c r="B8" s="199"/>
      <c r="C8" s="83" t="s">
        <v>523</v>
      </c>
      <c r="D8" s="28" t="s">
        <v>523</v>
      </c>
      <c r="E8" s="28" t="s">
        <v>523</v>
      </c>
      <c r="F8" s="28" t="s">
        <v>523</v>
      </c>
      <c r="G8" s="28" t="s">
        <v>523</v>
      </c>
      <c r="H8" s="28" t="s">
        <v>523</v>
      </c>
      <c r="I8" s="28" t="s">
        <v>523</v>
      </c>
      <c r="J8" s="28" t="s">
        <v>523</v>
      </c>
      <c r="K8" s="28" t="s">
        <v>523</v>
      </c>
      <c r="L8" s="28" t="s">
        <v>523</v>
      </c>
      <c r="M8" s="28" t="s">
        <v>523</v>
      </c>
      <c r="N8" s="28" t="s">
        <v>523</v>
      </c>
      <c r="O8" s="28" t="s">
        <v>523</v>
      </c>
      <c r="P8" s="28" t="s">
        <v>523</v>
      </c>
      <c r="Q8" s="28" t="s">
        <v>523</v>
      </c>
      <c r="R8" s="199"/>
      <c r="S8" s="28" t="s">
        <v>523</v>
      </c>
      <c r="T8" s="28" t="s">
        <v>302</v>
      </c>
      <c r="U8" s="28" t="s">
        <v>302</v>
      </c>
      <c r="V8" s="28" t="s">
        <v>302</v>
      </c>
      <c r="W8" s="28" t="s">
        <v>164</v>
      </c>
      <c r="X8" s="28" t="s">
        <v>302</v>
      </c>
      <c r="Y8" s="28" t="s">
        <v>302</v>
      </c>
      <c r="Z8" s="28" t="s">
        <v>523</v>
      </c>
      <c r="AA8" s="28" t="s">
        <v>302</v>
      </c>
      <c r="AB8" s="28"/>
      <c r="AC8" s="28" t="s">
        <v>524</v>
      </c>
      <c r="AD8" s="86"/>
      <c r="AE8" s="28"/>
      <c r="AF8" s="28" t="s">
        <v>524</v>
      </c>
      <c r="AG8" s="28"/>
      <c r="AH8" s="80"/>
    </row>
    <row r="9" spans="1:34" x14ac:dyDescent="0.25">
      <c r="A9" s="26" t="s">
        <v>165</v>
      </c>
      <c r="B9" s="200"/>
      <c r="C9" s="29" t="s">
        <v>303</v>
      </c>
      <c r="D9" s="29" t="s">
        <v>303</v>
      </c>
      <c r="E9" s="29" t="s">
        <v>303</v>
      </c>
      <c r="F9" s="29" t="s">
        <v>303</v>
      </c>
      <c r="G9" s="29" t="s">
        <v>303</v>
      </c>
      <c r="H9" s="29" t="s">
        <v>303</v>
      </c>
      <c r="I9" s="29" t="s">
        <v>303</v>
      </c>
      <c r="J9" s="29" t="s">
        <v>303</v>
      </c>
      <c r="K9" s="29" t="s">
        <v>303</v>
      </c>
      <c r="L9" s="29" t="s">
        <v>303</v>
      </c>
      <c r="M9" s="29" t="s">
        <v>303</v>
      </c>
      <c r="N9" s="29" t="s">
        <v>303</v>
      </c>
      <c r="O9" s="29" t="s">
        <v>303</v>
      </c>
      <c r="P9" s="29" t="s">
        <v>303</v>
      </c>
      <c r="Q9" s="29" t="s">
        <v>303</v>
      </c>
      <c r="R9" s="200"/>
      <c r="S9" s="29" t="s">
        <v>303</v>
      </c>
      <c r="T9" s="29" t="s">
        <v>303</v>
      </c>
      <c r="U9" s="29" t="s">
        <v>303</v>
      </c>
      <c r="V9" s="29" t="s">
        <v>303</v>
      </c>
      <c r="W9" s="29" t="s">
        <v>525</v>
      </c>
      <c r="X9" s="29" t="s">
        <v>303</v>
      </c>
      <c r="Y9" s="29" t="s">
        <v>303</v>
      </c>
      <c r="Z9" s="29" t="s">
        <v>526</v>
      </c>
      <c r="AA9" s="29" t="s">
        <v>303</v>
      </c>
      <c r="AB9" s="29"/>
      <c r="AC9" s="28" t="s">
        <v>527</v>
      </c>
      <c r="AD9" s="91"/>
      <c r="AE9" s="28"/>
      <c r="AF9" s="28" t="s">
        <v>527</v>
      </c>
      <c r="AG9" s="29"/>
      <c r="AH9" s="81"/>
    </row>
    <row r="10" spans="1:34" x14ac:dyDescent="0.25">
      <c r="A10" s="131" t="s">
        <v>168</v>
      </c>
      <c r="B10" s="200"/>
      <c r="C10" s="157">
        <v>20</v>
      </c>
      <c r="D10" s="157">
        <v>20</v>
      </c>
      <c r="E10" s="157">
        <v>20</v>
      </c>
      <c r="F10" s="157">
        <v>20</v>
      </c>
      <c r="G10" s="157">
        <v>20</v>
      </c>
      <c r="H10" s="157">
        <v>20</v>
      </c>
      <c r="I10" s="157">
        <v>20</v>
      </c>
      <c r="J10" s="157">
        <v>20</v>
      </c>
      <c r="K10" s="157">
        <v>20</v>
      </c>
      <c r="L10" s="157">
        <v>20</v>
      </c>
      <c r="M10" s="157">
        <v>20</v>
      </c>
      <c r="N10" s="157">
        <v>20</v>
      </c>
      <c r="O10" s="157">
        <v>20</v>
      </c>
      <c r="P10" s="157">
        <v>20</v>
      </c>
      <c r="Q10" s="157">
        <v>20</v>
      </c>
      <c r="R10" s="200"/>
      <c r="S10" s="157">
        <v>20</v>
      </c>
      <c r="T10" s="157">
        <v>20</v>
      </c>
      <c r="U10" s="157">
        <v>20</v>
      </c>
      <c r="V10" s="157">
        <v>20</v>
      </c>
      <c r="W10" s="157">
        <v>138</v>
      </c>
      <c r="X10" s="157">
        <v>20</v>
      </c>
      <c r="Y10" s="157">
        <v>20</v>
      </c>
      <c r="Z10" s="157">
        <v>16</v>
      </c>
      <c r="AA10" s="157">
        <v>20</v>
      </c>
      <c r="AB10" s="157"/>
      <c r="AC10" s="157">
        <v>136</v>
      </c>
      <c r="AD10" s="161"/>
      <c r="AE10" s="157"/>
      <c r="AF10" s="157">
        <v>136</v>
      </c>
      <c r="AG10" s="157"/>
      <c r="AH10" s="81"/>
    </row>
    <row r="11" spans="1:34" x14ac:dyDescent="0.25">
      <c r="A11" s="26" t="s">
        <v>169</v>
      </c>
      <c r="B11" s="199"/>
      <c r="C11" s="29" t="s">
        <v>170</v>
      </c>
      <c r="D11" s="29" t="s">
        <v>170</v>
      </c>
      <c r="E11" s="29" t="s">
        <v>170</v>
      </c>
      <c r="F11" s="29" t="s">
        <v>170</v>
      </c>
      <c r="G11" s="29" t="s">
        <v>170</v>
      </c>
      <c r="H11" s="29" t="s">
        <v>170</v>
      </c>
      <c r="I11" s="29" t="s">
        <v>170</v>
      </c>
      <c r="J11" s="29" t="s">
        <v>170</v>
      </c>
      <c r="K11" s="29" t="s">
        <v>170</v>
      </c>
      <c r="L11" s="29" t="s">
        <v>170</v>
      </c>
      <c r="M11" s="29" t="s">
        <v>170</v>
      </c>
      <c r="N11" s="29" t="s">
        <v>170</v>
      </c>
      <c r="O11" s="29" t="s">
        <v>170</v>
      </c>
      <c r="P11" s="29" t="s">
        <v>170</v>
      </c>
      <c r="Q11" s="29" t="s">
        <v>170</v>
      </c>
      <c r="R11" s="199"/>
      <c r="S11" s="29" t="s">
        <v>170</v>
      </c>
      <c r="T11" s="29" t="s">
        <v>170</v>
      </c>
      <c r="U11" s="29" t="s">
        <v>170</v>
      </c>
      <c r="V11" s="29" t="s">
        <v>170</v>
      </c>
      <c r="W11" s="28" t="s">
        <v>266</v>
      </c>
      <c r="X11" s="29" t="s">
        <v>170</v>
      </c>
      <c r="Y11" s="29" t="s">
        <v>170</v>
      </c>
      <c r="Z11" s="29" t="s">
        <v>170</v>
      </c>
      <c r="AA11" s="29" t="s">
        <v>170</v>
      </c>
      <c r="AB11" s="28"/>
      <c r="AC11" s="28" t="s">
        <v>266</v>
      </c>
      <c r="AD11" s="86"/>
      <c r="AE11" s="28"/>
      <c r="AF11" s="28" t="s">
        <v>266</v>
      </c>
      <c r="AG11" s="28"/>
      <c r="AH11" s="80"/>
    </row>
    <row r="12" spans="1:34" x14ac:dyDescent="0.25">
      <c r="A12" s="26" t="s">
        <v>171</v>
      </c>
      <c r="B12" s="199"/>
      <c r="C12" s="29" t="s">
        <v>170</v>
      </c>
      <c r="D12" s="29" t="s">
        <v>170</v>
      </c>
      <c r="E12" s="29" t="s">
        <v>170</v>
      </c>
      <c r="F12" s="29" t="s">
        <v>170</v>
      </c>
      <c r="G12" s="29" t="s">
        <v>170</v>
      </c>
      <c r="H12" s="29" t="s">
        <v>170</v>
      </c>
      <c r="I12" s="29" t="s">
        <v>170</v>
      </c>
      <c r="J12" s="29" t="s">
        <v>170</v>
      </c>
      <c r="K12" s="29" t="s">
        <v>170</v>
      </c>
      <c r="L12" s="29" t="s">
        <v>170</v>
      </c>
      <c r="M12" s="29" t="s">
        <v>170</v>
      </c>
      <c r="N12" s="29" t="s">
        <v>170</v>
      </c>
      <c r="O12" s="29" t="s">
        <v>170</v>
      </c>
      <c r="P12" s="29" t="s">
        <v>170</v>
      </c>
      <c r="Q12" s="29" t="s">
        <v>170</v>
      </c>
      <c r="R12" s="199"/>
      <c r="S12" s="29" t="s">
        <v>170</v>
      </c>
      <c r="T12" s="29" t="s">
        <v>170</v>
      </c>
      <c r="U12" s="29" t="s">
        <v>170</v>
      </c>
      <c r="V12" s="29" t="s">
        <v>170</v>
      </c>
      <c r="W12" s="28" t="s">
        <v>266</v>
      </c>
      <c r="X12" s="29" t="s">
        <v>170</v>
      </c>
      <c r="Y12" s="29" t="s">
        <v>170</v>
      </c>
      <c r="Z12" s="29" t="s">
        <v>170</v>
      </c>
      <c r="AA12" s="29" t="s">
        <v>170</v>
      </c>
      <c r="AB12" s="28"/>
      <c r="AC12" s="28" t="s">
        <v>266</v>
      </c>
      <c r="AD12" s="86"/>
      <c r="AE12" s="28"/>
      <c r="AF12" s="28" t="s">
        <v>266</v>
      </c>
      <c r="AG12" s="28"/>
      <c r="AH12" s="80"/>
    </row>
    <row r="13" spans="1:34" x14ac:dyDescent="0.25">
      <c r="A13" s="26" t="s">
        <v>172</v>
      </c>
      <c r="B13" s="199"/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199"/>
      <c r="S13" s="28" t="s">
        <v>173</v>
      </c>
      <c r="T13" s="28" t="s">
        <v>173</v>
      </c>
      <c r="U13" s="28" t="s">
        <v>173</v>
      </c>
      <c r="V13" s="28" t="s">
        <v>173</v>
      </c>
      <c r="W13" s="28" t="s">
        <v>173</v>
      </c>
      <c r="X13" s="28" t="s">
        <v>173</v>
      </c>
      <c r="Y13" s="28" t="s">
        <v>173</v>
      </c>
      <c r="Z13" s="28" t="s">
        <v>173</v>
      </c>
      <c r="AA13" s="28" t="s">
        <v>173</v>
      </c>
      <c r="AB13" s="28"/>
      <c r="AC13" s="28" t="s">
        <v>173</v>
      </c>
      <c r="AD13" s="86"/>
      <c r="AE13" s="28"/>
      <c r="AF13" s="28" t="s">
        <v>173</v>
      </c>
      <c r="AG13" s="28"/>
      <c r="AH13" s="80"/>
    </row>
    <row r="14" spans="1:34" x14ac:dyDescent="0.25">
      <c r="A14" s="26" t="s">
        <v>174</v>
      </c>
      <c r="B14" s="199"/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199"/>
      <c r="S14" s="28" t="s">
        <v>173</v>
      </c>
      <c r="T14" s="28" t="s">
        <v>173</v>
      </c>
      <c r="U14" s="28" t="s">
        <v>173</v>
      </c>
      <c r="V14" s="28" t="s">
        <v>173</v>
      </c>
      <c r="W14" s="28" t="s">
        <v>173</v>
      </c>
      <c r="X14" s="28" t="s">
        <v>173</v>
      </c>
      <c r="Y14" s="28" t="s">
        <v>173</v>
      </c>
      <c r="Z14" s="28" t="s">
        <v>173</v>
      </c>
      <c r="AA14" s="28" t="s">
        <v>173</v>
      </c>
      <c r="AB14" s="28"/>
      <c r="AC14" s="28" t="s">
        <v>173</v>
      </c>
      <c r="AD14" s="86"/>
      <c r="AE14" s="28"/>
      <c r="AF14" s="28" t="s">
        <v>173</v>
      </c>
      <c r="AG14" s="28"/>
      <c r="AH14" s="80"/>
    </row>
    <row r="15" spans="1:34" x14ac:dyDescent="0.25">
      <c r="A15" s="26" t="s">
        <v>175</v>
      </c>
      <c r="B15" s="199"/>
      <c r="C15" s="28" t="s">
        <v>267</v>
      </c>
      <c r="D15" s="28" t="s">
        <v>267</v>
      </c>
      <c r="E15" s="28" t="s">
        <v>267</v>
      </c>
      <c r="F15" s="28" t="s">
        <v>267</v>
      </c>
      <c r="G15" s="28" t="s">
        <v>267</v>
      </c>
      <c r="H15" s="28" t="s">
        <v>267</v>
      </c>
      <c r="I15" s="28" t="s">
        <v>267</v>
      </c>
      <c r="J15" s="28" t="s">
        <v>267</v>
      </c>
      <c r="K15" s="28" t="s">
        <v>267</v>
      </c>
      <c r="L15" s="28" t="s">
        <v>267</v>
      </c>
      <c r="M15" s="28" t="s">
        <v>267</v>
      </c>
      <c r="N15" s="28" t="s">
        <v>267</v>
      </c>
      <c r="O15" s="28" t="s">
        <v>267</v>
      </c>
      <c r="P15" s="28" t="s">
        <v>267</v>
      </c>
      <c r="Q15" s="28" t="s">
        <v>267</v>
      </c>
      <c r="R15" s="199"/>
      <c r="S15" s="28" t="s">
        <v>267</v>
      </c>
      <c r="T15" s="28" t="s">
        <v>267</v>
      </c>
      <c r="U15" s="28" t="s">
        <v>267</v>
      </c>
      <c r="V15" s="28" t="s">
        <v>267</v>
      </c>
      <c r="W15" s="28" t="s">
        <v>160</v>
      </c>
      <c r="X15" s="28" t="s">
        <v>267</v>
      </c>
      <c r="Y15" s="28" t="s">
        <v>267</v>
      </c>
      <c r="Z15" s="28" t="s">
        <v>405</v>
      </c>
      <c r="AA15" s="28" t="s">
        <v>267</v>
      </c>
      <c r="AB15" s="28"/>
      <c r="AC15" s="28" t="s">
        <v>267</v>
      </c>
      <c r="AD15" s="28"/>
      <c r="AE15" s="29"/>
      <c r="AF15" s="28" t="s">
        <v>267</v>
      </c>
      <c r="AG15" s="28"/>
      <c r="AH15" s="80"/>
    </row>
    <row r="16" spans="1:34" x14ac:dyDescent="0.25">
      <c r="A16" s="26" t="s">
        <v>176</v>
      </c>
      <c r="B16" s="201"/>
      <c r="C16" s="30">
        <v>-3</v>
      </c>
      <c r="D16" s="30">
        <v>-3</v>
      </c>
      <c r="E16" s="30">
        <v>-3</v>
      </c>
      <c r="F16" s="30">
        <v>-3</v>
      </c>
      <c r="G16" s="30">
        <v>-3</v>
      </c>
      <c r="H16" s="30">
        <v>-3</v>
      </c>
      <c r="I16" s="30">
        <v>-3</v>
      </c>
      <c r="J16" s="30">
        <v>-3</v>
      </c>
      <c r="K16" s="30">
        <v>-3</v>
      </c>
      <c r="L16" s="30">
        <v>-3</v>
      </c>
      <c r="M16" s="30">
        <v>-3</v>
      </c>
      <c r="N16" s="30">
        <v>-3</v>
      </c>
      <c r="O16" s="30">
        <v>-3</v>
      </c>
      <c r="P16" s="30">
        <v>-3</v>
      </c>
      <c r="Q16" s="30">
        <v>-3</v>
      </c>
      <c r="R16" s="201"/>
      <c r="S16" s="30">
        <v>-3</v>
      </c>
      <c r="T16" s="30">
        <v>-3</v>
      </c>
      <c r="U16" s="30">
        <v>-3</v>
      </c>
      <c r="V16" s="30">
        <v>-3</v>
      </c>
      <c r="W16" s="30">
        <v>2.5</v>
      </c>
      <c r="X16" s="30">
        <v>-3</v>
      </c>
      <c r="Y16" s="30">
        <v>-3</v>
      </c>
      <c r="Z16" s="30">
        <v>-1.5</v>
      </c>
      <c r="AA16" s="30">
        <v>-3</v>
      </c>
      <c r="AB16" s="30"/>
      <c r="AC16" s="30">
        <v>-3</v>
      </c>
      <c r="AD16" s="30"/>
      <c r="AE16" s="30"/>
      <c r="AF16" s="30">
        <v>-3</v>
      </c>
      <c r="AG16" s="30"/>
      <c r="AH16" s="82"/>
    </row>
    <row r="17" spans="1:34" x14ac:dyDescent="0.25">
      <c r="A17" s="26" t="s">
        <v>177</v>
      </c>
      <c r="B17" s="199"/>
      <c r="C17" s="28" t="s">
        <v>178</v>
      </c>
      <c r="D17" s="28" t="s">
        <v>178</v>
      </c>
      <c r="E17" s="28" t="s">
        <v>178</v>
      </c>
      <c r="F17" s="28" t="s">
        <v>178</v>
      </c>
      <c r="G17" s="28" t="s">
        <v>178</v>
      </c>
      <c r="H17" s="28" t="s">
        <v>178</v>
      </c>
      <c r="I17" s="28" t="s">
        <v>178</v>
      </c>
      <c r="J17" s="28" t="s">
        <v>178</v>
      </c>
      <c r="K17" s="28" t="s">
        <v>178</v>
      </c>
      <c r="L17" s="28" t="s">
        <v>178</v>
      </c>
      <c r="M17" s="28" t="s">
        <v>178</v>
      </c>
      <c r="N17" s="28" t="s">
        <v>178</v>
      </c>
      <c r="O17" s="28" t="s">
        <v>178</v>
      </c>
      <c r="P17" s="28" t="s">
        <v>178</v>
      </c>
      <c r="Q17" s="28" t="s">
        <v>178</v>
      </c>
      <c r="R17" s="199"/>
      <c r="S17" s="28" t="s">
        <v>178</v>
      </c>
      <c r="T17" s="28" t="s">
        <v>178</v>
      </c>
      <c r="U17" s="28" t="s">
        <v>178</v>
      </c>
      <c r="V17" s="28" t="s">
        <v>178</v>
      </c>
      <c r="W17" s="28" t="s">
        <v>398</v>
      </c>
      <c r="X17" s="28" t="s">
        <v>178</v>
      </c>
      <c r="Y17" s="28" t="s">
        <v>178</v>
      </c>
      <c r="Z17" s="28" t="s">
        <v>178</v>
      </c>
      <c r="AA17" s="28" t="s">
        <v>178</v>
      </c>
      <c r="AB17" s="28"/>
      <c r="AC17" s="28" t="s">
        <v>528</v>
      </c>
      <c r="AD17" s="28"/>
      <c r="AE17" s="28"/>
      <c r="AF17" s="28" t="s">
        <v>528</v>
      </c>
      <c r="AG17" s="28"/>
      <c r="AH17" s="80"/>
    </row>
    <row r="18" spans="1:34" x14ac:dyDescent="0.25">
      <c r="A18" s="26" t="s">
        <v>182</v>
      </c>
      <c r="B18" s="201"/>
      <c r="C18" s="30">
        <v>4</v>
      </c>
      <c r="D18" s="30">
        <v>4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201"/>
      <c r="S18" s="30">
        <v>4</v>
      </c>
      <c r="T18" s="30">
        <v>4</v>
      </c>
      <c r="U18" s="30">
        <v>4</v>
      </c>
      <c r="V18" s="30">
        <v>4</v>
      </c>
      <c r="W18" s="30">
        <f>AVERAGE(2,0)</f>
        <v>1</v>
      </c>
      <c r="X18" s="30">
        <v>4</v>
      </c>
      <c r="Y18" s="30">
        <v>4</v>
      </c>
      <c r="Z18" s="30">
        <v>4</v>
      </c>
      <c r="AA18" s="30">
        <v>4</v>
      </c>
      <c r="AB18" s="30"/>
      <c r="AC18" s="30">
        <f>AVERAGE(4,0)</f>
        <v>2</v>
      </c>
      <c r="AD18" s="30"/>
      <c r="AE18" s="30"/>
      <c r="AF18" s="30">
        <f>AVERAGE(4,0)</f>
        <v>2</v>
      </c>
      <c r="AG18" s="30"/>
      <c r="AH18" s="82"/>
    </row>
    <row r="20" spans="1:34" x14ac:dyDescent="0.25">
      <c r="A20" s="26" t="s">
        <v>159</v>
      </c>
      <c r="B20" s="28" t="s">
        <v>529</v>
      </c>
      <c r="C20" s="84" t="s">
        <v>341</v>
      </c>
      <c r="D20" s="80" t="s">
        <v>341</v>
      </c>
      <c r="E20" s="80" t="s">
        <v>341</v>
      </c>
      <c r="F20" s="80" t="s">
        <v>341</v>
      </c>
      <c r="G20" s="80" t="s">
        <v>341</v>
      </c>
      <c r="H20" s="80" t="s">
        <v>341</v>
      </c>
      <c r="I20" s="80" t="s">
        <v>341</v>
      </c>
      <c r="J20" s="80" t="s">
        <v>341</v>
      </c>
      <c r="K20" s="80" t="s">
        <v>341</v>
      </c>
      <c r="L20" s="80" t="s">
        <v>341</v>
      </c>
      <c r="M20" s="80" t="s">
        <v>341</v>
      </c>
      <c r="N20" s="80" t="s">
        <v>341</v>
      </c>
      <c r="O20" s="80" t="s">
        <v>341</v>
      </c>
      <c r="P20" s="80" t="s">
        <v>341</v>
      </c>
      <c r="Q20" s="80" t="s">
        <v>341</v>
      </c>
      <c r="R20" s="28" t="s">
        <v>403</v>
      </c>
      <c r="S20" s="80" t="s">
        <v>341</v>
      </c>
      <c r="T20" s="28" t="s">
        <v>530</v>
      </c>
      <c r="U20" s="28" t="s">
        <v>531</v>
      </c>
      <c r="V20" s="28" t="s">
        <v>532</v>
      </c>
      <c r="W20" s="28" t="s">
        <v>531</v>
      </c>
      <c r="X20" s="28" t="s">
        <v>532</v>
      </c>
      <c r="Y20" s="28" t="s">
        <v>531</v>
      </c>
      <c r="Z20" s="80" t="s">
        <v>341</v>
      </c>
      <c r="AA20" s="28" t="s">
        <v>531</v>
      </c>
      <c r="AB20" s="28"/>
      <c r="AC20" s="28" t="s">
        <v>533</v>
      </c>
      <c r="AD20" s="28"/>
      <c r="AE20" s="28"/>
      <c r="AF20" s="28" t="s">
        <v>533</v>
      </c>
      <c r="AG20" s="28"/>
      <c r="AH20" s="80"/>
    </row>
    <row r="21" spans="1:34" x14ac:dyDescent="0.25">
      <c r="A21" s="26" t="s">
        <v>165</v>
      </c>
      <c r="B21" s="29" t="s">
        <v>403</v>
      </c>
      <c r="C21" s="80" t="s">
        <v>341</v>
      </c>
      <c r="D21" s="80" t="s">
        <v>341</v>
      </c>
      <c r="E21" s="80" t="s">
        <v>341</v>
      </c>
      <c r="F21" s="80" t="s">
        <v>341</v>
      </c>
      <c r="G21" s="80" t="s">
        <v>341</v>
      </c>
      <c r="H21" s="80" t="s">
        <v>341</v>
      </c>
      <c r="I21" s="80" t="s">
        <v>341</v>
      </c>
      <c r="J21" s="80" t="s">
        <v>341</v>
      </c>
      <c r="K21" s="80" t="s">
        <v>341</v>
      </c>
      <c r="L21" s="80" t="s">
        <v>341</v>
      </c>
      <c r="M21" s="80" t="s">
        <v>341</v>
      </c>
      <c r="N21" s="80" t="s">
        <v>341</v>
      </c>
      <c r="O21" s="80" t="s">
        <v>341</v>
      </c>
      <c r="P21" s="80" t="s">
        <v>341</v>
      </c>
      <c r="Q21" s="80" t="s">
        <v>341</v>
      </c>
      <c r="R21" s="29" t="s">
        <v>403</v>
      </c>
      <c r="S21" s="80" t="s">
        <v>341</v>
      </c>
      <c r="T21" s="29" t="s">
        <v>403</v>
      </c>
      <c r="U21" s="29" t="s">
        <v>403</v>
      </c>
      <c r="V21" s="105" t="s">
        <v>534</v>
      </c>
      <c r="W21" s="29" t="s">
        <v>403</v>
      </c>
      <c r="X21" s="105" t="s">
        <v>534</v>
      </c>
      <c r="Y21" s="29" t="s">
        <v>403</v>
      </c>
      <c r="Z21" s="80" t="s">
        <v>341</v>
      </c>
      <c r="AA21" s="29" t="s">
        <v>403</v>
      </c>
      <c r="AB21" s="29"/>
      <c r="AC21" s="29" t="s">
        <v>535</v>
      </c>
      <c r="AD21" s="29"/>
      <c r="AE21" s="29"/>
      <c r="AF21" s="29" t="s">
        <v>535</v>
      </c>
      <c r="AG21" s="29"/>
      <c r="AH21" s="81"/>
    </row>
    <row r="22" spans="1:34" x14ac:dyDescent="0.25">
      <c r="A22" s="131" t="s">
        <v>168</v>
      </c>
      <c r="B22" s="157">
        <v>97</v>
      </c>
      <c r="C22" s="198"/>
      <c r="D22" s="198"/>
      <c r="E22" s="198"/>
      <c r="F22" s="198"/>
      <c r="G22" s="198"/>
      <c r="H22" s="198"/>
      <c r="I22" s="198"/>
      <c r="J22" s="198"/>
      <c r="K22" s="198"/>
      <c r="L22" s="198"/>
      <c r="M22" s="198"/>
      <c r="N22" s="198"/>
      <c r="O22" s="198"/>
      <c r="P22" s="198"/>
      <c r="Q22" s="198"/>
      <c r="R22" s="157">
        <v>97</v>
      </c>
      <c r="S22" s="198"/>
      <c r="T22" s="157">
        <v>97</v>
      </c>
      <c r="U22" s="157">
        <v>97</v>
      </c>
      <c r="V22" s="157">
        <v>134</v>
      </c>
      <c r="W22" s="157">
        <v>97</v>
      </c>
      <c r="X22" s="157">
        <v>134</v>
      </c>
      <c r="Y22" s="157">
        <v>97</v>
      </c>
      <c r="Z22" s="198"/>
      <c r="AA22" s="157">
        <v>97</v>
      </c>
      <c r="AB22" s="157"/>
      <c r="AC22" s="157">
        <v>137</v>
      </c>
      <c r="AD22" s="157"/>
      <c r="AE22" s="157"/>
      <c r="AF22" s="157">
        <v>137</v>
      </c>
      <c r="AG22" s="157"/>
      <c r="AH22" s="81"/>
    </row>
    <row r="23" spans="1:34" x14ac:dyDescent="0.25">
      <c r="A23" s="26" t="s">
        <v>169</v>
      </c>
      <c r="B23" s="28" t="s">
        <v>170</v>
      </c>
      <c r="C23" s="80" t="s">
        <v>173</v>
      </c>
      <c r="D23" s="80" t="s">
        <v>173</v>
      </c>
      <c r="E23" s="80" t="s">
        <v>173</v>
      </c>
      <c r="F23" s="80" t="s">
        <v>173</v>
      </c>
      <c r="G23" s="80" t="s">
        <v>173</v>
      </c>
      <c r="H23" s="80" t="s">
        <v>173</v>
      </c>
      <c r="I23" s="80" t="s">
        <v>173</v>
      </c>
      <c r="J23" s="80" t="s">
        <v>173</v>
      </c>
      <c r="K23" s="80" t="s">
        <v>173</v>
      </c>
      <c r="L23" s="80" t="s">
        <v>173</v>
      </c>
      <c r="M23" s="80" t="s">
        <v>173</v>
      </c>
      <c r="N23" s="80" t="s">
        <v>173</v>
      </c>
      <c r="O23" s="80" t="s">
        <v>173</v>
      </c>
      <c r="P23" s="80" t="s">
        <v>173</v>
      </c>
      <c r="Q23" s="80" t="s">
        <v>173</v>
      </c>
      <c r="R23" s="28" t="s">
        <v>170</v>
      </c>
      <c r="S23" s="80" t="s">
        <v>173</v>
      </c>
      <c r="T23" s="28" t="s">
        <v>170</v>
      </c>
      <c r="U23" s="28" t="s">
        <v>170</v>
      </c>
      <c r="V23" s="28" t="s">
        <v>266</v>
      </c>
      <c r="W23" s="28" t="s">
        <v>170</v>
      </c>
      <c r="X23" s="28" t="s">
        <v>266</v>
      </c>
      <c r="Y23" s="28" t="s">
        <v>170</v>
      </c>
      <c r="Z23" s="80" t="s">
        <v>173</v>
      </c>
      <c r="AA23" s="28" t="s">
        <v>170</v>
      </c>
      <c r="AB23" s="28"/>
      <c r="AC23" s="28" t="s">
        <v>170</v>
      </c>
      <c r="AD23" s="28"/>
      <c r="AE23" s="29"/>
      <c r="AF23" s="28" t="s">
        <v>170</v>
      </c>
      <c r="AG23" s="28"/>
      <c r="AH23" s="80"/>
    </row>
    <row r="24" spans="1:34" x14ac:dyDescent="0.25">
      <c r="A24" s="26" t="s">
        <v>171</v>
      </c>
      <c r="B24" s="28" t="s">
        <v>170</v>
      </c>
      <c r="C24" s="80" t="s">
        <v>173</v>
      </c>
      <c r="D24" s="80" t="s">
        <v>173</v>
      </c>
      <c r="E24" s="80" t="s">
        <v>173</v>
      </c>
      <c r="F24" s="80" t="s">
        <v>173</v>
      </c>
      <c r="G24" s="80" t="s">
        <v>173</v>
      </c>
      <c r="H24" s="80" t="s">
        <v>173</v>
      </c>
      <c r="I24" s="80" t="s">
        <v>173</v>
      </c>
      <c r="J24" s="80" t="s">
        <v>173</v>
      </c>
      <c r="K24" s="80" t="s">
        <v>173</v>
      </c>
      <c r="L24" s="80" t="s">
        <v>173</v>
      </c>
      <c r="M24" s="80" t="s">
        <v>173</v>
      </c>
      <c r="N24" s="80" t="s">
        <v>173</v>
      </c>
      <c r="O24" s="80" t="s">
        <v>173</v>
      </c>
      <c r="P24" s="80" t="s">
        <v>173</v>
      </c>
      <c r="Q24" s="80" t="s">
        <v>173</v>
      </c>
      <c r="R24" s="28" t="s">
        <v>170</v>
      </c>
      <c r="S24" s="80" t="s">
        <v>173</v>
      </c>
      <c r="T24" s="28" t="s">
        <v>170</v>
      </c>
      <c r="U24" s="28" t="s">
        <v>170</v>
      </c>
      <c r="V24" s="28" t="s">
        <v>266</v>
      </c>
      <c r="W24" s="28" t="s">
        <v>170</v>
      </c>
      <c r="X24" s="28" t="s">
        <v>266</v>
      </c>
      <c r="Y24" s="28" t="s">
        <v>170</v>
      </c>
      <c r="Z24" s="80" t="s">
        <v>173</v>
      </c>
      <c r="AA24" s="28" t="s">
        <v>170</v>
      </c>
      <c r="AB24" s="28"/>
      <c r="AC24" s="28" t="s">
        <v>170</v>
      </c>
      <c r="AD24" s="28"/>
      <c r="AE24" s="28"/>
      <c r="AF24" s="28" t="s">
        <v>170</v>
      </c>
      <c r="AG24" s="28"/>
      <c r="AH24" s="80"/>
    </row>
    <row r="25" spans="1:34" x14ac:dyDescent="0.25">
      <c r="A25" s="26" t="s">
        <v>172</v>
      </c>
      <c r="B25" s="28" t="s">
        <v>173</v>
      </c>
      <c r="C25" s="80" t="s">
        <v>173</v>
      </c>
      <c r="D25" s="80" t="s">
        <v>173</v>
      </c>
      <c r="E25" s="80" t="s">
        <v>173</v>
      </c>
      <c r="F25" s="80" t="s">
        <v>173</v>
      </c>
      <c r="G25" s="80" t="s">
        <v>173</v>
      </c>
      <c r="H25" s="80" t="s">
        <v>173</v>
      </c>
      <c r="I25" s="80" t="s">
        <v>173</v>
      </c>
      <c r="J25" s="80" t="s">
        <v>173</v>
      </c>
      <c r="K25" s="80" t="s">
        <v>173</v>
      </c>
      <c r="L25" s="80" t="s">
        <v>173</v>
      </c>
      <c r="M25" s="80" t="s">
        <v>173</v>
      </c>
      <c r="N25" s="80" t="s">
        <v>173</v>
      </c>
      <c r="O25" s="80" t="s">
        <v>173</v>
      </c>
      <c r="P25" s="80" t="s">
        <v>173</v>
      </c>
      <c r="Q25" s="80" t="s">
        <v>173</v>
      </c>
      <c r="R25" s="28" t="s">
        <v>173</v>
      </c>
      <c r="S25" s="80" t="s">
        <v>173</v>
      </c>
      <c r="T25" s="28" t="s">
        <v>173</v>
      </c>
      <c r="U25" s="28" t="s">
        <v>173</v>
      </c>
      <c r="V25" s="28" t="s">
        <v>173</v>
      </c>
      <c r="W25" s="28" t="s">
        <v>173</v>
      </c>
      <c r="X25" s="28" t="s">
        <v>173</v>
      </c>
      <c r="Y25" s="28" t="s">
        <v>173</v>
      </c>
      <c r="Z25" s="80" t="s">
        <v>173</v>
      </c>
      <c r="AA25" s="28" t="s">
        <v>173</v>
      </c>
      <c r="AB25" s="28"/>
      <c r="AC25" s="28" t="s">
        <v>173</v>
      </c>
      <c r="AD25" s="28"/>
      <c r="AE25" s="28"/>
      <c r="AF25" s="28" t="s">
        <v>173</v>
      </c>
      <c r="AG25" s="28"/>
      <c r="AH25" s="80"/>
    </row>
    <row r="26" spans="1:34" x14ac:dyDescent="0.25">
      <c r="A26" s="26" t="s">
        <v>174</v>
      </c>
      <c r="B26" s="28" t="s">
        <v>173</v>
      </c>
      <c r="C26" s="80" t="s">
        <v>173</v>
      </c>
      <c r="D26" s="80" t="s">
        <v>173</v>
      </c>
      <c r="E26" s="80" t="s">
        <v>173</v>
      </c>
      <c r="F26" s="80" t="s">
        <v>173</v>
      </c>
      <c r="G26" s="80" t="s">
        <v>173</v>
      </c>
      <c r="H26" s="80" t="s">
        <v>173</v>
      </c>
      <c r="I26" s="80" t="s">
        <v>173</v>
      </c>
      <c r="J26" s="80" t="s">
        <v>173</v>
      </c>
      <c r="K26" s="80" t="s">
        <v>173</v>
      </c>
      <c r="L26" s="80" t="s">
        <v>173</v>
      </c>
      <c r="M26" s="80" t="s">
        <v>173</v>
      </c>
      <c r="N26" s="80" t="s">
        <v>173</v>
      </c>
      <c r="O26" s="80" t="s">
        <v>173</v>
      </c>
      <c r="P26" s="80" t="s">
        <v>173</v>
      </c>
      <c r="Q26" s="80" t="s">
        <v>173</v>
      </c>
      <c r="R26" s="28" t="s">
        <v>173</v>
      </c>
      <c r="S26" s="80" t="s">
        <v>173</v>
      </c>
      <c r="T26" s="28" t="s">
        <v>173</v>
      </c>
      <c r="U26" s="28" t="s">
        <v>173</v>
      </c>
      <c r="V26" s="28" t="s">
        <v>173</v>
      </c>
      <c r="W26" s="28" t="s">
        <v>173</v>
      </c>
      <c r="X26" s="28" t="s">
        <v>173</v>
      </c>
      <c r="Y26" s="28" t="s">
        <v>173</v>
      </c>
      <c r="Z26" s="80" t="s">
        <v>173</v>
      </c>
      <c r="AA26" s="28" t="s">
        <v>173</v>
      </c>
      <c r="AB26" s="28"/>
      <c r="AC26" s="28" t="s">
        <v>173</v>
      </c>
      <c r="AD26" s="28"/>
      <c r="AE26" s="28"/>
      <c r="AF26" s="28" t="s">
        <v>173</v>
      </c>
      <c r="AG26" s="28"/>
      <c r="AH26" s="80"/>
    </row>
    <row r="27" spans="1:34" x14ac:dyDescent="0.25">
      <c r="A27" s="26" t="s">
        <v>175</v>
      </c>
      <c r="B27" s="28" t="s">
        <v>405</v>
      </c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28" t="s">
        <v>405</v>
      </c>
      <c r="S27" s="80"/>
      <c r="T27" s="28" t="s">
        <v>405</v>
      </c>
      <c r="U27" s="28" t="s">
        <v>405</v>
      </c>
      <c r="V27" s="28" t="s">
        <v>405</v>
      </c>
      <c r="W27" s="28" t="s">
        <v>405</v>
      </c>
      <c r="X27" s="28" t="s">
        <v>405</v>
      </c>
      <c r="Y27" s="28" t="s">
        <v>405</v>
      </c>
      <c r="Z27" s="80"/>
      <c r="AA27" s="28" t="s">
        <v>405</v>
      </c>
      <c r="AB27" s="28"/>
      <c r="AC27" s="163" t="s">
        <v>536</v>
      </c>
      <c r="AD27" s="28"/>
      <c r="AE27" s="28"/>
      <c r="AF27" s="163" t="s">
        <v>536</v>
      </c>
      <c r="AG27" s="28"/>
      <c r="AH27" s="80"/>
    </row>
    <row r="28" spans="1:34" x14ac:dyDescent="0.25">
      <c r="A28" s="26" t="s">
        <v>176</v>
      </c>
      <c r="B28" s="30">
        <v>0</v>
      </c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30">
        <v>0</v>
      </c>
      <c r="S28" s="82"/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82"/>
      <c r="AA28" s="30">
        <v>0</v>
      </c>
      <c r="AB28" s="30"/>
      <c r="AC28" s="30">
        <f>AVERAGE(0,2.5)</f>
        <v>1.25</v>
      </c>
      <c r="AD28" s="30"/>
      <c r="AE28" s="30"/>
      <c r="AF28" s="30">
        <f>AVERAGE(0,2.5)</f>
        <v>1.25</v>
      </c>
      <c r="AG28" s="30"/>
      <c r="AH28" s="82"/>
    </row>
    <row r="29" spans="1:34" x14ac:dyDescent="0.25">
      <c r="A29" s="26" t="s">
        <v>177</v>
      </c>
      <c r="B29" s="28" t="s">
        <v>334</v>
      </c>
      <c r="C29" s="80" t="s">
        <v>341</v>
      </c>
      <c r="D29" s="80" t="s">
        <v>341</v>
      </c>
      <c r="E29" s="80" t="s">
        <v>341</v>
      </c>
      <c r="F29" s="80" t="s">
        <v>341</v>
      </c>
      <c r="G29" s="80" t="s">
        <v>341</v>
      </c>
      <c r="H29" s="80" t="s">
        <v>341</v>
      </c>
      <c r="I29" s="80" t="s">
        <v>341</v>
      </c>
      <c r="J29" s="80" t="s">
        <v>341</v>
      </c>
      <c r="K29" s="80" t="s">
        <v>341</v>
      </c>
      <c r="L29" s="80" t="s">
        <v>341</v>
      </c>
      <c r="M29" s="80" t="s">
        <v>341</v>
      </c>
      <c r="N29" s="80" t="s">
        <v>341</v>
      </c>
      <c r="O29" s="80" t="s">
        <v>341</v>
      </c>
      <c r="P29" s="80" t="s">
        <v>341</v>
      </c>
      <c r="Q29" s="80" t="s">
        <v>341</v>
      </c>
      <c r="R29" s="28" t="s">
        <v>334</v>
      </c>
      <c r="S29" s="80" t="s">
        <v>341</v>
      </c>
      <c r="T29" s="28" t="s">
        <v>334</v>
      </c>
      <c r="U29" s="28" t="s">
        <v>334</v>
      </c>
      <c r="V29" s="103" t="s">
        <v>537</v>
      </c>
      <c r="W29" s="28" t="s">
        <v>334</v>
      </c>
      <c r="X29" s="103" t="s">
        <v>537</v>
      </c>
      <c r="Y29" s="28" t="s">
        <v>334</v>
      </c>
      <c r="Z29" s="80" t="s">
        <v>341</v>
      </c>
      <c r="AA29" s="28" t="s">
        <v>334</v>
      </c>
      <c r="AB29" s="28"/>
      <c r="AC29" s="28" t="s">
        <v>538</v>
      </c>
      <c r="AD29" s="28"/>
      <c r="AE29" s="28"/>
      <c r="AF29" s="28" t="s">
        <v>538</v>
      </c>
      <c r="AG29" s="28"/>
      <c r="AH29" s="80"/>
    </row>
    <row r="30" spans="1:34" x14ac:dyDescent="0.25">
      <c r="A30" s="26" t="s">
        <v>182</v>
      </c>
      <c r="B30" s="30">
        <f>1/3</f>
        <v>0.33333333333333331</v>
      </c>
      <c r="C30" s="82">
        <v>0</v>
      </c>
      <c r="D30" s="82">
        <v>0</v>
      </c>
      <c r="E30" s="82">
        <v>0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  <c r="N30" s="82">
        <v>0</v>
      </c>
      <c r="O30" s="82">
        <v>0</v>
      </c>
      <c r="P30" s="82">
        <v>0</v>
      </c>
      <c r="Q30" s="82">
        <v>0</v>
      </c>
      <c r="R30" s="30">
        <f>1/3</f>
        <v>0.33333333333333331</v>
      </c>
      <c r="S30" s="82">
        <v>0</v>
      </c>
      <c r="T30" s="30">
        <f>1/3</f>
        <v>0.33333333333333331</v>
      </c>
      <c r="U30" s="30">
        <f>1/3</f>
        <v>0.33333333333333331</v>
      </c>
      <c r="V30" s="30">
        <f>AVERAGE(1/3,0)</f>
        <v>0.16666666666666666</v>
      </c>
      <c r="W30" s="30">
        <f>1/3</f>
        <v>0.33333333333333331</v>
      </c>
      <c r="X30" s="30">
        <f>AVERAGE(1/3,0)</f>
        <v>0.16666666666666666</v>
      </c>
      <c r="Y30" s="30">
        <f>1/3</f>
        <v>0.33333333333333331</v>
      </c>
      <c r="Z30" s="82">
        <v>0</v>
      </c>
      <c r="AA30" s="30">
        <f>1/3</f>
        <v>0.33333333333333331</v>
      </c>
      <c r="AB30" s="30"/>
      <c r="AC30" s="30">
        <f>AVERAGE(0.5,2.5)</f>
        <v>1.5</v>
      </c>
      <c r="AD30" s="30"/>
      <c r="AE30" s="30"/>
      <c r="AF30" s="30">
        <f>AVERAGE(0.5,2.5)</f>
        <v>1.5</v>
      </c>
      <c r="AG30" s="30"/>
      <c r="AH30" s="82"/>
    </row>
    <row r="32" spans="1:34" x14ac:dyDescent="0.25">
      <c r="A32" s="31" t="s">
        <v>183</v>
      </c>
    </row>
    <row r="33" spans="1:2" x14ac:dyDescent="0.25">
      <c r="A33" s="235" t="s">
        <v>539</v>
      </c>
      <c r="B33" s="56" t="s">
        <v>298</v>
      </c>
    </row>
    <row r="34" spans="1:2" x14ac:dyDescent="0.25">
      <c r="A34" s="235"/>
      <c r="B34" s="56" t="s">
        <v>540</v>
      </c>
    </row>
    <row r="35" spans="1:2" x14ac:dyDescent="0.25">
      <c r="A35" s="79" t="s">
        <v>541</v>
      </c>
    </row>
  </sheetData>
  <mergeCells count="6">
    <mergeCell ref="F3:O3"/>
    <mergeCell ref="F4:O5"/>
    <mergeCell ref="A33:A34"/>
    <mergeCell ref="B3:D3"/>
    <mergeCell ref="B4:D4"/>
    <mergeCell ref="B5:D5"/>
  </mergeCells>
  <hyperlinks>
    <hyperlink ref="A35" r:id="rId1" xr:uid="{59C264C5-60CF-4967-9E26-04C64B5BE583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AE865-7805-43A6-9D42-764DEC3F64D1}">
  <dimension ref="A1:AH46"/>
  <sheetViews>
    <sheetView topLeftCell="A5" workbookViewId="0">
      <selection activeCell="E22" sqref="E22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117</v>
      </c>
      <c r="I1" s="25" t="s">
        <v>118</v>
      </c>
    </row>
    <row r="3" spans="1:34" ht="18" x14ac:dyDescent="0.25">
      <c r="A3" s="25" t="s">
        <v>119</v>
      </c>
      <c r="B3" s="215" t="s">
        <v>542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521</v>
      </c>
      <c r="C4" s="215"/>
      <c r="D4" s="215"/>
      <c r="F4" s="216" t="s">
        <v>543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278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57" t="s">
        <v>17</v>
      </c>
      <c r="C7" s="58" t="s">
        <v>127</v>
      </c>
      <c r="D7" s="58" t="s">
        <v>128</v>
      </c>
      <c r="E7" s="59" t="s">
        <v>129</v>
      </c>
      <c r="F7" s="60" t="s">
        <v>130</v>
      </c>
      <c r="G7" s="61" t="s">
        <v>131</v>
      </c>
      <c r="H7" s="61" t="s">
        <v>132</v>
      </c>
      <c r="I7" s="62" t="s">
        <v>133</v>
      </c>
      <c r="J7" s="63" t="s">
        <v>134</v>
      </c>
      <c r="K7" s="64" t="s">
        <v>135</v>
      </c>
      <c r="L7" s="64" t="s">
        <v>136</v>
      </c>
      <c r="M7" s="64" t="s">
        <v>137</v>
      </c>
      <c r="N7" s="65" t="s">
        <v>138</v>
      </c>
      <c r="O7" s="65" t="s">
        <v>139</v>
      </c>
      <c r="P7" s="67" t="s">
        <v>140</v>
      </c>
      <c r="Q7" s="67" t="s">
        <v>141</v>
      </c>
      <c r="R7" s="66" t="s">
        <v>142</v>
      </c>
      <c r="S7" s="68" t="s">
        <v>143</v>
      </c>
      <c r="T7" s="69" t="s">
        <v>144</v>
      </c>
      <c r="U7" s="69" t="s">
        <v>145</v>
      </c>
      <c r="V7" s="70" t="s">
        <v>146</v>
      </c>
      <c r="W7" s="70" t="s">
        <v>147</v>
      </c>
      <c r="X7" s="71" t="s">
        <v>148</v>
      </c>
      <c r="Y7" s="71" t="s">
        <v>149</v>
      </c>
      <c r="Z7" s="72" t="s">
        <v>150</v>
      </c>
      <c r="AA7" s="72" t="s">
        <v>151</v>
      </c>
      <c r="AB7" s="73" t="s">
        <v>152</v>
      </c>
      <c r="AC7" s="73" t="s">
        <v>153</v>
      </c>
      <c r="AD7" s="73" t="s">
        <v>154</v>
      </c>
      <c r="AE7" s="74" t="s">
        <v>155</v>
      </c>
      <c r="AF7" s="75" t="s">
        <v>156</v>
      </c>
      <c r="AG7" s="76" t="s">
        <v>157</v>
      </c>
      <c r="AH7" s="76" t="s">
        <v>158</v>
      </c>
    </row>
    <row r="8" spans="1:34" x14ac:dyDescent="0.25">
      <c r="A8" s="26" t="s">
        <v>159</v>
      </c>
      <c r="B8" s="199"/>
      <c r="C8" s="28" t="s">
        <v>302</v>
      </c>
      <c r="D8" s="28" t="s">
        <v>302</v>
      </c>
      <c r="E8" s="28" t="s">
        <v>302</v>
      </c>
      <c r="F8" s="28" t="s">
        <v>302</v>
      </c>
      <c r="G8" s="28" t="s">
        <v>302</v>
      </c>
      <c r="H8" s="28" t="s">
        <v>302</v>
      </c>
      <c r="I8" s="28" t="s">
        <v>302</v>
      </c>
      <c r="J8" s="28"/>
      <c r="K8" s="86" t="s">
        <v>302</v>
      </c>
      <c r="L8" s="28" t="s">
        <v>302</v>
      </c>
      <c r="M8" s="28" t="s">
        <v>302</v>
      </c>
      <c r="N8" s="28" t="s">
        <v>302</v>
      </c>
      <c r="O8" s="28" t="s">
        <v>302</v>
      </c>
      <c r="P8" s="28" t="s">
        <v>302</v>
      </c>
      <c r="Q8" s="28" t="s">
        <v>302</v>
      </c>
      <c r="R8" s="199"/>
      <c r="S8" s="80"/>
      <c r="T8" s="28" t="s">
        <v>302</v>
      </c>
      <c r="U8" s="28" t="s">
        <v>302</v>
      </c>
      <c r="V8" s="28" t="s">
        <v>302</v>
      </c>
      <c r="W8" s="28" t="s">
        <v>164</v>
      </c>
      <c r="X8" s="28" t="s">
        <v>302</v>
      </c>
      <c r="Y8" s="28" t="s">
        <v>302</v>
      </c>
      <c r="Z8" s="28" t="s">
        <v>523</v>
      </c>
      <c r="AA8" s="28" t="s">
        <v>302</v>
      </c>
      <c r="AB8" s="28"/>
      <c r="AC8" s="28" t="s">
        <v>524</v>
      </c>
      <c r="AD8" s="86"/>
      <c r="AE8" s="28"/>
      <c r="AF8" s="28" t="s">
        <v>524</v>
      </c>
      <c r="AG8" s="28"/>
      <c r="AH8" s="84"/>
    </row>
    <row r="9" spans="1:34" x14ac:dyDescent="0.25">
      <c r="A9" s="26" t="s">
        <v>165</v>
      </c>
      <c r="B9" s="200"/>
      <c r="C9" s="29" t="s">
        <v>303</v>
      </c>
      <c r="D9" s="29" t="s">
        <v>303</v>
      </c>
      <c r="E9" s="29" t="s">
        <v>303</v>
      </c>
      <c r="F9" s="29" t="s">
        <v>303</v>
      </c>
      <c r="G9" s="29" t="s">
        <v>303</v>
      </c>
      <c r="H9" s="29" t="s">
        <v>303</v>
      </c>
      <c r="I9" s="29" t="s">
        <v>303</v>
      </c>
      <c r="J9" s="29"/>
      <c r="K9" s="29" t="s">
        <v>303</v>
      </c>
      <c r="L9" s="29" t="s">
        <v>303</v>
      </c>
      <c r="M9" s="29" t="s">
        <v>303</v>
      </c>
      <c r="N9" s="29" t="s">
        <v>303</v>
      </c>
      <c r="O9" s="28" t="s">
        <v>527</v>
      </c>
      <c r="P9" s="29" t="s">
        <v>303</v>
      </c>
      <c r="Q9" s="29" t="s">
        <v>303</v>
      </c>
      <c r="R9" s="200"/>
      <c r="S9" s="81"/>
      <c r="T9" s="29" t="s">
        <v>303</v>
      </c>
      <c r="U9" s="29" t="s">
        <v>303</v>
      </c>
      <c r="V9" s="29" t="s">
        <v>303</v>
      </c>
      <c r="W9" s="29" t="s">
        <v>525</v>
      </c>
      <c r="X9" s="29" t="s">
        <v>303</v>
      </c>
      <c r="Y9" s="29" t="s">
        <v>303</v>
      </c>
      <c r="Z9" s="29" t="s">
        <v>526</v>
      </c>
      <c r="AA9" s="29" t="s">
        <v>303</v>
      </c>
      <c r="AB9" s="29"/>
      <c r="AC9" s="28" t="s">
        <v>527</v>
      </c>
      <c r="AD9" s="91"/>
      <c r="AE9" s="28"/>
      <c r="AF9" s="28" t="s">
        <v>527</v>
      </c>
      <c r="AG9" s="28"/>
      <c r="AH9" s="162"/>
    </row>
    <row r="10" spans="1:34" x14ac:dyDescent="0.25">
      <c r="A10" s="131" t="s">
        <v>168</v>
      </c>
      <c r="B10" s="200"/>
      <c r="C10" s="157">
        <v>20</v>
      </c>
      <c r="D10" s="157">
        <v>20</v>
      </c>
      <c r="E10" s="157">
        <v>20</v>
      </c>
      <c r="F10" s="157">
        <v>20</v>
      </c>
      <c r="G10" s="157">
        <v>20</v>
      </c>
      <c r="H10" s="157">
        <v>20</v>
      </c>
      <c r="I10" s="157">
        <v>20</v>
      </c>
      <c r="J10" s="157"/>
      <c r="K10" s="157">
        <v>20</v>
      </c>
      <c r="L10" s="157">
        <v>20</v>
      </c>
      <c r="M10" s="157">
        <v>20</v>
      </c>
      <c r="N10" s="157">
        <v>20</v>
      </c>
      <c r="O10" s="157">
        <v>136</v>
      </c>
      <c r="P10" s="157">
        <v>20</v>
      </c>
      <c r="Q10" s="157">
        <v>20</v>
      </c>
      <c r="R10" s="200"/>
      <c r="S10" s="81"/>
      <c r="T10" s="157">
        <v>20</v>
      </c>
      <c r="U10" s="157">
        <v>20</v>
      </c>
      <c r="V10" s="157">
        <v>20</v>
      </c>
      <c r="W10" s="157">
        <v>138</v>
      </c>
      <c r="X10" s="157">
        <v>20</v>
      </c>
      <c r="Y10" s="157">
        <v>20</v>
      </c>
      <c r="Z10" s="157">
        <v>16</v>
      </c>
      <c r="AA10" s="157">
        <v>20</v>
      </c>
      <c r="AB10" s="157"/>
      <c r="AC10" s="157">
        <v>136</v>
      </c>
      <c r="AD10" s="161"/>
      <c r="AE10" s="157"/>
      <c r="AF10" s="157">
        <v>136</v>
      </c>
      <c r="AG10" s="157"/>
      <c r="AH10" s="162"/>
    </row>
    <row r="11" spans="1:34" x14ac:dyDescent="0.25">
      <c r="A11" s="26" t="s">
        <v>169</v>
      </c>
      <c r="B11" s="199"/>
      <c r="C11" s="29" t="s">
        <v>170</v>
      </c>
      <c r="D11" s="29" t="s">
        <v>170</v>
      </c>
      <c r="E11" s="29" t="s">
        <v>170</v>
      </c>
      <c r="F11" s="29" t="s">
        <v>170</v>
      </c>
      <c r="G11" s="29" t="s">
        <v>170</v>
      </c>
      <c r="H11" s="29" t="s">
        <v>170</v>
      </c>
      <c r="I11" s="29" t="s">
        <v>170</v>
      </c>
      <c r="J11" s="28"/>
      <c r="K11" s="29" t="s">
        <v>170</v>
      </c>
      <c r="L11" s="29" t="s">
        <v>170</v>
      </c>
      <c r="M11" s="29" t="s">
        <v>170</v>
      </c>
      <c r="N11" s="29" t="s">
        <v>170</v>
      </c>
      <c r="O11" s="28" t="s">
        <v>266</v>
      </c>
      <c r="P11" s="29" t="s">
        <v>170</v>
      </c>
      <c r="Q11" s="29" t="s">
        <v>170</v>
      </c>
      <c r="R11" s="199"/>
      <c r="S11" s="80"/>
      <c r="T11" s="29" t="s">
        <v>170</v>
      </c>
      <c r="U11" s="29" t="s">
        <v>170</v>
      </c>
      <c r="V11" s="29" t="s">
        <v>170</v>
      </c>
      <c r="W11" s="28" t="s">
        <v>266</v>
      </c>
      <c r="X11" s="29" t="s">
        <v>170</v>
      </c>
      <c r="Y11" s="29" t="s">
        <v>170</v>
      </c>
      <c r="Z11" s="29" t="s">
        <v>170</v>
      </c>
      <c r="AA11" s="29" t="s">
        <v>170</v>
      </c>
      <c r="AB11" s="28"/>
      <c r="AC11" s="28" t="s">
        <v>266</v>
      </c>
      <c r="AD11" s="86"/>
      <c r="AE11" s="28"/>
      <c r="AF11" s="28" t="s">
        <v>266</v>
      </c>
      <c r="AG11" s="28"/>
      <c r="AH11" s="84"/>
    </row>
    <row r="12" spans="1:34" x14ac:dyDescent="0.25">
      <c r="A12" s="26" t="s">
        <v>171</v>
      </c>
      <c r="B12" s="199"/>
      <c r="C12" s="29" t="s">
        <v>170</v>
      </c>
      <c r="D12" s="29" t="s">
        <v>170</v>
      </c>
      <c r="E12" s="29" t="s">
        <v>170</v>
      </c>
      <c r="F12" s="29" t="s">
        <v>170</v>
      </c>
      <c r="G12" s="29" t="s">
        <v>170</v>
      </c>
      <c r="H12" s="29" t="s">
        <v>170</v>
      </c>
      <c r="I12" s="29" t="s">
        <v>170</v>
      </c>
      <c r="J12" s="28"/>
      <c r="K12" s="29" t="s">
        <v>170</v>
      </c>
      <c r="L12" s="29" t="s">
        <v>170</v>
      </c>
      <c r="M12" s="29" t="s">
        <v>170</v>
      </c>
      <c r="N12" s="29" t="s">
        <v>170</v>
      </c>
      <c r="O12" s="28" t="s">
        <v>266</v>
      </c>
      <c r="P12" s="29" t="s">
        <v>170</v>
      </c>
      <c r="Q12" s="29" t="s">
        <v>170</v>
      </c>
      <c r="R12" s="199"/>
      <c r="S12" s="80"/>
      <c r="T12" s="29" t="s">
        <v>170</v>
      </c>
      <c r="U12" s="29" t="s">
        <v>170</v>
      </c>
      <c r="V12" s="29" t="s">
        <v>170</v>
      </c>
      <c r="W12" s="28" t="s">
        <v>266</v>
      </c>
      <c r="X12" s="29" t="s">
        <v>170</v>
      </c>
      <c r="Y12" s="29" t="s">
        <v>170</v>
      </c>
      <c r="Z12" s="29" t="s">
        <v>170</v>
      </c>
      <c r="AA12" s="29" t="s">
        <v>170</v>
      </c>
      <c r="AB12" s="28"/>
      <c r="AC12" s="28" t="s">
        <v>266</v>
      </c>
      <c r="AD12" s="86"/>
      <c r="AE12" s="28"/>
      <c r="AF12" s="28" t="s">
        <v>266</v>
      </c>
      <c r="AG12" s="28"/>
      <c r="AH12" s="84"/>
    </row>
    <row r="13" spans="1:34" x14ac:dyDescent="0.25">
      <c r="A13" s="26" t="s">
        <v>172</v>
      </c>
      <c r="B13" s="199"/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/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199"/>
      <c r="S13" s="80"/>
      <c r="T13" s="28" t="s">
        <v>173</v>
      </c>
      <c r="U13" s="28" t="s">
        <v>173</v>
      </c>
      <c r="V13" s="28" t="s">
        <v>173</v>
      </c>
      <c r="W13" s="28" t="s">
        <v>173</v>
      </c>
      <c r="X13" s="28" t="s">
        <v>173</v>
      </c>
      <c r="Y13" s="28" t="s">
        <v>173</v>
      </c>
      <c r="Z13" s="28" t="s">
        <v>173</v>
      </c>
      <c r="AA13" s="28" t="s">
        <v>173</v>
      </c>
      <c r="AB13" s="28"/>
      <c r="AC13" s="28" t="s">
        <v>173</v>
      </c>
      <c r="AD13" s="86"/>
      <c r="AE13" s="28"/>
      <c r="AF13" s="28" t="s">
        <v>173</v>
      </c>
      <c r="AG13" s="28"/>
      <c r="AH13" s="84"/>
    </row>
    <row r="14" spans="1:34" x14ac:dyDescent="0.25">
      <c r="A14" s="26" t="s">
        <v>174</v>
      </c>
      <c r="B14" s="199"/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/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199"/>
      <c r="S14" s="80"/>
      <c r="T14" s="28" t="s">
        <v>173</v>
      </c>
      <c r="U14" s="28" t="s">
        <v>173</v>
      </c>
      <c r="V14" s="28" t="s">
        <v>173</v>
      </c>
      <c r="W14" s="28" t="s">
        <v>173</v>
      </c>
      <c r="X14" s="28" t="s">
        <v>173</v>
      </c>
      <c r="Y14" s="28" t="s">
        <v>173</v>
      </c>
      <c r="Z14" s="28" t="s">
        <v>173</v>
      </c>
      <c r="AA14" s="28" t="s">
        <v>173</v>
      </c>
      <c r="AB14" s="28"/>
      <c r="AC14" s="28" t="s">
        <v>173</v>
      </c>
      <c r="AD14" s="86"/>
      <c r="AE14" s="28"/>
      <c r="AF14" s="28" t="s">
        <v>173</v>
      </c>
      <c r="AG14" s="28"/>
      <c r="AH14" s="84"/>
    </row>
    <row r="15" spans="1:34" x14ac:dyDescent="0.25">
      <c r="A15" s="26" t="s">
        <v>175</v>
      </c>
      <c r="B15" s="199"/>
      <c r="C15" s="28" t="s">
        <v>267</v>
      </c>
      <c r="D15" s="28" t="s">
        <v>267</v>
      </c>
      <c r="E15" s="28" t="s">
        <v>267</v>
      </c>
      <c r="F15" s="28" t="s">
        <v>267</v>
      </c>
      <c r="G15" s="28" t="s">
        <v>267</v>
      </c>
      <c r="H15" s="28" t="s">
        <v>267</v>
      </c>
      <c r="I15" s="28" t="s">
        <v>267</v>
      </c>
      <c r="J15" s="28"/>
      <c r="K15" s="28" t="s">
        <v>267</v>
      </c>
      <c r="L15" s="28" t="s">
        <v>267</v>
      </c>
      <c r="M15" s="28" t="s">
        <v>267</v>
      </c>
      <c r="N15" s="28" t="s">
        <v>267</v>
      </c>
      <c r="O15" s="28" t="s">
        <v>267</v>
      </c>
      <c r="P15" s="28" t="s">
        <v>267</v>
      </c>
      <c r="Q15" s="28" t="s">
        <v>267</v>
      </c>
      <c r="R15" s="199"/>
      <c r="S15" s="80"/>
      <c r="T15" s="28" t="s">
        <v>267</v>
      </c>
      <c r="U15" s="28" t="s">
        <v>267</v>
      </c>
      <c r="V15" s="28" t="s">
        <v>267</v>
      </c>
      <c r="W15" s="28" t="s">
        <v>160</v>
      </c>
      <c r="X15" s="28" t="s">
        <v>267</v>
      </c>
      <c r="Y15" s="28" t="s">
        <v>267</v>
      </c>
      <c r="Z15" s="28" t="s">
        <v>405</v>
      </c>
      <c r="AA15" s="28" t="s">
        <v>267</v>
      </c>
      <c r="AB15" s="28"/>
      <c r="AC15" s="28" t="s">
        <v>267</v>
      </c>
      <c r="AD15" s="28"/>
      <c r="AE15" s="29"/>
      <c r="AF15" s="28" t="s">
        <v>267</v>
      </c>
      <c r="AG15" s="29"/>
      <c r="AH15" s="80"/>
    </row>
    <row r="16" spans="1:34" x14ac:dyDescent="0.25">
      <c r="A16" s="26" t="s">
        <v>176</v>
      </c>
      <c r="B16" s="201"/>
      <c r="C16" s="30">
        <v>-3</v>
      </c>
      <c r="D16" s="30">
        <v>-3</v>
      </c>
      <c r="E16" s="30">
        <v>-3</v>
      </c>
      <c r="F16" s="30">
        <v>-3</v>
      </c>
      <c r="G16" s="30">
        <v>-3</v>
      </c>
      <c r="H16" s="30">
        <v>-3</v>
      </c>
      <c r="I16" s="30">
        <v>-3</v>
      </c>
      <c r="J16" s="30"/>
      <c r="K16" s="30">
        <v>-3</v>
      </c>
      <c r="L16" s="30">
        <v>-3</v>
      </c>
      <c r="M16" s="30">
        <v>-3</v>
      </c>
      <c r="N16" s="30">
        <v>-3</v>
      </c>
      <c r="O16" s="30">
        <v>-3</v>
      </c>
      <c r="P16" s="30">
        <v>-3</v>
      </c>
      <c r="Q16" s="30">
        <v>-3</v>
      </c>
      <c r="R16" s="201"/>
      <c r="S16" s="82"/>
      <c r="T16" s="30">
        <v>-3</v>
      </c>
      <c r="U16" s="30">
        <v>-3</v>
      </c>
      <c r="V16" s="30">
        <v>-3</v>
      </c>
      <c r="W16" s="30">
        <v>2.5</v>
      </c>
      <c r="X16" s="30">
        <v>-3</v>
      </c>
      <c r="Y16" s="30">
        <v>-3</v>
      </c>
      <c r="Z16" s="30">
        <v>-1.5</v>
      </c>
      <c r="AA16" s="30">
        <v>-3</v>
      </c>
      <c r="AB16" s="30"/>
      <c r="AC16" s="30">
        <v>-3</v>
      </c>
      <c r="AD16" s="30"/>
      <c r="AE16" s="30"/>
      <c r="AF16" s="30">
        <v>-3</v>
      </c>
      <c r="AG16" s="30"/>
      <c r="AH16" s="82"/>
    </row>
    <row r="17" spans="1:34" x14ac:dyDescent="0.25">
      <c r="A17" s="26" t="s">
        <v>177</v>
      </c>
      <c r="B17" s="199"/>
      <c r="C17" s="28" t="s">
        <v>178</v>
      </c>
      <c r="D17" s="28" t="s">
        <v>178</v>
      </c>
      <c r="E17" s="28" t="s">
        <v>178</v>
      </c>
      <c r="F17" s="28" t="s">
        <v>178</v>
      </c>
      <c r="G17" s="28" t="s">
        <v>178</v>
      </c>
      <c r="H17" s="28" t="s">
        <v>178</v>
      </c>
      <c r="I17" s="28" t="s">
        <v>178</v>
      </c>
      <c r="J17" s="28"/>
      <c r="K17" s="28" t="s">
        <v>178</v>
      </c>
      <c r="L17" s="28" t="s">
        <v>178</v>
      </c>
      <c r="M17" s="28" t="s">
        <v>178</v>
      </c>
      <c r="N17" s="28" t="s">
        <v>178</v>
      </c>
      <c r="O17" s="28" t="s">
        <v>528</v>
      </c>
      <c r="P17" s="28" t="s">
        <v>178</v>
      </c>
      <c r="Q17" s="28" t="s">
        <v>178</v>
      </c>
      <c r="R17" s="199"/>
      <c r="S17" s="80"/>
      <c r="T17" s="28" t="s">
        <v>178</v>
      </c>
      <c r="U17" s="28" t="s">
        <v>178</v>
      </c>
      <c r="V17" s="28" t="s">
        <v>178</v>
      </c>
      <c r="W17" s="28" t="s">
        <v>398</v>
      </c>
      <c r="X17" s="28" t="s">
        <v>178</v>
      </c>
      <c r="Y17" s="28" t="s">
        <v>178</v>
      </c>
      <c r="Z17" s="28" t="s">
        <v>178</v>
      </c>
      <c r="AA17" s="28" t="s">
        <v>178</v>
      </c>
      <c r="AB17" s="28"/>
      <c r="AC17" s="28" t="s">
        <v>528</v>
      </c>
      <c r="AD17" s="28"/>
      <c r="AE17" s="28"/>
      <c r="AF17" s="28" t="s">
        <v>528</v>
      </c>
      <c r="AG17" s="28"/>
      <c r="AH17" s="80"/>
    </row>
    <row r="18" spans="1:34" x14ac:dyDescent="0.25">
      <c r="A18" s="26" t="s">
        <v>182</v>
      </c>
      <c r="B18" s="201"/>
      <c r="C18" s="30">
        <v>4</v>
      </c>
      <c r="D18" s="30">
        <v>4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/>
      <c r="K18" s="30">
        <v>4</v>
      </c>
      <c r="L18" s="30">
        <v>4</v>
      </c>
      <c r="M18" s="30">
        <v>4</v>
      </c>
      <c r="N18" s="30">
        <v>4</v>
      </c>
      <c r="O18" s="30">
        <f>AVERAGE(4,0)</f>
        <v>2</v>
      </c>
      <c r="P18" s="30">
        <v>4</v>
      </c>
      <c r="Q18" s="30">
        <v>4</v>
      </c>
      <c r="R18" s="201"/>
      <c r="S18" s="82"/>
      <c r="T18" s="30">
        <v>4</v>
      </c>
      <c r="U18" s="30">
        <v>4</v>
      </c>
      <c r="V18" s="30">
        <v>4</v>
      </c>
      <c r="W18" s="30">
        <f>AVERAGE(2,0)</f>
        <v>1</v>
      </c>
      <c r="X18" s="30">
        <v>4</v>
      </c>
      <c r="Y18" s="30">
        <v>4</v>
      </c>
      <c r="Z18" s="30">
        <v>4</v>
      </c>
      <c r="AA18" s="30">
        <v>4</v>
      </c>
      <c r="AB18" s="30"/>
      <c r="AC18" s="30">
        <f>AVERAGE(4,0)</f>
        <v>2</v>
      </c>
      <c r="AD18" s="30"/>
      <c r="AE18" s="30"/>
      <c r="AF18" s="30">
        <f>AVERAGE(4,0)</f>
        <v>2</v>
      </c>
      <c r="AG18" s="30"/>
      <c r="AH18" s="82"/>
    </row>
    <row r="20" spans="1:34" x14ac:dyDescent="0.25">
      <c r="A20" s="26" t="s">
        <v>159</v>
      </c>
      <c r="B20" s="28" t="s">
        <v>529</v>
      </c>
      <c r="C20" s="83" t="s">
        <v>531</v>
      </c>
      <c r="D20" s="28" t="s">
        <v>531</v>
      </c>
      <c r="E20" s="28" t="s">
        <v>532</v>
      </c>
      <c r="F20" s="28" t="s">
        <v>531</v>
      </c>
      <c r="G20" s="28" t="s">
        <v>531</v>
      </c>
      <c r="H20" s="28" t="s">
        <v>531</v>
      </c>
      <c r="I20" s="86" t="s">
        <v>531</v>
      </c>
      <c r="J20" s="28"/>
      <c r="K20" s="28" t="s">
        <v>531</v>
      </c>
      <c r="L20" s="28" t="s">
        <v>531</v>
      </c>
      <c r="M20" s="28" t="s">
        <v>531</v>
      </c>
      <c r="N20" s="80" t="s">
        <v>341</v>
      </c>
      <c r="O20" s="28" t="s">
        <v>532</v>
      </c>
      <c r="P20" s="80" t="s">
        <v>341</v>
      </c>
      <c r="Q20" s="80" t="s">
        <v>341</v>
      </c>
      <c r="R20" s="28" t="s">
        <v>403</v>
      </c>
      <c r="S20" s="28" t="s">
        <v>530</v>
      </c>
      <c r="T20" s="28" t="s">
        <v>530</v>
      </c>
      <c r="U20" s="28" t="s">
        <v>531</v>
      </c>
      <c r="V20" s="28" t="s">
        <v>532</v>
      </c>
      <c r="W20" s="28" t="s">
        <v>531</v>
      </c>
      <c r="X20" s="28" t="s">
        <v>532</v>
      </c>
      <c r="Y20" s="28" t="s">
        <v>531</v>
      </c>
      <c r="Z20" s="80" t="s">
        <v>341</v>
      </c>
      <c r="AA20" s="28" t="s">
        <v>531</v>
      </c>
      <c r="AB20" s="28"/>
      <c r="AC20" s="28" t="s">
        <v>533</v>
      </c>
      <c r="AD20" s="28"/>
      <c r="AE20" s="28"/>
      <c r="AF20" s="28" t="s">
        <v>533</v>
      </c>
      <c r="AG20" s="28"/>
      <c r="AH20" s="80"/>
    </row>
    <row r="21" spans="1:34" x14ac:dyDescent="0.25">
      <c r="A21" s="26" t="s">
        <v>165</v>
      </c>
      <c r="B21" s="29" t="s">
        <v>403</v>
      </c>
      <c r="C21" s="29" t="s">
        <v>403</v>
      </c>
      <c r="D21" s="29" t="s">
        <v>403</v>
      </c>
      <c r="E21" s="105" t="s">
        <v>534</v>
      </c>
      <c r="F21" s="29" t="s">
        <v>403</v>
      </c>
      <c r="G21" s="29" t="s">
        <v>403</v>
      </c>
      <c r="H21" s="29" t="s">
        <v>403</v>
      </c>
      <c r="I21" s="29" t="s">
        <v>403</v>
      </c>
      <c r="J21" s="29"/>
      <c r="K21" s="29" t="s">
        <v>403</v>
      </c>
      <c r="L21" s="29" t="s">
        <v>403</v>
      </c>
      <c r="M21" s="29" t="s">
        <v>403</v>
      </c>
      <c r="N21" s="80" t="s">
        <v>341</v>
      </c>
      <c r="O21" s="105" t="s">
        <v>534</v>
      </c>
      <c r="P21" s="80" t="s">
        <v>341</v>
      </c>
      <c r="Q21" s="80" t="s">
        <v>341</v>
      </c>
      <c r="R21" s="29" t="s">
        <v>403</v>
      </c>
      <c r="S21" s="29" t="s">
        <v>544</v>
      </c>
      <c r="T21" s="29" t="s">
        <v>403</v>
      </c>
      <c r="U21" s="29" t="s">
        <v>403</v>
      </c>
      <c r="V21" s="105" t="s">
        <v>534</v>
      </c>
      <c r="W21" s="29" t="s">
        <v>403</v>
      </c>
      <c r="X21" s="105" t="s">
        <v>534</v>
      </c>
      <c r="Y21" s="29" t="s">
        <v>403</v>
      </c>
      <c r="Z21" s="80" t="s">
        <v>341</v>
      </c>
      <c r="AA21" s="29" t="s">
        <v>403</v>
      </c>
      <c r="AB21" s="29"/>
      <c r="AC21" s="29" t="s">
        <v>535</v>
      </c>
      <c r="AD21" s="29"/>
      <c r="AE21" s="29"/>
      <c r="AF21" s="29" t="s">
        <v>535</v>
      </c>
      <c r="AG21" s="29"/>
      <c r="AH21" s="81"/>
    </row>
    <row r="22" spans="1:34" x14ac:dyDescent="0.25">
      <c r="A22" s="131" t="s">
        <v>168</v>
      </c>
      <c r="B22" s="157">
        <v>97</v>
      </c>
      <c r="C22" s="157">
        <v>97</v>
      </c>
      <c r="D22" s="157">
        <v>97</v>
      </c>
      <c r="E22" s="157">
        <v>134</v>
      </c>
      <c r="F22" s="157">
        <v>97</v>
      </c>
      <c r="G22" s="157">
        <v>97</v>
      </c>
      <c r="H22" s="157">
        <v>97</v>
      </c>
      <c r="I22" s="157">
        <v>97</v>
      </c>
      <c r="J22" s="157"/>
      <c r="K22" s="157">
        <v>97</v>
      </c>
      <c r="L22" s="157">
        <v>97</v>
      </c>
      <c r="M22" s="157">
        <v>97</v>
      </c>
      <c r="N22" s="198"/>
      <c r="O22" s="157">
        <v>134</v>
      </c>
      <c r="P22" s="198"/>
      <c r="Q22" s="198"/>
      <c r="R22" s="157">
        <v>97</v>
      </c>
      <c r="S22" s="157">
        <v>135</v>
      </c>
      <c r="T22" s="157">
        <v>97</v>
      </c>
      <c r="U22" s="157">
        <v>97</v>
      </c>
      <c r="V22" s="157">
        <v>134</v>
      </c>
      <c r="W22" s="157">
        <v>97</v>
      </c>
      <c r="X22" s="157">
        <v>134</v>
      </c>
      <c r="Y22" s="157">
        <v>97</v>
      </c>
      <c r="Z22" s="198"/>
      <c r="AA22" s="157">
        <v>97</v>
      </c>
      <c r="AB22" s="157"/>
      <c r="AC22" s="157">
        <v>137</v>
      </c>
      <c r="AD22" s="157"/>
      <c r="AE22" s="157"/>
      <c r="AF22" s="157">
        <v>137</v>
      </c>
      <c r="AG22" s="157"/>
      <c r="AH22" s="81"/>
    </row>
    <row r="23" spans="1:34" x14ac:dyDescent="0.25">
      <c r="A23" s="26" t="s">
        <v>169</v>
      </c>
      <c r="B23" s="28" t="s">
        <v>170</v>
      </c>
      <c r="C23" s="28" t="s">
        <v>170</v>
      </c>
      <c r="D23" s="28" t="s">
        <v>170</v>
      </c>
      <c r="E23" s="28" t="s">
        <v>266</v>
      </c>
      <c r="F23" s="28" t="s">
        <v>170</v>
      </c>
      <c r="G23" s="28" t="s">
        <v>170</v>
      </c>
      <c r="H23" s="28" t="s">
        <v>170</v>
      </c>
      <c r="I23" s="28" t="s">
        <v>170</v>
      </c>
      <c r="J23" s="28"/>
      <c r="K23" s="28" t="s">
        <v>170</v>
      </c>
      <c r="L23" s="28" t="s">
        <v>170</v>
      </c>
      <c r="M23" s="28" t="s">
        <v>170</v>
      </c>
      <c r="N23" s="80" t="s">
        <v>173</v>
      </c>
      <c r="O23" s="28" t="s">
        <v>266</v>
      </c>
      <c r="P23" s="80" t="s">
        <v>173</v>
      </c>
      <c r="Q23" s="80" t="s">
        <v>173</v>
      </c>
      <c r="R23" s="28" t="s">
        <v>170</v>
      </c>
      <c r="S23" s="28" t="s">
        <v>170</v>
      </c>
      <c r="T23" s="28" t="s">
        <v>170</v>
      </c>
      <c r="U23" s="28" t="s">
        <v>170</v>
      </c>
      <c r="V23" s="28" t="s">
        <v>266</v>
      </c>
      <c r="W23" s="28" t="s">
        <v>170</v>
      </c>
      <c r="X23" s="28" t="s">
        <v>266</v>
      </c>
      <c r="Y23" s="28" t="s">
        <v>170</v>
      </c>
      <c r="Z23" s="80" t="s">
        <v>173</v>
      </c>
      <c r="AA23" s="28" t="s">
        <v>170</v>
      </c>
      <c r="AB23" s="28"/>
      <c r="AC23" s="28" t="s">
        <v>170</v>
      </c>
      <c r="AD23" s="28"/>
      <c r="AE23" s="29"/>
      <c r="AF23" s="28" t="s">
        <v>170</v>
      </c>
      <c r="AG23" s="28"/>
      <c r="AH23" s="80"/>
    </row>
    <row r="24" spans="1:34" x14ac:dyDescent="0.25">
      <c r="A24" s="26" t="s">
        <v>171</v>
      </c>
      <c r="B24" s="28" t="s">
        <v>170</v>
      </c>
      <c r="C24" s="28" t="s">
        <v>170</v>
      </c>
      <c r="D24" s="28" t="s">
        <v>170</v>
      </c>
      <c r="E24" s="28" t="s">
        <v>266</v>
      </c>
      <c r="F24" s="28" t="s">
        <v>170</v>
      </c>
      <c r="G24" s="28" t="s">
        <v>170</v>
      </c>
      <c r="H24" s="28" t="s">
        <v>170</v>
      </c>
      <c r="I24" s="28" t="s">
        <v>170</v>
      </c>
      <c r="J24" s="28"/>
      <c r="K24" s="28" t="s">
        <v>170</v>
      </c>
      <c r="L24" s="28" t="s">
        <v>170</v>
      </c>
      <c r="M24" s="28" t="s">
        <v>170</v>
      </c>
      <c r="N24" s="80" t="s">
        <v>173</v>
      </c>
      <c r="O24" s="28" t="s">
        <v>266</v>
      </c>
      <c r="P24" s="80" t="s">
        <v>173</v>
      </c>
      <c r="Q24" s="80" t="s">
        <v>173</v>
      </c>
      <c r="R24" s="28" t="s">
        <v>170</v>
      </c>
      <c r="S24" s="28" t="s">
        <v>170</v>
      </c>
      <c r="T24" s="28" t="s">
        <v>170</v>
      </c>
      <c r="U24" s="28" t="s">
        <v>170</v>
      </c>
      <c r="V24" s="28" t="s">
        <v>266</v>
      </c>
      <c r="W24" s="28" t="s">
        <v>170</v>
      </c>
      <c r="X24" s="28" t="s">
        <v>266</v>
      </c>
      <c r="Y24" s="28" t="s">
        <v>170</v>
      </c>
      <c r="Z24" s="80" t="s">
        <v>173</v>
      </c>
      <c r="AA24" s="28" t="s">
        <v>170</v>
      </c>
      <c r="AB24" s="28"/>
      <c r="AC24" s="28" t="s">
        <v>170</v>
      </c>
      <c r="AD24" s="28"/>
      <c r="AE24" s="28"/>
      <c r="AF24" s="28" t="s">
        <v>170</v>
      </c>
      <c r="AG24" s="28"/>
      <c r="AH24" s="80"/>
    </row>
    <row r="25" spans="1:34" x14ac:dyDescent="0.25">
      <c r="A25" s="26" t="s">
        <v>172</v>
      </c>
      <c r="B25" s="28" t="s">
        <v>173</v>
      </c>
      <c r="C25" s="28" t="s">
        <v>173</v>
      </c>
      <c r="D25" s="28" t="s">
        <v>173</v>
      </c>
      <c r="E25" s="28" t="s">
        <v>173</v>
      </c>
      <c r="F25" s="28" t="s">
        <v>173</v>
      </c>
      <c r="G25" s="28" t="s">
        <v>173</v>
      </c>
      <c r="H25" s="28" t="s">
        <v>173</v>
      </c>
      <c r="I25" s="28" t="s">
        <v>173</v>
      </c>
      <c r="J25" s="28"/>
      <c r="K25" s="28" t="s">
        <v>173</v>
      </c>
      <c r="L25" s="28" t="s">
        <v>173</v>
      </c>
      <c r="M25" s="28" t="s">
        <v>173</v>
      </c>
      <c r="N25" s="80" t="s">
        <v>173</v>
      </c>
      <c r="O25" s="28" t="s">
        <v>173</v>
      </c>
      <c r="P25" s="80" t="s">
        <v>173</v>
      </c>
      <c r="Q25" s="80" t="s">
        <v>173</v>
      </c>
      <c r="R25" s="28" t="s">
        <v>173</v>
      </c>
      <c r="S25" s="28" t="s">
        <v>173</v>
      </c>
      <c r="T25" s="28" t="s">
        <v>173</v>
      </c>
      <c r="U25" s="28" t="s">
        <v>173</v>
      </c>
      <c r="V25" s="28" t="s">
        <v>173</v>
      </c>
      <c r="W25" s="28" t="s">
        <v>173</v>
      </c>
      <c r="X25" s="28" t="s">
        <v>173</v>
      </c>
      <c r="Y25" s="28" t="s">
        <v>173</v>
      </c>
      <c r="Z25" s="80" t="s">
        <v>173</v>
      </c>
      <c r="AA25" s="28" t="s">
        <v>173</v>
      </c>
      <c r="AB25" s="28"/>
      <c r="AC25" s="28" t="s">
        <v>173</v>
      </c>
      <c r="AD25" s="28"/>
      <c r="AE25" s="28"/>
      <c r="AF25" s="28" t="s">
        <v>173</v>
      </c>
      <c r="AG25" s="28"/>
      <c r="AH25" s="80"/>
    </row>
    <row r="26" spans="1:34" x14ac:dyDescent="0.25">
      <c r="A26" s="26" t="s">
        <v>174</v>
      </c>
      <c r="B26" s="28" t="s">
        <v>173</v>
      </c>
      <c r="C26" s="28" t="s">
        <v>173</v>
      </c>
      <c r="D26" s="28" t="s">
        <v>173</v>
      </c>
      <c r="E26" s="28" t="s">
        <v>173</v>
      </c>
      <c r="F26" s="28" t="s">
        <v>173</v>
      </c>
      <c r="G26" s="28" t="s">
        <v>173</v>
      </c>
      <c r="H26" s="28" t="s">
        <v>173</v>
      </c>
      <c r="I26" s="28" t="s">
        <v>173</v>
      </c>
      <c r="J26" s="28"/>
      <c r="K26" s="28" t="s">
        <v>173</v>
      </c>
      <c r="L26" s="28" t="s">
        <v>173</v>
      </c>
      <c r="M26" s="28" t="s">
        <v>173</v>
      </c>
      <c r="N26" s="80" t="s">
        <v>173</v>
      </c>
      <c r="O26" s="28" t="s">
        <v>173</v>
      </c>
      <c r="P26" s="80" t="s">
        <v>173</v>
      </c>
      <c r="Q26" s="80" t="s">
        <v>173</v>
      </c>
      <c r="R26" s="28" t="s">
        <v>173</v>
      </c>
      <c r="S26" s="28" t="s">
        <v>173</v>
      </c>
      <c r="T26" s="28" t="s">
        <v>173</v>
      </c>
      <c r="U26" s="28" t="s">
        <v>173</v>
      </c>
      <c r="V26" s="28" t="s">
        <v>173</v>
      </c>
      <c r="W26" s="28" t="s">
        <v>173</v>
      </c>
      <c r="X26" s="28" t="s">
        <v>173</v>
      </c>
      <c r="Y26" s="28" t="s">
        <v>173</v>
      </c>
      <c r="Z26" s="80" t="s">
        <v>173</v>
      </c>
      <c r="AA26" s="28" t="s">
        <v>173</v>
      </c>
      <c r="AB26" s="28"/>
      <c r="AC26" s="28" t="s">
        <v>173</v>
      </c>
      <c r="AD26" s="28"/>
      <c r="AE26" s="28"/>
      <c r="AF26" s="28" t="s">
        <v>173</v>
      </c>
      <c r="AG26" s="28"/>
      <c r="AH26" s="80"/>
    </row>
    <row r="27" spans="1:34" x14ac:dyDescent="0.25">
      <c r="A27" s="26" t="s">
        <v>175</v>
      </c>
      <c r="B27" s="28" t="s">
        <v>405</v>
      </c>
      <c r="C27" s="28" t="s">
        <v>405</v>
      </c>
      <c r="D27" s="28" t="s">
        <v>405</v>
      </c>
      <c r="E27" s="28" t="s">
        <v>405</v>
      </c>
      <c r="F27" s="28" t="s">
        <v>405</v>
      </c>
      <c r="G27" s="28" t="s">
        <v>405</v>
      </c>
      <c r="H27" s="28" t="s">
        <v>405</v>
      </c>
      <c r="I27" s="28" t="s">
        <v>405</v>
      </c>
      <c r="J27" s="28"/>
      <c r="K27" s="28" t="s">
        <v>405</v>
      </c>
      <c r="L27" s="28" t="s">
        <v>405</v>
      </c>
      <c r="M27" s="28" t="s">
        <v>405</v>
      </c>
      <c r="N27" s="80"/>
      <c r="O27" s="28" t="s">
        <v>405</v>
      </c>
      <c r="P27" s="80"/>
      <c r="Q27" s="80"/>
      <c r="R27" s="28" t="s">
        <v>405</v>
      </c>
      <c r="S27" s="94" t="s">
        <v>545</v>
      </c>
      <c r="T27" s="28" t="s">
        <v>405</v>
      </c>
      <c r="U27" s="28" t="s">
        <v>405</v>
      </c>
      <c r="V27" s="28" t="s">
        <v>405</v>
      </c>
      <c r="W27" s="28" t="s">
        <v>405</v>
      </c>
      <c r="X27" s="28" t="s">
        <v>405</v>
      </c>
      <c r="Y27" s="28" t="s">
        <v>405</v>
      </c>
      <c r="Z27" s="80"/>
      <c r="AA27" s="28" t="s">
        <v>405</v>
      </c>
      <c r="AB27" s="28"/>
      <c r="AC27" s="163" t="s">
        <v>536</v>
      </c>
      <c r="AD27" s="28"/>
      <c r="AE27" s="28"/>
      <c r="AF27" s="163" t="s">
        <v>536</v>
      </c>
      <c r="AG27" s="28"/>
      <c r="AH27" s="80"/>
    </row>
    <row r="28" spans="1:34" x14ac:dyDescent="0.25">
      <c r="A28" s="26" t="s">
        <v>176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/>
      <c r="K28" s="30">
        <v>0</v>
      </c>
      <c r="L28" s="30">
        <v>0</v>
      </c>
      <c r="M28" s="30">
        <v>0</v>
      </c>
      <c r="N28" s="82"/>
      <c r="O28" s="30">
        <v>0</v>
      </c>
      <c r="P28" s="82"/>
      <c r="Q28" s="82"/>
      <c r="R28" s="30">
        <v>0</v>
      </c>
      <c r="S28" s="30">
        <f>AVERAGE(-3,0)</f>
        <v>-1.5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82"/>
      <c r="AA28" s="30">
        <v>0</v>
      </c>
      <c r="AB28" s="30"/>
      <c r="AC28" s="30">
        <f>AVERAGE(0,2.5)</f>
        <v>1.25</v>
      </c>
      <c r="AD28" s="30"/>
      <c r="AE28" s="30"/>
      <c r="AF28" s="30">
        <f>AVERAGE(0,2.5)</f>
        <v>1.25</v>
      </c>
      <c r="AG28" s="30"/>
      <c r="AH28" s="82"/>
    </row>
    <row r="29" spans="1:34" x14ac:dyDescent="0.25">
      <c r="A29" s="26" t="s">
        <v>177</v>
      </c>
      <c r="B29" s="28" t="s">
        <v>334</v>
      </c>
      <c r="C29" s="28" t="s">
        <v>334</v>
      </c>
      <c r="D29" s="28" t="s">
        <v>334</v>
      </c>
      <c r="E29" s="103" t="s">
        <v>537</v>
      </c>
      <c r="F29" s="28" t="s">
        <v>334</v>
      </c>
      <c r="G29" s="28" t="s">
        <v>334</v>
      </c>
      <c r="H29" s="28" t="s">
        <v>334</v>
      </c>
      <c r="I29" s="28" t="s">
        <v>334</v>
      </c>
      <c r="J29" s="28"/>
      <c r="K29" s="28" t="s">
        <v>334</v>
      </c>
      <c r="L29" s="28" t="s">
        <v>334</v>
      </c>
      <c r="M29" s="28" t="s">
        <v>334</v>
      </c>
      <c r="N29" s="80" t="s">
        <v>341</v>
      </c>
      <c r="O29" s="103" t="s">
        <v>537</v>
      </c>
      <c r="P29" s="80" t="s">
        <v>341</v>
      </c>
      <c r="Q29" s="80" t="s">
        <v>341</v>
      </c>
      <c r="R29" s="28" t="s">
        <v>334</v>
      </c>
      <c r="S29" s="28" t="s">
        <v>357</v>
      </c>
      <c r="T29" s="28" t="s">
        <v>334</v>
      </c>
      <c r="U29" s="28" t="s">
        <v>334</v>
      </c>
      <c r="V29" s="103" t="s">
        <v>537</v>
      </c>
      <c r="W29" s="28" t="s">
        <v>334</v>
      </c>
      <c r="X29" s="103" t="s">
        <v>537</v>
      </c>
      <c r="Y29" s="28" t="s">
        <v>334</v>
      </c>
      <c r="Z29" s="80" t="s">
        <v>341</v>
      </c>
      <c r="AA29" s="28" t="s">
        <v>334</v>
      </c>
      <c r="AB29" s="28"/>
      <c r="AC29" s="28" t="s">
        <v>538</v>
      </c>
      <c r="AD29" s="28"/>
      <c r="AE29" s="28"/>
      <c r="AF29" s="28" t="s">
        <v>538</v>
      </c>
      <c r="AG29" s="28"/>
      <c r="AH29" s="80"/>
    </row>
    <row r="30" spans="1:34" x14ac:dyDescent="0.25">
      <c r="A30" s="26" t="s">
        <v>182</v>
      </c>
      <c r="B30" s="30">
        <f>1/3</f>
        <v>0.33333333333333331</v>
      </c>
      <c r="C30" s="30">
        <f>1/3</f>
        <v>0.33333333333333331</v>
      </c>
      <c r="D30" s="30">
        <f>1/3</f>
        <v>0.33333333333333331</v>
      </c>
      <c r="E30" s="30">
        <f>AVERAGE(1/3,0)</f>
        <v>0.16666666666666666</v>
      </c>
      <c r="F30" s="30">
        <f>1/3</f>
        <v>0.33333333333333331</v>
      </c>
      <c r="G30" s="30">
        <f>1/3</f>
        <v>0.33333333333333331</v>
      </c>
      <c r="H30" s="30">
        <f>1/3</f>
        <v>0.33333333333333331</v>
      </c>
      <c r="I30" s="30">
        <f>1/3</f>
        <v>0.33333333333333331</v>
      </c>
      <c r="J30" s="30"/>
      <c r="K30" s="30">
        <f>1/3</f>
        <v>0.33333333333333331</v>
      </c>
      <c r="L30" s="30">
        <f>1/3</f>
        <v>0.33333333333333331</v>
      </c>
      <c r="M30" s="30">
        <f>1/3</f>
        <v>0.33333333333333331</v>
      </c>
      <c r="N30" s="82">
        <v>0</v>
      </c>
      <c r="O30" s="30">
        <f>AVERAGE(1/3,0)</f>
        <v>0.16666666666666666</v>
      </c>
      <c r="P30" s="82">
        <v>0</v>
      </c>
      <c r="Q30" s="82">
        <v>0</v>
      </c>
      <c r="R30" s="30">
        <f>1/3</f>
        <v>0.33333333333333331</v>
      </c>
      <c r="S30" s="30">
        <f>AVERAGE(4,0.5)</f>
        <v>2.25</v>
      </c>
      <c r="T30" s="30">
        <f>1/3</f>
        <v>0.33333333333333331</v>
      </c>
      <c r="U30" s="30">
        <f>1/3</f>
        <v>0.33333333333333331</v>
      </c>
      <c r="V30" s="30">
        <f>AVERAGE(1/3,0)</f>
        <v>0.16666666666666666</v>
      </c>
      <c r="W30" s="30">
        <f>1/3</f>
        <v>0.33333333333333331</v>
      </c>
      <c r="X30" s="30">
        <f>AVERAGE(1/3,0)</f>
        <v>0.16666666666666666</v>
      </c>
      <c r="Y30" s="30">
        <f>1/3</f>
        <v>0.33333333333333331</v>
      </c>
      <c r="Z30" s="82">
        <v>0</v>
      </c>
      <c r="AA30" s="30">
        <f>1/3</f>
        <v>0.33333333333333331</v>
      </c>
      <c r="AB30" s="30"/>
      <c r="AC30" s="30">
        <f>AVERAGE(0.5,2.5)</f>
        <v>1.5</v>
      </c>
      <c r="AD30" s="30"/>
      <c r="AE30" s="30"/>
      <c r="AF30" s="30">
        <f>AVERAGE(0.5,2.5)</f>
        <v>1.5</v>
      </c>
      <c r="AG30" s="30"/>
      <c r="AH30" s="82"/>
    </row>
    <row r="32" spans="1:34" x14ac:dyDescent="0.25">
      <c r="A32" s="31" t="s">
        <v>183</v>
      </c>
    </row>
    <row r="33" spans="1:33" x14ac:dyDescent="0.25">
      <c r="A33" s="224" t="s">
        <v>546</v>
      </c>
      <c r="B33" s="56" t="s">
        <v>547</v>
      </c>
    </row>
    <row r="34" spans="1:33" x14ac:dyDescent="0.25">
      <c r="A34" s="224"/>
      <c r="B34" s="56" t="s">
        <v>548</v>
      </c>
    </row>
    <row r="35" spans="1:33" x14ac:dyDescent="0.25">
      <c r="A35" s="79" t="s">
        <v>541</v>
      </c>
      <c r="B35" s="79"/>
    </row>
    <row r="41" spans="1:33" x14ac:dyDescent="0.25">
      <c r="W41" s="77"/>
    </row>
    <row r="46" spans="1:33" x14ac:dyDescent="0.25">
      <c r="E46" s="160"/>
      <c r="F46" s="160"/>
      <c r="J46" s="160"/>
      <c r="AG46" s="160"/>
    </row>
  </sheetData>
  <mergeCells count="6">
    <mergeCell ref="F3:O3"/>
    <mergeCell ref="F4:O5"/>
    <mergeCell ref="A33:A34"/>
    <mergeCell ref="B3:D3"/>
    <mergeCell ref="B4:D4"/>
    <mergeCell ref="B5:D5"/>
  </mergeCells>
  <hyperlinks>
    <hyperlink ref="A35" r:id="rId1" xr:uid="{0AF5A141-CED4-4EAF-AE70-207827CD3F30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70914-3AD2-4777-B2C6-AE66B202FA4D}">
  <dimension ref="A1:AJ36"/>
  <sheetViews>
    <sheetView workbookViewId="0">
      <selection activeCell="T9" sqref="T9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6" x14ac:dyDescent="0.25">
      <c r="A1" s="25" t="s">
        <v>116</v>
      </c>
      <c r="D1" s="25" t="s">
        <v>117</v>
      </c>
      <c r="I1" s="25" t="s">
        <v>549</v>
      </c>
    </row>
    <row r="3" spans="1:36" ht="18" x14ac:dyDescent="0.25">
      <c r="A3" s="25" t="s">
        <v>119</v>
      </c>
      <c r="B3" s="215">
        <v>32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6" ht="18" x14ac:dyDescent="0.25">
      <c r="A4" s="25" t="s">
        <v>121</v>
      </c>
      <c r="B4" s="215" t="s">
        <v>550</v>
      </c>
      <c r="C4" s="215"/>
      <c r="D4" s="215"/>
      <c r="F4" s="216" t="s">
        <v>551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6" ht="18" x14ac:dyDescent="0.25">
      <c r="A5" s="25" t="s">
        <v>124</v>
      </c>
      <c r="B5" s="215" t="s">
        <v>377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6" ht="45" x14ac:dyDescent="0.25">
      <c r="A7" s="27" t="s">
        <v>126</v>
      </c>
      <c r="B7" s="57" t="s">
        <v>17</v>
      </c>
      <c r="C7" s="58" t="s">
        <v>127</v>
      </c>
      <c r="D7" s="58" t="s">
        <v>128</v>
      </c>
      <c r="E7" s="59" t="s">
        <v>129</v>
      </c>
      <c r="F7" s="60" t="s">
        <v>130</v>
      </c>
      <c r="G7" s="61" t="s">
        <v>131</v>
      </c>
      <c r="H7" s="61" t="s">
        <v>132</v>
      </c>
      <c r="I7" s="62" t="s">
        <v>133</v>
      </c>
      <c r="J7" s="63" t="s">
        <v>134</v>
      </c>
      <c r="K7" s="64" t="s">
        <v>135</v>
      </c>
      <c r="L7" s="64" t="s">
        <v>136</v>
      </c>
      <c r="M7" s="64" t="s">
        <v>137</v>
      </c>
      <c r="N7" s="65" t="s">
        <v>138</v>
      </c>
      <c r="O7" s="65" t="s">
        <v>139</v>
      </c>
      <c r="P7" s="67" t="s">
        <v>140</v>
      </c>
      <c r="Q7" s="67" t="s">
        <v>141</v>
      </c>
      <c r="R7" s="66" t="s">
        <v>142</v>
      </c>
      <c r="S7" s="68" t="s">
        <v>143</v>
      </c>
      <c r="T7" s="69" t="s">
        <v>144</v>
      </c>
      <c r="U7" s="69" t="s">
        <v>145</v>
      </c>
      <c r="V7" s="70" t="s">
        <v>146</v>
      </c>
      <c r="W7" s="70" t="s">
        <v>147</v>
      </c>
      <c r="X7" s="71" t="s">
        <v>148</v>
      </c>
      <c r="Y7" s="71" t="s">
        <v>149</v>
      </c>
      <c r="Z7" s="72" t="s">
        <v>150</v>
      </c>
      <c r="AA7" s="72" t="s">
        <v>151</v>
      </c>
      <c r="AB7" s="73" t="s">
        <v>152</v>
      </c>
      <c r="AC7" s="73" t="s">
        <v>153</v>
      </c>
      <c r="AD7" s="73" t="s">
        <v>154</v>
      </c>
      <c r="AE7" s="74" t="s">
        <v>155</v>
      </c>
      <c r="AF7" s="75" t="s">
        <v>156</v>
      </c>
      <c r="AG7" s="76" t="s">
        <v>157</v>
      </c>
      <c r="AH7" s="76" t="s">
        <v>158</v>
      </c>
      <c r="AJ7" s="57" t="s">
        <v>17</v>
      </c>
    </row>
    <row r="8" spans="1:36" ht="15.75" customHeight="1" x14ac:dyDescent="0.25">
      <c r="A8" s="26" t="s">
        <v>159</v>
      </c>
      <c r="B8" s="28" t="s">
        <v>178</v>
      </c>
      <c r="C8" s="28" t="s">
        <v>252</v>
      </c>
      <c r="D8" s="28" t="s">
        <v>252</v>
      </c>
      <c r="E8" s="28" t="s">
        <v>252</v>
      </c>
      <c r="F8" s="80"/>
      <c r="G8" s="80"/>
      <c r="H8" s="84"/>
      <c r="I8" s="80"/>
      <c r="J8" s="28" t="s">
        <v>552</v>
      </c>
      <c r="K8" s="28" t="s">
        <v>552</v>
      </c>
      <c r="L8" s="28" t="s">
        <v>552</v>
      </c>
      <c r="M8" s="28" t="s">
        <v>552</v>
      </c>
      <c r="N8" s="28" t="s">
        <v>552</v>
      </c>
      <c r="O8" s="28" t="s">
        <v>552</v>
      </c>
      <c r="P8" s="28" t="s">
        <v>552</v>
      </c>
      <c r="Q8" s="28" t="s">
        <v>552</v>
      </c>
      <c r="R8" s="28" t="s">
        <v>552</v>
      </c>
      <c r="S8" s="28" t="s">
        <v>552</v>
      </c>
      <c r="T8" s="28" t="s">
        <v>553</v>
      </c>
      <c r="U8" s="28" t="s">
        <v>552</v>
      </c>
      <c r="V8" s="28" t="s">
        <v>552</v>
      </c>
      <c r="W8" s="28" t="s">
        <v>552</v>
      </c>
      <c r="X8" s="28" t="s">
        <v>552</v>
      </c>
      <c r="Y8" s="28" t="s">
        <v>552</v>
      </c>
      <c r="Z8" s="28" t="s">
        <v>552</v>
      </c>
      <c r="AA8" s="28" t="s">
        <v>552</v>
      </c>
      <c r="AB8" s="28" t="s">
        <v>552</v>
      </c>
      <c r="AC8" s="28" t="s">
        <v>554</v>
      </c>
      <c r="AD8" s="28" t="s">
        <v>554</v>
      </c>
      <c r="AE8" s="28" t="s">
        <v>554</v>
      </c>
      <c r="AF8" s="28" t="s">
        <v>552</v>
      </c>
      <c r="AG8" s="28" t="s">
        <v>552</v>
      </c>
      <c r="AH8" s="28" t="s">
        <v>552</v>
      </c>
      <c r="AJ8" s="28" t="s">
        <v>178</v>
      </c>
    </row>
    <row r="9" spans="1:36" ht="15.75" customHeight="1" x14ac:dyDescent="0.25">
      <c r="A9" s="26" t="s">
        <v>165</v>
      </c>
      <c r="B9" s="28" t="s">
        <v>552</v>
      </c>
      <c r="C9" s="28" t="s">
        <v>283</v>
      </c>
      <c r="D9" s="28" t="s">
        <v>283</v>
      </c>
      <c r="E9" s="28" t="s">
        <v>197</v>
      </c>
      <c r="F9" s="80"/>
      <c r="G9" s="80"/>
      <c r="H9" s="84"/>
      <c r="I9" s="80"/>
      <c r="J9" s="29" t="s">
        <v>552</v>
      </c>
      <c r="K9" s="29" t="s">
        <v>552</v>
      </c>
      <c r="L9" s="29" t="s">
        <v>552</v>
      </c>
      <c r="M9" s="29" t="s">
        <v>552</v>
      </c>
      <c r="N9" s="29" t="s">
        <v>552</v>
      </c>
      <c r="O9" s="29" t="s">
        <v>552</v>
      </c>
      <c r="P9" s="29" t="s">
        <v>552</v>
      </c>
      <c r="Q9" s="29" t="s">
        <v>552</v>
      </c>
      <c r="R9" s="29" t="s">
        <v>552</v>
      </c>
      <c r="S9" s="29" t="s">
        <v>552</v>
      </c>
      <c r="T9" s="28" t="s">
        <v>197</v>
      </c>
      <c r="U9" s="29" t="s">
        <v>552</v>
      </c>
      <c r="V9" s="29" t="s">
        <v>552</v>
      </c>
      <c r="W9" s="29" t="s">
        <v>552</v>
      </c>
      <c r="X9" s="29" t="s">
        <v>552</v>
      </c>
      <c r="Y9" s="29" t="s">
        <v>552</v>
      </c>
      <c r="Z9" s="29" t="s">
        <v>552</v>
      </c>
      <c r="AA9" s="29" t="s">
        <v>552</v>
      </c>
      <c r="AB9" s="29" t="s">
        <v>552</v>
      </c>
      <c r="AC9" s="29" t="s">
        <v>248</v>
      </c>
      <c r="AD9" s="29" t="s">
        <v>248</v>
      </c>
      <c r="AE9" s="29" t="s">
        <v>248</v>
      </c>
      <c r="AF9" s="29" t="s">
        <v>552</v>
      </c>
      <c r="AG9" s="29" t="s">
        <v>552</v>
      </c>
      <c r="AH9" s="29" t="s">
        <v>552</v>
      </c>
      <c r="AJ9" s="29" t="s">
        <v>552</v>
      </c>
    </row>
    <row r="10" spans="1:36" ht="15.75" customHeight="1" x14ac:dyDescent="0.25">
      <c r="A10" s="131" t="s">
        <v>168</v>
      </c>
      <c r="B10" s="157">
        <v>1</v>
      </c>
      <c r="C10" s="157">
        <v>56</v>
      </c>
      <c r="D10" s="157">
        <v>56</v>
      </c>
      <c r="E10" s="157">
        <v>34</v>
      </c>
      <c r="F10" s="164"/>
      <c r="G10" s="164"/>
      <c r="H10" s="165"/>
      <c r="I10" s="164"/>
      <c r="J10" s="157">
        <v>1</v>
      </c>
      <c r="K10" s="157">
        <v>1</v>
      </c>
      <c r="L10" s="157">
        <v>1</v>
      </c>
      <c r="M10" s="157">
        <v>1</v>
      </c>
      <c r="N10" s="157">
        <v>1</v>
      </c>
      <c r="O10" s="157">
        <v>1</v>
      </c>
      <c r="P10" s="157">
        <v>1</v>
      </c>
      <c r="Q10" s="157">
        <v>1</v>
      </c>
      <c r="R10" s="157">
        <v>1</v>
      </c>
      <c r="S10" s="157">
        <v>1</v>
      </c>
      <c r="T10" s="157">
        <v>34</v>
      </c>
      <c r="U10" s="157">
        <v>1</v>
      </c>
      <c r="V10" s="157">
        <v>1</v>
      </c>
      <c r="W10" s="157">
        <v>1</v>
      </c>
      <c r="X10" s="157">
        <v>1</v>
      </c>
      <c r="Y10" s="157">
        <v>1</v>
      </c>
      <c r="Z10" s="157">
        <v>1</v>
      </c>
      <c r="AA10" s="157">
        <v>1</v>
      </c>
      <c r="AB10" s="157">
        <v>1</v>
      </c>
      <c r="AC10" s="157">
        <v>17</v>
      </c>
      <c r="AD10" s="157">
        <v>17</v>
      </c>
      <c r="AE10" s="157">
        <v>17</v>
      </c>
      <c r="AF10" s="157">
        <v>1</v>
      </c>
      <c r="AG10" s="157">
        <v>1</v>
      </c>
      <c r="AH10" s="157">
        <v>1</v>
      </c>
      <c r="AJ10" s="157">
        <v>1</v>
      </c>
    </row>
    <row r="11" spans="1:36" ht="15.75" customHeight="1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80"/>
      <c r="G11" s="80"/>
      <c r="H11" s="84"/>
      <c r="I11" s="80"/>
      <c r="J11" s="28" t="s">
        <v>170</v>
      </c>
      <c r="K11" s="28" t="s">
        <v>170</v>
      </c>
      <c r="L11" s="28" t="s">
        <v>170</v>
      </c>
      <c r="M11" s="28" t="s">
        <v>170</v>
      </c>
      <c r="N11" s="28" t="s">
        <v>170</v>
      </c>
      <c r="O11" s="28" t="s">
        <v>170</v>
      </c>
      <c r="P11" s="28" t="s">
        <v>170</v>
      </c>
      <c r="Q11" s="28" t="s">
        <v>170</v>
      </c>
      <c r="R11" s="28" t="s">
        <v>170</v>
      </c>
      <c r="S11" s="28" t="s">
        <v>170</v>
      </c>
      <c r="T11" s="28" t="s">
        <v>170</v>
      </c>
      <c r="U11" s="28" t="s">
        <v>170</v>
      </c>
      <c r="V11" s="28" t="s">
        <v>170</v>
      </c>
      <c r="W11" s="28" t="s">
        <v>170</v>
      </c>
      <c r="X11" s="28" t="s">
        <v>170</v>
      </c>
      <c r="Y11" s="28" t="s">
        <v>170</v>
      </c>
      <c r="Z11" s="28" t="s">
        <v>170</v>
      </c>
      <c r="AA11" s="28" t="s">
        <v>170</v>
      </c>
      <c r="AB11" s="28" t="s">
        <v>170</v>
      </c>
      <c r="AC11" s="28" t="s">
        <v>170</v>
      </c>
      <c r="AD11" s="28" t="s">
        <v>170</v>
      </c>
      <c r="AE11" s="28" t="s">
        <v>170</v>
      </c>
      <c r="AF11" s="28" t="s">
        <v>170</v>
      </c>
      <c r="AG11" s="28" t="s">
        <v>170</v>
      </c>
      <c r="AH11" s="28" t="s">
        <v>170</v>
      </c>
      <c r="AJ11" s="28" t="s">
        <v>170</v>
      </c>
    </row>
    <row r="12" spans="1:36" ht="15.75" customHeight="1" x14ac:dyDescent="0.25">
      <c r="A12" s="26" t="s">
        <v>171</v>
      </c>
      <c r="B12" s="28" t="s">
        <v>173</v>
      </c>
      <c r="C12" s="28" t="s">
        <v>173</v>
      </c>
      <c r="D12" s="28" t="s">
        <v>173</v>
      </c>
      <c r="E12" s="28" t="s">
        <v>173</v>
      </c>
      <c r="F12" s="80"/>
      <c r="G12" s="80"/>
      <c r="H12" s="84"/>
      <c r="I12" s="80"/>
      <c r="J12" s="28" t="s">
        <v>173</v>
      </c>
      <c r="K12" s="28" t="s">
        <v>173</v>
      </c>
      <c r="L12" s="28" t="s">
        <v>173</v>
      </c>
      <c r="M12" s="28" t="s">
        <v>173</v>
      </c>
      <c r="N12" s="28" t="s">
        <v>173</v>
      </c>
      <c r="O12" s="28" t="s">
        <v>173</v>
      </c>
      <c r="P12" s="28" t="s">
        <v>173</v>
      </c>
      <c r="Q12" s="28" t="s">
        <v>173</v>
      </c>
      <c r="R12" s="28" t="s">
        <v>173</v>
      </c>
      <c r="S12" s="28" t="s">
        <v>173</v>
      </c>
      <c r="T12" s="28" t="s">
        <v>173</v>
      </c>
      <c r="U12" s="28" t="s">
        <v>173</v>
      </c>
      <c r="V12" s="28" t="s">
        <v>173</v>
      </c>
      <c r="W12" s="28" t="s">
        <v>173</v>
      </c>
      <c r="X12" s="28" t="s">
        <v>173</v>
      </c>
      <c r="Y12" s="28" t="s">
        <v>173</v>
      </c>
      <c r="Z12" s="28" t="s">
        <v>173</v>
      </c>
      <c r="AA12" s="28" t="s">
        <v>173</v>
      </c>
      <c r="AB12" s="28" t="s">
        <v>173</v>
      </c>
      <c r="AC12" s="28" t="s">
        <v>173</v>
      </c>
      <c r="AD12" s="28" t="s">
        <v>173</v>
      </c>
      <c r="AE12" s="28" t="s">
        <v>173</v>
      </c>
      <c r="AF12" s="28" t="s">
        <v>173</v>
      </c>
      <c r="AG12" s="28" t="s">
        <v>173</v>
      </c>
      <c r="AH12" s="28" t="s">
        <v>173</v>
      </c>
      <c r="AJ12" s="28" t="s">
        <v>173</v>
      </c>
    </row>
    <row r="13" spans="1:36" ht="15.75" customHeight="1" x14ac:dyDescent="0.25">
      <c r="A13" s="26" t="s">
        <v>172</v>
      </c>
      <c r="B13" s="28" t="s">
        <v>173</v>
      </c>
      <c r="C13" s="28" t="s">
        <v>170</v>
      </c>
      <c r="D13" s="28" t="s">
        <v>170</v>
      </c>
      <c r="E13" s="28" t="s">
        <v>170</v>
      </c>
      <c r="F13" s="80"/>
      <c r="G13" s="80"/>
      <c r="H13" s="84"/>
      <c r="I13" s="80"/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 t="s">
        <v>173</v>
      </c>
      <c r="S13" s="28" t="s">
        <v>173</v>
      </c>
      <c r="T13" s="28" t="s">
        <v>170</v>
      </c>
      <c r="U13" s="28" t="s">
        <v>173</v>
      </c>
      <c r="V13" s="28" t="s">
        <v>173</v>
      </c>
      <c r="W13" s="28" t="s">
        <v>173</v>
      </c>
      <c r="X13" s="28" t="s">
        <v>173</v>
      </c>
      <c r="Y13" s="28" t="s">
        <v>173</v>
      </c>
      <c r="Z13" s="28" t="s">
        <v>173</v>
      </c>
      <c r="AA13" s="28" t="s">
        <v>173</v>
      </c>
      <c r="AB13" s="28" t="s">
        <v>173</v>
      </c>
      <c r="AC13" s="28" t="s">
        <v>173</v>
      </c>
      <c r="AD13" s="28" t="s">
        <v>173</v>
      </c>
      <c r="AE13" s="28" t="s">
        <v>173</v>
      </c>
      <c r="AF13" s="28" t="s">
        <v>173</v>
      </c>
      <c r="AG13" s="28" t="s">
        <v>173</v>
      </c>
      <c r="AH13" s="28" t="s">
        <v>173</v>
      </c>
      <c r="AJ13" s="28" t="s">
        <v>173</v>
      </c>
    </row>
    <row r="14" spans="1:36" ht="15.75" customHeight="1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80"/>
      <c r="G14" s="80"/>
      <c r="H14" s="84"/>
      <c r="I14" s="80"/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 t="s">
        <v>173</v>
      </c>
      <c r="V14" s="28" t="s">
        <v>173</v>
      </c>
      <c r="W14" s="28" t="s">
        <v>173</v>
      </c>
      <c r="X14" s="28" t="s">
        <v>173</v>
      </c>
      <c r="Y14" s="28" t="s">
        <v>173</v>
      </c>
      <c r="Z14" s="28" t="s">
        <v>173</v>
      </c>
      <c r="AA14" s="28" t="s">
        <v>173</v>
      </c>
      <c r="AB14" s="28" t="s">
        <v>173</v>
      </c>
      <c r="AC14" s="28" t="s">
        <v>173</v>
      </c>
      <c r="AD14" s="28" t="s">
        <v>173</v>
      </c>
      <c r="AE14" s="28" t="s">
        <v>173</v>
      </c>
      <c r="AF14" s="28" t="s">
        <v>173</v>
      </c>
      <c r="AG14" s="28" t="s">
        <v>173</v>
      </c>
      <c r="AH14" s="28" t="s">
        <v>173</v>
      </c>
      <c r="AJ14" s="28" t="s">
        <v>173</v>
      </c>
    </row>
    <row r="15" spans="1:36" ht="15.75" customHeight="1" x14ac:dyDescent="0.25">
      <c r="A15" s="26" t="s">
        <v>175</v>
      </c>
      <c r="B15" s="28" t="s">
        <v>160</v>
      </c>
      <c r="C15" s="28" t="s">
        <v>199</v>
      </c>
      <c r="D15" s="28" t="s">
        <v>199</v>
      </c>
      <c r="E15" s="28" t="s">
        <v>199</v>
      </c>
      <c r="F15" s="80"/>
      <c r="G15" s="80"/>
      <c r="H15" s="84"/>
      <c r="I15" s="80"/>
      <c r="J15" s="28" t="s">
        <v>160</v>
      </c>
      <c r="K15" s="28" t="s">
        <v>160</v>
      </c>
      <c r="L15" s="28" t="s">
        <v>160</v>
      </c>
      <c r="M15" s="28" t="s">
        <v>160</v>
      </c>
      <c r="N15" s="28" t="s">
        <v>160</v>
      </c>
      <c r="O15" s="28" t="s">
        <v>160</v>
      </c>
      <c r="P15" s="28" t="s">
        <v>160</v>
      </c>
      <c r="Q15" s="28" t="s">
        <v>160</v>
      </c>
      <c r="R15" s="28" t="s">
        <v>160</v>
      </c>
      <c r="S15" s="28" t="s">
        <v>160</v>
      </c>
      <c r="T15" s="28" t="s">
        <v>199</v>
      </c>
      <c r="U15" s="28" t="s">
        <v>160</v>
      </c>
      <c r="V15" s="28" t="s">
        <v>160</v>
      </c>
      <c r="W15" s="28" t="s">
        <v>160</v>
      </c>
      <c r="X15" s="28" t="s">
        <v>160</v>
      </c>
      <c r="Y15" s="28" t="s">
        <v>160</v>
      </c>
      <c r="Z15" s="28" t="s">
        <v>160</v>
      </c>
      <c r="AA15" s="28" t="s">
        <v>160</v>
      </c>
      <c r="AB15" s="28" t="s">
        <v>160</v>
      </c>
      <c r="AC15" s="28" t="s">
        <v>199</v>
      </c>
      <c r="AD15" s="28" t="s">
        <v>199</v>
      </c>
      <c r="AE15" s="28" t="s">
        <v>199</v>
      </c>
      <c r="AF15" s="28" t="s">
        <v>160</v>
      </c>
      <c r="AG15" s="28" t="s">
        <v>160</v>
      </c>
      <c r="AH15" s="28" t="s">
        <v>160</v>
      </c>
      <c r="AJ15" s="28" t="s">
        <v>160</v>
      </c>
    </row>
    <row r="16" spans="1:36" ht="15.75" customHeight="1" x14ac:dyDescent="0.25">
      <c r="A16" s="26" t="s">
        <v>176</v>
      </c>
      <c r="B16" s="120">
        <v>3</v>
      </c>
      <c r="C16" s="120">
        <v>-0.5</v>
      </c>
      <c r="D16" s="120">
        <v>-0.5</v>
      </c>
      <c r="E16" s="120">
        <v>-0.5</v>
      </c>
      <c r="F16" s="166"/>
      <c r="G16" s="166"/>
      <c r="H16" s="82"/>
      <c r="I16" s="82"/>
      <c r="J16" s="30">
        <v>3</v>
      </c>
      <c r="K16" s="30">
        <v>3</v>
      </c>
      <c r="L16" s="30">
        <v>3</v>
      </c>
      <c r="M16" s="30">
        <v>3</v>
      </c>
      <c r="N16" s="30">
        <v>3</v>
      </c>
      <c r="O16" s="30">
        <v>3</v>
      </c>
      <c r="P16" s="30">
        <v>3</v>
      </c>
      <c r="Q16" s="30">
        <v>3</v>
      </c>
      <c r="R16" s="30">
        <v>3</v>
      </c>
      <c r="S16" s="30">
        <v>3</v>
      </c>
      <c r="T16" s="120">
        <v>-0.5</v>
      </c>
      <c r="U16" s="30">
        <v>3</v>
      </c>
      <c r="V16" s="30">
        <v>3</v>
      </c>
      <c r="W16" s="30">
        <v>3</v>
      </c>
      <c r="X16" s="30">
        <v>3</v>
      </c>
      <c r="Y16" s="30">
        <v>3</v>
      </c>
      <c r="Z16" s="30">
        <v>3</v>
      </c>
      <c r="AA16" s="30">
        <v>3</v>
      </c>
      <c r="AB16" s="30">
        <v>3</v>
      </c>
      <c r="AC16" s="30">
        <v>-2</v>
      </c>
      <c r="AD16" s="30">
        <v>-2</v>
      </c>
      <c r="AE16" s="30">
        <v>-2</v>
      </c>
      <c r="AF16" s="30">
        <v>3</v>
      </c>
      <c r="AG16" s="30">
        <v>3</v>
      </c>
      <c r="AH16" s="30">
        <v>3</v>
      </c>
      <c r="AJ16" s="30">
        <v>3</v>
      </c>
    </row>
    <row r="17" spans="1:36" ht="15.75" customHeight="1" x14ac:dyDescent="0.25">
      <c r="A17" s="26" t="s">
        <v>177</v>
      </c>
      <c r="B17" s="28" t="s">
        <v>178</v>
      </c>
      <c r="C17" s="28" t="s">
        <v>181</v>
      </c>
      <c r="D17" s="28" t="s">
        <v>181</v>
      </c>
      <c r="E17" s="28" t="s">
        <v>200</v>
      </c>
      <c r="F17" s="80"/>
      <c r="G17" s="80"/>
      <c r="H17" s="80"/>
      <c r="I17" s="80"/>
      <c r="J17" s="28" t="s">
        <v>178</v>
      </c>
      <c r="K17" s="28" t="s">
        <v>178</v>
      </c>
      <c r="L17" s="28" t="s">
        <v>178</v>
      </c>
      <c r="M17" s="28" t="s">
        <v>178</v>
      </c>
      <c r="N17" s="28" t="s">
        <v>178</v>
      </c>
      <c r="O17" s="28" t="s">
        <v>178</v>
      </c>
      <c r="P17" s="28" t="s">
        <v>178</v>
      </c>
      <c r="Q17" s="28" t="s">
        <v>178</v>
      </c>
      <c r="R17" s="28" t="s">
        <v>178</v>
      </c>
      <c r="S17" s="28" t="s">
        <v>178</v>
      </c>
      <c r="T17" s="28" t="s">
        <v>200</v>
      </c>
      <c r="U17" s="28" t="s">
        <v>178</v>
      </c>
      <c r="V17" s="28" t="s">
        <v>178</v>
      </c>
      <c r="W17" s="28" t="s">
        <v>178</v>
      </c>
      <c r="X17" s="28" t="s">
        <v>178</v>
      </c>
      <c r="Y17" s="28" t="s">
        <v>178</v>
      </c>
      <c r="Z17" s="28" t="s">
        <v>178</v>
      </c>
      <c r="AA17" s="28" t="s">
        <v>178</v>
      </c>
      <c r="AB17" s="28" t="s">
        <v>178</v>
      </c>
      <c r="AC17" s="28" t="s">
        <v>178</v>
      </c>
      <c r="AD17" s="28" t="s">
        <v>178</v>
      </c>
      <c r="AE17" s="28" t="s">
        <v>178</v>
      </c>
      <c r="AF17" s="28" t="s">
        <v>178</v>
      </c>
      <c r="AG17" s="28" t="s">
        <v>178</v>
      </c>
      <c r="AH17" s="28" t="s">
        <v>178</v>
      </c>
      <c r="AJ17" s="28" t="s">
        <v>178</v>
      </c>
    </row>
    <row r="18" spans="1:36" ht="15.75" customHeight="1" x14ac:dyDescent="0.25">
      <c r="A18" s="26" t="s">
        <v>182</v>
      </c>
      <c r="B18" s="30">
        <v>4</v>
      </c>
      <c r="C18" s="30">
        <v>2</v>
      </c>
      <c r="D18" s="30">
        <v>2</v>
      </c>
      <c r="E18" s="30">
        <v>3</v>
      </c>
      <c r="F18" s="82"/>
      <c r="G18" s="82"/>
      <c r="H18" s="82"/>
      <c r="I18" s="82"/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30">
        <v>4</v>
      </c>
      <c r="S18" s="30">
        <v>4</v>
      </c>
      <c r="T18" s="30">
        <v>3</v>
      </c>
      <c r="U18" s="30">
        <v>4</v>
      </c>
      <c r="V18" s="30">
        <v>4</v>
      </c>
      <c r="W18" s="30">
        <v>4</v>
      </c>
      <c r="X18" s="30">
        <v>4</v>
      </c>
      <c r="Y18" s="30">
        <v>4</v>
      </c>
      <c r="Z18" s="30">
        <v>4</v>
      </c>
      <c r="AA18" s="30">
        <v>4</v>
      </c>
      <c r="AB18" s="30">
        <v>4</v>
      </c>
      <c r="AC18" s="30">
        <v>4</v>
      </c>
      <c r="AD18" s="30">
        <v>4</v>
      </c>
      <c r="AE18" s="30">
        <v>4</v>
      </c>
      <c r="AF18" s="30">
        <v>4</v>
      </c>
      <c r="AG18" s="30">
        <v>4</v>
      </c>
      <c r="AH18" s="30">
        <v>4</v>
      </c>
      <c r="AJ18" s="30">
        <v>4</v>
      </c>
    </row>
    <row r="19" spans="1:36" ht="15.75" customHeight="1" x14ac:dyDescent="0.25"/>
    <row r="20" spans="1:36" ht="15.75" customHeight="1" x14ac:dyDescent="0.25">
      <c r="A20" s="26" t="s">
        <v>159</v>
      </c>
      <c r="B20" s="28" t="s">
        <v>462</v>
      </c>
      <c r="C20" s="80"/>
      <c r="D20" s="80"/>
      <c r="E20" s="80"/>
      <c r="F20" s="113" t="s">
        <v>474</v>
      </c>
      <c r="G20" s="28" t="s">
        <v>476</v>
      </c>
      <c r="H20" s="28" t="s">
        <v>476</v>
      </c>
      <c r="I20" s="28" t="s">
        <v>476</v>
      </c>
      <c r="J20" s="113" t="s">
        <v>475</v>
      </c>
      <c r="K20" s="28" t="s">
        <v>473</v>
      </c>
      <c r="L20" s="28" t="s">
        <v>473</v>
      </c>
      <c r="M20" s="28" t="s">
        <v>473</v>
      </c>
      <c r="N20" s="28" t="s">
        <v>473</v>
      </c>
      <c r="O20" s="28" t="s">
        <v>473</v>
      </c>
      <c r="P20" s="28" t="s">
        <v>473</v>
      </c>
      <c r="Q20" s="28" t="s">
        <v>473</v>
      </c>
      <c r="R20" s="28" t="s">
        <v>473</v>
      </c>
      <c r="S20" s="28" t="s">
        <v>555</v>
      </c>
      <c r="T20" s="80"/>
      <c r="U20" s="28" t="s">
        <v>556</v>
      </c>
      <c r="V20" s="28" t="s">
        <v>473</v>
      </c>
      <c r="W20" s="28" t="s">
        <v>473</v>
      </c>
      <c r="X20" s="28" t="s">
        <v>448</v>
      </c>
      <c r="Y20" s="28" t="s">
        <v>448</v>
      </c>
      <c r="Z20" s="28" t="s">
        <v>556</v>
      </c>
      <c r="AA20" s="28" t="s">
        <v>556</v>
      </c>
      <c r="AB20" s="28" t="s">
        <v>556</v>
      </c>
      <c r="AC20" s="80"/>
      <c r="AD20" s="80"/>
      <c r="AE20" s="80"/>
      <c r="AF20" s="28" t="s">
        <v>556</v>
      </c>
      <c r="AG20" s="28" t="s">
        <v>473</v>
      </c>
      <c r="AH20" s="28" t="s">
        <v>473</v>
      </c>
      <c r="AJ20" s="28" t="s">
        <v>462</v>
      </c>
    </row>
    <row r="21" spans="1:36" ht="15.75" customHeight="1" x14ac:dyDescent="0.25">
      <c r="A21" s="26" t="s">
        <v>165</v>
      </c>
      <c r="B21" s="28" t="s">
        <v>479</v>
      </c>
      <c r="C21" s="80"/>
      <c r="D21" s="80"/>
      <c r="E21" s="81"/>
      <c r="F21" s="113" t="s">
        <v>480</v>
      </c>
      <c r="G21" s="28" t="s">
        <v>557</v>
      </c>
      <c r="H21" s="28" t="s">
        <v>325</v>
      </c>
      <c r="I21" s="28" t="s">
        <v>325</v>
      </c>
      <c r="J21" s="113" t="s">
        <v>481</v>
      </c>
      <c r="K21" s="29" t="s">
        <v>473</v>
      </c>
      <c r="L21" s="28" t="s">
        <v>558</v>
      </c>
      <c r="M21" s="28" t="s">
        <v>559</v>
      </c>
      <c r="N21" s="29" t="s">
        <v>473</v>
      </c>
      <c r="O21" s="29" t="s">
        <v>473</v>
      </c>
      <c r="P21" s="29" t="s">
        <v>473</v>
      </c>
      <c r="Q21" s="29" t="s">
        <v>473</v>
      </c>
      <c r="R21" s="29" t="s">
        <v>473</v>
      </c>
      <c r="S21" s="111" t="s">
        <v>560</v>
      </c>
      <c r="T21" s="81"/>
      <c r="U21" s="28" t="s">
        <v>322</v>
      </c>
      <c r="V21" s="29" t="s">
        <v>473</v>
      </c>
      <c r="W21" s="29" t="s">
        <v>473</v>
      </c>
      <c r="X21" s="28" t="s">
        <v>561</v>
      </c>
      <c r="Y21" s="28" t="s">
        <v>561</v>
      </c>
      <c r="Z21" s="28" t="s">
        <v>322</v>
      </c>
      <c r="AA21" s="28" t="s">
        <v>322</v>
      </c>
      <c r="AB21" s="28" t="s">
        <v>322</v>
      </c>
      <c r="AC21" s="81"/>
      <c r="AD21" s="81"/>
      <c r="AE21" s="81"/>
      <c r="AF21" s="28" t="s">
        <v>322</v>
      </c>
      <c r="AG21" s="29" t="s">
        <v>473</v>
      </c>
      <c r="AH21" s="29" t="s">
        <v>473</v>
      </c>
      <c r="AJ21" s="28" t="s">
        <v>484</v>
      </c>
    </row>
    <row r="22" spans="1:36" ht="15.75" customHeight="1" x14ac:dyDescent="0.25">
      <c r="A22" s="131" t="s">
        <v>168</v>
      </c>
      <c r="B22" s="157">
        <v>87</v>
      </c>
      <c r="C22" s="164"/>
      <c r="D22" s="164"/>
      <c r="E22" s="164"/>
      <c r="F22" s="157">
        <v>129</v>
      </c>
      <c r="G22" s="157">
        <v>90</v>
      </c>
      <c r="H22" s="157">
        <v>39</v>
      </c>
      <c r="I22" s="157">
        <v>39</v>
      </c>
      <c r="J22" s="157">
        <v>130</v>
      </c>
      <c r="K22" s="157">
        <v>85</v>
      </c>
      <c r="L22" s="157">
        <v>89</v>
      </c>
      <c r="M22" s="157">
        <v>140</v>
      </c>
      <c r="N22" s="157">
        <v>85</v>
      </c>
      <c r="O22" s="157">
        <v>85</v>
      </c>
      <c r="P22" s="157">
        <v>85</v>
      </c>
      <c r="Q22" s="157">
        <v>85</v>
      </c>
      <c r="R22" s="157">
        <v>85</v>
      </c>
      <c r="S22" s="157">
        <v>133</v>
      </c>
      <c r="T22" s="164"/>
      <c r="U22" s="157">
        <v>98</v>
      </c>
      <c r="V22" s="157">
        <v>85</v>
      </c>
      <c r="W22" s="157">
        <v>85</v>
      </c>
      <c r="X22" s="157">
        <v>83</v>
      </c>
      <c r="Y22" s="157">
        <v>83</v>
      </c>
      <c r="Z22" s="157">
        <v>98</v>
      </c>
      <c r="AA22" s="157">
        <v>98</v>
      </c>
      <c r="AB22" s="157">
        <v>98</v>
      </c>
      <c r="AC22" s="164"/>
      <c r="AD22" s="164"/>
      <c r="AE22" s="164"/>
      <c r="AF22" s="157">
        <v>98</v>
      </c>
      <c r="AG22" s="157">
        <v>85</v>
      </c>
      <c r="AH22" s="157">
        <v>85</v>
      </c>
      <c r="AJ22" s="157">
        <v>139</v>
      </c>
    </row>
    <row r="23" spans="1:36" ht="15.75" customHeight="1" x14ac:dyDescent="0.25">
      <c r="A23" s="26" t="s">
        <v>169</v>
      </c>
      <c r="B23" s="28" t="s">
        <v>170</v>
      </c>
      <c r="C23" s="80"/>
      <c r="D23" s="80"/>
      <c r="E23" s="80"/>
      <c r="F23" s="28" t="s">
        <v>170</v>
      </c>
      <c r="G23" s="28" t="s">
        <v>170</v>
      </c>
      <c r="H23" s="28" t="s">
        <v>170</v>
      </c>
      <c r="I23" s="28" t="s">
        <v>170</v>
      </c>
      <c r="J23" s="28" t="s">
        <v>170</v>
      </c>
      <c r="K23" s="28" t="s">
        <v>170</v>
      </c>
      <c r="L23" s="28" t="s">
        <v>170</v>
      </c>
      <c r="M23" s="28" t="s">
        <v>170</v>
      </c>
      <c r="N23" s="28" t="s">
        <v>170</v>
      </c>
      <c r="O23" s="28" t="s">
        <v>170</v>
      </c>
      <c r="P23" s="28" t="s">
        <v>170</v>
      </c>
      <c r="Q23" s="28" t="s">
        <v>170</v>
      </c>
      <c r="R23" s="28" t="s">
        <v>170</v>
      </c>
      <c r="S23" s="28" t="s">
        <v>170</v>
      </c>
      <c r="T23" s="80"/>
      <c r="U23" s="28" t="s">
        <v>170</v>
      </c>
      <c r="V23" s="28" t="s">
        <v>170</v>
      </c>
      <c r="W23" s="28" t="s">
        <v>170</v>
      </c>
      <c r="X23" s="28" t="s">
        <v>170</v>
      </c>
      <c r="Y23" s="28" t="s">
        <v>170</v>
      </c>
      <c r="Z23" s="28" t="s">
        <v>170</v>
      </c>
      <c r="AA23" s="28" t="s">
        <v>170</v>
      </c>
      <c r="AB23" s="28" t="s">
        <v>170</v>
      </c>
      <c r="AC23" s="81"/>
      <c r="AD23" s="80"/>
      <c r="AE23" s="81"/>
      <c r="AF23" s="28" t="s">
        <v>170</v>
      </c>
      <c r="AG23" s="28" t="s">
        <v>170</v>
      </c>
      <c r="AH23" s="28" t="s">
        <v>170</v>
      </c>
      <c r="AJ23" s="28" t="s">
        <v>170</v>
      </c>
    </row>
    <row r="24" spans="1:36" ht="15.75" customHeight="1" x14ac:dyDescent="0.25">
      <c r="A24" s="26" t="s">
        <v>171</v>
      </c>
      <c r="B24" s="28" t="s">
        <v>170</v>
      </c>
      <c r="C24" s="80"/>
      <c r="D24" s="80"/>
      <c r="E24" s="80"/>
      <c r="F24" s="116" t="s">
        <v>288</v>
      </c>
      <c r="G24" s="28" t="s">
        <v>170</v>
      </c>
      <c r="H24" s="28" t="s">
        <v>170</v>
      </c>
      <c r="I24" s="28" t="s">
        <v>170</v>
      </c>
      <c r="J24" s="28" t="s">
        <v>170</v>
      </c>
      <c r="K24" s="28" t="s">
        <v>170</v>
      </c>
      <c r="L24" s="28" t="s">
        <v>170</v>
      </c>
      <c r="M24" s="28" t="s">
        <v>170</v>
      </c>
      <c r="N24" s="28" t="s">
        <v>170</v>
      </c>
      <c r="O24" s="28" t="s">
        <v>170</v>
      </c>
      <c r="P24" s="28" t="s">
        <v>170</v>
      </c>
      <c r="Q24" s="28" t="s">
        <v>170</v>
      </c>
      <c r="R24" s="87" t="s">
        <v>170</v>
      </c>
      <c r="S24" s="87" t="s">
        <v>170</v>
      </c>
      <c r="T24" s="80"/>
      <c r="U24" s="28" t="s">
        <v>170</v>
      </c>
      <c r="V24" s="87" t="s">
        <v>170</v>
      </c>
      <c r="W24" s="87" t="s">
        <v>170</v>
      </c>
      <c r="X24" s="28" t="s">
        <v>170</v>
      </c>
      <c r="Y24" s="28" t="s">
        <v>170</v>
      </c>
      <c r="Z24" s="28" t="s">
        <v>170</v>
      </c>
      <c r="AA24" s="28" t="s">
        <v>170</v>
      </c>
      <c r="AB24" s="28" t="s">
        <v>170</v>
      </c>
      <c r="AC24" s="80"/>
      <c r="AD24" s="80"/>
      <c r="AE24" s="80"/>
      <c r="AF24" s="28" t="s">
        <v>170</v>
      </c>
      <c r="AG24" s="28" t="s">
        <v>170</v>
      </c>
      <c r="AH24" s="28" t="s">
        <v>170</v>
      </c>
      <c r="AJ24" s="28" t="s">
        <v>170</v>
      </c>
    </row>
    <row r="25" spans="1:36" ht="15.75" customHeight="1" x14ac:dyDescent="0.25">
      <c r="A25" s="26" t="s">
        <v>172</v>
      </c>
      <c r="B25" s="28" t="s">
        <v>173</v>
      </c>
      <c r="C25" s="80"/>
      <c r="D25" s="80"/>
      <c r="E25" s="80"/>
      <c r="F25" s="113" t="s">
        <v>485</v>
      </c>
      <c r="G25" s="28" t="s">
        <v>173</v>
      </c>
      <c r="H25" s="28" t="s">
        <v>173</v>
      </c>
      <c r="I25" s="28" t="s">
        <v>173</v>
      </c>
      <c r="J25" s="28" t="s">
        <v>173</v>
      </c>
      <c r="K25" s="28" t="s">
        <v>173</v>
      </c>
      <c r="L25" s="28" t="s">
        <v>173</v>
      </c>
      <c r="M25" s="28" t="s">
        <v>173</v>
      </c>
      <c r="N25" s="28" t="s">
        <v>173</v>
      </c>
      <c r="O25" s="28" t="s">
        <v>173</v>
      </c>
      <c r="P25" s="28" t="s">
        <v>173</v>
      </c>
      <c r="Q25" s="86" t="s">
        <v>173</v>
      </c>
      <c r="R25" s="28" t="s">
        <v>173</v>
      </c>
      <c r="S25" s="28" t="s">
        <v>173</v>
      </c>
      <c r="T25" s="80"/>
      <c r="U25" s="28" t="s">
        <v>173</v>
      </c>
      <c r="V25" s="28" t="s">
        <v>173</v>
      </c>
      <c r="W25" s="28" t="s">
        <v>173</v>
      </c>
      <c r="X25" s="28" t="s">
        <v>173</v>
      </c>
      <c r="Y25" s="28" t="s">
        <v>173</v>
      </c>
      <c r="Z25" s="28" t="s">
        <v>173</v>
      </c>
      <c r="AA25" s="28" t="s">
        <v>173</v>
      </c>
      <c r="AB25" s="28" t="s">
        <v>173</v>
      </c>
      <c r="AC25" s="80"/>
      <c r="AD25" s="80"/>
      <c r="AE25" s="80"/>
      <c r="AF25" s="28" t="s">
        <v>173</v>
      </c>
      <c r="AG25" s="28" t="s">
        <v>173</v>
      </c>
      <c r="AH25" s="28" t="s">
        <v>173</v>
      </c>
      <c r="AJ25" s="28" t="s">
        <v>173</v>
      </c>
    </row>
    <row r="26" spans="1:36" ht="15.75" customHeight="1" x14ac:dyDescent="0.25">
      <c r="A26" s="26" t="s">
        <v>174</v>
      </c>
      <c r="B26" s="28" t="s">
        <v>170</v>
      </c>
      <c r="C26" s="80"/>
      <c r="D26" s="80"/>
      <c r="E26" s="80"/>
      <c r="F26" s="116" t="s">
        <v>288</v>
      </c>
      <c r="G26" s="28" t="s">
        <v>170</v>
      </c>
      <c r="H26" s="28" t="s">
        <v>173</v>
      </c>
      <c r="I26" s="28" t="s">
        <v>173</v>
      </c>
      <c r="J26" s="28" t="s">
        <v>170</v>
      </c>
      <c r="K26" s="28" t="s">
        <v>170</v>
      </c>
      <c r="L26" s="28" t="s">
        <v>170</v>
      </c>
      <c r="M26" s="28" t="s">
        <v>170</v>
      </c>
      <c r="N26" s="28" t="s">
        <v>170</v>
      </c>
      <c r="O26" s="28" t="s">
        <v>170</v>
      </c>
      <c r="P26" s="28" t="s">
        <v>170</v>
      </c>
      <c r="Q26" s="86" t="s">
        <v>170</v>
      </c>
      <c r="R26" s="28" t="s">
        <v>170</v>
      </c>
      <c r="S26" s="116" t="s">
        <v>288</v>
      </c>
      <c r="T26" s="80"/>
      <c r="U26" s="28" t="s">
        <v>173</v>
      </c>
      <c r="V26" s="28" t="s">
        <v>170</v>
      </c>
      <c r="W26" s="28" t="s">
        <v>170</v>
      </c>
      <c r="X26" s="28" t="s">
        <v>173</v>
      </c>
      <c r="Y26" s="28" t="s">
        <v>173</v>
      </c>
      <c r="Z26" s="28" t="s">
        <v>173</v>
      </c>
      <c r="AA26" s="28" t="s">
        <v>173</v>
      </c>
      <c r="AB26" s="28" t="s">
        <v>173</v>
      </c>
      <c r="AC26" s="80"/>
      <c r="AD26" s="80"/>
      <c r="AE26" s="80"/>
      <c r="AF26" s="28" t="s">
        <v>173</v>
      </c>
      <c r="AG26" s="28" t="s">
        <v>170</v>
      </c>
      <c r="AH26" s="28" t="s">
        <v>170</v>
      </c>
      <c r="AJ26" s="28" t="s">
        <v>170</v>
      </c>
    </row>
    <row r="27" spans="1:36" ht="15.75" customHeight="1" x14ac:dyDescent="0.25">
      <c r="A27" s="26" t="s">
        <v>175</v>
      </c>
      <c r="B27" s="28" t="s">
        <v>486</v>
      </c>
      <c r="C27" s="80"/>
      <c r="D27" s="80"/>
      <c r="E27" s="80"/>
      <c r="F27" s="28" t="s">
        <v>199</v>
      </c>
      <c r="G27" s="28" t="s">
        <v>199</v>
      </c>
      <c r="H27" s="28" t="s">
        <v>199</v>
      </c>
      <c r="I27" s="28" t="s">
        <v>199</v>
      </c>
      <c r="J27" s="111" t="s">
        <v>487</v>
      </c>
      <c r="K27" s="28" t="s">
        <v>198</v>
      </c>
      <c r="L27" s="28" t="s">
        <v>486</v>
      </c>
      <c r="M27" s="28" t="s">
        <v>267</v>
      </c>
      <c r="N27" s="28" t="s">
        <v>198</v>
      </c>
      <c r="O27" s="28" t="s">
        <v>198</v>
      </c>
      <c r="P27" s="28" t="s">
        <v>198</v>
      </c>
      <c r="Q27" s="86" t="s">
        <v>198</v>
      </c>
      <c r="R27" s="28" t="s">
        <v>198</v>
      </c>
      <c r="S27" s="111" t="s">
        <v>487</v>
      </c>
      <c r="T27" s="80"/>
      <c r="U27" s="28" t="s">
        <v>199</v>
      </c>
      <c r="V27" s="28" t="s">
        <v>198</v>
      </c>
      <c r="W27" s="28" t="s">
        <v>198</v>
      </c>
      <c r="X27" s="28" t="s">
        <v>198</v>
      </c>
      <c r="Y27" s="28" t="s">
        <v>198</v>
      </c>
      <c r="Z27" s="28" t="s">
        <v>199</v>
      </c>
      <c r="AA27" s="28" t="s">
        <v>199</v>
      </c>
      <c r="AB27" s="28" t="s">
        <v>199</v>
      </c>
      <c r="AC27" s="80"/>
      <c r="AD27" s="80"/>
      <c r="AE27" s="80"/>
      <c r="AF27" s="28" t="s">
        <v>199</v>
      </c>
      <c r="AG27" s="28" t="s">
        <v>198</v>
      </c>
      <c r="AH27" s="28" t="s">
        <v>198</v>
      </c>
      <c r="AJ27" s="28" t="s">
        <v>199</v>
      </c>
    </row>
    <row r="28" spans="1:36" ht="15.75" customHeight="1" x14ac:dyDescent="0.25">
      <c r="A28" s="26" t="s">
        <v>176</v>
      </c>
      <c r="B28" s="30">
        <f>-7/6</f>
        <v>-1.1666666666666667</v>
      </c>
      <c r="C28" s="82"/>
      <c r="D28" s="82"/>
      <c r="E28" s="82"/>
      <c r="F28" s="120">
        <f>AVERAGE(0,0,-1.25)</f>
        <v>-0.41666666666666669</v>
      </c>
      <c r="G28" s="30">
        <v>-2</v>
      </c>
      <c r="H28" s="30">
        <v>-2</v>
      </c>
      <c r="I28" s="30">
        <v>-2</v>
      </c>
      <c r="J28" s="30">
        <f>AVERAGE(0.75,0.75,0.75,0)</f>
        <v>0.5625</v>
      </c>
      <c r="K28" s="30">
        <v>0.75</v>
      </c>
      <c r="L28" s="30">
        <v>-1.625</v>
      </c>
      <c r="M28" s="30">
        <v>-3</v>
      </c>
      <c r="N28" s="30">
        <v>0.75</v>
      </c>
      <c r="O28" s="30">
        <v>0.75</v>
      </c>
      <c r="P28" s="30">
        <v>0.75</v>
      </c>
      <c r="Q28" s="30">
        <v>0.75</v>
      </c>
      <c r="R28" s="120">
        <v>0.75</v>
      </c>
      <c r="S28" s="30">
        <f>AVERAGE(0.75,0.75,(AVERAGE(0,-2)))</f>
        <v>0.16666666666666666</v>
      </c>
      <c r="T28" s="82"/>
      <c r="U28" s="30">
        <v>-2</v>
      </c>
      <c r="V28" s="120">
        <v>0.75</v>
      </c>
      <c r="W28" s="120">
        <v>0.75</v>
      </c>
      <c r="X28" s="30">
        <v>0.75</v>
      </c>
      <c r="Y28" s="30">
        <v>0.75</v>
      </c>
      <c r="Z28" s="30">
        <v>-2</v>
      </c>
      <c r="AA28" s="30">
        <v>-2</v>
      </c>
      <c r="AB28" s="30">
        <v>-2</v>
      </c>
      <c r="AC28" s="82"/>
      <c r="AD28" s="82"/>
      <c r="AE28" s="82"/>
      <c r="AF28" s="30">
        <v>-2</v>
      </c>
      <c r="AG28" s="30">
        <v>0.75</v>
      </c>
      <c r="AH28" s="30">
        <v>0.75</v>
      </c>
      <c r="AJ28" s="30">
        <f>-1/6</f>
        <v>-0.16666666666666666</v>
      </c>
    </row>
    <row r="29" spans="1:36" ht="15.75" customHeight="1" x14ac:dyDescent="0.25">
      <c r="A29" s="26" t="s">
        <v>177</v>
      </c>
      <c r="B29" s="28" t="s">
        <v>489</v>
      </c>
      <c r="C29" s="80"/>
      <c r="D29" s="80"/>
      <c r="E29" s="80"/>
      <c r="F29" s="77" t="s">
        <v>490</v>
      </c>
      <c r="G29" s="28" t="s">
        <v>462</v>
      </c>
      <c r="H29" s="28" t="s">
        <v>200</v>
      </c>
      <c r="I29" s="28" t="s">
        <v>200</v>
      </c>
      <c r="J29" s="28" t="s">
        <v>489</v>
      </c>
      <c r="K29" s="28" t="s">
        <v>489</v>
      </c>
      <c r="L29" s="28" t="s">
        <v>489</v>
      </c>
      <c r="M29" s="28" t="s">
        <v>489</v>
      </c>
      <c r="N29" s="28" t="s">
        <v>489</v>
      </c>
      <c r="O29" s="28" t="s">
        <v>489</v>
      </c>
      <c r="P29" s="28" t="s">
        <v>489</v>
      </c>
      <c r="Q29" s="28" t="s">
        <v>489</v>
      </c>
      <c r="R29" s="28" t="s">
        <v>489</v>
      </c>
      <c r="S29" s="113" t="s">
        <v>562</v>
      </c>
      <c r="T29" s="80"/>
      <c r="U29" s="28" t="s">
        <v>334</v>
      </c>
      <c r="V29" s="28" t="s">
        <v>489</v>
      </c>
      <c r="W29" s="28" t="s">
        <v>489</v>
      </c>
      <c r="X29" s="28" t="s">
        <v>462</v>
      </c>
      <c r="Y29" s="28" t="s">
        <v>462</v>
      </c>
      <c r="Z29" s="28" t="s">
        <v>334</v>
      </c>
      <c r="AA29" s="28" t="s">
        <v>334</v>
      </c>
      <c r="AB29" s="28" t="s">
        <v>334</v>
      </c>
      <c r="AC29" s="80"/>
      <c r="AD29" s="80"/>
      <c r="AE29" s="80"/>
      <c r="AF29" s="28" t="s">
        <v>334</v>
      </c>
      <c r="AG29" s="28" t="s">
        <v>489</v>
      </c>
      <c r="AH29" s="28" t="s">
        <v>489</v>
      </c>
      <c r="AJ29" s="28" t="s">
        <v>489</v>
      </c>
    </row>
    <row r="30" spans="1:36" ht="15.75" customHeight="1" x14ac:dyDescent="0.25">
      <c r="A30" s="26" t="s">
        <v>182</v>
      </c>
      <c r="B30" s="30">
        <v>0.75</v>
      </c>
      <c r="C30" s="82"/>
      <c r="D30" s="82"/>
      <c r="E30" s="82"/>
      <c r="F30" s="30">
        <f>AVERAGE(0.75,0.75,3)</f>
        <v>1.5</v>
      </c>
      <c r="G30" s="30">
        <v>0.75</v>
      </c>
      <c r="H30" s="30">
        <v>3</v>
      </c>
      <c r="I30" s="30">
        <v>3</v>
      </c>
      <c r="J30" s="30">
        <v>0.75</v>
      </c>
      <c r="K30" s="30">
        <v>0.75</v>
      </c>
      <c r="L30" s="30">
        <v>0.75</v>
      </c>
      <c r="M30" s="30">
        <v>0.75</v>
      </c>
      <c r="N30" s="30">
        <v>0.75</v>
      </c>
      <c r="O30" s="30">
        <v>0.75</v>
      </c>
      <c r="P30" s="30">
        <v>0.75</v>
      </c>
      <c r="Q30" s="30">
        <v>0.75</v>
      </c>
      <c r="R30" s="30">
        <v>0.75</v>
      </c>
      <c r="S30" s="30">
        <f>2/3</f>
        <v>0.66666666666666663</v>
      </c>
      <c r="T30" s="82"/>
      <c r="U30" s="30">
        <f>1/3</f>
        <v>0.33333333333333331</v>
      </c>
      <c r="V30" s="30">
        <v>0.75</v>
      </c>
      <c r="W30" s="30">
        <v>0.75</v>
      </c>
      <c r="X30" s="30">
        <v>1</v>
      </c>
      <c r="Y30" s="30">
        <v>1</v>
      </c>
      <c r="Z30" s="30">
        <f>1/3</f>
        <v>0.33333333333333331</v>
      </c>
      <c r="AA30" s="30">
        <f>1/3</f>
        <v>0.33333333333333331</v>
      </c>
      <c r="AB30" s="30">
        <f>1/3</f>
        <v>0.33333333333333331</v>
      </c>
      <c r="AC30" s="82"/>
      <c r="AD30" s="82"/>
      <c r="AE30" s="82"/>
      <c r="AF30" s="30">
        <f>1/3</f>
        <v>0.33333333333333331</v>
      </c>
      <c r="AG30" s="30">
        <v>0.75</v>
      </c>
      <c r="AH30" s="30">
        <v>0.75</v>
      </c>
      <c r="AJ30" s="30">
        <v>0.75</v>
      </c>
    </row>
    <row r="31" spans="1:36" ht="15.75" customHeight="1" x14ac:dyDescent="0.25">
      <c r="B31" s="78" t="s">
        <v>563</v>
      </c>
      <c r="AJ31" s="78" t="s">
        <v>564</v>
      </c>
    </row>
    <row r="32" spans="1:36" x14ac:dyDescent="0.25">
      <c r="A32" s="31" t="s">
        <v>183</v>
      </c>
    </row>
    <row r="33" spans="1:2" x14ac:dyDescent="0.25">
      <c r="A33" s="238" t="s">
        <v>565</v>
      </c>
      <c r="B33" s="95" t="s">
        <v>566</v>
      </c>
    </row>
    <row r="34" spans="1:2" x14ac:dyDescent="0.25">
      <c r="A34" s="226"/>
      <c r="B34" s="95" t="s">
        <v>567</v>
      </c>
    </row>
    <row r="35" spans="1:2" x14ac:dyDescent="0.25">
      <c r="A35" s="226"/>
      <c r="B35" s="95" t="s">
        <v>568</v>
      </c>
    </row>
    <row r="36" spans="1:2" x14ac:dyDescent="0.25">
      <c r="A36" s="226"/>
      <c r="B36" s="96" t="s">
        <v>569</v>
      </c>
    </row>
  </sheetData>
  <mergeCells count="6">
    <mergeCell ref="F3:O3"/>
    <mergeCell ref="F4:O5"/>
    <mergeCell ref="A33:A36"/>
    <mergeCell ref="B3:D3"/>
    <mergeCell ref="B4:D4"/>
    <mergeCell ref="B5:D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7EC59-0495-4144-82A6-2EB8D5335698}">
  <dimension ref="A1:AH33"/>
  <sheetViews>
    <sheetView workbookViewId="0">
      <selection activeCell="P21" sqref="P21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117</v>
      </c>
      <c r="I1" s="25" t="s">
        <v>549</v>
      </c>
    </row>
    <row r="3" spans="1:34" ht="18" x14ac:dyDescent="0.25">
      <c r="A3" s="25" t="s">
        <v>119</v>
      </c>
      <c r="B3" s="215">
        <v>33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570</v>
      </c>
      <c r="C4" s="215"/>
      <c r="D4" s="215"/>
      <c r="F4" s="216" t="s">
        <v>571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377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57" t="s">
        <v>17</v>
      </c>
      <c r="C7" s="58" t="s">
        <v>127</v>
      </c>
      <c r="D7" s="58" t="s">
        <v>128</v>
      </c>
      <c r="E7" s="59" t="s">
        <v>129</v>
      </c>
      <c r="F7" s="60" t="s">
        <v>130</v>
      </c>
      <c r="G7" s="61" t="s">
        <v>131</v>
      </c>
      <c r="H7" s="61" t="s">
        <v>132</v>
      </c>
      <c r="I7" s="62" t="s">
        <v>133</v>
      </c>
      <c r="J7" s="63" t="s">
        <v>134</v>
      </c>
      <c r="K7" s="64" t="s">
        <v>135</v>
      </c>
      <c r="L7" s="64" t="s">
        <v>136</v>
      </c>
      <c r="M7" s="64" t="s">
        <v>137</v>
      </c>
      <c r="N7" s="65" t="s">
        <v>138</v>
      </c>
      <c r="O7" s="65" t="s">
        <v>139</v>
      </c>
      <c r="P7" s="67" t="s">
        <v>140</v>
      </c>
      <c r="Q7" s="67" t="s">
        <v>141</v>
      </c>
      <c r="R7" s="66" t="s">
        <v>142</v>
      </c>
      <c r="S7" s="68" t="s">
        <v>143</v>
      </c>
      <c r="T7" s="69" t="s">
        <v>144</v>
      </c>
      <c r="U7" s="69" t="s">
        <v>145</v>
      </c>
      <c r="V7" s="70" t="s">
        <v>146</v>
      </c>
      <c r="W7" s="70" t="s">
        <v>147</v>
      </c>
      <c r="X7" s="71" t="s">
        <v>148</v>
      </c>
      <c r="Y7" s="71" t="s">
        <v>149</v>
      </c>
      <c r="Z7" s="72" t="s">
        <v>150</v>
      </c>
      <c r="AA7" s="72" t="s">
        <v>151</v>
      </c>
      <c r="AB7" s="73" t="s">
        <v>152</v>
      </c>
      <c r="AC7" s="73" t="s">
        <v>153</v>
      </c>
      <c r="AD7" s="73" t="s">
        <v>154</v>
      </c>
      <c r="AE7" s="74" t="s">
        <v>155</v>
      </c>
      <c r="AF7" s="75" t="s">
        <v>156</v>
      </c>
      <c r="AG7" s="76" t="s">
        <v>157</v>
      </c>
      <c r="AH7" s="76" t="s">
        <v>158</v>
      </c>
    </row>
    <row r="8" spans="1:34" x14ac:dyDescent="0.25">
      <c r="A8" s="26" t="s">
        <v>159</v>
      </c>
      <c r="B8" s="28" t="s">
        <v>160</v>
      </c>
      <c r="C8" s="28" t="s">
        <v>161</v>
      </c>
      <c r="D8" s="28" t="s">
        <v>161</v>
      </c>
      <c r="E8" s="28" t="s">
        <v>161</v>
      </c>
      <c r="F8" s="28" t="s">
        <v>161</v>
      </c>
      <c r="G8" s="28" t="s">
        <v>161</v>
      </c>
      <c r="H8" s="28" t="s">
        <v>161</v>
      </c>
      <c r="I8" s="28" t="s">
        <v>161</v>
      </c>
      <c r="J8" s="28" t="s">
        <v>161</v>
      </c>
      <c r="K8" s="28" t="s">
        <v>161</v>
      </c>
      <c r="L8" s="28" t="s">
        <v>161</v>
      </c>
      <c r="M8" s="28" t="s">
        <v>161</v>
      </c>
      <c r="N8" s="28" t="s">
        <v>161</v>
      </c>
      <c r="O8" s="28" t="s">
        <v>161</v>
      </c>
      <c r="P8" s="28" t="s">
        <v>161</v>
      </c>
      <c r="Q8" s="28" t="s">
        <v>161</v>
      </c>
      <c r="R8" s="28" t="s">
        <v>161</v>
      </c>
      <c r="S8" s="28" t="s">
        <v>161</v>
      </c>
      <c r="T8" s="28" t="s">
        <v>161</v>
      </c>
      <c r="U8" s="28" t="s">
        <v>161</v>
      </c>
      <c r="V8" s="28" t="s">
        <v>161</v>
      </c>
      <c r="W8" s="28" t="s">
        <v>161</v>
      </c>
      <c r="X8" s="28" t="s">
        <v>161</v>
      </c>
      <c r="Y8" s="28" t="s">
        <v>161</v>
      </c>
      <c r="Z8" s="28" t="s">
        <v>161</v>
      </c>
      <c r="AA8" s="28" t="s">
        <v>161</v>
      </c>
      <c r="AB8" s="28" t="s">
        <v>164</v>
      </c>
      <c r="AC8" s="28" t="s">
        <v>164</v>
      </c>
      <c r="AD8" s="28" t="s">
        <v>164</v>
      </c>
      <c r="AE8" s="28" t="s">
        <v>164</v>
      </c>
      <c r="AF8" s="28" t="s">
        <v>161</v>
      </c>
      <c r="AG8" s="28" t="s">
        <v>161</v>
      </c>
      <c r="AH8" s="28" t="s">
        <v>161</v>
      </c>
    </row>
    <row r="9" spans="1:34" x14ac:dyDescent="0.25">
      <c r="A9" s="26" t="s">
        <v>165</v>
      </c>
      <c r="B9" s="28" t="s">
        <v>161</v>
      </c>
      <c r="C9" s="28" t="s">
        <v>161</v>
      </c>
      <c r="D9" s="28" t="s">
        <v>161</v>
      </c>
      <c r="E9" s="28" t="s">
        <v>161</v>
      </c>
      <c r="F9" s="28" t="s">
        <v>161</v>
      </c>
      <c r="G9" s="28" t="s">
        <v>161</v>
      </c>
      <c r="H9" s="28" t="s">
        <v>161</v>
      </c>
      <c r="I9" s="28" t="s">
        <v>161</v>
      </c>
      <c r="J9" s="28" t="s">
        <v>161</v>
      </c>
      <c r="K9" s="28" t="s">
        <v>161</v>
      </c>
      <c r="L9" s="28" t="s">
        <v>161</v>
      </c>
      <c r="M9" s="28" t="s">
        <v>161</v>
      </c>
      <c r="N9" s="28" t="s">
        <v>161</v>
      </c>
      <c r="O9" s="28" t="s">
        <v>161</v>
      </c>
      <c r="P9" s="28" t="s">
        <v>161</v>
      </c>
      <c r="Q9" s="28" t="s">
        <v>161</v>
      </c>
      <c r="R9" s="28" t="s">
        <v>161</v>
      </c>
      <c r="S9" s="28" t="s">
        <v>161</v>
      </c>
      <c r="T9" s="28" t="s">
        <v>161</v>
      </c>
      <c r="U9" s="28" t="s">
        <v>161</v>
      </c>
      <c r="V9" s="28" t="s">
        <v>161</v>
      </c>
      <c r="W9" s="28" t="s">
        <v>161</v>
      </c>
      <c r="X9" s="28" t="s">
        <v>161</v>
      </c>
      <c r="Y9" s="28" t="s">
        <v>161</v>
      </c>
      <c r="Z9" s="28" t="s">
        <v>161</v>
      </c>
      <c r="AA9" s="28" t="s">
        <v>161</v>
      </c>
      <c r="AB9" s="28" t="s">
        <v>164</v>
      </c>
      <c r="AC9" s="28" t="s">
        <v>164</v>
      </c>
      <c r="AD9" s="28" t="s">
        <v>164</v>
      </c>
      <c r="AE9" s="28" t="s">
        <v>164</v>
      </c>
      <c r="AF9" s="28" t="s">
        <v>161</v>
      </c>
      <c r="AG9" s="28" t="s">
        <v>161</v>
      </c>
      <c r="AH9" s="28" t="s">
        <v>161</v>
      </c>
    </row>
    <row r="10" spans="1:34" x14ac:dyDescent="0.25">
      <c r="A10" s="131" t="s">
        <v>168</v>
      </c>
      <c r="B10" s="157">
        <v>2</v>
      </c>
      <c r="C10" s="157">
        <v>2</v>
      </c>
      <c r="D10" s="157">
        <v>2</v>
      </c>
      <c r="E10" s="157">
        <v>2</v>
      </c>
      <c r="F10" s="157">
        <v>2</v>
      </c>
      <c r="G10" s="157">
        <v>2</v>
      </c>
      <c r="H10" s="157">
        <v>2</v>
      </c>
      <c r="I10" s="157">
        <v>2</v>
      </c>
      <c r="J10" s="157">
        <v>2</v>
      </c>
      <c r="K10" s="157">
        <v>2</v>
      </c>
      <c r="L10" s="157">
        <v>2</v>
      </c>
      <c r="M10" s="157">
        <v>2</v>
      </c>
      <c r="N10" s="157">
        <v>2</v>
      </c>
      <c r="O10" s="157">
        <v>2</v>
      </c>
      <c r="P10" s="157">
        <v>2</v>
      </c>
      <c r="Q10" s="157">
        <v>2</v>
      </c>
      <c r="R10" s="157">
        <v>2</v>
      </c>
      <c r="S10" s="157">
        <v>2</v>
      </c>
      <c r="T10" s="157">
        <v>2</v>
      </c>
      <c r="U10" s="157">
        <v>2</v>
      </c>
      <c r="V10" s="157">
        <v>2</v>
      </c>
      <c r="W10" s="157">
        <v>2</v>
      </c>
      <c r="X10" s="157">
        <v>2</v>
      </c>
      <c r="Y10" s="157">
        <v>2</v>
      </c>
      <c r="Z10" s="157">
        <v>2</v>
      </c>
      <c r="AA10" s="157">
        <v>2</v>
      </c>
      <c r="AB10" s="132">
        <v>43</v>
      </c>
      <c r="AC10" s="132">
        <v>43</v>
      </c>
      <c r="AD10" s="132">
        <v>43</v>
      </c>
      <c r="AE10" s="132">
        <v>43</v>
      </c>
      <c r="AF10" s="157">
        <v>2</v>
      </c>
      <c r="AG10" s="157">
        <v>2</v>
      </c>
      <c r="AH10" s="157">
        <v>2</v>
      </c>
    </row>
    <row r="11" spans="1:34" x14ac:dyDescent="0.25">
      <c r="A11" s="26" t="s">
        <v>169</v>
      </c>
      <c r="B11" s="29" t="s">
        <v>170</v>
      </c>
      <c r="C11" s="29" t="s">
        <v>170</v>
      </c>
      <c r="D11" s="29" t="s">
        <v>170</v>
      </c>
      <c r="E11" s="29" t="s">
        <v>170</v>
      </c>
      <c r="F11" s="29" t="s">
        <v>170</v>
      </c>
      <c r="G11" s="29" t="s">
        <v>170</v>
      </c>
      <c r="H11" s="29" t="s">
        <v>170</v>
      </c>
      <c r="I11" s="29" t="s">
        <v>170</v>
      </c>
      <c r="J11" s="29" t="s">
        <v>170</v>
      </c>
      <c r="K11" s="29" t="s">
        <v>170</v>
      </c>
      <c r="L11" s="29" t="s">
        <v>170</v>
      </c>
      <c r="M11" s="29" t="s">
        <v>170</v>
      </c>
      <c r="N11" s="29" t="s">
        <v>170</v>
      </c>
      <c r="O11" s="29" t="s">
        <v>170</v>
      </c>
      <c r="P11" s="29" t="s">
        <v>170</v>
      </c>
      <c r="Q11" s="29" t="s">
        <v>170</v>
      </c>
      <c r="R11" s="29" t="s">
        <v>170</v>
      </c>
      <c r="S11" s="29" t="s">
        <v>170</v>
      </c>
      <c r="T11" s="29" t="s">
        <v>170</v>
      </c>
      <c r="U11" s="29" t="s">
        <v>170</v>
      </c>
      <c r="V11" s="29" t="s">
        <v>170</v>
      </c>
      <c r="W11" s="29" t="s">
        <v>170</v>
      </c>
      <c r="X11" s="29" t="s">
        <v>170</v>
      </c>
      <c r="Y11" s="29" t="s">
        <v>170</v>
      </c>
      <c r="Z11" s="29" t="s">
        <v>170</v>
      </c>
      <c r="AA11" s="29" t="s">
        <v>170</v>
      </c>
      <c r="AB11" s="29" t="s">
        <v>170</v>
      </c>
      <c r="AC11" s="29" t="s">
        <v>170</v>
      </c>
      <c r="AD11" s="29" t="s">
        <v>170</v>
      </c>
      <c r="AE11" s="29" t="s">
        <v>170</v>
      </c>
      <c r="AF11" s="29" t="s">
        <v>170</v>
      </c>
      <c r="AG11" s="29" t="s">
        <v>170</v>
      </c>
      <c r="AH11" s="29" t="s">
        <v>170</v>
      </c>
    </row>
    <row r="12" spans="1:34" x14ac:dyDescent="0.25">
      <c r="A12" s="26" t="s">
        <v>171</v>
      </c>
      <c r="B12" s="29" t="s">
        <v>170</v>
      </c>
      <c r="C12" s="29" t="s">
        <v>170</v>
      </c>
      <c r="D12" s="29" t="s">
        <v>170</v>
      </c>
      <c r="E12" s="29" t="s">
        <v>170</v>
      </c>
      <c r="F12" s="29" t="s">
        <v>170</v>
      </c>
      <c r="G12" s="29" t="s">
        <v>170</v>
      </c>
      <c r="H12" s="29" t="s">
        <v>170</v>
      </c>
      <c r="I12" s="29" t="s">
        <v>170</v>
      </c>
      <c r="J12" s="29" t="s">
        <v>170</v>
      </c>
      <c r="K12" s="29" t="s">
        <v>170</v>
      </c>
      <c r="L12" s="29" t="s">
        <v>170</v>
      </c>
      <c r="M12" s="29" t="s">
        <v>170</v>
      </c>
      <c r="N12" s="29" t="s">
        <v>170</v>
      </c>
      <c r="O12" s="29" t="s">
        <v>170</v>
      </c>
      <c r="P12" s="29" t="s">
        <v>170</v>
      </c>
      <c r="Q12" s="29" t="s">
        <v>170</v>
      </c>
      <c r="R12" s="29" t="s">
        <v>170</v>
      </c>
      <c r="S12" s="29" t="s">
        <v>170</v>
      </c>
      <c r="T12" s="29" t="s">
        <v>170</v>
      </c>
      <c r="U12" s="29" t="s">
        <v>170</v>
      </c>
      <c r="V12" s="29" t="s">
        <v>170</v>
      </c>
      <c r="W12" s="29" t="s">
        <v>170</v>
      </c>
      <c r="X12" s="29" t="s">
        <v>170</v>
      </c>
      <c r="Y12" s="29" t="s">
        <v>170</v>
      </c>
      <c r="Z12" s="29" t="s">
        <v>170</v>
      </c>
      <c r="AA12" s="29" t="s">
        <v>170</v>
      </c>
      <c r="AB12" s="28" t="s">
        <v>170</v>
      </c>
      <c r="AC12" s="28" t="s">
        <v>170</v>
      </c>
      <c r="AD12" s="28" t="s">
        <v>170</v>
      </c>
      <c r="AE12" s="28" t="s">
        <v>170</v>
      </c>
      <c r="AF12" s="29" t="s">
        <v>170</v>
      </c>
      <c r="AG12" s="29" t="s">
        <v>170</v>
      </c>
      <c r="AH12" s="29" t="s">
        <v>170</v>
      </c>
    </row>
    <row r="13" spans="1:34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 t="s">
        <v>173</v>
      </c>
      <c r="S13" s="28" t="s">
        <v>173</v>
      </c>
      <c r="T13" s="28" t="s">
        <v>173</v>
      </c>
      <c r="U13" s="28" t="s">
        <v>173</v>
      </c>
      <c r="V13" s="28" t="s">
        <v>173</v>
      </c>
      <c r="W13" s="28" t="s">
        <v>173</v>
      </c>
      <c r="X13" s="28" t="s">
        <v>173</v>
      </c>
      <c r="Y13" s="28" t="s">
        <v>173</v>
      </c>
      <c r="Z13" s="28" t="s">
        <v>173</v>
      </c>
      <c r="AA13" s="28" t="s">
        <v>173</v>
      </c>
      <c r="AB13" s="28" t="s">
        <v>173</v>
      </c>
      <c r="AC13" s="28" t="s">
        <v>173</v>
      </c>
      <c r="AD13" s="28" t="s">
        <v>173</v>
      </c>
      <c r="AE13" s="28" t="s">
        <v>173</v>
      </c>
      <c r="AF13" s="28" t="s">
        <v>173</v>
      </c>
      <c r="AG13" s="28" t="s">
        <v>173</v>
      </c>
      <c r="AH13" s="28" t="s">
        <v>173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 t="s">
        <v>173</v>
      </c>
      <c r="V14" s="28" t="s">
        <v>173</v>
      </c>
      <c r="W14" s="28" t="s">
        <v>173</v>
      </c>
      <c r="X14" s="28" t="s">
        <v>173</v>
      </c>
      <c r="Y14" s="28" t="s">
        <v>173</v>
      </c>
      <c r="Z14" s="28" t="s">
        <v>173</v>
      </c>
      <c r="AA14" s="28" t="s">
        <v>173</v>
      </c>
      <c r="AB14" s="28" t="s">
        <v>173</v>
      </c>
      <c r="AC14" s="28" t="s">
        <v>173</v>
      </c>
      <c r="AD14" s="28" t="s">
        <v>173</v>
      </c>
      <c r="AE14" s="28" t="s">
        <v>173</v>
      </c>
      <c r="AF14" s="28" t="s">
        <v>173</v>
      </c>
      <c r="AG14" s="28" t="s">
        <v>173</v>
      </c>
      <c r="AH14" s="28" t="s">
        <v>173</v>
      </c>
    </row>
    <row r="15" spans="1:34" x14ac:dyDescent="0.25">
      <c r="A15" s="26" t="s">
        <v>175</v>
      </c>
      <c r="B15" s="28" t="s">
        <v>160</v>
      </c>
      <c r="C15" s="28" t="s">
        <v>160</v>
      </c>
      <c r="D15" s="28" t="s">
        <v>160</v>
      </c>
      <c r="E15" s="28" t="s">
        <v>160</v>
      </c>
      <c r="F15" s="28" t="s">
        <v>160</v>
      </c>
      <c r="G15" s="28" t="s">
        <v>160</v>
      </c>
      <c r="H15" s="28" t="s">
        <v>160</v>
      </c>
      <c r="I15" s="28" t="s">
        <v>160</v>
      </c>
      <c r="J15" s="28" t="s">
        <v>160</v>
      </c>
      <c r="K15" s="28" t="s">
        <v>160</v>
      </c>
      <c r="L15" s="28" t="s">
        <v>160</v>
      </c>
      <c r="M15" s="28" t="s">
        <v>160</v>
      </c>
      <c r="N15" s="28" t="s">
        <v>160</v>
      </c>
      <c r="O15" s="28" t="s">
        <v>160</v>
      </c>
      <c r="P15" s="28" t="s">
        <v>160</v>
      </c>
      <c r="Q15" s="28" t="s">
        <v>160</v>
      </c>
      <c r="R15" s="28" t="s">
        <v>160</v>
      </c>
      <c r="S15" s="28" t="s">
        <v>160</v>
      </c>
      <c r="T15" s="28" t="s">
        <v>160</v>
      </c>
      <c r="U15" s="28" t="s">
        <v>160</v>
      </c>
      <c r="V15" s="28" t="s">
        <v>160</v>
      </c>
      <c r="W15" s="28" t="s">
        <v>160</v>
      </c>
      <c r="X15" s="28" t="s">
        <v>160</v>
      </c>
      <c r="Y15" s="28" t="s">
        <v>160</v>
      </c>
      <c r="Z15" s="28" t="s">
        <v>160</v>
      </c>
      <c r="AA15" s="28" t="s">
        <v>160</v>
      </c>
      <c r="AB15" s="28" t="s">
        <v>160</v>
      </c>
      <c r="AC15" s="28" t="s">
        <v>160</v>
      </c>
      <c r="AD15" s="28" t="s">
        <v>160</v>
      </c>
      <c r="AE15" s="28" t="s">
        <v>160</v>
      </c>
      <c r="AF15" s="28" t="s">
        <v>160</v>
      </c>
      <c r="AG15" s="28" t="s">
        <v>160</v>
      </c>
      <c r="AH15" s="28" t="s">
        <v>160</v>
      </c>
    </row>
    <row r="16" spans="1:34" x14ac:dyDescent="0.25">
      <c r="A16" s="26" t="s">
        <v>176</v>
      </c>
      <c r="B16" s="30">
        <v>3</v>
      </c>
      <c r="C16" s="30">
        <v>3</v>
      </c>
      <c r="D16" s="30">
        <v>3</v>
      </c>
      <c r="E16" s="30">
        <v>3</v>
      </c>
      <c r="F16" s="30">
        <v>3</v>
      </c>
      <c r="G16" s="30">
        <v>3</v>
      </c>
      <c r="H16" s="30">
        <v>3</v>
      </c>
      <c r="I16" s="30">
        <v>3</v>
      </c>
      <c r="J16" s="30">
        <v>3</v>
      </c>
      <c r="K16" s="30">
        <v>3</v>
      </c>
      <c r="L16" s="30">
        <v>3</v>
      </c>
      <c r="M16" s="30">
        <v>3</v>
      </c>
      <c r="N16" s="30">
        <v>3</v>
      </c>
      <c r="O16" s="30">
        <v>3</v>
      </c>
      <c r="P16" s="30">
        <v>3</v>
      </c>
      <c r="Q16" s="30">
        <v>3</v>
      </c>
      <c r="R16" s="30">
        <v>3</v>
      </c>
      <c r="S16" s="30">
        <v>3</v>
      </c>
      <c r="T16" s="30">
        <v>3</v>
      </c>
      <c r="U16" s="30">
        <v>3</v>
      </c>
      <c r="V16" s="30">
        <v>3</v>
      </c>
      <c r="W16" s="30">
        <v>3</v>
      </c>
      <c r="X16" s="30">
        <v>3</v>
      </c>
      <c r="Y16" s="30">
        <v>3</v>
      </c>
      <c r="Z16" s="30">
        <v>3</v>
      </c>
      <c r="AA16" s="30">
        <v>3</v>
      </c>
      <c r="AB16" s="30">
        <v>2.5</v>
      </c>
      <c r="AC16" s="30">
        <v>2.5</v>
      </c>
      <c r="AD16" s="30">
        <v>2.5</v>
      </c>
      <c r="AE16" s="30">
        <v>2.5</v>
      </c>
      <c r="AF16" s="30">
        <v>3</v>
      </c>
      <c r="AG16" s="30">
        <v>3</v>
      </c>
      <c r="AH16" s="30">
        <v>3</v>
      </c>
    </row>
    <row r="17" spans="1:34" x14ac:dyDescent="0.25">
      <c r="A17" s="26" t="s">
        <v>177</v>
      </c>
      <c r="B17" s="28" t="s">
        <v>178</v>
      </c>
      <c r="C17" s="28" t="s">
        <v>178</v>
      </c>
      <c r="D17" s="28" t="s">
        <v>178</v>
      </c>
      <c r="E17" s="28" t="s">
        <v>178</v>
      </c>
      <c r="F17" s="28" t="s">
        <v>178</v>
      </c>
      <c r="G17" s="28" t="s">
        <v>178</v>
      </c>
      <c r="H17" s="28" t="s">
        <v>178</v>
      </c>
      <c r="I17" s="28" t="s">
        <v>178</v>
      </c>
      <c r="J17" s="28" t="s">
        <v>178</v>
      </c>
      <c r="K17" s="28" t="s">
        <v>178</v>
      </c>
      <c r="L17" s="28" t="s">
        <v>178</v>
      </c>
      <c r="M17" s="28" t="s">
        <v>178</v>
      </c>
      <c r="N17" s="28" t="s">
        <v>178</v>
      </c>
      <c r="O17" s="28" t="s">
        <v>178</v>
      </c>
      <c r="P17" s="28" t="s">
        <v>178</v>
      </c>
      <c r="Q17" s="28" t="s">
        <v>178</v>
      </c>
      <c r="R17" s="28" t="s">
        <v>178</v>
      </c>
      <c r="S17" s="28" t="s">
        <v>178</v>
      </c>
      <c r="T17" s="28" t="s">
        <v>178</v>
      </c>
      <c r="U17" s="28" t="s">
        <v>178</v>
      </c>
      <c r="V17" s="28" t="s">
        <v>178</v>
      </c>
      <c r="W17" s="28" t="s">
        <v>178</v>
      </c>
      <c r="X17" s="28" t="s">
        <v>178</v>
      </c>
      <c r="Y17" s="28" t="s">
        <v>178</v>
      </c>
      <c r="Z17" s="28" t="s">
        <v>178</v>
      </c>
      <c r="AA17" s="28" t="s">
        <v>178</v>
      </c>
      <c r="AB17" s="28" t="s">
        <v>181</v>
      </c>
      <c r="AC17" s="28" t="s">
        <v>181</v>
      </c>
      <c r="AD17" s="28" t="s">
        <v>181</v>
      </c>
      <c r="AE17" s="28" t="s">
        <v>181</v>
      </c>
      <c r="AF17" s="28" t="s">
        <v>178</v>
      </c>
      <c r="AG17" s="28" t="s">
        <v>178</v>
      </c>
      <c r="AH17" s="28" t="s">
        <v>178</v>
      </c>
    </row>
    <row r="18" spans="1:34" x14ac:dyDescent="0.25">
      <c r="A18" s="26" t="s">
        <v>182</v>
      </c>
      <c r="B18" s="30">
        <v>4</v>
      </c>
      <c r="C18" s="30">
        <v>4</v>
      </c>
      <c r="D18" s="30">
        <v>4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30">
        <v>4</v>
      </c>
      <c r="S18" s="30">
        <v>4</v>
      </c>
      <c r="T18" s="30">
        <v>4</v>
      </c>
      <c r="U18" s="30">
        <v>4</v>
      </c>
      <c r="V18" s="30">
        <v>4</v>
      </c>
      <c r="W18" s="30">
        <v>4</v>
      </c>
      <c r="X18" s="30">
        <v>4</v>
      </c>
      <c r="Y18" s="30">
        <v>4</v>
      </c>
      <c r="Z18" s="30">
        <v>4</v>
      </c>
      <c r="AA18" s="30">
        <v>4</v>
      </c>
      <c r="AB18" s="30">
        <v>2</v>
      </c>
      <c r="AC18" s="30">
        <v>2</v>
      </c>
      <c r="AD18" s="30">
        <v>2</v>
      </c>
      <c r="AE18" s="30">
        <v>2</v>
      </c>
      <c r="AF18" s="30">
        <v>4</v>
      </c>
      <c r="AG18" s="30">
        <v>4</v>
      </c>
      <c r="AH18" s="30">
        <v>4</v>
      </c>
    </row>
    <row r="20" spans="1:34" x14ac:dyDescent="0.25">
      <c r="A20" s="26" t="s">
        <v>159</v>
      </c>
      <c r="B20" s="28" t="s">
        <v>447</v>
      </c>
      <c r="C20" s="28" t="s">
        <v>448</v>
      </c>
      <c r="D20" s="28" t="s">
        <v>448</v>
      </c>
      <c r="E20" s="28" t="s">
        <v>448</v>
      </c>
      <c r="F20" s="28" t="s">
        <v>448</v>
      </c>
      <c r="G20" s="28" t="s">
        <v>448</v>
      </c>
      <c r="H20" s="28" t="s">
        <v>448</v>
      </c>
      <c r="I20" s="28" t="s">
        <v>448</v>
      </c>
      <c r="J20" s="28" t="s">
        <v>448</v>
      </c>
      <c r="K20" s="28" t="s">
        <v>448</v>
      </c>
      <c r="L20" s="28" t="s">
        <v>448</v>
      </c>
      <c r="M20" s="28" t="s">
        <v>448</v>
      </c>
      <c r="N20" s="28" t="s">
        <v>448</v>
      </c>
      <c r="O20" s="28" t="s">
        <v>448</v>
      </c>
      <c r="P20" s="28" t="s">
        <v>448</v>
      </c>
      <c r="Q20" s="28" t="s">
        <v>448</v>
      </c>
      <c r="R20" s="28" t="s">
        <v>448</v>
      </c>
      <c r="S20" s="28" t="s">
        <v>448</v>
      </c>
      <c r="T20" s="28" t="s">
        <v>448</v>
      </c>
      <c r="U20" s="28" t="s">
        <v>448</v>
      </c>
      <c r="V20" s="28" t="s">
        <v>448</v>
      </c>
      <c r="W20" s="28" t="s">
        <v>448</v>
      </c>
      <c r="X20" s="28" t="s">
        <v>448</v>
      </c>
      <c r="Y20" s="28" t="s">
        <v>448</v>
      </c>
      <c r="Z20" s="28" t="s">
        <v>448</v>
      </c>
      <c r="AA20" s="28" t="s">
        <v>448</v>
      </c>
      <c r="AB20" s="28" t="s">
        <v>448</v>
      </c>
      <c r="AC20" s="28" t="s">
        <v>448</v>
      </c>
      <c r="AD20" s="28" t="s">
        <v>448</v>
      </c>
      <c r="AE20" s="28" t="s">
        <v>448</v>
      </c>
      <c r="AF20" s="28" t="s">
        <v>448</v>
      </c>
      <c r="AG20" s="28" t="s">
        <v>448</v>
      </c>
      <c r="AH20" s="28" t="s">
        <v>448</v>
      </c>
    </row>
    <row r="21" spans="1:34" x14ac:dyDescent="0.25">
      <c r="A21" s="26" t="s">
        <v>165</v>
      </c>
      <c r="B21" s="29" t="s">
        <v>561</v>
      </c>
      <c r="C21" s="29" t="s">
        <v>561</v>
      </c>
      <c r="D21" s="29" t="s">
        <v>561</v>
      </c>
      <c r="E21" s="29" t="s">
        <v>561</v>
      </c>
      <c r="F21" s="29" t="s">
        <v>561</v>
      </c>
      <c r="G21" s="29" t="s">
        <v>561</v>
      </c>
      <c r="H21" s="29" t="s">
        <v>561</v>
      </c>
      <c r="I21" s="29" t="s">
        <v>561</v>
      </c>
      <c r="J21" s="29" t="s">
        <v>561</v>
      </c>
      <c r="K21" s="29" t="s">
        <v>561</v>
      </c>
      <c r="L21" s="29" t="s">
        <v>561</v>
      </c>
      <c r="M21" s="29" t="s">
        <v>561</v>
      </c>
      <c r="N21" s="113" t="s">
        <v>572</v>
      </c>
      <c r="O21" s="29" t="s">
        <v>561</v>
      </c>
      <c r="P21" s="113" t="s">
        <v>453</v>
      </c>
      <c r="Q21" s="113" t="s">
        <v>453</v>
      </c>
      <c r="R21" s="29" t="s">
        <v>454</v>
      </c>
      <c r="S21" s="113" t="s">
        <v>572</v>
      </c>
      <c r="T21" s="29" t="s">
        <v>561</v>
      </c>
      <c r="U21" s="29" t="s">
        <v>561</v>
      </c>
      <c r="V21" s="29" t="s">
        <v>561</v>
      </c>
      <c r="W21" s="29" t="s">
        <v>561</v>
      </c>
      <c r="X21" s="29" t="s">
        <v>561</v>
      </c>
      <c r="Y21" s="29" t="s">
        <v>561</v>
      </c>
      <c r="Z21" s="29" t="s">
        <v>561</v>
      </c>
      <c r="AA21" s="29" t="s">
        <v>561</v>
      </c>
      <c r="AB21" s="29" t="s">
        <v>561</v>
      </c>
      <c r="AC21" s="29" t="s">
        <v>561</v>
      </c>
      <c r="AD21" s="29" t="s">
        <v>561</v>
      </c>
      <c r="AE21" s="29" t="s">
        <v>561</v>
      </c>
      <c r="AF21" s="29" t="s">
        <v>561</v>
      </c>
      <c r="AG21" s="28" t="s">
        <v>457</v>
      </c>
      <c r="AH21" s="28" t="s">
        <v>457</v>
      </c>
    </row>
    <row r="22" spans="1:34" x14ac:dyDescent="0.25">
      <c r="A22" s="131" t="s">
        <v>168</v>
      </c>
      <c r="B22" s="157">
        <v>83</v>
      </c>
      <c r="C22" s="157">
        <v>83</v>
      </c>
      <c r="D22" s="157">
        <v>83</v>
      </c>
      <c r="E22" s="157">
        <v>83</v>
      </c>
      <c r="F22" s="157">
        <v>83</v>
      </c>
      <c r="G22" s="157">
        <v>83</v>
      </c>
      <c r="H22" s="157">
        <v>83</v>
      </c>
      <c r="I22" s="157">
        <v>83</v>
      </c>
      <c r="J22" s="157">
        <v>83</v>
      </c>
      <c r="K22" s="157">
        <v>83</v>
      </c>
      <c r="L22" s="157">
        <v>83</v>
      </c>
      <c r="M22" s="157">
        <v>83</v>
      </c>
      <c r="N22" s="157">
        <v>143</v>
      </c>
      <c r="O22" s="157">
        <v>83</v>
      </c>
      <c r="P22" s="157">
        <v>142</v>
      </c>
      <c r="Q22" s="157">
        <v>142</v>
      </c>
      <c r="R22" s="157">
        <v>81</v>
      </c>
      <c r="S22" s="157">
        <v>143</v>
      </c>
      <c r="T22" s="157">
        <v>83</v>
      </c>
      <c r="U22" s="157">
        <v>83</v>
      </c>
      <c r="V22" s="157">
        <v>83</v>
      </c>
      <c r="W22" s="157">
        <v>83</v>
      </c>
      <c r="X22" s="157">
        <v>83</v>
      </c>
      <c r="Y22" s="157">
        <v>83</v>
      </c>
      <c r="Z22" s="157">
        <v>83</v>
      </c>
      <c r="AA22" s="157">
        <v>83</v>
      </c>
      <c r="AB22" s="157">
        <v>83</v>
      </c>
      <c r="AC22" s="157">
        <v>83</v>
      </c>
      <c r="AD22" s="157">
        <v>83</v>
      </c>
      <c r="AE22" s="157">
        <v>83</v>
      </c>
      <c r="AF22" s="157">
        <v>83</v>
      </c>
      <c r="AG22" s="157">
        <v>82</v>
      </c>
      <c r="AH22" s="157">
        <v>82</v>
      </c>
    </row>
    <row r="23" spans="1:34" x14ac:dyDescent="0.25">
      <c r="A23" s="26" t="s">
        <v>169</v>
      </c>
      <c r="B23" s="28" t="s">
        <v>170</v>
      </c>
      <c r="C23" s="28" t="s">
        <v>170</v>
      </c>
      <c r="D23" s="28" t="s">
        <v>170</v>
      </c>
      <c r="E23" s="28" t="s">
        <v>170</v>
      </c>
      <c r="F23" s="28" t="s">
        <v>170</v>
      </c>
      <c r="G23" s="28" t="s">
        <v>170</v>
      </c>
      <c r="H23" s="28" t="s">
        <v>170</v>
      </c>
      <c r="I23" s="28" t="s">
        <v>170</v>
      </c>
      <c r="J23" s="28" t="s">
        <v>170</v>
      </c>
      <c r="K23" s="28" t="s">
        <v>170</v>
      </c>
      <c r="L23" s="28" t="s">
        <v>170</v>
      </c>
      <c r="M23" s="28" t="s">
        <v>170</v>
      </c>
      <c r="N23" s="28" t="s">
        <v>170</v>
      </c>
      <c r="O23" s="28" t="s">
        <v>170</v>
      </c>
      <c r="P23" s="28" t="s">
        <v>170</v>
      </c>
      <c r="Q23" s="28" t="s">
        <v>170</v>
      </c>
      <c r="R23" s="28" t="s">
        <v>170</v>
      </c>
      <c r="S23" s="28" t="s">
        <v>170</v>
      </c>
      <c r="T23" s="28" t="s">
        <v>170</v>
      </c>
      <c r="U23" s="28" t="s">
        <v>170</v>
      </c>
      <c r="V23" s="28" t="s">
        <v>170</v>
      </c>
      <c r="W23" s="28" t="s">
        <v>170</v>
      </c>
      <c r="X23" s="28" t="s">
        <v>170</v>
      </c>
      <c r="Y23" s="28" t="s">
        <v>170</v>
      </c>
      <c r="Z23" s="28" t="s">
        <v>170</v>
      </c>
      <c r="AA23" s="28" t="s">
        <v>170</v>
      </c>
      <c r="AB23" s="28" t="s">
        <v>170</v>
      </c>
      <c r="AC23" s="28" t="s">
        <v>170</v>
      </c>
      <c r="AD23" s="28" t="s">
        <v>170</v>
      </c>
      <c r="AE23" s="28" t="s">
        <v>170</v>
      </c>
      <c r="AF23" s="28" t="s">
        <v>170</v>
      </c>
      <c r="AG23" s="28" t="s">
        <v>170</v>
      </c>
      <c r="AH23" s="28" t="s">
        <v>170</v>
      </c>
    </row>
    <row r="24" spans="1:34" x14ac:dyDescent="0.25">
      <c r="A24" s="26" t="s">
        <v>171</v>
      </c>
      <c r="B24" s="28" t="s">
        <v>170</v>
      </c>
      <c r="C24" s="28" t="s">
        <v>170</v>
      </c>
      <c r="D24" s="28" t="s">
        <v>170</v>
      </c>
      <c r="E24" s="28" t="s">
        <v>170</v>
      </c>
      <c r="F24" s="28" t="s">
        <v>170</v>
      </c>
      <c r="G24" s="28" t="s">
        <v>170</v>
      </c>
      <c r="H24" s="28" t="s">
        <v>170</v>
      </c>
      <c r="I24" s="28" t="s">
        <v>170</v>
      </c>
      <c r="J24" s="28" t="s">
        <v>170</v>
      </c>
      <c r="K24" s="28" t="s">
        <v>170</v>
      </c>
      <c r="L24" s="28" t="s">
        <v>170</v>
      </c>
      <c r="M24" s="28" t="s">
        <v>170</v>
      </c>
      <c r="N24" s="28" t="s">
        <v>170</v>
      </c>
      <c r="O24" s="28" t="s">
        <v>170</v>
      </c>
      <c r="P24" s="28" t="s">
        <v>170</v>
      </c>
      <c r="Q24" s="28" t="s">
        <v>170</v>
      </c>
      <c r="R24" s="28" t="s">
        <v>170</v>
      </c>
      <c r="S24" s="28" t="s">
        <v>170</v>
      </c>
      <c r="T24" s="28" t="s">
        <v>170</v>
      </c>
      <c r="U24" s="28" t="s">
        <v>170</v>
      </c>
      <c r="V24" s="28" t="s">
        <v>170</v>
      </c>
      <c r="W24" s="28" t="s">
        <v>170</v>
      </c>
      <c r="X24" s="28" t="s">
        <v>170</v>
      </c>
      <c r="Y24" s="28" t="s">
        <v>170</v>
      </c>
      <c r="Z24" s="28" t="s">
        <v>170</v>
      </c>
      <c r="AA24" s="28" t="s">
        <v>170</v>
      </c>
      <c r="AB24" s="28" t="s">
        <v>170</v>
      </c>
      <c r="AC24" s="28" t="s">
        <v>170</v>
      </c>
      <c r="AD24" s="28" t="s">
        <v>170</v>
      </c>
      <c r="AE24" s="28" t="s">
        <v>170</v>
      </c>
      <c r="AF24" s="28" t="s">
        <v>170</v>
      </c>
      <c r="AG24" s="28" t="s">
        <v>170</v>
      </c>
      <c r="AH24" s="28" t="s">
        <v>170</v>
      </c>
    </row>
    <row r="25" spans="1:34" x14ac:dyDescent="0.25">
      <c r="A25" s="26" t="s">
        <v>172</v>
      </c>
      <c r="B25" s="28" t="s">
        <v>173</v>
      </c>
      <c r="C25" s="28" t="s">
        <v>173</v>
      </c>
      <c r="D25" s="28" t="s">
        <v>173</v>
      </c>
      <c r="E25" s="28" t="s">
        <v>173</v>
      </c>
      <c r="F25" s="28" t="s">
        <v>173</v>
      </c>
      <c r="G25" s="28" t="s">
        <v>173</v>
      </c>
      <c r="H25" s="28" t="s">
        <v>173</v>
      </c>
      <c r="I25" s="28" t="s">
        <v>173</v>
      </c>
      <c r="J25" s="28" t="s">
        <v>173</v>
      </c>
      <c r="K25" s="28" t="s">
        <v>173</v>
      </c>
      <c r="L25" s="28" t="s">
        <v>173</v>
      </c>
      <c r="M25" s="28" t="s">
        <v>173</v>
      </c>
      <c r="N25" s="28" t="s">
        <v>173</v>
      </c>
      <c r="O25" s="28" t="s">
        <v>173</v>
      </c>
      <c r="P25" s="28" t="s">
        <v>173</v>
      </c>
      <c r="Q25" s="28" t="s">
        <v>173</v>
      </c>
      <c r="R25" s="28" t="s">
        <v>173</v>
      </c>
      <c r="S25" s="28" t="s">
        <v>173</v>
      </c>
      <c r="T25" s="28" t="s">
        <v>173</v>
      </c>
      <c r="U25" s="28" t="s">
        <v>173</v>
      </c>
      <c r="V25" s="28" t="s">
        <v>173</v>
      </c>
      <c r="W25" s="28" t="s">
        <v>173</v>
      </c>
      <c r="X25" s="28" t="s">
        <v>173</v>
      </c>
      <c r="Y25" s="28" t="s">
        <v>173</v>
      </c>
      <c r="Z25" s="28" t="s">
        <v>173</v>
      </c>
      <c r="AA25" s="28" t="s">
        <v>173</v>
      </c>
      <c r="AB25" s="28" t="s">
        <v>173</v>
      </c>
      <c r="AC25" s="28" t="s">
        <v>173</v>
      </c>
      <c r="AD25" s="28" t="s">
        <v>173</v>
      </c>
      <c r="AE25" s="28" t="s">
        <v>173</v>
      </c>
      <c r="AF25" s="28" t="s">
        <v>173</v>
      </c>
      <c r="AG25" s="28" t="s">
        <v>173</v>
      </c>
      <c r="AH25" s="28" t="s">
        <v>173</v>
      </c>
    </row>
    <row r="26" spans="1:34" x14ac:dyDescent="0.25">
      <c r="A26" s="26" t="s">
        <v>174</v>
      </c>
      <c r="B26" s="28" t="s">
        <v>173</v>
      </c>
      <c r="C26" s="28" t="s">
        <v>173</v>
      </c>
      <c r="D26" s="28" t="s">
        <v>173</v>
      </c>
      <c r="E26" s="28" t="s">
        <v>173</v>
      </c>
      <c r="F26" s="28" t="s">
        <v>173</v>
      </c>
      <c r="G26" s="28" t="s">
        <v>173</v>
      </c>
      <c r="H26" s="28" t="s">
        <v>173</v>
      </c>
      <c r="I26" s="28" t="s">
        <v>173</v>
      </c>
      <c r="J26" s="28" t="s">
        <v>173</v>
      </c>
      <c r="K26" s="28" t="s">
        <v>173</v>
      </c>
      <c r="L26" s="28" t="s">
        <v>173</v>
      </c>
      <c r="M26" s="28" t="s">
        <v>173</v>
      </c>
      <c r="N26" s="28" t="s">
        <v>173</v>
      </c>
      <c r="O26" s="28" t="s">
        <v>173</v>
      </c>
      <c r="P26" s="28" t="s">
        <v>173</v>
      </c>
      <c r="Q26" s="28" t="s">
        <v>173</v>
      </c>
      <c r="R26" s="28" t="s">
        <v>173</v>
      </c>
      <c r="S26" s="28" t="s">
        <v>173</v>
      </c>
      <c r="T26" s="28" t="s">
        <v>173</v>
      </c>
      <c r="U26" s="28" t="s">
        <v>173</v>
      </c>
      <c r="V26" s="28" t="s">
        <v>173</v>
      </c>
      <c r="W26" s="28" t="s">
        <v>173</v>
      </c>
      <c r="X26" s="28" t="s">
        <v>173</v>
      </c>
      <c r="Y26" s="28" t="s">
        <v>173</v>
      </c>
      <c r="Z26" s="28" t="s">
        <v>173</v>
      </c>
      <c r="AA26" s="28" t="s">
        <v>173</v>
      </c>
      <c r="AB26" s="28" t="s">
        <v>173</v>
      </c>
      <c r="AC26" s="28" t="s">
        <v>173</v>
      </c>
      <c r="AD26" s="28" t="s">
        <v>173</v>
      </c>
      <c r="AE26" s="28" t="s">
        <v>173</v>
      </c>
      <c r="AF26" s="28" t="s">
        <v>173</v>
      </c>
      <c r="AG26" s="28" t="s">
        <v>173</v>
      </c>
      <c r="AH26" s="28" t="s">
        <v>173</v>
      </c>
    </row>
    <row r="27" spans="1:34" x14ac:dyDescent="0.25">
      <c r="A27" s="26" t="s">
        <v>175</v>
      </c>
      <c r="B27" s="28" t="s">
        <v>198</v>
      </c>
      <c r="C27" s="28" t="s">
        <v>198</v>
      </c>
      <c r="D27" s="28" t="s">
        <v>198</v>
      </c>
      <c r="E27" s="28" t="s">
        <v>198</v>
      </c>
      <c r="F27" s="28" t="s">
        <v>198</v>
      </c>
      <c r="G27" s="28" t="s">
        <v>198</v>
      </c>
      <c r="H27" s="28" t="s">
        <v>198</v>
      </c>
      <c r="I27" s="28" t="s">
        <v>198</v>
      </c>
      <c r="J27" s="28" t="s">
        <v>198</v>
      </c>
      <c r="K27" s="28" t="s">
        <v>198</v>
      </c>
      <c r="L27" s="28" t="s">
        <v>198</v>
      </c>
      <c r="M27" s="28" t="s">
        <v>198</v>
      </c>
      <c r="N27" s="113" t="s">
        <v>460</v>
      </c>
      <c r="O27" s="28" t="s">
        <v>198</v>
      </c>
      <c r="P27" s="28" t="s">
        <v>461</v>
      </c>
      <c r="Q27" s="28" t="s">
        <v>461</v>
      </c>
      <c r="R27" s="28" t="s">
        <v>461</v>
      </c>
      <c r="S27" s="113" t="s">
        <v>460</v>
      </c>
      <c r="T27" s="28" t="s">
        <v>198</v>
      </c>
      <c r="U27" s="28" t="s">
        <v>198</v>
      </c>
      <c r="V27" s="28" t="s">
        <v>198</v>
      </c>
      <c r="W27" s="28" t="s">
        <v>198</v>
      </c>
      <c r="X27" s="28" t="s">
        <v>198</v>
      </c>
      <c r="Y27" s="28" t="s">
        <v>198</v>
      </c>
      <c r="Z27" s="28" t="s">
        <v>198</v>
      </c>
      <c r="AA27" s="28" t="s">
        <v>198</v>
      </c>
      <c r="AB27" s="28" t="s">
        <v>198</v>
      </c>
      <c r="AC27" s="28" t="s">
        <v>198</v>
      </c>
      <c r="AD27" s="28" t="s">
        <v>198</v>
      </c>
      <c r="AE27" s="28" t="s">
        <v>198</v>
      </c>
      <c r="AF27" s="28" t="s">
        <v>198</v>
      </c>
      <c r="AG27" s="28" t="s">
        <v>198</v>
      </c>
      <c r="AH27" s="28" t="s">
        <v>198</v>
      </c>
    </row>
    <row r="28" spans="1:34" x14ac:dyDescent="0.25">
      <c r="A28" s="26" t="s">
        <v>176</v>
      </c>
      <c r="B28" s="30">
        <v>0.75</v>
      </c>
      <c r="C28" s="30">
        <v>0.75</v>
      </c>
      <c r="D28" s="30">
        <v>0.75</v>
      </c>
      <c r="E28" s="30">
        <v>0.75</v>
      </c>
      <c r="F28" s="30">
        <v>0.75</v>
      </c>
      <c r="G28" s="30">
        <v>0.75</v>
      </c>
      <c r="H28" s="30">
        <v>0.75</v>
      </c>
      <c r="I28" s="30">
        <v>0.75</v>
      </c>
      <c r="J28" s="30">
        <v>0.75</v>
      </c>
      <c r="K28" s="30">
        <v>0.75</v>
      </c>
      <c r="L28" s="30">
        <v>0.75</v>
      </c>
      <c r="M28" s="30">
        <v>0.75</v>
      </c>
      <c r="N28" s="30">
        <f>AVERAGE(0.75,0.75,-4)</f>
        <v>-0.83333333333333337</v>
      </c>
      <c r="O28" s="30">
        <v>0.75</v>
      </c>
      <c r="P28" s="30">
        <v>-4</v>
      </c>
      <c r="Q28" s="30">
        <v>-4</v>
      </c>
      <c r="R28" s="30">
        <v>-4</v>
      </c>
      <c r="S28" s="30">
        <f>AVERAGE(0.75,0.75,-4)</f>
        <v>-0.83333333333333337</v>
      </c>
      <c r="T28" s="30">
        <v>0.75</v>
      </c>
      <c r="U28" s="30">
        <v>0.75</v>
      </c>
      <c r="V28" s="30">
        <v>0.75</v>
      </c>
      <c r="W28" s="30">
        <v>0.75</v>
      </c>
      <c r="X28" s="30">
        <v>0.75</v>
      </c>
      <c r="Y28" s="30">
        <v>0.75</v>
      </c>
      <c r="Z28" s="30">
        <v>0.75</v>
      </c>
      <c r="AA28" s="30">
        <v>0.75</v>
      </c>
      <c r="AB28" s="30">
        <v>0.75</v>
      </c>
      <c r="AC28" s="30">
        <v>0.75</v>
      </c>
      <c r="AD28" s="30">
        <v>0.75</v>
      </c>
      <c r="AE28" s="30">
        <v>0.75</v>
      </c>
      <c r="AF28" s="30">
        <v>0.75</v>
      </c>
      <c r="AG28" s="30">
        <f>5/3</f>
        <v>1.6666666666666667</v>
      </c>
      <c r="AH28" s="30">
        <f>5/3</f>
        <v>1.6666666666666667</v>
      </c>
    </row>
    <row r="29" spans="1:34" x14ac:dyDescent="0.25">
      <c r="A29" s="26" t="s">
        <v>177</v>
      </c>
      <c r="B29" s="28" t="s">
        <v>462</v>
      </c>
      <c r="C29" s="28" t="s">
        <v>462</v>
      </c>
      <c r="D29" s="28" t="s">
        <v>462</v>
      </c>
      <c r="E29" s="28" t="s">
        <v>462</v>
      </c>
      <c r="F29" s="28" t="s">
        <v>462</v>
      </c>
      <c r="G29" s="28" t="s">
        <v>462</v>
      </c>
      <c r="H29" s="28" t="s">
        <v>462</v>
      </c>
      <c r="I29" s="28" t="s">
        <v>462</v>
      </c>
      <c r="J29" s="28" t="s">
        <v>462</v>
      </c>
      <c r="K29" s="28" t="s">
        <v>462</v>
      </c>
      <c r="L29" s="28" t="s">
        <v>462</v>
      </c>
      <c r="M29" s="28" t="s">
        <v>462</v>
      </c>
      <c r="N29" s="28" t="s">
        <v>462</v>
      </c>
      <c r="O29" s="28" t="s">
        <v>462</v>
      </c>
      <c r="P29" s="113" t="s">
        <v>464</v>
      </c>
      <c r="Q29" s="113" t="s">
        <v>464</v>
      </c>
      <c r="R29" s="28" t="s">
        <v>462</v>
      </c>
      <c r="S29" s="28" t="s">
        <v>462</v>
      </c>
      <c r="T29" s="28" t="s">
        <v>462</v>
      </c>
      <c r="U29" s="28" t="s">
        <v>462</v>
      </c>
      <c r="V29" s="28" t="s">
        <v>462</v>
      </c>
      <c r="W29" s="28" t="s">
        <v>462</v>
      </c>
      <c r="X29" s="28" t="s">
        <v>462</v>
      </c>
      <c r="Y29" s="28" t="s">
        <v>462</v>
      </c>
      <c r="Z29" s="28" t="s">
        <v>462</v>
      </c>
      <c r="AA29" s="28" t="s">
        <v>462</v>
      </c>
      <c r="AB29" s="28" t="s">
        <v>462</v>
      </c>
      <c r="AC29" s="28" t="s">
        <v>462</v>
      </c>
      <c r="AD29" s="28" t="s">
        <v>462</v>
      </c>
      <c r="AE29" s="28" t="s">
        <v>462</v>
      </c>
      <c r="AF29" s="28" t="s">
        <v>462</v>
      </c>
      <c r="AG29" s="28" t="s">
        <v>462</v>
      </c>
      <c r="AH29" s="28" t="s">
        <v>462</v>
      </c>
    </row>
    <row r="30" spans="1:34" x14ac:dyDescent="0.25">
      <c r="A30" s="26" t="s">
        <v>182</v>
      </c>
      <c r="B30" s="30">
        <v>1</v>
      </c>
      <c r="C30" s="30">
        <v>1</v>
      </c>
      <c r="D30" s="30">
        <v>1</v>
      </c>
      <c r="E30" s="30">
        <v>1</v>
      </c>
      <c r="F30" s="30">
        <v>1</v>
      </c>
      <c r="G30" s="30">
        <v>1</v>
      </c>
      <c r="H30" s="30">
        <v>1</v>
      </c>
      <c r="I30" s="30">
        <v>1</v>
      </c>
      <c r="J30" s="30">
        <v>1</v>
      </c>
      <c r="K30" s="30">
        <v>1</v>
      </c>
      <c r="L30" s="30">
        <v>1</v>
      </c>
      <c r="M30" s="30">
        <v>1</v>
      </c>
      <c r="N30" s="30">
        <f>AVERAGE(1,1,1.25)</f>
        <v>1.0833333333333333</v>
      </c>
      <c r="O30" s="30">
        <v>1</v>
      </c>
      <c r="P30" s="30">
        <f>AVERAGE(2,2,1.25)</f>
        <v>1.75</v>
      </c>
      <c r="Q30" s="30">
        <f>AVERAGE(2,2,1.25)</f>
        <v>1.75</v>
      </c>
      <c r="R30" s="30">
        <v>1.25</v>
      </c>
      <c r="S30" s="30">
        <f>AVERAGE(1,1,1.25)</f>
        <v>1.0833333333333333</v>
      </c>
      <c r="T30" s="30">
        <v>1</v>
      </c>
      <c r="U30" s="30">
        <v>1</v>
      </c>
      <c r="V30" s="30">
        <v>1</v>
      </c>
      <c r="W30" s="30">
        <v>1</v>
      </c>
      <c r="X30" s="30">
        <v>1</v>
      </c>
      <c r="Y30" s="30">
        <v>1</v>
      </c>
      <c r="Z30" s="30">
        <v>1</v>
      </c>
      <c r="AA30" s="30">
        <v>1</v>
      </c>
      <c r="AB30" s="30">
        <v>1</v>
      </c>
      <c r="AC30" s="30">
        <v>1</v>
      </c>
      <c r="AD30" s="30">
        <v>1</v>
      </c>
      <c r="AE30" s="30">
        <v>1</v>
      </c>
      <c r="AF30" s="30">
        <v>1</v>
      </c>
      <c r="AG30" s="30">
        <v>1</v>
      </c>
      <c r="AH30" s="30">
        <v>1</v>
      </c>
    </row>
    <row r="32" spans="1:34" x14ac:dyDescent="0.25">
      <c r="A32" s="31" t="s">
        <v>183</v>
      </c>
    </row>
    <row r="33" spans="1:2" x14ac:dyDescent="0.25">
      <c r="A33" s="26" t="s">
        <v>573</v>
      </c>
      <c r="B33" s="93" t="s">
        <v>574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35E6E-19C7-48C8-974D-55A435DD93AF}">
  <dimension ref="A1:AR37"/>
  <sheetViews>
    <sheetView workbookViewId="0">
      <selection activeCell="B7" sqref="B7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44" x14ac:dyDescent="0.25">
      <c r="A1" s="25" t="s">
        <v>116</v>
      </c>
      <c r="D1" s="25" t="s">
        <v>117</v>
      </c>
      <c r="I1" s="25" t="s">
        <v>549</v>
      </c>
    </row>
    <row r="3" spans="1:44" ht="18" x14ac:dyDescent="0.25">
      <c r="A3" s="25" t="s">
        <v>119</v>
      </c>
      <c r="B3" s="215">
        <v>34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44" ht="18" x14ac:dyDescent="0.25">
      <c r="A4" s="25" t="s">
        <v>121</v>
      </c>
      <c r="B4" s="215" t="s">
        <v>575</v>
      </c>
      <c r="C4" s="215"/>
      <c r="D4" s="215"/>
      <c r="F4" s="216" t="s">
        <v>576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44" ht="18" x14ac:dyDescent="0.25">
      <c r="A5" s="25" t="s">
        <v>124</v>
      </c>
      <c r="B5" s="215" t="s">
        <v>377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44" ht="45" x14ac:dyDescent="0.25">
      <c r="A7" s="27" t="s">
        <v>126</v>
      </c>
      <c r="B7" s="57" t="s">
        <v>17</v>
      </c>
      <c r="C7" s="58" t="s">
        <v>127</v>
      </c>
      <c r="D7" s="58" t="s">
        <v>128</v>
      </c>
      <c r="E7" s="59" t="s">
        <v>129</v>
      </c>
      <c r="F7" s="60" t="s">
        <v>130</v>
      </c>
      <c r="G7" s="61" t="s">
        <v>131</v>
      </c>
      <c r="H7" s="61" t="s">
        <v>132</v>
      </c>
      <c r="I7" s="62" t="s">
        <v>133</v>
      </c>
      <c r="J7" s="63" t="s">
        <v>134</v>
      </c>
      <c r="K7" s="64" t="s">
        <v>135</v>
      </c>
      <c r="L7" s="64" t="s">
        <v>136</v>
      </c>
      <c r="M7" s="64" t="s">
        <v>137</v>
      </c>
      <c r="N7" s="65" t="s">
        <v>138</v>
      </c>
      <c r="O7" s="65" t="s">
        <v>139</v>
      </c>
      <c r="P7" s="67" t="s">
        <v>140</v>
      </c>
      <c r="Q7" s="67" t="s">
        <v>141</v>
      </c>
      <c r="R7" s="66" t="s">
        <v>142</v>
      </c>
      <c r="S7" s="68" t="s">
        <v>143</v>
      </c>
      <c r="T7" s="69" t="s">
        <v>144</v>
      </c>
      <c r="U7" s="69" t="s">
        <v>145</v>
      </c>
      <c r="V7" s="70" t="s">
        <v>146</v>
      </c>
      <c r="W7" s="70" t="s">
        <v>147</v>
      </c>
      <c r="X7" s="71" t="s">
        <v>148</v>
      </c>
      <c r="Y7" s="71" t="s">
        <v>149</v>
      </c>
      <c r="Z7" s="72" t="s">
        <v>150</v>
      </c>
      <c r="AA7" s="72" t="s">
        <v>151</v>
      </c>
      <c r="AB7" s="73" t="s">
        <v>152</v>
      </c>
      <c r="AC7" s="73" t="s">
        <v>153</v>
      </c>
      <c r="AD7" s="73" t="s">
        <v>154</v>
      </c>
      <c r="AE7" s="74" t="s">
        <v>155</v>
      </c>
      <c r="AF7" s="75" t="s">
        <v>156</v>
      </c>
      <c r="AG7" s="76" t="s">
        <v>157</v>
      </c>
      <c r="AH7" s="76" t="s">
        <v>158</v>
      </c>
      <c r="AJ7" s="57" t="s">
        <v>17</v>
      </c>
      <c r="AL7" s="58" t="s">
        <v>127</v>
      </c>
      <c r="AM7" s="58" t="s">
        <v>128</v>
      </c>
      <c r="AN7" s="59" t="s">
        <v>129</v>
      </c>
      <c r="AO7" s="60" t="s">
        <v>130</v>
      </c>
      <c r="AP7" s="61" t="s">
        <v>131</v>
      </c>
      <c r="AQ7" s="61" t="s">
        <v>132</v>
      </c>
      <c r="AR7" s="62" t="s">
        <v>133</v>
      </c>
    </row>
    <row r="8" spans="1:44" x14ac:dyDescent="0.25">
      <c r="A8" s="26" t="s">
        <v>159</v>
      </c>
      <c r="B8" s="28" t="s">
        <v>160</v>
      </c>
      <c r="C8" s="28" t="s">
        <v>161</v>
      </c>
      <c r="D8" s="28" t="s">
        <v>161</v>
      </c>
      <c r="E8" s="28" t="s">
        <v>161</v>
      </c>
      <c r="F8" s="28" t="s">
        <v>161</v>
      </c>
      <c r="G8" s="28" t="s">
        <v>161</v>
      </c>
      <c r="H8" s="28" t="s">
        <v>161</v>
      </c>
      <c r="I8" s="28" t="s">
        <v>161</v>
      </c>
      <c r="J8" s="28" t="s">
        <v>161</v>
      </c>
      <c r="K8" s="28" t="s">
        <v>161</v>
      </c>
      <c r="L8" s="28" t="s">
        <v>161</v>
      </c>
      <c r="M8" s="28" t="s">
        <v>161</v>
      </c>
      <c r="N8" s="28" t="s">
        <v>161</v>
      </c>
      <c r="O8" s="28" t="s">
        <v>161</v>
      </c>
      <c r="P8" s="28" t="s">
        <v>161</v>
      </c>
      <c r="Q8" s="28" t="s">
        <v>161</v>
      </c>
      <c r="R8" s="28" t="s">
        <v>161</v>
      </c>
      <c r="S8" s="86" t="s">
        <v>161</v>
      </c>
      <c r="T8" s="80" t="s">
        <v>341</v>
      </c>
      <c r="U8" s="28" t="s">
        <v>161</v>
      </c>
      <c r="V8" s="28" t="s">
        <v>161</v>
      </c>
      <c r="W8" s="28" t="s">
        <v>161</v>
      </c>
      <c r="X8" s="28" t="s">
        <v>161</v>
      </c>
      <c r="Y8" s="28" t="s">
        <v>161</v>
      </c>
      <c r="Z8" s="28" t="s">
        <v>161</v>
      </c>
      <c r="AA8" s="28" t="s">
        <v>161</v>
      </c>
      <c r="AB8" s="28" t="s">
        <v>161</v>
      </c>
      <c r="AC8" s="80" t="s">
        <v>341</v>
      </c>
      <c r="AD8" s="80" t="s">
        <v>341</v>
      </c>
      <c r="AE8" s="80" t="s">
        <v>341</v>
      </c>
      <c r="AF8" s="83" t="s">
        <v>161</v>
      </c>
      <c r="AG8" s="28" t="s">
        <v>161</v>
      </c>
      <c r="AH8" s="28" t="s">
        <v>161</v>
      </c>
      <c r="AJ8" s="28" t="s">
        <v>160</v>
      </c>
      <c r="AL8" s="80" t="s">
        <v>341</v>
      </c>
      <c r="AM8" s="80" t="s">
        <v>341</v>
      </c>
      <c r="AN8" s="80" t="s">
        <v>341</v>
      </c>
      <c r="AO8" s="80" t="s">
        <v>341</v>
      </c>
      <c r="AP8" s="80" t="s">
        <v>341</v>
      </c>
      <c r="AQ8" s="80" t="s">
        <v>341</v>
      </c>
      <c r="AR8" s="80" t="s">
        <v>341</v>
      </c>
    </row>
    <row r="9" spans="1:44" ht="15.75" customHeight="1" x14ac:dyDescent="0.25">
      <c r="A9" s="26" t="s">
        <v>165</v>
      </c>
      <c r="B9" s="28" t="s">
        <v>161</v>
      </c>
      <c r="C9" s="28" t="s">
        <v>161</v>
      </c>
      <c r="D9" s="28" t="s">
        <v>161</v>
      </c>
      <c r="E9" s="28" t="s">
        <v>161</v>
      </c>
      <c r="F9" s="28" t="s">
        <v>161</v>
      </c>
      <c r="G9" s="28" t="s">
        <v>161</v>
      </c>
      <c r="H9" s="28" t="s">
        <v>161</v>
      </c>
      <c r="I9" s="28" t="s">
        <v>161</v>
      </c>
      <c r="J9" s="28" t="s">
        <v>161</v>
      </c>
      <c r="K9" s="28" t="s">
        <v>161</v>
      </c>
      <c r="L9" s="28" t="s">
        <v>161</v>
      </c>
      <c r="M9" s="28" t="s">
        <v>161</v>
      </c>
      <c r="N9" s="28" t="s">
        <v>161</v>
      </c>
      <c r="O9" s="28" t="s">
        <v>161</v>
      </c>
      <c r="P9" s="28" t="s">
        <v>161</v>
      </c>
      <c r="Q9" s="28" t="s">
        <v>161</v>
      </c>
      <c r="R9" s="28" t="s">
        <v>161</v>
      </c>
      <c r="S9" s="28" t="s">
        <v>161</v>
      </c>
      <c r="T9" s="81" t="s">
        <v>341</v>
      </c>
      <c r="U9" s="29" t="s">
        <v>161</v>
      </c>
      <c r="V9" s="29" t="s">
        <v>161</v>
      </c>
      <c r="W9" s="29" t="s">
        <v>161</v>
      </c>
      <c r="X9" s="29" t="s">
        <v>161</v>
      </c>
      <c r="Y9" s="29" t="s">
        <v>161</v>
      </c>
      <c r="Z9" s="29" t="s">
        <v>161</v>
      </c>
      <c r="AA9" s="29" t="s">
        <v>161</v>
      </c>
      <c r="AB9" s="29" t="s">
        <v>161</v>
      </c>
      <c r="AC9" s="81" t="s">
        <v>341</v>
      </c>
      <c r="AD9" s="81" t="s">
        <v>341</v>
      </c>
      <c r="AE9" s="81" t="s">
        <v>341</v>
      </c>
      <c r="AF9" s="28" t="s">
        <v>161</v>
      </c>
      <c r="AG9" s="28" t="s">
        <v>161</v>
      </c>
      <c r="AH9" s="28" t="s">
        <v>161</v>
      </c>
      <c r="AJ9" s="28" t="s">
        <v>161</v>
      </c>
      <c r="AL9" s="81" t="s">
        <v>341</v>
      </c>
      <c r="AM9" s="81" t="s">
        <v>341</v>
      </c>
      <c r="AN9" s="81" t="s">
        <v>341</v>
      </c>
      <c r="AO9" s="81" t="s">
        <v>341</v>
      </c>
      <c r="AP9" s="81" t="s">
        <v>341</v>
      </c>
      <c r="AQ9" s="81" t="s">
        <v>341</v>
      </c>
      <c r="AR9" s="81" t="s">
        <v>341</v>
      </c>
    </row>
    <row r="10" spans="1:44" x14ac:dyDescent="0.25">
      <c r="A10" s="131" t="s">
        <v>168</v>
      </c>
      <c r="B10" s="157">
        <v>2</v>
      </c>
      <c r="C10" s="157">
        <v>2</v>
      </c>
      <c r="D10" s="157">
        <v>2</v>
      </c>
      <c r="E10" s="157">
        <v>2</v>
      </c>
      <c r="F10" s="157">
        <v>2</v>
      </c>
      <c r="G10" s="157">
        <v>2</v>
      </c>
      <c r="H10" s="157">
        <v>2</v>
      </c>
      <c r="I10" s="157">
        <v>2</v>
      </c>
      <c r="J10" s="157">
        <v>2</v>
      </c>
      <c r="K10" s="157">
        <v>2</v>
      </c>
      <c r="L10" s="157">
        <v>2</v>
      </c>
      <c r="M10" s="157">
        <v>2</v>
      </c>
      <c r="N10" s="157">
        <v>2</v>
      </c>
      <c r="O10" s="157">
        <v>2</v>
      </c>
      <c r="P10" s="157">
        <v>2</v>
      </c>
      <c r="Q10" s="157">
        <v>2</v>
      </c>
      <c r="R10" s="157">
        <v>2</v>
      </c>
      <c r="S10" s="157">
        <v>2</v>
      </c>
      <c r="T10" s="198"/>
      <c r="U10" s="157">
        <v>2</v>
      </c>
      <c r="V10" s="157">
        <v>2</v>
      </c>
      <c r="W10" s="157">
        <v>2</v>
      </c>
      <c r="X10" s="157">
        <v>2</v>
      </c>
      <c r="Y10" s="157">
        <v>2</v>
      </c>
      <c r="Z10" s="157">
        <v>2</v>
      </c>
      <c r="AA10" s="157">
        <v>2</v>
      </c>
      <c r="AB10" s="157">
        <v>2</v>
      </c>
      <c r="AC10" s="198"/>
      <c r="AD10" s="198"/>
      <c r="AE10" s="198"/>
      <c r="AF10" s="157">
        <v>2</v>
      </c>
      <c r="AG10" s="157">
        <v>2</v>
      </c>
      <c r="AH10" s="157">
        <v>2</v>
      </c>
      <c r="AJ10" s="157">
        <v>2</v>
      </c>
      <c r="AL10" s="198"/>
      <c r="AM10" s="198"/>
      <c r="AN10" s="198"/>
      <c r="AO10" s="198"/>
      <c r="AP10" s="198"/>
      <c r="AQ10" s="198"/>
      <c r="AR10" s="198"/>
    </row>
    <row r="11" spans="1:44" x14ac:dyDescent="0.25">
      <c r="A11" s="26" t="s">
        <v>169</v>
      </c>
      <c r="B11" s="29" t="s">
        <v>170</v>
      </c>
      <c r="C11" s="29" t="s">
        <v>170</v>
      </c>
      <c r="D11" s="29" t="s">
        <v>170</v>
      </c>
      <c r="E11" s="29" t="s">
        <v>170</v>
      </c>
      <c r="F11" s="29" t="s">
        <v>170</v>
      </c>
      <c r="G11" s="29" t="s">
        <v>170</v>
      </c>
      <c r="H11" s="29" t="s">
        <v>170</v>
      </c>
      <c r="I11" s="29" t="s">
        <v>170</v>
      </c>
      <c r="J11" s="29" t="s">
        <v>170</v>
      </c>
      <c r="K11" s="29" t="s">
        <v>170</v>
      </c>
      <c r="L11" s="29" t="s">
        <v>170</v>
      </c>
      <c r="M11" s="29" t="s">
        <v>170</v>
      </c>
      <c r="N11" s="29" t="s">
        <v>170</v>
      </c>
      <c r="O11" s="29" t="s">
        <v>170</v>
      </c>
      <c r="P11" s="29" t="s">
        <v>170</v>
      </c>
      <c r="Q11" s="29" t="s">
        <v>170</v>
      </c>
      <c r="R11" s="29" t="s">
        <v>170</v>
      </c>
      <c r="S11" s="29" t="s">
        <v>170</v>
      </c>
      <c r="T11" s="80" t="s">
        <v>173</v>
      </c>
      <c r="U11" s="29" t="s">
        <v>170</v>
      </c>
      <c r="V11" s="29" t="s">
        <v>170</v>
      </c>
      <c r="W11" s="29" t="s">
        <v>170</v>
      </c>
      <c r="X11" s="29" t="s">
        <v>170</v>
      </c>
      <c r="Y11" s="29" t="s">
        <v>170</v>
      </c>
      <c r="Z11" s="29" t="s">
        <v>170</v>
      </c>
      <c r="AA11" s="29" t="s">
        <v>170</v>
      </c>
      <c r="AB11" s="29" t="s">
        <v>170</v>
      </c>
      <c r="AC11" s="80" t="s">
        <v>173</v>
      </c>
      <c r="AD11" s="80" t="s">
        <v>173</v>
      </c>
      <c r="AE11" s="80" t="s">
        <v>173</v>
      </c>
      <c r="AF11" s="29" t="s">
        <v>170</v>
      </c>
      <c r="AG11" s="29" t="s">
        <v>170</v>
      </c>
      <c r="AH11" s="29" t="s">
        <v>170</v>
      </c>
      <c r="AJ11" s="29" t="s">
        <v>170</v>
      </c>
      <c r="AL11" s="80" t="s">
        <v>173</v>
      </c>
      <c r="AM11" s="80" t="s">
        <v>173</v>
      </c>
      <c r="AN11" s="80" t="s">
        <v>173</v>
      </c>
      <c r="AO11" s="80" t="s">
        <v>173</v>
      </c>
      <c r="AP11" s="80" t="s">
        <v>173</v>
      </c>
      <c r="AQ11" s="80" t="s">
        <v>173</v>
      </c>
      <c r="AR11" s="80" t="s">
        <v>173</v>
      </c>
    </row>
    <row r="12" spans="1:44" x14ac:dyDescent="0.25">
      <c r="A12" s="26" t="s">
        <v>171</v>
      </c>
      <c r="B12" s="29" t="s">
        <v>170</v>
      </c>
      <c r="C12" s="29" t="s">
        <v>170</v>
      </c>
      <c r="D12" s="29" t="s">
        <v>170</v>
      </c>
      <c r="E12" s="29" t="s">
        <v>170</v>
      </c>
      <c r="F12" s="29" t="s">
        <v>170</v>
      </c>
      <c r="G12" s="29" t="s">
        <v>170</v>
      </c>
      <c r="H12" s="29" t="s">
        <v>170</v>
      </c>
      <c r="I12" s="29" t="s">
        <v>170</v>
      </c>
      <c r="J12" s="29" t="s">
        <v>170</v>
      </c>
      <c r="K12" s="29" t="s">
        <v>170</v>
      </c>
      <c r="L12" s="29" t="s">
        <v>170</v>
      </c>
      <c r="M12" s="29" t="s">
        <v>170</v>
      </c>
      <c r="N12" s="29" t="s">
        <v>170</v>
      </c>
      <c r="O12" s="29" t="s">
        <v>170</v>
      </c>
      <c r="P12" s="29" t="s">
        <v>170</v>
      </c>
      <c r="Q12" s="29" t="s">
        <v>170</v>
      </c>
      <c r="R12" s="29" t="s">
        <v>170</v>
      </c>
      <c r="S12" s="29" t="s">
        <v>170</v>
      </c>
      <c r="T12" s="80" t="s">
        <v>173</v>
      </c>
      <c r="U12" s="29" t="s">
        <v>170</v>
      </c>
      <c r="V12" s="29" t="s">
        <v>170</v>
      </c>
      <c r="W12" s="29" t="s">
        <v>170</v>
      </c>
      <c r="X12" s="29" t="s">
        <v>170</v>
      </c>
      <c r="Y12" s="29" t="s">
        <v>170</v>
      </c>
      <c r="Z12" s="29" t="s">
        <v>170</v>
      </c>
      <c r="AA12" s="29" t="s">
        <v>170</v>
      </c>
      <c r="AB12" s="29" t="s">
        <v>170</v>
      </c>
      <c r="AC12" s="80" t="s">
        <v>173</v>
      </c>
      <c r="AD12" s="80" t="s">
        <v>173</v>
      </c>
      <c r="AE12" s="80" t="s">
        <v>173</v>
      </c>
      <c r="AF12" s="29" t="s">
        <v>170</v>
      </c>
      <c r="AG12" s="29" t="s">
        <v>170</v>
      </c>
      <c r="AH12" s="29" t="s">
        <v>170</v>
      </c>
      <c r="AJ12" s="29" t="s">
        <v>170</v>
      </c>
      <c r="AL12" s="80" t="s">
        <v>173</v>
      </c>
      <c r="AM12" s="80" t="s">
        <v>173</v>
      </c>
      <c r="AN12" s="80" t="s">
        <v>173</v>
      </c>
      <c r="AO12" s="80" t="s">
        <v>173</v>
      </c>
      <c r="AP12" s="80" t="s">
        <v>173</v>
      </c>
      <c r="AQ12" s="80" t="s">
        <v>173</v>
      </c>
      <c r="AR12" s="80" t="s">
        <v>173</v>
      </c>
    </row>
    <row r="13" spans="1:44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 t="s">
        <v>173</v>
      </c>
      <c r="S13" s="28" t="s">
        <v>173</v>
      </c>
      <c r="T13" s="80" t="s">
        <v>173</v>
      </c>
      <c r="U13" s="28" t="s">
        <v>173</v>
      </c>
      <c r="V13" s="28" t="s">
        <v>173</v>
      </c>
      <c r="W13" s="28" t="s">
        <v>173</v>
      </c>
      <c r="X13" s="28" t="s">
        <v>173</v>
      </c>
      <c r="Y13" s="28" t="s">
        <v>173</v>
      </c>
      <c r="Z13" s="28" t="s">
        <v>173</v>
      </c>
      <c r="AA13" s="28" t="s">
        <v>173</v>
      </c>
      <c r="AB13" s="28" t="s">
        <v>173</v>
      </c>
      <c r="AC13" s="80" t="s">
        <v>173</v>
      </c>
      <c r="AD13" s="80" t="s">
        <v>173</v>
      </c>
      <c r="AE13" s="80" t="s">
        <v>173</v>
      </c>
      <c r="AF13" s="28" t="s">
        <v>173</v>
      </c>
      <c r="AG13" s="28" t="s">
        <v>173</v>
      </c>
      <c r="AH13" s="28" t="s">
        <v>173</v>
      </c>
      <c r="AJ13" s="28" t="s">
        <v>173</v>
      </c>
      <c r="AL13" s="80" t="s">
        <v>173</v>
      </c>
      <c r="AM13" s="80" t="s">
        <v>173</v>
      </c>
      <c r="AN13" s="80" t="s">
        <v>173</v>
      </c>
      <c r="AO13" s="80" t="s">
        <v>173</v>
      </c>
      <c r="AP13" s="80" t="s">
        <v>173</v>
      </c>
      <c r="AQ13" s="80" t="s">
        <v>173</v>
      </c>
      <c r="AR13" s="80" t="s">
        <v>173</v>
      </c>
    </row>
    <row r="14" spans="1:4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80" t="s">
        <v>173</v>
      </c>
      <c r="U14" s="28" t="s">
        <v>173</v>
      </c>
      <c r="V14" s="28" t="s">
        <v>173</v>
      </c>
      <c r="W14" s="28" t="s">
        <v>173</v>
      </c>
      <c r="X14" s="28" t="s">
        <v>173</v>
      </c>
      <c r="Y14" s="28" t="s">
        <v>173</v>
      </c>
      <c r="Z14" s="28" t="s">
        <v>173</v>
      </c>
      <c r="AA14" s="28" t="s">
        <v>173</v>
      </c>
      <c r="AB14" s="28" t="s">
        <v>173</v>
      </c>
      <c r="AC14" s="80" t="s">
        <v>173</v>
      </c>
      <c r="AD14" s="80" t="s">
        <v>173</v>
      </c>
      <c r="AE14" s="80" t="s">
        <v>173</v>
      </c>
      <c r="AF14" s="28" t="s">
        <v>173</v>
      </c>
      <c r="AG14" s="28" t="s">
        <v>173</v>
      </c>
      <c r="AH14" s="28" t="s">
        <v>173</v>
      </c>
      <c r="AJ14" s="28" t="s">
        <v>173</v>
      </c>
      <c r="AL14" s="80" t="s">
        <v>173</v>
      </c>
      <c r="AM14" s="80" t="s">
        <v>173</v>
      </c>
      <c r="AN14" s="80" t="s">
        <v>173</v>
      </c>
      <c r="AO14" s="80" t="s">
        <v>173</v>
      </c>
      <c r="AP14" s="80" t="s">
        <v>173</v>
      </c>
      <c r="AQ14" s="80" t="s">
        <v>173</v>
      </c>
      <c r="AR14" s="80" t="s">
        <v>173</v>
      </c>
    </row>
    <row r="15" spans="1:44" x14ac:dyDescent="0.25">
      <c r="A15" s="26" t="s">
        <v>175</v>
      </c>
      <c r="B15" s="28" t="s">
        <v>160</v>
      </c>
      <c r="C15" s="28" t="s">
        <v>160</v>
      </c>
      <c r="D15" s="28" t="s">
        <v>160</v>
      </c>
      <c r="E15" s="28" t="s">
        <v>160</v>
      </c>
      <c r="F15" s="28" t="s">
        <v>160</v>
      </c>
      <c r="G15" s="28" t="s">
        <v>160</v>
      </c>
      <c r="H15" s="28" t="s">
        <v>160</v>
      </c>
      <c r="I15" s="28" t="s">
        <v>160</v>
      </c>
      <c r="J15" s="28" t="s">
        <v>160</v>
      </c>
      <c r="K15" s="28" t="s">
        <v>160</v>
      </c>
      <c r="L15" s="28" t="s">
        <v>160</v>
      </c>
      <c r="M15" s="28" t="s">
        <v>160</v>
      </c>
      <c r="N15" s="28" t="s">
        <v>160</v>
      </c>
      <c r="O15" s="28" t="s">
        <v>160</v>
      </c>
      <c r="P15" s="28" t="s">
        <v>160</v>
      </c>
      <c r="Q15" s="28" t="s">
        <v>160</v>
      </c>
      <c r="R15" s="28" t="s">
        <v>160</v>
      </c>
      <c r="S15" s="28" t="s">
        <v>160</v>
      </c>
      <c r="T15" s="80" t="s">
        <v>160</v>
      </c>
      <c r="U15" s="28" t="s">
        <v>160</v>
      </c>
      <c r="V15" s="28" t="s">
        <v>160</v>
      </c>
      <c r="W15" s="28" t="s">
        <v>160</v>
      </c>
      <c r="X15" s="28" t="s">
        <v>160</v>
      </c>
      <c r="Y15" s="28" t="s">
        <v>160</v>
      </c>
      <c r="Z15" s="28" t="s">
        <v>160</v>
      </c>
      <c r="AA15" s="28" t="s">
        <v>160</v>
      </c>
      <c r="AB15" s="28" t="s">
        <v>160</v>
      </c>
      <c r="AC15" s="80" t="s">
        <v>160</v>
      </c>
      <c r="AD15" s="80" t="s">
        <v>160</v>
      </c>
      <c r="AE15" s="80" t="s">
        <v>160</v>
      </c>
      <c r="AF15" s="28" t="s">
        <v>160</v>
      </c>
      <c r="AG15" s="28" t="s">
        <v>160</v>
      </c>
      <c r="AH15" s="28" t="s">
        <v>160</v>
      </c>
      <c r="AJ15" s="28" t="s">
        <v>160</v>
      </c>
      <c r="AL15" s="80" t="s">
        <v>160</v>
      </c>
      <c r="AM15" s="80" t="s">
        <v>160</v>
      </c>
      <c r="AN15" s="80" t="s">
        <v>160</v>
      </c>
      <c r="AO15" s="80" t="s">
        <v>160</v>
      </c>
      <c r="AP15" s="80" t="s">
        <v>160</v>
      </c>
      <c r="AQ15" s="80" t="s">
        <v>160</v>
      </c>
      <c r="AR15" s="80" t="s">
        <v>160</v>
      </c>
    </row>
    <row r="16" spans="1:44" x14ac:dyDescent="0.25">
      <c r="A16" s="26" t="s">
        <v>176</v>
      </c>
      <c r="B16" s="30">
        <v>3</v>
      </c>
      <c r="C16" s="30">
        <v>3</v>
      </c>
      <c r="D16" s="30">
        <v>3</v>
      </c>
      <c r="E16" s="30">
        <v>3</v>
      </c>
      <c r="F16" s="30">
        <v>3</v>
      </c>
      <c r="G16" s="30">
        <v>3</v>
      </c>
      <c r="H16" s="30">
        <v>3</v>
      </c>
      <c r="I16" s="30">
        <v>3</v>
      </c>
      <c r="J16" s="30">
        <v>3</v>
      </c>
      <c r="K16" s="30">
        <v>3</v>
      </c>
      <c r="L16" s="30">
        <v>3</v>
      </c>
      <c r="M16" s="30">
        <v>3</v>
      </c>
      <c r="N16" s="30">
        <v>3</v>
      </c>
      <c r="O16" s="30">
        <v>3</v>
      </c>
      <c r="P16" s="30">
        <v>3</v>
      </c>
      <c r="Q16" s="30">
        <v>3</v>
      </c>
      <c r="R16" s="30">
        <v>3</v>
      </c>
      <c r="S16" s="30">
        <v>3</v>
      </c>
      <c r="T16" s="82">
        <v>3</v>
      </c>
      <c r="U16" s="30">
        <v>3</v>
      </c>
      <c r="V16" s="30">
        <v>3</v>
      </c>
      <c r="W16" s="30">
        <v>3</v>
      </c>
      <c r="X16" s="30">
        <v>3</v>
      </c>
      <c r="Y16" s="30">
        <v>3</v>
      </c>
      <c r="Z16" s="30">
        <v>3</v>
      </c>
      <c r="AA16" s="30">
        <v>3</v>
      </c>
      <c r="AB16" s="30">
        <v>3</v>
      </c>
      <c r="AC16" s="82">
        <v>3</v>
      </c>
      <c r="AD16" s="82">
        <v>3</v>
      </c>
      <c r="AE16" s="82">
        <v>3</v>
      </c>
      <c r="AF16" s="30">
        <v>3</v>
      </c>
      <c r="AG16" s="30">
        <v>3</v>
      </c>
      <c r="AH16" s="30">
        <v>3</v>
      </c>
      <c r="AJ16" s="30">
        <v>3</v>
      </c>
      <c r="AL16" s="82">
        <v>3</v>
      </c>
      <c r="AM16" s="82">
        <v>3</v>
      </c>
      <c r="AN16" s="82">
        <v>3</v>
      </c>
      <c r="AO16" s="82">
        <v>3</v>
      </c>
      <c r="AP16" s="82">
        <v>3</v>
      </c>
      <c r="AQ16" s="82">
        <v>3</v>
      </c>
      <c r="AR16" s="82">
        <v>3</v>
      </c>
    </row>
    <row r="17" spans="1:44" x14ac:dyDescent="0.25">
      <c r="A17" s="26" t="s">
        <v>177</v>
      </c>
      <c r="B17" s="28" t="s">
        <v>178</v>
      </c>
      <c r="C17" s="28" t="s">
        <v>178</v>
      </c>
      <c r="D17" s="28" t="s">
        <v>178</v>
      </c>
      <c r="E17" s="28" t="s">
        <v>178</v>
      </c>
      <c r="F17" s="28" t="s">
        <v>178</v>
      </c>
      <c r="G17" s="28" t="s">
        <v>178</v>
      </c>
      <c r="H17" s="28" t="s">
        <v>178</v>
      </c>
      <c r="I17" s="28" t="s">
        <v>178</v>
      </c>
      <c r="J17" s="28" t="s">
        <v>178</v>
      </c>
      <c r="K17" s="28" t="s">
        <v>178</v>
      </c>
      <c r="L17" s="28" t="s">
        <v>178</v>
      </c>
      <c r="M17" s="28" t="s">
        <v>178</v>
      </c>
      <c r="N17" s="28" t="s">
        <v>178</v>
      </c>
      <c r="O17" s="28" t="s">
        <v>178</v>
      </c>
      <c r="P17" s="28" t="s">
        <v>178</v>
      </c>
      <c r="Q17" s="28" t="s">
        <v>178</v>
      </c>
      <c r="R17" s="28" t="s">
        <v>178</v>
      </c>
      <c r="S17" s="28" t="s">
        <v>178</v>
      </c>
      <c r="T17" s="80" t="s">
        <v>341</v>
      </c>
      <c r="U17" s="28" t="s">
        <v>178</v>
      </c>
      <c r="V17" s="28" t="s">
        <v>178</v>
      </c>
      <c r="W17" s="28" t="s">
        <v>178</v>
      </c>
      <c r="X17" s="28" t="s">
        <v>178</v>
      </c>
      <c r="Y17" s="28" t="s">
        <v>178</v>
      </c>
      <c r="Z17" s="28" t="s">
        <v>178</v>
      </c>
      <c r="AA17" s="28" t="s">
        <v>178</v>
      </c>
      <c r="AB17" s="28" t="s">
        <v>178</v>
      </c>
      <c r="AC17" s="80" t="s">
        <v>341</v>
      </c>
      <c r="AD17" s="80" t="s">
        <v>341</v>
      </c>
      <c r="AE17" s="80" t="s">
        <v>341</v>
      </c>
      <c r="AF17" s="28" t="s">
        <v>178</v>
      </c>
      <c r="AG17" s="28" t="s">
        <v>178</v>
      </c>
      <c r="AH17" s="28" t="s">
        <v>178</v>
      </c>
      <c r="AJ17" s="28" t="s">
        <v>178</v>
      </c>
      <c r="AL17" s="80" t="s">
        <v>341</v>
      </c>
      <c r="AM17" s="80" t="s">
        <v>341</v>
      </c>
      <c r="AN17" s="80" t="s">
        <v>341</v>
      </c>
      <c r="AO17" s="80" t="s">
        <v>341</v>
      </c>
      <c r="AP17" s="80" t="s">
        <v>341</v>
      </c>
      <c r="AQ17" s="80" t="s">
        <v>341</v>
      </c>
      <c r="AR17" s="80" t="s">
        <v>341</v>
      </c>
    </row>
    <row r="18" spans="1:44" x14ac:dyDescent="0.25">
      <c r="A18" s="26" t="s">
        <v>182</v>
      </c>
      <c r="B18" s="30">
        <v>4</v>
      </c>
      <c r="C18" s="30">
        <v>4</v>
      </c>
      <c r="D18" s="30">
        <v>4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30">
        <v>4</v>
      </c>
      <c r="S18" s="30">
        <v>4</v>
      </c>
      <c r="T18" s="82">
        <v>0</v>
      </c>
      <c r="U18" s="30">
        <v>4</v>
      </c>
      <c r="V18" s="30">
        <v>4</v>
      </c>
      <c r="W18" s="30">
        <v>4</v>
      </c>
      <c r="X18" s="30">
        <v>4</v>
      </c>
      <c r="Y18" s="30">
        <v>4</v>
      </c>
      <c r="Z18" s="30">
        <v>4</v>
      </c>
      <c r="AA18" s="30">
        <v>4</v>
      </c>
      <c r="AB18" s="30">
        <v>4</v>
      </c>
      <c r="AC18" s="82">
        <v>0</v>
      </c>
      <c r="AD18" s="82">
        <v>0</v>
      </c>
      <c r="AE18" s="82">
        <v>0</v>
      </c>
      <c r="AF18" s="30">
        <v>4</v>
      </c>
      <c r="AG18" s="30">
        <v>4</v>
      </c>
      <c r="AH18" s="30">
        <v>4</v>
      </c>
      <c r="AJ18" s="30">
        <v>4</v>
      </c>
      <c r="AL18" s="82">
        <v>0</v>
      </c>
      <c r="AM18" s="82">
        <v>0</v>
      </c>
      <c r="AN18" s="82">
        <v>0</v>
      </c>
      <c r="AO18" s="82">
        <v>0</v>
      </c>
      <c r="AP18" s="82">
        <v>0</v>
      </c>
      <c r="AQ18" s="82">
        <v>0</v>
      </c>
      <c r="AR18" s="82">
        <v>0</v>
      </c>
    </row>
    <row r="20" spans="1:44" x14ac:dyDescent="0.25">
      <c r="A20" s="26" t="s">
        <v>159</v>
      </c>
      <c r="B20" s="28" t="s">
        <v>462</v>
      </c>
      <c r="C20" s="28" t="s">
        <v>448</v>
      </c>
      <c r="D20" s="28" t="s">
        <v>448</v>
      </c>
      <c r="E20" s="28" t="s">
        <v>448</v>
      </c>
      <c r="F20" s="86" t="s">
        <v>473</v>
      </c>
      <c r="G20" s="86" t="s">
        <v>473</v>
      </c>
      <c r="H20" s="28" t="s">
        <v>473</v>
      </c>
      <c r="I20" s="28" t="s">
        <v>473</v>
      </c>
      <c r="J20" s="113" t="s">
        <v>475</v>
      </c>
      <c r="K20" s="28" t="s">
        <v>473</v>
      </c>
      <c r="L20" s="28" t="s">
        <v>473</v>
      </c>
      <c r="M20" s="28" t="s">
        <v>473</v>
      </c>
      <c r="N20" s="28" t="s">
        <v>473</v>
      </c>
      <c r="O20" s="28" t="s">
        <v>473</v>
      </c>
      <c r="P20" s="28" t="s">
        <v>473</v>
      </c>
      <c r="Q20" s="28" t="s">
        <v>473</v>
      </c>
      <c r="R20" s="28" t="s">
        <v>473</v>
      </c>
      <c r="S20" s="28" t="s">
        <v>555</v>
      </c>
      <c r="T20" s="28" t="s">
        <v>348</v>
      </c>
      <c r="U20" s="28" t="s">
        <v>556</v>
      </c>
      <c r="V20" s="28" t="s">
        <v>473</v>
      </c>
      <c r="W20" s="28" t="s">
        <v>473</v>
      </c>
      <c r="X20" s="28" t="s">
        <v>448</v>
      </c>
      <c r="Y20" s="28" t="s">
        <v>448</v>
      </c>
      <c r="Z20" s="28" t="s">
        <v>556</v>
      </c>
      <c r="AA20" s="28" t="s">
        <v>556</v>
      </c>
      <c r="AB20" s="28" t="s">
        <v>556</v>
      </c>
      <c r="AC20" s="28" t="s">
        <v>322</v>
      </c>
      <c r="AD20" s="28" t="s">
        <v>322</v>
      </c>
      <c r="AE20" s="28" t="s">
        <v>322</v>
      </c>
      <c r="AF20" s="28" t="s">
        <v>556</v>
      </c>
      <c r="AG20" s="28" t="s">
        <v>473</v>
      </c>
      <c r="AH20" s="28" t="s">
        <v>473</v>
      </c>
      <c r="AJ20" s="28" t="s">
        <v>462</v>
      </c>
      <c r="AL20" s="28" t="s">
        <v>473</v>
      </c>
      <c r="AM20" s="28" t="s">
        <v>473</v>
      </c>
      <c r="AN20" s="86" t="s">
        <v>473</v>
      </c>
      <c r="AO20" s="86" t="s">
        <v>473</v>
      </c>
      <c r="AP20" s="86" t="s">
        <v>473</v>
      </c>
      <c r="AQ20" s="28" t="s">
        <v>473</v>
      </c>
      <c r="AR20" s="28" t="s">
        <v>473</v>
      </c>
    </row>
    <row r="21" spans="1:44" ht="15.75" customHeight="1" x14ac:dyDescent="0.25">
      <c r="A21" s="26" t="s">
        <v>165</v>
      </c>
      <c r="B21" s="28" t="s">
        <v>479</v>
      </c>
      <c r="C21" s="29" t="s">
        <v>561</v>
      </c>
      <c r="D21" s="29" t="s">
        <v>561</v>
      </c>
      <c r="E21" s="29" t="s">
        <v>561</v>
      </c>
      <c r="F21" s="29" t="s">
        <v>473</v>
      </c>
      <c r="G21" s="29" t="s">
        <v>473</v>
      </c>
      <c r="H21" s="29" t="s">
        <v>473</v>
      </c>
      <c r="I21" s="29" t="s">
        <v>473</v>
      </c>
      <c r="J21" s="113" t="s">
        <v>481</v>
      </c>
      <c r="K21" s="29" t="s">
        <v>473</v>
      </c>
      <c r="L21" s="28" t="s">
        <v>558</v>
      </c>
      <c r="M21" s="28" t="s">
        <v>559</v>
      </c>
      <c r="N21" s="29" t="s">
        <v>473</v>
      </c>
      <c r="O21" s="29" t="s">
        <v>473</v>
      </c>
      <c r="P21" s="29" t="s">
        <v>473</v>
      </c>
      <c r="Q21" s="29" t="s">
        <v>473</v>
      </c>
      <c r="R21" s="29" t="s">
        <v>473</v>
      </c>
      <c r="S21" s="111" t="s">
        <v>560</v>
      </c>
      <c r="T21" s="29" t="s">
        <v>227</v>
      </c>
      <c r="U21" s="28" t="s">
        <v>322</v>
      </c>
      <c r="V21" s="29" t="s">
        <v>473</v>
      </c>
      <c r="W21" s="29" t="s">
        <v>473</v>
      </c>
      <c r="X21" s="28" t="s">
        <v>561</v>
      </c>
      <c r="Y21" s="28" t="s">
        <v>561</v>
      </c>
      <c r="Z21" s="28" t="s">
        <v>322</v>
      </c>
      <c r="AA21" s="28" t="s">
        <v>322</v>
      </c>
      <c r="AB21" s="28" t="s">
        <v>322</v>
      </c>
      <c r="AC21" s="28" t="s">
        <v>322</v>
      </c>
      <c r="AD21" s="28" t="s">
        <v>322</v>
      </c>
      <c r="AE21" s="28" t="s">
        <v>322</v>
      </c>
      <c r="AF21" s="28" t="s">
        <v>322</v>
      </c>
      <c r="AG21" s="29" t="s">
        <v>473</v>
      </c>
      <c r="AH21" s="29" t="s">
        <v>473</v>
      </c>
      <c r="AJ21" s="28" t="s">
        <v>484</v>
      </c>
      <c r="AL21" s="28" t="s">
        <v>479</v>
      </c>
      <c r="AM21" s="28" t="s">
        <v>473</v>
      </c>
      <c r="AN21" s="29" t="s">
        <v>473</v>
      </c>
      <c r="AO21" s="29" t="s">
        <v>473</v>
      </c>
      <c r="AP21" s="29" t="s">
        <v>473</v>
      </c>
      <c r="AQ21" s="29" t="s">
        <v>473</v>
      </c>
      <c r="AR21" s="29" t="s">
        <v>473</v>
      </c>
    </row>
    <row r="22" spans="1:44" x14ac:dyDescent="0.25">
      <c r="A22" s="131" t="s">
        <v>168</v>
      </c>
      <c r="B22" s="157">
        <v>87</v>
      </c>
      <c r="C22" s="157">
        <v>83</v>
      </c>
      <c r="D22" s="157">
        <v>83</v>
      </c>
      <c r="E22" s="157">
        <v>83</v>
      </c>
      <c r="F22" s="157">
        <v>85</v>
      </c>
      <c r="G22" s="157">
        <v>85</v>
      </c>
      <c r="H22" s="157">
        <v>85</v>
      </c>
      <c r="I22" s="157">
        <v>85</v>
      </c>
      <c r="J22" s="157">
        <v>130</v>
      </c>
      <c r="K22" s="157">
        <v>85</v>
      </c>
      <c r="L22" s="157">
        <v>89</v>
      </c>
      <c r="M22" s="157">
        <v>140</v>
      </c>
      <c r="N22" s="157">
        <v>85</v>
      </c>
      <c r="O22" s="157">
        <v>85</v>
      </c>
      <c r="P22" s="157">
        <v>85</v>
      </c>
      <c r="Q22" s="157">
        <v>85</v>
      </c>
      <c r="R22" s="157">
        <v>85</v>
      </c>
      <c r="S22" s="157">
        <v>133</v>
      </c>
      <c r="T22" s="157">
        <v>35</v>
      </c>
      <c r="U22" s="157">
        <v>98</v>
      </c>
      <c r="V22" s="157">
        <v>85</v>
      </c>
      <c r="W22" s="157">
        <v>85</v>
      </c>
      <c r="X22" s="157">
        <v>83</v>
      </c>
      <c r="Y22" s="157">
        <v>83</v>
      </c>
      <c r="Z22" s="157">
        <v>98</v>
      </c>
      <c r="AA22" s="157">
        <v>98</v>
      </c>
      <c r="AB22" s="157">
        <v>98</v>
      </c>
      <c r="AC22" s="157">
        <v>98</v>
      </c>
      <c r="AD22" s="157">
        <v>98</v>
      </c>
      <c r="AE22" s="157">
        <v>98</v>
      </c>
      <c r="AF22" s="157">
        <v>98</v>
      </c>
      <c r="AG22" s="157">
        <v>85</v>
      </c>
      <c r="AH22" s="157">
        <v>85</v>
      </c>
      <c r="AJ22" s="157">
        <v>139</v>
      </c>
      <c r="AL22" s="157">
        <v>87</v>
      </c>
      <c r="AM22" s="157">
        <v>85</v>
      </c>
      <c r="AN22" s="157">
        <v>85</v>
      </c>
      <c r="AO22" s="157">
        <v>85</v>
      </c>
      <c r="AP22" s="157">
        <v>85</v>
      </c>
      <c r="AQ22" s="157">
        <v>85</v>
      </c>
      <c r="AR22" s="157">
        <v>85</v>
      </c>
    </row>
    <row r="23" spans="1:44" x14ac:dyDescent="0.25">
      <c r="A23" s="26" t="s">
        <v>169</v>
      </c>
      <c r="B23" s="28" t="s">
        <v>170</v>
      </c>
      <c r="C23" s="28" t="s">
        <v>170</v>
      </c>
      <c r="D23" s="28" t="s">
        <v>170</v>
      </c>
      <c r="E23" s="28" t="s">
        <v>170</v>
      </c>
      <c r="F23" s="28" t="s">
        <v>170</v>
      </c>
      <c r="G23" s="28" t="s">
        <v>170</v>
      </c>
      <c r="H23" s="28" t="s">
        <v>170</v>
      </c>
      <c r="I23" s="28" t="s">
        <v>170</v>
      </c>
      <c r="J23" s="28" t="s">
        <v>170</v>
      </c>
      <c r="K23" s="28" t="s">
        <v>170</v>
      </c>
      <c r="L23" s="28" t="s">
        <v>170</v>
      </c>
      <c r="M23" s="28" t="s">
        <v>170</v>
      </c>
      <c r="N23" s="28" t="s">
        <v>170</v>
      </c>
      <c r="O23" s="28" t="s">
        <v>170</v>
      </c>
      <c r="P23" s="28" t="s">
        <v>170</v>
      </c>
      <c r="Q23" s="28" t="s">
        <v>170</v>
      </c>
      <c r="R23" s="28" t="s">
        <v>170</v>
      </c>
      <c r="S23" s="28" t="s">
        <v>170</v>
      </c>
      <c r="T23" s="29" t="s">
        <v>170</v>
      </c>
      <c r="U23" s="28" t="s">
        <v>170</v>
      </c>
      <c r="V23" s="28" t="s">
        <v>170</v>
      </c>
      <c r="W23" s="28" t="s">
        <v>170</v>
      </c>
      <c r="X23" s="28" t="s">
        <v>170</v>
      </c>
      <c r="Y23" s="28" t="s">
        <v>170</v>
      </c>
      <c r="Z23" s="28" t="s">
        <v>170</v>
      </c>
      <c r="AA23" s="28" t="s">
        <v>170</v>
      </c>
      <c r="AB23" s="28" t="s">
        <v>170</v>
      </c>
      <c r="AC23" s="28" t="s">
        <v>170</v>
      </c>
      <c r="AD23" s="28" t="s">
        <v>170</v>
      </c>
      <c r="AE23" s="28" t="s">
        <v>170</v>
      </c>
      <c r="AF23" s="28" t="s">
        <v>170</v>
      </c>
      <c r="AG23" s="28" t="s">
        <v>170</v>
      </c>
      <c r="AH23" s="28" t="s">
        <v>170</v>
      </c>
      <c r="AJ23" s="28" t="s">
        <v>170</v>
      </c>
      <c r="AL23" s="28" t="s">
        <v>170</v>
      </c>
      <c r="AM23" s="28" t="s">
        <v>170</v>
      </c>
      <c r="AN23" s="28" t="s">
        <v>170</v>
      </c>
      <c r="AO23" s="28" t="s">
        <v>170</v>
      </c>
      <c r="AP23" s="28" t="s">
        <v>170</v>
      </c>
      <c r="AQ23" s="28" t="s">
        <v>170</v>
      </c>
      <c r="AR23" s="28" t="s">
        <v>170</v>
      </c>
    </row>
    <row r="24" spans="1:44" x14ac:dyDescent="0.25">
      <c r="A24" s="26" t="s">
        <v>171</v>
      </c>
      <c r="B24" s="28" t="s">
        <v>170</v>
      </c>
      <c r="C24" s="28" t="s">
        <v>170</v>
      </c>
      <c r="D24" s="28" t="s">
        <v>170</v>
      </c>
      <c r="E24" s="28" t="s">
        <v>170</v>
      </c>
      <c r="F24" s="28" t="s">
        <v>170</v>
      </c>
      <c r="G24" s="28" t="s">
        <v>170</v>
      </c>
      <c r="H24" s="28" t="s">
        <v>170</v>
      </c>
      <c r="I24" s="28" t="s">
        <v>170</v>
      </c>
      <c r="J24" s="28" t="s">
        <v>170</v>
      </c>
      <c r="K24" s="28" t="s">
        <v>170</v>
      </c>
      <c r="L24" s="28" t="s">
        <v>170</v>
      </c>
      <c r="M24" s="28" t="s">
        <v>170</v>
      </c>
      <c r="N24" s="28" t="s">
        <v>170</v>
      </c>
      <c r="O24" s="28" t="s">
        <v>170</v>
      </c>
      <c r="P24" s="28" t="s">
        <v>170</v>
      </c>
      <c r="Q24" s="28" t="s">
        <v>170</v>
      </c>
      <c r="R24" s="28" t="s">
        <v>170</v>
      </c>
      <c r="S24" s="87" t="s">
        <v>170</v>
      </c>
      <c r="T24" s="29" t="s">
        <v>170</v>
      </c>
      <c r="U24" s="28" t="s">
        <v>170</v>
      </c>
      <c r="V24" s="28" t="s">
        <v>170</v>
      </c>
      <c r="W24" s="28" t="s">
        <v>170</v>
      </c>
      <c r="X24" s="28" t="s">
        <v>170</v>
      </c>
      <c r="Y24" s="28" t="s">
        <v>170</v>
      </c>
      <c r="Z24" s="28" t="s">
        <v>170</v>
      </c>
      <c r="AA24" s="28" t="s">
        <v>170</v>
      </c>
      <c r="AB24" s="28" t="s">
        <v>170</v>
      </c>
      <c r="AC24" s="28" t="s">
        <v>170</v>
      </c>
      <c r="AD24" s="28" t="s">
        <v>170</v>
      </c>
      <c r="AE24" s="28" t="s">
        <v>170</v>
      </c>
      <c r="AF24" s="28" t="s">
        <v>170</v>
      </c>
      <c r="AG24" s="28" t="s">
        <v>170</v>
      </c>
      <c r="AH24" s="28" t="s">
        <v>170</v>
      </c>
      <c r="AJ24" s="28" t="s">
        <v>170</v>
      </c>
      <c r="AL24" s="28" t="s">
        <v>170</v>
      </c>
      <c r="AM24" s="28" t="s">
        <v>170</v>
      </c>
      <c r="AN24" s="28" t="s">
        <v>170</v>
      </c>
      <c r="AO24" s="28" t="s">
        <v>170</v>
      </c>
      <c r="AP24" s="28" t="s">
        <v>170</v>
      </c>
      <c r="AQ24" s="28" t="s">
        <v>170</v>
      </c>
      <c r="AR24" s="28" t="s">
        <v>170</v>
      </c>
    </row>
    <row r="25" spans="1:44" x14ac:dyDescent="0.25">
      <c r="A25" s="26" t="s">
        <v>172</v>
      </c>
      <c r="B25" s="28" t="s">
        <v>173</v>
      </c>
      <c r="C25" s="28" t="s">
        <v>173</v>
      </c>
      <c r="D25" s="28" t="s">
        <v>173</v>
      </c>
      <c r="E25" s="28" t="s">
        <v>173</v>
      </c>
      <c r="F25" s="28" t="s">
        <v>173</v>
      </c>
      <c r="G25" s="28" t="s">
        <v>173</v>
      </c>
      <c r="H25" s="28" t="s">
        <v>173</v>
      </c>
      <c r="I25" s="28" t="s">
        <v>173</v>
      </c>
      <c r="J25" s="28" t="s">
        <v>173</v>
      </c>
      <c r="K25" s="28" t="s">
        <v>173</v>
      </c>
      <c r="L25" s="28" t="s">
        <v>173</v>
      </c>
      <c r="M25" s="28" t="s">
        <v>173</v>
      </c>
      <c r="N25" s="28" t="s">
        <v>173</v>
      </c>
      <c r="O25" s="28" t="s">
        <v>173</v>
      </c>
      <c r="P25" s="28" t="s">
        <v>173</v>
      </c>
      <c r="Q25" s="28" t="s">
        <v>173</v>
      </c>
      <c r="R25" s="28" t="s">
        <v>173</v>
      </c>
      <c r="S25" s="28" t="s">
        <v>173</v>
      </c>
      <c r="T25" s="28" t="s">
        <v>170</v>
      </c>
      <c r="U25" s="28" t="s">
        <v>173</v>
      </c>
      <c r="V25" s="28" t="s">
        <v>173</v>
      </c>
      <c r="W25" s="28" t="s">
        <v>173</v>
      </c>
      <c r="X25" s="28" t="s">
        <v>173</v>
      </c>
      <c r="Y25" s="28" t="s">
        <v>173</v>
      </c>
      <c r="Z25" s="28" t="s">
        <v>173</v>
      </c>
      <c r="AA25" s="28" t="s">
        <v>173</v>
      </c>
      <c r="AB25" s="28" t="s">
        <v>173</v>
      </c>
      <c r="AC25" s="28" t="s">
        <v>173</v>
      </c>
      <c r="AD25" s="28" t="s">
        <v>173</v>
      </c>
      <c r="AE25" s="28" t="s">
        <v>173</v>
      </c>
      <c r="AF25" s="28" t="s">
        <v>173</v>
      </c>
      <c r="AG25" s="28" t="s">
        <v>173</v>
      </c>
      <c r="AH25" s="28" t="s">
        <v>173</v>
      </c>
      <c r="AJ25" s="28" t="s">
        <v>173</v>
      </c>
      <c r="AL25" s="28" t="s">
        <v>173</v>
      </c>
      <c r="AM25" s="28" t="s">
        <v>173</v>
      </c>
      <c r="AN25" s="28" t="s">
        <v>173</v>
      </c>
      <c r="AO25" s="28" t="s">
        <v>173</v>
      </c>
      <c r="AP25" s="28" t="s">
        <v>173</v>
      </c>
      <c r="AQ25" s="28" t="s">
        <v>173</v>
      </c>
      <c r="AR25" s="28" t="s">
        <v>173</v>
      </c>
    </row>
    <row r="26" spans="1:44" x14ac:dyDescent="0.25">
      <c r="A26" s="26" t="s">
        <v>174</v>
      </c>
      <c r="B26" s="28" t="s">
        <v>170</v>
      </c>
      <c r="C26" s="28" t="s">
        <v>173</v>
      </c>
      <c r="D26" s="28" t="s">
        <v>173</v>
      </c>
      <c r="E26" s="28" t="s">
        <v>173</v>
      </c>
      <c r="F26" s="28" t="s">
        <v>170</v>
      </c>
      <c r="G26" s="28" t="s">
        <v>170</v>
      </c>
      <c r="H26" s="28" t="s">
        <v>170</v>
      </c>
      <c r="I26" s="28" t="s">
        <v>170</v>
      </c>
      <c r="J26" s="28" t="s">
        <v>170</v>
      </c>
      <c r="K26" s="28" t="s">
        <v>170</v>
      </c>
      <c r="L26" s="28" t="s">
        <v>170</v>
      </c>
      <c r="M26" s="28" t="s">
        <v>170</v>
      </c>
      <c r="N26" s="28" t="s">
        <v>170</v>
      </c>
      <c r="O26" s="28" t="s">
        <v>170</v>
      </c>
      <c r="P26" s="28" t="s">
        <v>170</v>
      </c>
      <c r="Q26" s="28" t="s">
        <v>170</v>
      </c>
      <c r="R26" s="28" t="s">
        <v>170</v>
      </c>
      <c r="S26" s="116" t="s">
        <v>288</v>
      </c>
      <c r="T26" s="28" t="s">
        <v>173</v>
      </c>
      <c r="U26" s="28" t="s">
        <v>173</v>
      </c>
      <c r="V26" s="28" t="s">
        <v>170</v>
      </c>
      <c r="W26" s="28" t="s">
        <v>170</v>
      </c>
      <c r="X26" s="28" t="s">
        <v>173</v>
      </c>
      <c r="Y26" s="28" t="s">
        <v>173</v>
      </c>
      <c r="Z26" s="28" t="s">
        <v>173</v>
      </c>
      <c r="AA26" s="28" t="s">
        <v>173</v>
      </c>
      <c r="AB26" s="28" t="s">
        <v>173</v>
      </c>
      <c r="AC26" s="28" t="s">
        <v>173</v>
      </c>
      <c r="AD26" s="28" t="s">
        <v>173</v>
      </c>
      <c r="AE26" s="28" t="s">
        <v>173</v>
      </c>
      <c r="AF26" s="28" t="s">
        <v>173</v>
      </c>
      <c r="AG26" s="28" t="s">
        <v>170</v>
      </c>
      <c r="AH26" s="28" t="s">
        <v>170</v>
      </c>
      <c r="AJ26" s="28" t="s">
        <v>170</v>
      </c>
      <c r="AL26" s="28" t="s">
        <v>170</v>
      </c>
      <c r="AM26" s="28" t="s">
        <v>170</v>
      </c>
      <c r="AN26" s="28" t="s">
        <v>170</v>
      </c>
      <c r="AO26" s="28" t="s">
        <v>170</v>
      </c>
      <c r="AP26" s="28" t="s">
        <v>170</v>
      </c>
      <c r="AQ26" s="28" t="s">
        <v>170</v>
      </c>
      <c r="AR26" s="28" t="s">
        <v>170</v>
      </c>
    </row>
    <row r="27" spans="1:44" x14ac:dyDescent="0.25">
      <c r="A27" s="26" t="s">
        <v>175</v>
      </c>
      <c r="B27" s="28" t="s">
        <v>486</v>
      </c>
      <c r="C27" s="28" t="s">
        <v>198</v>
      </c>
      <c r="D27" s="28" t="s">
        <v>198</v>
      </c>
      <c r="E27" s="28" t="s">
        <v>198</v>
      </c>
      <c r="F27" s="28" t="s">
        <v>198</v>
      </c>
      <c r="G27" s="28" t="s">
        <v>198</v>
      </c>
      <c r="H27" s="28" t="s">
        <v>198</v>
      </c>
      <c r="I27" s="28" t="s">
        <v>198</v>
      </c>
      <c r="J27" s="111" t="s">
        <v>487</v>
      </c>
      <c r="K27" s="28" t="s">
        <v>198</v>
      </c>
      <c r="L27" s="28" t="s">
        <v>486</v>
      </c>
      <c r="M27" s="28" t="s">
        <v>267</v>
      </c>
      <c r="N27" s="28" t="s">
        <v>198</v>
      </c>
      <c r="O27" s="28" t="s">
        <v>198</v>
      </c>
      <c r="P27" s="28" t="s">
        <v>198</v>
      </c>
      <c r="Q27" s="28" t="s">
        <v>198</v>
      </c>
      <c r="R27" s="28" t="s">
        <v>198</v>
      </c>
      <c r="S27" s="111" t="s">
        <v>487</v>
      </c>
      <c r="T27" s="28" t="s">
        <v>199</v>
      </c>
      <c r="U27" s="28" t="s">
        <v>199</v>
      </c>
      <c r="V27" s="28" t="s">
        <v>198</v>
      </c>
      <c r="W27" s="28" t="s">
        <v>198</v>
      </c>
      <c r="X27" s="28" t="s">
        <v>198</v>
      </c>
      <c r="Y27" s="28" t="s">
        <v>198</v>
      </c>
      <c r="Z27" s="28" t="s">
        <v>199</v>
      </c>
      <c r="AA27" s="28" t="s">
        <v>199</v>
      </c>
      <c r="AB27" s="28" t="s">
        <v>199</v>
      </c>
      <c r="AC27" s="28" t="s">
        <v>199</v>
      </c>
      <c r="AD27" s="28" t="s">
        <v>199</v>
      </c>
      <c r="AE27" s="28" t="s">
        <v>199</v>
      </c>
      <c r="AF27" s="28" t="s">
        <v>199</v>
      </c>
      <c r="AG27" s="28" t="s">
        <v>198</v>
      </c>
      <c r="AH27" s="28" t="s">
        <v>198</v>
      </c>
      <c r="AJ27" s="28" t="s">
        <v>199</v>
      </c>
      <c r="AL27" s="29" t="s">
        <v>486</v>
      </c>
      <c r="AM27" s="29" t="s">
        <v>198</v>
      </c>
      <c r="AN27" s="28" t="s">
        <v>198</v>
      </c>
      <c r="AO27" s="28" t="s">
        <v>198</v>
      </c>
      <c r="AP27" s="28" t="s">
        <v>198</v>
      </c>
      <c r="AQ27" s="28" t="s">
        <v>198</v>
      </c>
      <c r="AR27" s="28" t="s">
        <v>198</v>
      </c>
    </row>
    <row r="28" spans="1:44" x14ac:dyDescent="0.25">
      <c r="A28" s="26" t="s">
        <v>176</v>
      </c>
      <c r="B28" s="30">
        <f>-7/6</f>
        <v>-1.1666666666666667</v>
      </c>
      <c r="C28" s="30">
        <v>0.75</v>
      </c>
      <c r="D28" s="30">
        <v>0.75</v>
      </c>
      <c r="E28" s="30">
        <v>0.75</v>
      </c>
      <c r="F28" s="30">
        <v>0.75</v>
      </c>
      <c r="G28" s="30">
        <v>0.75</v>
      </c>
      <c r="H28" s="30">
        <v>0.75</v>
      </c>
      <c r="I28" s="30">
        <v>0.75</v>
      </c>
      <c r="J28" s="30">
        <f>AVERAGE(0.75,0.75,0.75,0)</f>
        <v>0.5625</v>
      </c>
      <c r="K28" s="30">
        <v>0.75</v>
      </c>
      <c r="L28" s="30">
        <v>-1.625</v>
      </c>
      <c r="M28" s="30">
        <v>-3</v>
      </c>
      <c r="N28" s="30">
        <v>0.75</v>
      </c>
      <c r="O28" s="30">
        <v>0.75</v>
      </c>
      <c r="P28" s="30">
        <v>0.75</v>
      </c>
      <c r="Q28" s="30">
        <v>0.75</v>
      </c>
      <c r="R28" s="30">
        <v>0.75</v>
      </c>
      <c r="S28" s="30">
        <f>AVERAGE(0.75,0.75,(AVERAGE(0,-2)))</f>
        <v>0.16666666666666666</v>
      </c>
      <c r="T28" s="120">
        <v>-0.5</v>
      </c>
      <c r="U28" s="30">
        <v>-2</v>
      </c>
      <c r="V28" s="30">
        <v>0.75</v>
      </c>
      <c r="W28" s="30">
        <v>0.75</v>
      </c>
      <c r="X28" s="30">
        <v>0.75</v>
      </c>
      <c r="Y28" s="30">
        <v>0.75</v>
      </c>
      <c r="Z28" s="30">
        <v>-2</v>
      </c>
      <c r="AA28" s="30">
        <v>-2</v>
      </c>
      <c r="AB28" s="30">
        <v>-2</v>
      </c>
      <c r="AC28" s="30">
        <v>-2</v>
      </c>
      <c r="AD28" s="30">
        <v>-2</v>
      </c>
      <c r="AE28" s="30">
        <v>-2</v>
      </c>
      <c r="AF28" s="30">
        <v>-2</v>
      </c>
      <c r="AG28" s="30">
        <v>0.75</v>
      </c>
      <c r="AH28" s="30">
        <v>0.75</v>
      </c>
      <c r="AJ28" s="30">
        <f>-1/6</f>
        <v>-0.16666666666666666</v>
      </c>
      <c r="AL28" s="30">
        <f>-7/6</f>
        <v>-1.1666666666666667</v>
      </c>
      <c r="AM28" s="30">
        <v>0.75</v>
      </c>
      <c r="AN28" s="30">
        <v>0.75</v>
      </c>
      <c r="AO28" s="30">
        <v>0.75</v>
      </c>
      <c r="AP28" s="30">
        <v>0.75</v>
      </c>
      <c r="AQ28" s="30">
        <v>0.75</v>
      </c>
      <c r="AR28" s="30">
        <v>0.75</v>
      </c>
    </row>
    <row r="29" spans="1:44" x14ac:dyDescent="0.25">
      <c r="A29" s="26" t="s">
        <v>177</v>
      </c>
      <c r="B29" s="28" t="s">
        <v>489</v>
      </c>
      <c r="C29" s="28" t="s">
        <v>462</v>
      </c>
      <c r="D29" s="28" t="s">
        <v>462</v>
      </c>
      <c r="E29" s="28" t="s">
        <v>462</v>
      </c>
      <c r="F29" s="28" t="s">
        <v>489</v>
      </c>
      <c r="G29" s="28" t="s">
        <v>489</v>
      </c>
      <c r="H29" s="28" t="s">
        <v>489</v>
      </c>
      <c r="I29" s="28" t="s">
        <v>489</v>
      </c>
      <c r="J29" s="28" t="s">
        <v>489</v>
      </c>
      <c r="K29" s="28" t="s">
        <v>489</v>
      </c>
      <c r="L29" s="28" t="s">
        <v>489</v>
      </c>
      <c r="M29" s="28" t="s">
        <v>489</v>
      </c>
      <c r="N29" s="28" t="s">
        <v>489</v>
      </c>
      <c r="O29" s="28" t="s">
        <v>489</v>
      </c>
      <c r="P29" s="28" t="s">
        <v>489</v>
      </c>
      <c r="Q29" s="28" t="s">
        <v>489</v>
      </c>
      <c r="R29" s="28" t="s">
        <v>489</v>
      </c>
      <c r="S29" s="113" t="s">
        <v>562</v>
      </c>
      <c r="T29" s="28" t="s">
        <v>200</v>
      </c>
      <c r="U29" s="28" t="s">
        <v>334</v>
      </c>
      <c r="V29" s="28" t="s">
        <v>489</v>
      </c>
      <c r="W29" s="28" t="s">
        <v>489</v>
      </c>
      <c r="X29" s="28" t="s">
        <v>462</v>
      </c>
      <c r="Y29" s="28" t="s">
        <v>462</v>
      </c>
      <c r="Z29" s="28" t="s">
        <v>334</v>
      </c>
      <c r="AA29" s="28" t="s">
        <v>334</v>
      </c>
      <c r="AB29" s="28" t="s">
        <v>334</v>
      </c>
      <c r="AC29" s="28" t="s">
        <v>334</v>
      </c>
      <c r="AD29" s="28" t="s">
        <v>334</v>
      </c>
      <c r="AE29" s="28" t="s">
        <v>334</v>
      </c>
      <c r="AF29" s="28" t="s">
        <v>334</v>
      </c>
      <c r="AG29" s="28" t="s">
        <v>489</v>
      </c>
      <c r="AH29" s="28" t="s">
        <v>489</v>
      </c>
      <c r="AJ29" s="28" t="s">
        <v>489</v>
      </c>
      <c r="AL29" s="28" t="s">
        <v>489</v>
      </c>
      <c r="AM29" s="28" t="s">
        <v>489</v>
      </c>
      <c r="AN29" s="28" t="s">
        <v>489</v>
      </c>
      <c r="AO29" s="28" t="s">
        <v>489</v>
      </c>
      <c r="AP29" s="28" t="s">
        <v>489</v>
      </c>
      <c r="AQ29" s="28" t="s">
        <v>489</v>
      </c>
      <c r="AR29" s="28" t="s">
        <v>489</v>
      </c>
    </row>
    <row r="30" spans="1:44" x14ac:dyDescent="0.25">
      <c r="A30" s="26" t="s">
        <v>182</v>
      </c>
      <c r="B30" s="30">
        <v>0.75</v>
      </c>
      <c r="C30" s="30">
        <v>1</v>
      </c>
      <c r="D30" s="30">
        <v>1</v>
      </c>
      <c r="E30" s="30">
        <v>1</v>
      </c>
      <c r="F30" s="30">
        <v>0.75</v>
      </c>
      <c r="G30" s="30">
        <v>0.75</v>
      </c>
      <c r="H30" s="30">
        <v>0.75</v>
      </c>
      <c r="I30" s="30">
        <v>0.75</v>
      </c>
      <c r="J30" s="30">
        <v>0.75</v>
      </c>
      <c r="K30" s="30">
        <v>0.75</v>
      </c>
      <c r="L30" s="30">
        <v>0.75</v>
      </c>
      <c r="M30" s="30">
        <v>0.75</v>
      </c>
      <c r="N30" s="30">
        <v>0.75</v>
      </c>
      <c r="O30" s="30">
        <v>0.75</v>
      </c>
      <c r="P30" s="30">
        <v>0.75</v>
      </c>
      <c r="Q30" s="30">
        <v>0.75</v>
      </c>
      <c r="R30" s="30">
        <v>0.75</v>
      </c>
      <c r="S30" s="30">
        <f>2/3</f>
        <v>0.66666666666666663</v>
      </c>
      <c r="T30" s="30">
        <v>3</v>
      </c>
      <c r="U30" s="30">
        <v>0.5</v>
      </c>
      <c r="V30" s="30">
        <v>0.75</v>
      </c>
      <c r="W30" s="30">
        <v>0.75</v>
      </c>
      <c r="X30" s="30">
        <v>1</v>
      </c>
      <c r="Y30" s="30">
        <v>1</v>
      </c>
      <c r="Z30" s="30">
        <f t="shared" ref="Z30:AF30" si="0">1/3</f>
        <v>0.33333333333333331</v>
      </c>
      <c r="AA30" s="30">
        <f t="shared" si="0"/>
        <v>0.33333333333333331</v>
      </c>
      <c r="AB30" s="30">
        <f t="shared" si="0"/>
        <v>0.33333333333333331</v>
      </c>
      <c r="AC30" s="30">
        <f t="shared" si="0"/>
        <v>0.33333333333333331</v>
      </c>
      <c r="AD30" s="30">
        <f t="shared" si="0"/>
        <v>0.33333333333333331</v>
      </c>
      <c r="AE30" s="30">
        <f t="shared" si="0"/>
        <v>0.33333333333333331</v>
      </c>
      <c r="AF30" s="30">
        <f t="shared" si="0"/>
        <v>0.33333333333333331</v>
      </c>
      <c r="AG30" s="30">
        <v>0.75</v>
      </c>
      <c r="AH30" s="30">
        <v>0.75</v>
      </c>
      <c r="AJ30" s="30">
        <v>0.75</v>
      </c>
      <c r="AL30" s="30">
        <v>0.75</v>
      </c>
      <c r="AM30" s="30">
        <v>0.75</v>
      </c>
      <c r="AN30" s="30">
        <v>0.75</v>
      </c>
      <c r="AO30" s="30">
        <v>0.75</v>
      </c>
      <c r="AP30" s="30">
        <v>0.75</v>
      </c>
      <c r="AQ30" s="30">
        <v>0.75</v>
      </c>
      <c r="AR30" s="30">
        <v>0.75</v>
      </c>
    </row>
    <row r="31" spans="1:44" ht="15.75" customHeight="1" x14ac:dyDescent="0.25">
      <c r="B31" s="78" t="s">
        <v>577</v>
      </c>
      <c r="C31" s="223" t="s">
        <v>578</v>
      </c>
      <c r="D31" s="223"/>
      <c r="E31" s="223"/>
      <c r="F31" s="223"/>
      <c r="G31" s="223"/>
      <c r="H31" s="223"/>
      <c r="I31" s="223"/>
      <c r="AJ31" s="78" t="s">
        <v>579</v>
      </c>
      <c r="AL31" s="223" t="s">
        <v>580</v>
      </c>
      <c r="AM31" s="223"/>
      <c r="AN31" s="223"/>
      <c r="AO31" s="223"/>
      <c r="AP31" s="223"/>
      <c r="AQ31" s="223"/>
      <c r="AR31" s="223"/>
    </row>
    <row r="32" spans="1:44" x14ac:dyDescent="0.25">
      <c r="A32" s="31" t="s">
        <v>183</v>
      </c>
    </row>
    <row r="33" spans="1:2" x14ac:dyDescent="0.25">
      <c r="A33" s="236" t="s">
        <v>581</v>
      </c>
      <c r="B33" s="95" t="s">
        <v>582</v>
      </c>
    </row>
    <row r="34" spans="1:2" x14ac:dyDescent="0.25">
      <c r="A34" s="235"/>
      <c r="B34" s="96" t="s">
        <v>583</v>
      </c>
    </row>
    <row r="35" spans="1:2" x14ac:dyDescent="0.25">
      <c r="A35" s="235"/>
      <c r="B35" s="96" t="s">
        <v>584</v>
      </c>
    </row>
    <row r="36" spans="1:2" x14ac:dyDescent="0.25">
      <c r="A36" s="26" t="s">
        <v>585</v>
      </c>
    </row>
    <row r="37" spans="1:2" x14ac:dyDescent="0.25">
      <c r="A37" s="26" t="s">
        <v>586</v>
      </c>
    </row>
  </sheetData>
  <mergeCells count="8">
    <mergeCell ref="AL31:AR31"/>
    <mergeCell ref="C31:I31"/>
    <mergeCell ref="F3:O3"/>
    <mergeCell ref="F4:O5"/>
    <mergeCell ref="A33:A35"/>
    <mergeCell ref="B3:D3"/>
    <mergeCell ref="B4:D4"/>
    <mergeCell ref="B5:D5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D739E-5052-4867-9527-1306A031B761}">
  <dimension ref="A1:AH33"/>
  <sheetViews>
    <sheetView workbookViewId="0">
      <selection activeCell="P21" sqref="P21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117</v>
      </c>
      <c r="I1" s="25" t="s">
        <v>549</v>
      </c>
    </row>
    <row r="3" spans="1:34" ht="18" x14ac:dyDescent="0.25">
      <c r="A3" s="25" t="s">
        <v>119</v>
      </c>
      <c r="B3" s="215">
        <v>35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587</v>
      </c>
      <c r="C4" s="215"/>
      <c r="D4" s="215"/>
      <c r="F4" s="216" t="s">
        <v>588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377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57" t="s">
        <v>17</v>
      </c>
      <c r="C7" s="58" t="s">
        <v>127</v>
      </c>
      <c r="D7" s="58" t="s">
        <v>128</v>
      </c>
      <c r="E7" s="59" t="s">
        <v>129</v>
      </c>
      <c r="F7" s="60" t="s">
        <v>130</v>
      </c>
      <c r="G7" s="61" t="s">
        <v>131</v>
      </c>
      <c r="H7" s="61" t="s">
        <v>132</v>
      </c>
      <c r="I7" s="62" t="s">
        <v>133</v>
      </c>
      <c r="J7" s="63" t="s">
        <v>134</v>
      </c>
      <c r="K7" s="64" t="s">
        <v>135</v>
      </c>
      <c r="L7" s="64" t="s">
        <v>136</v>
      </c>
      <c r="M7" s="64" t="s">
        <v>137</v>
      </c>
      <c r="N7" s="65" t="s">
        <v>138</v>
      </c>
      <c r="O7" s="65" t="s">
        <v>139</v>
      </c>
      <c r="P7" s="67" t="s">
        <v>140</v>
      </c>
      <c r="Q7" s="67" t="s">
        <v>141</v>
      </c>
      <c r="R7" s="66" t="s">
        <v>142</v>
      </c>
      <c r="S7" s="68" t="s">
        <v>143</v>
      </c>
      <c r="T7" s="69" t="s">
        <v>144</v>
      </c>
      <c r="U7" s="69" t="s">
        <v>145</v>
      </c>
      <c r="V7" s="70" t="s">
        <v>146</v>
      </c>
      <c r="W7" s="70" t="s">
        <v>147</v>
      </c>
      <c r="X7" s="71" t="s">
        <v>148</v>
      </c>
      <c r="Y7" s="71" t="s">
        <v>149</v>
      </c>
      <c r="Z7" s="72" t="s">
        <v>150</v>
      </c>
      <c r="AA7" s="72" t="s">
        <v>151</v>
      </c>
      <c r="AB7" s="73" t="s">
        <v>152</v>
      </c>
      <c r="AC7" s="73" t="s">
        <v>153</v>
      </c>
      <c r="AD7" s="73" t="s">
        <v>154</v>
      </c>
      <c r="AE7" s="74" t="s">
        <v>155</v>
      </c>
      <c r="AF7" s="75" t="s">
        <v>156</v>
      </c>
      <c r="AG7" s="76" t="s">
        <v>157</v>
      </c>
      <c r="AH7" s="76" t="s">
        <v>158</v>
      </c>
    </row>
    <row r="8" spans="1:34" x14ac:dyDescent="0.25">
      <c r="A8" s="26" t="s">
        <v>159</v>
      </c>
      <c r="B8" s="28" t="s">
        <v>191</v>
      </c>
      <c r="C8" s="28" t="s">
        <v>192</v>
      </c>
      <c r="D8" s="28" t="s">
        <v>192</v>
      </c>
      <c r="E8" s="28" t="s">
        <v>192</v>
      </c>
      <c r="F8" s="28" t="s">
        <v>192</v>
      </c>
      <c r="G8" s="28" t="s">
        <v>192</v>
      </c>
      <c r="H8" s="28" t="s">
        <v>192</v>
      </c>
      <c r="I8" s="28" t="s">
        <v>192</v>
      </c>
      <c r="J8" s="28" t="s">
        <v>192</v>
      </c>
      <c r="K8" s="28" t="s">
        <v>192</v>
      </c>
      <c r="L8" s="28" t="s">
        <v>192</v>
      </c>
      <c r="M8" s="28" t="s">
        <v>192</v>
      </c>
      <c r="N8" s="28" t="s">
        <v>192</v>
      </c>
      <c r="O8" s="28" t="s">
        <v>192</v>
      </c>
      <c r="P8" s="28" t="s">
        <v>192</v>
      </c>
      <c r="Q8" s="28" t="s">
        <v>192</v>
      </c>
      <c r="R8" s="28" t="s">
        <v>192</v>
      </c>
      <c r="S8" s="28" t="s">
        <v>192</v>
      </c>
      <c r="T8" s="28" t="s">
        <v>192</v>
      </c>
      <c r="U8" s="28" t="s">
        <v>192</v>
      </c>
      <c r="V8" s="28" t="s">
        <v>192</v>
      </c>
      <c r="W8" s="28" t="s">
        <v>192</v>
      </c>
      <c r="X8" s="28" t="s">
        <v>192</v>
      </c>
      <c r="Y8" s="28" t="s">
        <v>192</v>
      </c>
      <c r="Z8" s="28" t="s">
        <v>192</v>
      </c>
      <c r="AA8" s="28" t="s">
        <v>192</v>
      </c>
      <c r="AB8" s="28" t="s">
        <v>192</v>
      </c>
      <c r="AC8" s="28" t="s">
        <v>192</v>
      </c>
      <c r="AD8" s="28" t="s">
        <v>192</v>
      </c>
      <c r="AE8" s="28" t="s">
        <v>192</v>
      </c>
      <c r="AF8" s="28" t="s">
        <v>192</v>
      </c>
      <c r="AG8" s="28" t="s">
        <v>192</v>
      </c>
      <c r="AH8" s="28" t="s">
        <v>192</v>
      </c>
    </row>
    <row r="9" spans="1:34" x14ac:dyDescent="0.25">
      <c r="A9" s="26" t="s">
        <v>165</v>
      </c>
      <c r="B9" s="29" t="s">
        <v>195</v>
      </c>
      <c r="C9" s="29" t="s">
        <v>195</v>
      </c>
      <c r="D9" s="29" t="s">
        <v>195</v>
      </c>
      <c r="E9" s="29" t="s">
        <v>195</v>
      </c>
      <c r="F9" s="29" t="s">
        <v>195</v>
      </c>
      <c r="G9" s="29" t="s">
        <v>195</v>
      </c>
      <c r="H9" s="29" t="s">
        <v>195</v>
      </c>
      <c r="I9" s="29" t="s">
        <v>195</v>
      </c>
      <c r="J9" s="29" t="s">
        <v>195</v>
      </c>
      <c r="K9" s="29" t="s">
        <v>195</v>
      </c>
      <c r="L9" s="29" t="s">
        <v>195</v>
      </c>
      <c r="M9" s="29" t="s">
        <v>195</v>
      </c>
      <c r="N9" s="29" t="s">
        <v>195</v>
      </c>
      <c r="O9" s="29" t="s">
        <v>195</v>
      </c>
      <c r="P9" s="29" t="s">
        <v>195</v>
      </c>
      <c r="Q9" s="29" t="s">
        <v>195</v>
      </c>
      <c r="R9" s="29" t="s">
        <v>195</v>
      </c>
      <c r="S9" s="29" t="s">
        <v>195</v>
      </c>
      <c r="T9" s="29" t="s">
        <v>195</v>
      </c>
      <c r="U9" s="29" t="s">
        <v>195</v>
      </c>
      <c r="V9" s="29" t="s">
        <v>195</v>
      </c>
      <c r="W9" s="29" t="s">
        <v>195</v>
      </c>
      <c r="X9" s="29" t="s">
        <v>195</v>
      </c>
      <c r="Y9" s="29" t="s">
        <v>195</v>
      </c>
      <c r="Z9" s="29" t="s">
        <v>589</v>
      </c>
      <c r="AA9" s="29" t="s">
        <v>195</v>
      </c>
      <c r="AB9" s="29" t="s">
        <v>195</v>
      </c>
      <c r="AC9" s="29" t="s">
        <v>195</v>
      </c>
      <c r="AD9" s="29" t="s">
        <v>195</v>
      </c>
      <c r="AE9" s="86" t="s">
        <v>590</v>
      </c>
      <c r="AF9" s="29" t="s">
        <v>195</v>
      </c>
      <c r="AG9" s="29" t="s">
        <v>195</v>
      </c>
      <c r="AH9" s="29" t="s">
        <v>195</v>
      </c>
    </row>
    <row r="10" spans="1:34" x14ac:dyDescent="0.25">
      <c r="A10" s="131" t="s">
        <v>168</v>
      </c>
      <c r="B10" s="157">
        <v>5</v>
      </c>
      <c r="C10" s="157">
        <v>5</v>
      </c>
      <c r="D10" s="157">
        <v>5</v>
      </c>
      <c r="E10" s="157">
        <v>5</v>
      </c>
      <c r="F10" s="157">
        <v>5</v>
      </c>
      <c r="G10" s="157">
        <v>5</v>
      </c>
      <c r="H10" s="157">
        <v>5</v>
      </c>
      <c r="I10" s="157">
        <v>5</v>
      </c>
      <c r="J10" s="157">
        <v>5</v>
      </c>
      <c r="K10" s="157">
        <v>5</v>
      </c>
      <c r="L10" s="157">
        <v>5</v>
      </c>
      <c r="M10" s="157">
        <v>5</v>
      </c>
      <c r="N10" s="157">
        <v>5</v>
      </c>
      <c r="O10" s="157">
        <v>5</v>
      </c>
      <c r="P10" s="157">
        <v>5</v>
      </c>
      <c r="Q10" s="157">
        <v>5</v>
      </c>
      <c r="R10" s="157">
        <v>5</v>
      </c>
      <c r="S10" s="157">
        <v>5</v>
      </c>
      <c r="T10" s="157">
        <v>5</v>
      </c>
      <c r="U10" s="157">
        <v>5</v>
      </c>
      <c r="V10" s="157">
        <v>5</v>
      </c>
      <c r="W10" s="157">
        <v>5</v>
      </c>
      <c r="X10" s="157">
        <v>5</v>
      </c>
      <c r="Y10" s="157">
        <v>5</v>
      </c>
      <c r="Z10" s="157">
        <v>145</v>
      </c>
      <c r="AA10" s="157">
        <v>5</v>
      </c>
      <c r="AB10" s="157">
        <v>5</v>
      </c>
      <c r="AC10" s="157">
        <v>5</v>
      </c>
      <c r="AD10" s="157">
        <v>5</v>
      </c>
      <c r="AE10" s="167">
        <v>13</v>
      </c>
      <c r="AF10" s="157">
        <v>5</v>
      </c>
      <c r="AG10" s="157">
        <v>5</v>
      </c>
      <c r="AH10" s="157">
        <v>5</v>
      </c>
    </row>
    <row r="11" spans="1:34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28" t="s">
        <v>170</v>
      </c>
      <c r="O11" s="28" t="s">
        <v>170</v>
      </c>
      <c r="P11" s="28" t="s">
        <v>170</v>
      </c>
      <c r="Q11" s="28" t="s">
        <v>170</v>
      </c>
      <c r="R11" s="28" t="s">
        <v>170</v>
      </c>
      <c r="S11" s="28" t="s">
        <v>170</v>
      </c>
      <c r="T11" s="28" t="s">
        <v>170</v>
      </c>
      <c r="U11" s="28" t="s">
        <v>170</v>
      </c>
      <c r="V11" s="28" t="s">
        <v>170</v>
      </c>
      <c r="W11" s="28" t="s">
        <v>170</v>
      </c>
      <c r="X11" s="28" t="s">
        <v>170</v>
      </c>
      <c r="Y11" s="28" t="s">
        <v>170</v>
      </c>
      <c r="Z11" s="28" t="s">
        <v>170</v>
      </c>
      <c r="AA11" s="28" t="s">
        <v>170</v>
      </c>
      <c r="AB11" s="28" t="s">
        <v>170</v>
      </c>
      <c r="AC11" s="28" t="s">
        <v>170</v>
      </c>
      <c r="AD11" s="28" t="s">
        <v>170</v>
      </c>
      <c r="AE11" s="86" t="s">
        <v>170</v>
      </c>
      <c r="AF11" s="28" t="s">
        <v>170</v>
      </c>
      <c r="AG11" s="28" t="s">
        <v>170</v>
      </c>
      <c r="AH11" s="28" t="s">
        <v>170</v>
      </c>
    </row>
    <row r="12" spans="1:34" x14ac:dyDescent="0.25">
      <c r="A12" s="26" t="s">
        <v>171</v>
      </c>
      <c r="B12" s="28" t="s">
        <v>173</v>
      </c>
      <c r="C12" s="28" t="s">
        <v>173</v>
      </c>
      <c r="D12" s="28" t="s">
        <v>173</v>
      </c>
      <c r="E12" s="28" t="s">
        <v>173</v>
      </c>
      <c r="F12" s="28" t="s">
        <v>173</v>
      </c>
      <c r="G12" s="28" t="s">
        <v>173</v>
      </c>
      <c r="H12" s="28" t="s">
        <v>173</v>
      </c>
      <c r="I12" s="28" t="s">
        <v>173</v>
      </c>
      <c r="J12" s="28" t="s">
        <v>173</v>
      </c>
      <c r="K12" s="28" t="s">
        <v>173</v>
      </c>
      <c r="L12" s="28" t="s">
        <v>173</v>
      </c>
      <c r="M12" s="28" t="s">
        <v>173</v>
      </c>
      <c r="N12" s="28" t="s">
        <v>173</v>
      </c>
      <c r="O12" s="28" t="s">
        <v>173</v>
      </c>
      <c r="P12" s="28" t="s">
        <v>173</v>
      </c>
      <c r="Q12" s="28" t="s">
        <v>173</v>
      </c>
      <c r="R12" s="28" t="s">
        <v>173</v>
      </c>
      <c r="S12" s="28" t="s">
        <v>173</v>
      </c>
      <c r="T12" s="28" t="s">
        <v>173</v>
      </c>
      <c r="U12" s="28" t="s">
        <v>173</v>
      </c>
      <c r="V12" s="28" t="s">
        <v>173</v>
      </c>
      <c r="W12" s="28" t="s">
        <v>173</v>
      </c>
      <c r="X12" s="28" t="s">
        <v>173</v>
      </c>
      <c r="Y12" s="28" t="s">
        <v>173</v>
      </c>
      <c r="Z12" s="28" t="s">
        <v>173</v>
      </c>
      <c r="AA12" s="28" t="s">
        <v>173</v>
      </c>
      <c r="AB12" s="28" t="s">
        <v>173</v>
      </c>
      <c r="AC12" s="28" t="s">
        <v>173</v>
      </c>
      <c r="AD12" s="28" t="s">
        <v>173</v>
      </c>
      <c r="AE12" s="86" t="s">
        <v>173</v>
      </c>
      <c r="AF12" s="28" t="s">
        <v>173</v>
      </c>
      <c r="AG12" s="28" t="s">
        <v>173</v>
      </c>
      <c r="AH12" s="28" t="s">
        <v>173</v>
      </c>
    </row>
    <row r="13" spans="1:34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 t="s">
        <v>173</v>
      </c>
      <c r="S13" s="28" t="s">
        <v>173</v>
      </c>
      <c r="T13" s="28" t="s">
        <v>173</v>
      </c>
      <c r="U13" s="28" t="s">
        <v>173</v>
      </c>
      <c r="V13" s="28" t="s">
        <v>173</v>
      </c>
      <c r="W13" s="28" t="s">
        <v>173</v>
      </c>
      <c r="X13" s="28" t="s">
        <v>173</v>
      </c>
      <c r="Y13" s="28" t="s">
        <v>173</v>
      </c>
      <c r="Z13" s="28" t="s">
        <v>173</v>
      </c>
      <c r="AA13" s="28" t="s">
        <v>173</v>
      </c>
      <c r="AB13" s="28" t="s">
        <v>173</v>
      </c>
      <c r="AC13" s="28" t="s">
        <v>173</v>
      </c>
      <c r="AD13" s="28" t="s">
        <v>173</v>
      </c>
      <c r="AE13" s="86" t="s">
        <v>173</v>
      </c>
      <c r="AF13" s="28" t="s">
        <v>173</v>
      </c>
      <c r="AG13" s="28" t="s">
        <v>173</v>
      </c>
      <c r="AH13" s="28" t="s">
        <v>173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 t="s">
        <v>173</v>
      </c>
      <c r="V14" s="28" t="s">
        <v>173</v>
      </c>
      <c r="W14" s="28" t="s">
        <v>173</v>
      </c>
      <c r="X14" s="28" t="s">
        <v>173</v>
      </c>
      <c r="Y14" s="28" t="s">
        <v>173</v>
      </c>
      <c r="Z14" s="28" t="s">
        <v>173</v>
      </c>
      <c r="AA14" s="28" t="s">
        <v>173</v>
      </c>
      <c r="AB14" s="28" t="s">
        <v>173</v>
      </c>
      <c r="AC14" s="28" t="s">
        <v>173</v>
      </c>
      <c r="AD14" s="28" t="s">
        <v>173</v>
      </c>
      <c r="AE14" s="86" t="s">
        <v>173</v>
      </c>
      <c r="AF14" s="28" t="s">
        <v>173</v>
      </c>
      <c r="AG14" s="28" t="s">
        <v>173</v>
      </c>
      <c r="AH14" s="28" t="s">
        <v>173</v>
      </c>
    </row>
    <row r="15" spans="1:34" x14ac:dyDescent="0.25">
      <c r="A15" s="26" t="s">
        <v>175</v>
      </c>
      <c r="B15" s="28" t="s">
        <v>198</v>
      </c>
      <c r="C15" s="28" t="s">
        <v>198</v>
      </c>
      <c r="D15" s="28" t="s">
        <v>198</v>
      </c>
      <c r="E15" s="28" t="s">
        <v>198</v>
      </c>
      <c r="F15" s="28" t="s">
        <v>198</v>
      </c>
      <c r="G15" s="28" t="s">
        <v>198</v>
      </c>
      <c r="H15" s="28" t="s">
        <v>198</v>
      </c>
      <c r="I15" s="28" t="s">
        <v>198</v>
      </c>
      <c r="J15" s="28" t="s">
        <v>198</v>
      </c>
      <c r="K15" s="28" t="s">
        <v>198</v>
      </c>
      <c r="L15" s="28" t="s">
        <v>198</v>
      </c>
      <c r="M15" s="28" t="s">
        <v>198</v>
      </c>
      <c r="N15" s="28" t="s">
        <v>198</v>
      </c>
      <c r="O15" s="28" t="s">
        <v>198</v>
      </c>
      <c r="P15" s="28" t="s">
        <v>198</v>
      </c>
      <c r="Q15" s="28" t="s">
        <v>198</v>
      </c>
      <c r="R15" s="28" t="s">
        <v>198</v>
      </c>
      <c r="S15" s="28" t="s">
        <v>198</v>
      </c>
      <c r="T15" s="28" t="s">
        <v>198</v>
      </c>
      <c r="U15" s="28" t="s">
        <v>198</v>
      </c>
      <c r="V15" s="28" t="s">
        <v>198</v>
      </c>
      <c r="W15" s="28" t="s">
        <v>198</v>
      </c>
      <c r="X15" s="28" t="s">
        <v>198</v>
      </c>
      <c r="Y15" s="28" t="s">
        <v>198</v>
      </c>
      <c r="Z15" s="28" t="s">
        <v>370</v>
      </c>
      <c r="AA15" s="28" t="s">
        <v>198</v>
      </c>
      <c r="AB15" s="28" t="s">
        <v>198</v>
      </c>
      <c r="AC15" s="28" t="s">
        <v>198</v>
      </c>
      <c r="AD15" s="28" t="s">
        <v>198</v>
      </c>
      <c r="AE15" s="86" t="s">
        <v>199</v>
      </c>
      <c r="AF15" s="28" t="s">
        <v>198</v>
      </c>
      <c r="AG15" s="28" t="s">
        <v>198</v>
      </c>
      <c r="AH15" s="28" t="s">
        <v>198</v>
      </c>
    </row>
    <row r="16" spans="1:34" x14ac:dyDescent="0.25">
      <c r="A16" s="26" t="s">
        <v>176</v>
      </c>
      <c r="B16" s="30">
        <f>5/3</f>
        <v>1.6666666666666667</v>
      </c>
      <c r="C16" s="30">
        <f t="shared" ref="C16:F16" si="0">5/3</f>
        <v>1.6666666666666667</v>
      </c>
      <c r="D16" s="30">
        <f t="shared" si="0"/>
        <v>1.6666666666666667</v>
      </c>
      <c r="E16" s="30">
        <f t="shared" si="0"/>
        <v>1.6666666666666667</v>
      </c>
      <c r="F16" s="30">
        <f t="shared" si="0"/>
        <v>1.6666666666666667</v>
      </c>
      <c r="G16" s="30">
        <f t="shared" ref="G16:I16" si="1">5/3</f>
        <v>1.6666666666666667</v>
      </c>
      <c r="H16" s="30">
        <f t="shared" si="1"/>
        <v>1.6666666666666667</v>
      </c>
      <c r="I16" s="30">
        <f t="shared" si="1"/>
        <v>1.6666666666666667</v>
      </c>
      <c r="J16" s="30">
        <f t="shared" ref="J16:O16" si="2">5/3</f>
        <v>1.6666666666666667</v>
      </c>
      <c r="K16" s="30">
        <f t="shared" si="2"/>
        <v>1.6666666666666667</v>
      </c>
      <c r="L16" s="30">
        <f t="shared" si="2"/>
        <v>1.6666666666666667</v>
      </c>
      <c r="M16" s="30">
        <f t="shared" si="2"/>
        <v>1.6666666666666667</v>
      </c>
      <c r="N16" s="30">
        <f t="shared" si="2"/>
        <v>1.6666666666666667</v>
      </c>
      <c r="O16" s="30">
        <f t="shared" si="2"/>
        <v>1.6666666666666667</v>
      </c>
      <c r="P16" s="30">
        <f>5/3</f>
        <v>1.6666666666666667</v>
      </c>
      <c r="Q16" s="30">
        <f t="shared" ref="Q16:Y16" si="3">5/3</f>
        <v>1.6666666666666667</v>
      </c>
      <c r="R16" s="30">
        <f t="shared" si="3"/>
        <v>1.6666666666666667</v>
      </c>
      <c r="S16" s="30">
        <f t="shared" si="3"/>
        <v>1.6666666666666667</v>
      </c>
      <c r="T16" s="30">
        <f t="shared" si="3"/>
        <v>1.6666666666666667</v>
      </c>
      <c r="U16" s="30">
        <f t="shared" si="3"/>
        <v>1.6666666666666667</v>
      </c>
      <c r="V16" s="30">
        <f t="shared" si="3"/>
        <v>1.6666666666666667</v>
      </c>
      <c r="W16" s="30">
        <f t="shared" si="3"/>
        <v>1.6666666666666667</v>
      </c>
      <c r="X16" s="30">
        <f t="shared" si="3"/>
        <v>1.6666666666666667</v>
      </c>
      <c r="Y16" s="30">
        <f t="shared" si="3"/>
        <v>1.6666666666666667</v>
      </c>
      <c r="Z16" s="30">
        <f>AVERAGE(7/3,-1.25)</f>
        <v>0.54166666666666674</v>
      </c>
      <c r="AA16" s="30">
        <f>5/3</f>
        <v>1.6666666666666667</v>
      </c>
      <c r="AB16" s="30">
        <f t="shared" ref="AB16:AD16" si="4">5/3</f>
        <v>1.6666666666666667</v>
      </c>
      <c r="AC16" s="30">
        <f t="shared" si="4"/>
        <v>1.6666666666666667</v>
      </c>
      <c r="AD16" s="30">
        <f t="shared" si="4"/>
        <v>1.6666666666666667</v>
      </c>
      <c r="AE16" s="92">
        <v>-1.25</v>
      </c>
      <c r="AF16" s="30">
        <f t="shared" ref="AF16" si="5">5/3</f>
        <v>1.6666666666666667</v>
      </c>
      <c r="AG16" s="30">
        <f t="shared" ref="AG16" si="6">5/3</f>
        <v>1.6666666666666667</v>
      </c>
      <c r="AH16" s="30">
        <f>5/3</f>
        <v>1.6666666666666667</v>
      </c>
    </row>
    <row r="17" spans="1:34" x14ac:dyDescent="0.25">
      <c r="A17" s="26" t="s">
        <v>177</v>
      </c>
      <c r="B17" s="28" t="s">
        <v>178</v>
      </c>
      <c r="C17" s="28" t="s">
        <v>178</v>
      </c>
      <c r="D17" s="28" t="s">
        <v>178</v>
      </c>
      <c r="E17" s="28" t="s">
        <v>178</v>
      </c>
      <c r="F17" s="28" t="s">
        <v>178</v>
      </c>
      <c r="G17" s="28" t="s">
        <v>178</v>
      </c>
      <c r="H17" s="28" t="s">
        <v>178</v>
      </c>
      <c r="I17" s="28" t="s">
        <v>178</v>
      </c>
      <c r="J17" s="28" t="s">
        <v>178</v>
      </c>
      <c r="K17" s="28" t="s">
        <v>178</v>
      </c>
      <c r="L17" s="28" t="s">
        <v>178</v>
      </c>
      <c r="M17" s="28" t="s">
        <v>178</v>
      </c>
      <c r="N17" s="28" t="s">
        <v>178</v>
      </c>
      <c r="O17" s="28" t="s">
        <v>178</v>
      </c>
      <c r="P17" s="28" t="s">
        <v>178</v>
      </c>
      <c r="Q17" s="28" t="s">
        <v>178</v>
      </c>
      <c r="R17" s="28" t="s">
        <v>178</v>
      </c>
      <c r="S17" s="28" t="s">
        <v>178</v>
      </c>
      <c r="T17" s="28" t="s">
        <v>178</v>
      </c>
      <c r="U17" s="28" t="s">
        <v>178</v>
      </c>
      <c r="V17" s="28" t="s">
        <v>178</v>
      </c>
      <c r="W17" s="28" t="s">
        <v>178</v>
      </c>
      <c r="X17" s="28" t="s">
        <v>178</v>
      </c>
      <c r="Y17" s="28" t="s">
        <v>178</v>
      </c>
      <c r="Z17" s="28" t="s">
        <v>178</v>
      </c>
      <c r="AA17" s="28" t="s">
        <v>178</v>
      </c>
      <c r="AB17" s="28" t="s">
        <v>178</v>
      </c>
      <c r="AC17" s="28" t="s">
        <v>178</v>
      </c>
      <c r="AD17" s="28" t="s">
        <v>178</v>
      </c>
      <c r="AE17" s="86" t="s">
        <v>178</v>
      </c>
      <c r="AF17" s="28" t="s">
        <v>178</v>
      </c>
      <c r="AG17" s="28" t="s">
        <v>178</v>
      </c>
      <c r="AH17" s="28" t="s">
        <v>178</v>
      </c>
    </row>
    <row r="18" spans="1:34" x14ac:dyDescent="0.25">
      <c r="A18" s="26" t="s">
        <v>182</v>
      </c>
      <c r="B18" s="30">
        <v>4</v>
      </c>
      <c r="C18" s="30">
        <v>4</v>
      </c>
      <c r="D18" s="30">
        <v>4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30">
        <v>4</v>
      </c>
      <c r="S18" s="30">
        <v>4</v>
      </c>
      <c r="T18" s="30">
        <v>4</v>
      </c>
      <c r="U18" s="30">
        <v>4</v>
      </c>
      <c r="V18" s="30">
        <v>4</v>
      </c>
      <c r="W18" s="30">
        <v>4</v>
      </c>
      <c r="X18" s="30">
        <v>4</v>
      </c>
      <c r="Y18" s="30">
        <v>4</v>
      </c>
      <c r="Z18" s="30">
        <v>4</v>
      </c>
      <c r="AA18" s="30">
        <v>4</v>
      </c>
      <c r="AB18" s="30">
        <v>4</v>
      </c>
      <c r="AC18" s="30">
        <v>4</v>
      </c>
      <c r="AD18" s="30">
        <v>4</v>
      </c>
      <c r="AE18" s="92">
        <v>4</v>
      </c>
      <c r="AF18" s="30">
        <v>4</v>
      </c>
      <c r="AG18" s="30">
        <v>4</v>
      </c>
      <c r="AH18" s="30">
        <v>4</v>
      </c>
    </row>
    <row r="20" spans="1:34" x14ac:dyDescent="0.25">
      <c r="A20" s="26" t="s">
        <v>159</v>
      </c>
      <c r="B20" s="28" t="s">
        <v>447</v>
      </c>
      <c r="C20" s="28" t="s">
        <v>448</v>
      </c>
      <c r="D20" s="28" t="s">
        <v>448</v>
      </c>
      <c r="E20" s="28" t="s">
        <v>448</v>
      </c>
      <c r="F20" s="28" t="s">
        <v>448</v>
      </c>
      <c r="G20" s="28" t="s">
        <v>448</v>
      </c>
      <c r="H20" s="28" t="s">
        <v>448</v>
      </c>
      <c r="I20" s="28" t="s">
        <v>448</v>
      </c>
      <c r="J20" s="28" t="s">
        <v>448</v>
      </c>
      <c r="K20" s="28" t="s">
        <v>448</v>
      </c>
      <c r="L20" s="28" t="s">
        <v>448</v>
      </c>
      <c r="M20" s="28" t="s">
        <v>448</v>
      </c>
      <c r="N20" s="28" t="s">
        <v>448</v>
      </c>
      <c r="O20" s="28" t="s">
        <v>448</v>
      </c>
      <c r="P20" s="28" t="s">
        <v>448</v>
      </c>
      <c r="Q20" s="28" t="s">
        <v>448</v>
      </c>
      <c r="R20" s="28" t="s">
        <v>448</v>
      </c>
      <c r="S20" s="28" t="s">
        <v>448</v>
      </c>
      <c r="T20" s="28" t="s">
        <v>448</v>
      </c>
      <c r="U20" s="28" t="s">
        <v>448</v>
      </c>
      <c r="V20" s="28" t="s">
        <v>448</v>
      </c>
      <c r="W20" s="28" t="s">
        <v>448</v>
      </c>
      <c r="X20" s="28" t="s">
        <v>448</v>
      </c>
      <c r="Y20" s="28" t="s">
        <v>448</v>
      </c>
      <c r="Z20" s="28" t="s">
        <v>448</v>
      </c>
      <c r="AA20" s="28" t="s">
        <v>448</v>
      </c>
      <c r="AB20" s="28" t="s">
        <v>448</v>
      </c>
      <c r="AC20" s="28" t="s">
        <v>448</v>
      </c>
      <c r="AD20" s="28" t="s">
        <v>448</v>
      </c>
      <c r="AE20" s="28" t="s">
        <v>448</v>
      </c>
      <c r="AF20" s="28" t="s">
        <v>448</v>
      </c>
      <c r="AG20" s="28" t="s">
        <v>448</v>
      </c>
      <c r="AH20" s="28" t="s">
        <v>448</v>
      </c>
    </row>
    <row r="21" spans="1:34" x14ac:dyDescent="0.25">
      <c r="A21" s="26" t="s">
        <v>165</v>
      </c>
      <c r="B21" s="29" t="s">
        <v>561</v>
      </c>
      <c r="C21" s="29" t="s">
        <v>561</v>
      </c>
      <c r="D21" s="29" t="s">
        <v>561</v>
      </c>
      <c r="E21" s="29" t="s">
        <v>561</v>
      </c>
      <c r="F21" s="29" t="s">
        <v>561</v>
      </c>
      <c r="G21" s="29" t="s">
        <v>561</v>
      </c>
      <c r="H21" s="29" t="s">
        <v>561</v>
      </c>
      <c r="I21" s="29" t="s">
        <v>561</v>
      </c>
      <c r="J21" s="29" t="s">
        <v>561</v>
      </c>
      <c r="K21" s="29" t="s">
        <v>561</v>
      </c>
      <c r="L21" s="29" t="s">
        <v>561</v>
      </c>
      <c r="M21" s="29" t="s">
        <v>561</v>
      </c>
      <c r="N21" s="113" t="s">
        <v>572</v>
      </c>
      <c r="O21" s="29" t="s">
        <v>561</v>
      </c>
      <c r="P21" s="113" t="s">
        <v>453</v>
      </c>
      <c r="Q21" s="113" t="s">
        <v>453</v>
      </c>
      <c r="R21" s="29" t="s">
        <v>454</v>
      </c>
      <c r="S21" s="113" t="s">
        <v>572</v>
      </c>
      <c r="T21" s="29" t="s">
        <v>561</v>
      </c>
      <c r="U21" s="29" t="s">
        <v>561</v>
      </c>
      <c r="V21" s="29" t="s">
        <v>561</v>
      </c>
      <c r="W21" s="29" t="s">
        <v>561</v>
      </c>
      <c r="X21" s="29" t="s">
        <v>561</v>
      </c>
      <c r="Y21" s="29" t="s">
        <v>561</v>
      </c>
      <c r="Z21" s="29" t="s">
        <v>591</v>
      </c>
      <c r="AA21" s="29" t="s">
        <v>561</v>
      </c>
      <c r="AB21" s="29" t="s">
        <v>561</v>
      </c>
      <c r="AC21" s="29" t="s">
        <v>561</v>
      </c>
      <c r="AD21" s="29" t="s">
        <v>561</v>
      </c>
      <c r="AE21" s="29" t="s">
        <v>592</v>
      </c>
      <c r="AF21" s="29" t="s">
        <v>561</v>
      </c>
      <c r="AG21" s="28" t="s">
        <v>457</v>
      </c>
      <c r="AH21" s="28" t="s">
        <v>457</v>
      </c>
    </row>
    <row r="22" spans="1:34" x14ac:dyDescent="0.25">
      <c r="A22" s="131" t="s">
        <v>168</v>
      </c>
      <c r="B22" s="157">
        <v>83</v>
      </c>
      <c r="C22" s="157">
        <v>83</v>
      </c>
      <c r="D22" s="157">
        <v>83</v>
      </c>
      <c r="E22" s="157">
        <v>83</v>
      </c>
      <c r="F22" s="157">
        <v>83</v>
      </c>
      <c r="G22" s="157">
        <v>83</v>
      </c>
      <c r="H22" s="157">
        <v>83</v>
      </c>
      <c r="I22" s="157">
        <v>83</v>
      </c>
      <c r="J22" s="157">
        <v>83</v>
      </c>
      <c r="K22" s="157">
        <v>83</v>
      </c>
      <c r="L22" s="157">
        <v>83</v>
      </c>
      <c r="M22" s="157">
        <v>83</v>
      </c>
      <c r="N22" s="157">
        <v>143</v>
      </c>
      <c r="O22" s="157">
        <v>83</v>
      </c>
      <c r="P22" s="157">
        <v>142</v>
      </c>
      <c r="Q22" s="157">
        <v>142</v>
      </c>
      <c r="R22" s="157">
        <v>81</v>
      </c>
      <c r="S22" s="157">
        <v>143</v>
      </c>
      <c r="T22" s="157">
        <v>83</v>
      </c>
      <c r="U22" s="157">
        <v>83</v>
      </c>
      <c r="V22" s="157">
        <v>83</v>
      </c>
      <c r="W22" s="157">
        <v>83</v>
      </c>
      <c r="X22" s="157">
        <v>83</v>
      </c>
      <c r="Y22" s="157">
        <v>83</v>
      </c>
      <c r="Z22" s="157">
        <v>146</v>
      </c>
      <c r="AA22" s="157">
        <v>83</v>
      </c>
      <c r="AB22" s="157">
        <v>83</v>
      </c>
      <c r="AC22" s="157">
        <v>83</v>
      </c>
      <c r="AD22" s="157">
        <v>83</v>
      </c>
      <c r="AE22" s="157">
        <v>80</v>
      </c>
      <c r="AF22" s="157">
        <v>83</v>
      </c>
      <c r="AG22" s="157">
        <v>82</v>
      </c>
      <c r="AH22" s="157">
        <v>82</v>
      </c>
    </row>
    <row r="23" spans="1:34" x14ac:dyDescent="0.25">
      <c r="A23" s="26" t="s">
        <v>169</v>
      </c>
      <c r="B23" s="28" t="s">
        <v>170</v>
      </c>
      <c r="C23" s="28" t="s">
        <v>170</v>
      </c>
      <c r="D23" s="28" t="s">
        <v>170</v>
      </c>
      <c r="E23" s="28" t="s">
        <v>170</v>
      </c>
      <c r="F23" s="28" t="s">
        <v>170</v>
      </c>
      <c r="G23" s="28" t="s">
        <v>170</v>
      </c>
      <c r="H23" s="28" t="s">
        <v>170</v>
      </c>
      <c r="I23" s="28" t="s">
        <v>170</v>
      </c>
      <c r="J23" s="28" t="s">
        <v>170</v>
      </c>
      <c r="K23" s="28" t="s">
        <v>170</v>
      </c>
      <c r="L23" s="28" t="s">
        <v>170</v>
      </c>
      <c r="M23" s="28" t="s">
        <v>170</v>
      </c>
      <c r="N23" s="28" t="s">
        <v>170</v>
      </c>
      <c r="O23" s="28" t="s">
        <v>170</v>
      </c>
      <c r="P23" s="28" t="s">
        <v>170</v>
      </c>
      <c r="Q23" s="28" t="s">
        <v>170</v>
      </c>
      <c r="R23" s="28" t="s">
        <v>170</v>
      </c>
      <c r="S23" s="28" t="s">
        <v>170</v>
      </c>
      <c r="T23" s="28" t="s">
        <v>170</v>
      </c>
      <c r="U23" s="28" t="s">
        <v>170</v>
      </c>
      <c r="V23" s="28" t="s">
        <v>170</v>
      </c>
      <c r="W23" s="28" t="s">
        <v>170</v>
      </c>
      <c r="X23" s="28" t="s">
        <v>170</v>
      </c>
      <c r="Y23" s="28" t="s">
        <v>170</v>
      </c>
      <c r="Z23" s="28" t="s">
        <v>170</v>
      </c>
      <c r="AA23" s="28" t="s">
        <v>170</v>
      </c>
      <c r="AB23" s="28" t="s">
        <v>170</v>
      </c>
      <c r="AC23" s="28" t="s">
        <v>170</v>
      </c>
      <c r="AD23" s="28" t="s">
        <v>170</v>
      </c>
      <c r="AE23" s="28" t="s">
        <v>170</v>
      </c>
      <c r="AF23" s="28" t="s">
        <v>170</v>
      </c>
      <c r="AG23" s="28" t="s">
        <v>170</v>
      </c>
      <c r="AH23" s="28" t="s">
        <v>170</v>
      </c>
    </row>
    <row r="24" spans="1:34" x14ac:dyDescent="0.25">
      <c r="A24" s="26" t="s">
        <v>171</v>
      </c>
      <c r="B24" s="28" t="s">
        <v>170</v>
      </c>
      <c r="C24" s="28" t="s">
        <v>170</v>
      </c>
      <c r="D24" s="28" t="s">
        <v>170</v>
      </c>
      <c r="E24" s="28" t="s">
        <v>170</v>
      </c>
      <c r="F24" s="28" t="s">
        <v>170</v>
      </c>
      <c r="G24" s="28" t="s">
        <v>170</v>
      </c>
      <c r="H24" s="28" t="s">
        <v>170</v>
      </c>
      <c r="I24" s="28" t="s">
        <v>170</v>
      </c>
      <c r="J24" s="28" t="s">
        <v>170</v>
      </c>
      <c r="K24" s="28" t="s">
        <v>170</v>
      </c>
      <c r="L24" s="28" t="s">
        <v>170</v>
      </c>
      <c r="M24" s="28" t="s">
        <v>170</v>
      </c>
      <c r="N24" s="28" t="s">
        <v>170</v>
      </c>
      <c r="O24" s="28" t="s">
        <v>170</v>
      </c>
      <c r="P24" s="28" t="s">
        <v>170</v>
      </c>
      <c r="Q24" s="28" t="s">
        <v>170</v>
      </c>
      <c r="R24" s="28" t="s">
        <v>170</v>
      </c>
      <c r="S24" s="28" t="s">
        <v>170</v>
      </c>
      <c r="T24" s="28" t="s">
        <v>170</v>
      </c>
      <c r="U24" s="28" t="s">
        <v>170</v>
      </c>
      <c r="V24" s="28" t="s">
        <v>170</v>
      </c>
      <c r="W24" s="28" t="s">
        <v>170</v>
      </c>
      <c r="X24" s="28" t="s">
        <v>170</v>
      </c>
      <c r="Y24" s="28" t="s">
        <v>170</v>
      </c>
      <c r="Z24" s="28" t="s">
        <v>170</v>
      </c>
      <c r="AA24" s="28" t="s">
        <v>170</v>
      </c>
      <c r="AB24" s="28" t="s">
        <v>170</v>
      </c>
      <c r="AC24" s="28" t="s">
        <v>170</v>
      </c>
      <c r="AD24" s="28" t="s">
        <v>170</v>
      </c>
      <c r="AE24" s="28" t="s">
        <v>170</v>
      </c>
      <c r="AF24" s="28" t="s">
        <v>170</v>
      </c>
      <c r="AG24" s="28" t="s">
        <v>170</v>
      </c>
      <c r="AH24" s="28" t="s">
        <v>170</v>
      </c>
    </row>
    <row r="25" spans="1:34" x14ac:dyDescent="0.25">
      <c r="A25" s="26" t="s">
        <v>172</v>
      </c>
      <c r="B25" s="28" t="s">
        <v>173</v>
      </c>
      <c r="C25" s="28" t="s">
        <v>173</v>
      </c>
      <c r="D25" s="28" t="s">
        <v>173</v>
      </c>
      <c r="E25" s="28" t="s">
        <v>173</v>
      </c>
      <c r="F25" s="28" t="s">
        <v>173</v>
      </c>
      <c r="G25" s="28" t="s">
        <v>173</v>
      </c>
      <c r="H25" s="28" t="s">
        <v>173</v>
      </c>
      <c r="I25" s="28" t="s">
        <v>173</v>
      </c>
      <c r="J25" s="28" t="s">
        <v>173</v>
      </c>
      <c r="K25" s="28" t="s">
        <v>173</v>
      </c>
      <c r="L25" s="28" t="s">
        <v>173</v>
      </c>
      <c r="M25" s="28" t="s">
        <v>173</v>
      </c>
      <c r="N25" s="28" t="s">
        <v>173</v>
      </c>
      <c r="O25" s="28" t="s">
        <v>173</v>
      </c>
      <c r="P25" s="28" t="s">
        <v>173</v>
      </c>
      <c r="Q25" s="28" t="s">
        <v>173</v>
      </c>
      <c r="R25" s="28" t="s">
        <v>173</v>
      </c>
      <c r="S25" s="28" t="s">
        <v>173</v>
      </c>
      <c r="T25" s="28" t="s">
        <v>173</v>
      </c>
      <c r="U25" s="28" t="s">
        <v>173</v>
      </c>
      <c r="V25" s="28" t="s">
        <v>173</v>
      </c>
      <c r="W25" s="28" t="s">
        <v>173</v>
      </c>
      <c r="X25" s="28" t="s">
        <v>173</v>
      </c>
      <c r="Y25" s="28" t="s">
        <v>173</v>
      </c>
      <c r="Z25" s="28" t="s">
        <v>173</v>
      </c>
      <c r="AA25" s="28" t="s">
        <v>173</v>
      </c>
      <c r="AB25" s="28" t="s">
        <v>173</v>
      </c>
      <c r="AC25" s="28" t="s">
        <v>173</v>
      </c>
      <c r="AD25" s="28" t="s">
        <v>173</v>
      </c>
      <c r="AE25" s="28" t="s">
        <v>173</v>
      </c>
      <c r="AF25" s="28" t="s">
        <v>173</v>
      </c>
      <c r="AG25" s="28" t="s">
        <v>173</v>
      </c>
      <c r="AH25" s="28" t="s">
        <v>173</v>
      </c>
    </row>
    <row r="26" spans="1:34" x14ac:dyDescent="0.25">
      <c r="A26" s="26" t="s">
        <v>174</v>
      </c>
      <c r="B26" s="28" t="s">
        <v>173</v>
      </c>
      <c r="C26" s="28" t="s">
        <v>173</v>
      </c>
      <c r="D26" s="28" t="s">
        <v>173</v>
      </c>
      <c r="E26" s="28" t="s">
        <v>173</v>
      </c>
      <c r="F26" s="28" t="s">
        <v>173</v>
      </c>
      <c r="G26" s="28" t="s">
        <v>173</v>
      </c>
      <c r="H26" s="28" t="s">
        <v>173</v>
      </c>
      <c r="I26" s="28" t="s">
        <v>173</v>
      </c>
      <c r="J26" s="28" t="s">
        <v>173</v>
      </c>
      <c r="K26" s="28" t="s">
        <v>173</v>
      </c>
      <c r="L26" s="28" t="s">
        <v>173</v>
      </c>
      <c r="M26" s="28" t="s">
        <v>173</v>
      </c>
      <c r="N26" s="28" t="s">
        <v>173</v>
      </c>
      <c r="O26" s="28" t="s">
        <v>173</v>
      </c>
      <c r="P26" s="28" t="s">
        <v>173</v>
      </c>
      <c r="Q26" s="28" t="s">
        <v>173</v>
      </c>
      <c r="R26" s="28" t="s">
        <v>173</v>
      </c>
      <c r="S26" s="28" t="s">
        <v>173</v>
      </c>
      <c r="T26" s="28" t="s">
        <v>173</v>
      </c>
      <c r="U26" s="28" t="s">
        <v>173</v>
      </c>
      <c r="V26" s="28" t="s">
        <v>173</v>
      </c>
      <c r="W26" s="28" t="s">
        <v>173</v>
      </c>
      <c r="X26" s="28" t="s">
        <v>173</v>
      </c>
      <c r="Y26" s="28" t="s">
        <v>173</v>
      </c>
      <c r="Z26" s="28" t="s">
        <v>173</v>
      </c>
      <c r="AA26" s="28" t="s">
        <v>173</v>
      </c>
      <c r="AB26" s="28" t="s">
        <v>173</v>
      </c>
      <c r="AC26" s="28" t="s">
        <v>173</v>
      </c>
      <c r="AD26" s="28" t="s">
        <v>173</v>
      </c>
      <c r="AE26" s="28" t="s">
        <v>173</v>
      </c>
      <c r="AF26" s="28" t="s">
        <v>173</v>
      </c>
      <c r="AG26" s="28" t="s">
        <v>173</v>
      </c>
      <c r="AH26" s="28" t="s">
        <v>173</v>
      </c>
    </row>
    <row r="27" spans="1:34" x14ac:dyDescent="0.25">
      <c r="A27" s="26" t="s">
        <v>175</v>
      </c>
      <c r="B27" s="28" t="s">
        <v>198</v>
      </c>
      <c r="C27" s="28" t="s">
        <v>198</v>
      </c>
      <c r="D27" s="28" t="s">
        <v>198</v>
      </c>
      <c r="E27" s="28" t="s">
        <v>198</v>
      </c>
      <c r="F27" s="28" t="s">
        <v>198</v>
      </c>
      <c r="G27" s="28" t="s">
        <v>198</v>
      </c>
      <c r="H27" s="28" t="s">
        <v>198</v>
      </c>
      <c r="I27" s="28" t="s">
        <v>198</v>
      </c>
      <c r="J27" s="28" t="s">
        <v>198</v>
      </c>
      <c r="K27" s="28" t="s">
        <v>198</v>
      </c>
      <c r="L27" s="28" t="s">
        <v>198</v>
      </c>
      <c r="M27" s="28" t="s">
        <v>198</v>
      </c>
      <c r="N27" s="113" t="s">
        <v>460</v>
      </c>
      <c r="O27" s="28" t="s">
        <v>198</v>
      </c>
      <c r="P27" s="28" t="s">
        <v>461</v>
      </c>
      <c r="Q27" s="28" t="s">
        <v>461</v>
      </c>
      <c r="R27" s="28" t="s">
        <v>461</v>
      </c>
      <c r="S27" s="113" t="s">
        <v>460</v>
      </c>
      <c r="T27" s="28" t="s">
        <v>198</v>
      </c>
      <c r="U27" s="28" t="s">
        <v>198</v>
      </c>
      <c r="V27" s="28" t="s">
        <v>198</v>
      </c>
      <c r="W27" s="28" t="s">
        <v>198</v>
      </c>
      <c r="X27" s="28" t="s">
        <v>198</v>
      </c>
      <c r="Y27" s="28" t="s">
        <v>198</v>
      </c>
      <c r="Z27" s="28" t="s">
        <v>370</v>
      </c>
      <c r="AA27" s="28" t="s">
        <v>198</v>
      </c>
      <c r="AB27" s="28" t="s">
        <v>198</v>
      </c>
      <c r="AC27" s="28" t="s">
        <v>198</v>
      </c>
      <c r="AD27" s="28" t="s">
        <v>198</v>
      </c>
      <c r="AE27" s="28" t="s">
        <v>199</v>
      </c>
      <c r="AF27" s="28" t="s">
        <v>198</v>
      </c>
      <c r="AG27" s="28" t="s">
        <v>198</v>
      </c>
      <c r="AH27" s="28" t="s">
        <v>198</v>
      </c>
    </row>
    <row r="28" spans="1:34" x14ac:dyDescent="0.25">
      <c r="A28" s="26" t="s">
        <v>176</v>
      </c>
      <c r="B28" s="30">
        <v>0.75</v>
      </c>
      <c r="C28" s="30">
        <v>0.75</v>
      </c>
      <c r="D28" s="30">
        <v>0.75</v>
      </c>
      <c r="E28" s="30">
        <v>0.75</v>
      </c>
      <c r="F28" s="30">
        <v>0.75</v>
      </c>
      <c r="G28" s="30">
        <v>0.75</v>
      </c>
      <c r="H28" s="30">
        <v>0.75</v>
      </c>
      <c r="I28" s="30">
        <v>0.75</v>
      </c>
      <c r="J28" s="30">
        <v>0.75</v>
      </c>
      <c r="K28" s="30">
        <v>0.75</v>
      </c>
      <c r="L28" s="30">
        <v>0.75</v>
      </c>
      <c r="M28" s="30">
        <v>0.75</v>
      </c>
      <c r="N28" s="30">
        <f>AVERAGE(0.75,0.75,-4)</f>
        <v>-0.83333333333333337</v>
      </c>
      <c r="O28" s="30">
        <v>0.75</v>
      </c>
      <c r="P28" s="30">
        <v>-4</v>
      </c>
      <c r="Q28" s="30">
        <v>-4</v>
      </c>
      <c r="R28" s="30">
        <v>-4</v>
      </c>
      <c r="S28" s="30">
        <f>AVERAGE(0.75,0.75,-4)</f>
        <v>-0.83333333333333337</v>
      </c>
      <c r="T28" s="30">
        <v>0.75</v>
      </c>
      <c r="U28" s="30">
        <v>0.75</v>
      </c>
      <c r="V28" s="30">
        <v>0.75</v>
      </c>
      <c r="W28" s="30">
        <v>0.75</v>
      </c>
      <c r="X28" s="30">
        <v>0.75</v>
      </c>
      <c r="Y28" s="30">
        <v>0.75</v>
      </c>
      <c r="Z28" s="30">
        <f>AVERAGE(0.75,-1.25)</f>
        <v>-0.25</v>
      </c>
      <c r="AA28" s="30">
        <v>0.75</v>
      </c>
      <c r="AB28" s="30">
        <v>0.75</v>
      </c>
      <c r="AC28" s="30">
        <v>0.75</v>
      </c>
      <c r="AD28" s="30">
        <v>0.75</v>
      </c>
      <c r="AE28" s="30">
        <v>-1.25</v>
      </c>
      <c r="AF28" s="30">
        <v>0.75</v>
      </c>
      <c r="AG28" s="30">
        <f>5/3</f>
        <v>1.6666666666666667</v>
      </c>
      <c r="AH28" s="30">
        <f>5/3</f>
        <v>1.6666666666666667</v>
      </c>
    </row>
    <row r="29" spans="1:34" x14ac:dyDescent="0.25">
      <c r="A29" s="26" t="s">
        <v>177</v>
      </c>
      <c r="B29" s="28" t="s">
        <v>462</v>
      </c>
      <c r="C29" s="28" t="s">
        <v>462</v>
      </c>
      <c r="D29" s="28" t="s">
        <v>462</v>
      </c>
      <c r="E29" s="28" t="s">
        <v>462</v>
      </c>
      <c r="F29" s="28" t="s">
        <v>462</v>
      </c>
      <c r="G29" s="28" t="s">
        <v>462</v>
      </c>
      <c r="H29" s="28" t="s">
        <v>462</v>
      </c>
      <c r="I29" s="28" t="s">
        <v>462</v>
      </c>
      <c r="J29" s="28" t="s">
        <v>462</v>
      </c>
      <c r="K29" s="28" t="s">
        <v>462</v>
      </c>
      <c r="L29" s="28" t="s">
        <v>462</v>
      </c>
      <c r="M29" s="28" t="s">
        <v>462</v>
      </c>
      <c r="N29" s="28" t="s">
        <v>462</v>
      </c>
      <c r="O29" s="28" t="s">
        <v>462</v>
      </c>
      <c r="P29" s="113" t="s">
        <v>464</v>
      </c>
      <c r="Q29" s="113" t="s">
        <v>464</v>
      </c>
      <c r="R29" s="28" t="s">
        <v>462</v>
      </c>
      <c r="S29" s="28" t="s">
        <v>462</v>
      </c>
      <c r="T29" s="28" t="s">
        <v>462</v>
      </c>
      <c r="U29" s="28" t="s">
        <v>462</v>
      </c>
      <c r="V29" s="28" t="s">
        <v>462</v>
      </c>
      <c r="W29" s="28" t="s">
        <v>462</v>
      </c>
      <c r="X29" s="28" t="s">
        <v>462</v>
      </c>
      <c r="Y29" s="28" t="s">
        <v>462</v>
      </c>
      <c r="Z29" s="28" t="s">
        <v>462</v>
      </c>
      <c r="AA29" s="28" t="s">
        <v>462</v>
      </c>
      <c r="AB29" s="28" t="s">
        <v>462</v>
      </c>
      <c r="AC29" s="28" t="s">
        <v>462</v>
      </c>
      <c r="AD29" s="28" t="s">
        <v>462</v>
      </c>
      <c r="AE29" s="28" t="s">
        <v>462</v>
      </c>
      <c r="AF29" s="28" t="s">
        <v>462</v>
      </c>
      <c r="AG29" s="28" t="s">
        <v>462</v>
      </c>
      <c r="AH29" s="28" t="s">
        <v>462</v>
      </c>
    </row>
    <row r="30" spans="1:34" x14ac:dyDescent="0.25">
      <c r="A30" s="26" t="s">
        <v>182</v>
      </c>
      <c r="B30" s="30">
        <v>1</v>
      </c>
      <c r="C30" s="30">
        <v>1</v>
      </c>
      <c r="D30" s="30">
        <v>1</v>
      </c>
      <c r="E30" s="30">
        <v>1</v>
      </c>
      <c r="F30" s="30">
        <v>1</v>
      </c>
      <c r="G30" s="30">
        <v>1</v>
      </c>
      <c r="H30" s="30">
        <v>1</v>
      </c>
      <c r="I30" s="30">
        <v>1</v>
      </c>
      <c r="J30" s="30">
        <v>1</v>
      </c>
      <c r="K30" s="30">
        <v>1</v>
      </c>
      <c r="L30" s="30">
        <v>1</v>
      </c>
      <c r="M30" s="30">
        <v>1</v>
      </c>
      <c r="N30" s="30">
        <f>AVERAGE(1,1,1.25)</f>
        <v>1.0833333333333333</v>
      </c>
      <c r="O30" s="30">
        <v>1</v>
      </c>
      <c r="P30" s="30">
        <f>AVERAGE(2,2,1.25)</f>
        <v>1.75</v>
      </c>
      <c r="Q30" s="30">
        <f>AVERAGE(2,2,1.25)</f>
        <v>1.75</v>
      </c>
      <c r="R30" s="30">
        <v>1.25</v>
      </c>
      <c r="S30" s="30">
        <f>AVERAGE(1,1,1.25)</f>
        <v>1.0833333333333333</v>
      </c>
      <c r="T30" s="30">
        <v>1</v>
      </c>
      <c r="U30" s="30">
        <v>1</v>
      </c>
      <c r="V30" s="30">
        <v>1</v>
      </c>
      <c r="W30" s="30">
        <v>1</v>
      </c>
      <c r="X30" s="30">
        <v>1</v>
      </c>
      <c r="Y30" s="30">
        <v>1</v>
      </c>
      <c r="Z30" s="30">
        <v>1</v>
      </c>
      <c r="AA30" s="30">
        <v>1</v>
      </c>
      <c r="AB30" s="30">
        <v>1</v>
      </c>
      <c r="AC30" s="30">
        <v>1</v>
      </c>
      <c r="AD30" s="30">
        <v>1</v>
      </c>
      <c r="AE30" s="30">
        <v>1</v>
      </c>
      <c r="AF30" s="30">
        <v>1</v>
      </c>
      <c r="AG30" s="30">
        <v>1</v>
      </c>
      <c r="AH30" s="30">
        <v>1</v>
      </c>
    </row>
    <row r="32" spans="1:34" x14ac:dyDescent="0.25">
      <c r="A32" s="31" t="s">
        <v>183</v>
      </c>
    </row>
    <row r="33" spans="1:2" x14ac:dyDescent="0.25">
      <c r="A33" s="26" t="s">
        <v>593</v>
      </c>
      <c r="B33" s="93" t="s">
        <v>594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02D8A-7347-4842-8E4F-942D590A5FE5}">
  <dimension ref="A1:AH33"/>
  <sheetViews>
    <sheetView workbookViewId="0">
      <selection activeCell="P21" sqref="P21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117</v>
      </c>
      <c r="I1" s="25" t="s">
        <v>549</v>
      </c>
    </row>
    <row r="3" spans="1:34" ht="18" x14ac:dyDescent="0.25">
      <c r="A3" s="25" t="s">
        <v>119</v>
      </c>
      <c r="B3" s="215">
        <v>36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595</v>
      </c>
      <c r="C4" s="215"/>
      <c r="D4" s="215"/>
      <c r="F4" s="216" t="s">
        <v>596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377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57" t="s">
        <v>17</v>
      </c>
      <c r="C7" s="58" t="s">
        <v>127</v>
      </c>
      <c r="D7" s="58" t="s">
        <v>128</v>
      </c>
      <c r="E7" s="59" t="s">
        <v>129</v>
      </c>
      <c r="F7" s="60" t="s">
        <v>130</v>
      </c>
      <c r="G7" s="61" t="s">
        <v>131</v>
      </c>
      <c r="H7" s="61" t="s">
        <v>132</v>
      </c>
      <c r="I7" s="62" t="s">
        <v>133</v>
      </c>
      <c r="J7" s="63" t="s">
        <v>134</v>
      </c>
      <c r="K7" s="64" t="s">
        <v>135</v>
      </c>
      <c r="L7" s="64" t="s">
        <v>136</v>
      </c>
      <c r="M7" s="64" t="s">
        <v>137</v>
      </c>
      <c r="N7" s="65" t="s">
        <v>138</v>
      </c>
      <c r="O7" s="65" t="s">
        <v>139</v>
      </c>
      <c r="P7" s="67" t="s">
        <v>140</v>
      </c>
      <c r="Q7" s="67" t="s">
        <v>141</v>
      </c>
      <c r="R7" s="66" t="s">
        <v>142</v>
      </c>
      <c r="S7" s="68" t="s">
        <v>143</v>
      </c>
      <c r="T7" s="69" t="s">
        <v>144</v>
      </c>
      <c r="U7" s="69" t="s">
        <v>145</v>
      </c>
      <c r="V7" s="70" t="s">
        <v>146</v>
      </c>
      <c r="W7" s="70" t="s">
        <v>147</v>
      </c>
      <c r="X7" s="71" t="s">
        <v>148</v>
      </c>
      <c r="Y7" s="71" t="s">
        <v>149</v>
      </c>
      <c r="Z7" s="72" t="s">
        <v>150</v>
      </c>
      <c r="AA7" s="72" t="s">
        <v>151</v>
      </c>
      <c r="AB7" s="73" t="s">
        <v>152</v>
      </c>
      <c r="AC7" s="73" t="s">
        <v>153</v>
      </c>
      <c r="AD7" s="73" t="s">
        <v>154</v>
      </c>
      <c r="AE7" s="74" t="s">
        <v>155</v>
      </c>
      <c r="AF7" s="75" t="s">
        <v>156</v>
      </c>
      <c r="AG7" s="76" t="s">
        <v>157</v>
      </c>
      <c r="AH7" s="76" t="s">
        <v>158</v>
      </c>
    </row>
    <row r="8" spans="1:34" x14ac:dyDescent="0.25">
      <c r="A8" s="26" t="s">
        <v>159</v>
      </c>
      <c r="B8" s="28" t="s">
        <v>198</v>
      </c>
      <c r="C8" s="28" t="s">
        <v>220</v>
      </c>
      <c r="D8" s="28" t="s">
        <v>220</v>
      </c>
      <c r="E8" s="28" t="s">
        <v>220</v>
      </c>
      <c r="F8" s="28" t="s">
        <v>220</v>
      </c>
      <c r="G8" s="28" t="s">
        <v>220</v>
      </c>
      <c r="H8" s="28" t="s">
        <v>220</v>
      </c>
      <c r="I8" s="28" t="s">
        <v>220</v>
      </c>
      <c r="J8" s="28" t="s">
        <v>220</v>
      </c>
      <c r="K8" s="28" t="s">
        <v>220</v>
      </c>
      <c r="L8" s="28" t="s">
        <v>220</v>
      </c>
      <c r="M8" s="28" t="s">
        <v>220</v>
      </c>
      <c r="N8" s="28" t="s">
        <v>220</v>
      </c>
      <c r="O8" s="28" t="s">
        <v>220</v>
      </c>
      <c r="P8" s="28" t="s">
        <v>220</v>
      </c>
      <c r="Q8" s="28" t="s">
        <v>220</v>
      </c>
      <c r="R8" s="28" t="s">
        <v>220</v>
      </c>
      <c r="S8" s="28" t="s">
        <v>220</v>
      </c>
      <c r="T8" s="28" t="s">
        <v>220</v>
      </c>
      <c r="U8" s="28" t="s">
        <v>220</v>
      </c>
      <c r="V8" s="28" t="s">
        <v>220</v>
      </c>
      <c r="W8" s="28" t="s">
        <v>220</v>
      </c>
      <c r="X8" s="28" t="s">
        <v>220</v>
      </c>
      <c r="Y8" s="28" t="s">
        <v>220</v>
      </c>
      <c r="Z8" s="28" t="s">
        <v>220</v>
      </c>
      <c r="AA8" s="28" t="s">
        <v>220</v>
      </c>
      <c r="AB8" s="28" t="s">
        <v>220</v>
      </c>
      <c r="AC8" s="28" t="s">
        <v>220</v>
      </c>
      <c r="AD8" s="28" t="s">
        <v>220</v>
      </c>
      <c r="AE8" s="28" t="s">
        <v>220</v>
      </c>
      <c r="AF8" s="28" t="s">
        <v>220</v>
      </c>
      <c r="AG8" s="28" t="s">
        <v>220</v>
      </c>
      <c r="AH8" s="28" t="s">
        <v>220</v>
      </c>
    </row>
    <row r="9" spans="1:34" x14ac:dyDescent="0.25">
      <c r="A9" s="26" t="s">
        <v>165</v>
      </c>
      <c r="B9" s="169" t="s">
        <v>223</v>
      </c>
      <c r="C9" s="169" t="s">
        <v>223</v>
      </c>
      <c r="D9" s="169" t="s">
        <v>223</v>
      </c>
      <c r="E9" s="169" t="s">
        <v>223</v>
      </c>
      <c r="F9" s="169" t="s">
        <v>223</v>
      </c>
      <c r="G9" s="169" t="s">
        <v>223</v>
      </c>
      <c r="H9" s="169" t="s">
        <v>223</v>
      </c>
      <c r="I9" s="169" t="s">
        <v>223</v>
      </c>
      <c r="J9" s="169" t="s">
        <v>223</v>
      </c>
      <c r="K9" s="169" t="s">
        <v>223</v>
      </c>
      <c r="L9" s="169" t="s">
        <v>223</v>
      </c>
      <c r="M9" s="169" t="s">
        <v>223</v>
      </c>
      <c r="N9" s="169" t="s">
        <v>223</v>
      </c>
      <c r="O9" s="169" t="s">
        <v>223</v>
      </c>
      <c r="P9" s="169" t="s">
        <v>223</v>
      </c>
      <c r="Q9" s="169" t="s">
        <v>223</v>
      </c>
      <c r="R9" s="169" t="s">
        <v>223</v>
      </c>
      <c r="S9" s="169" t="s">
        <v>223</v>
      </c>
      <c r="T9" s="169" t="s">
        <v>223</v>
      </c>
      <c r="U9" s="169" t="s">
        <v>223</v>
      </c>
      <c r="V9" s="169" t="s">
        <v>223</v>
      </c>
      <c r="W9" s="169" t="s">
        <v>223</v>
      </c>
      <c r="X9" s="169" t="s">
        <v>223</v>
      </c>
      <c r="Y9" s="169" t="s">
        <v>223</v>
      </c>
      <c r="Z9" s="28" t="s">
        <v>597</v>
      </c>
      <c r="AA9" s="28" t="s">
        <v>223</v>
      </c>
      <c r="AB9" s="169" t="s">
        <v>223</v>
      </c>
      <c r="AC9" s="169" t="s">
        <v>223</v>
      </c>
      <c r="AD9" s="169" t="s">
        <v>223</v>
      </c>
      <c r="AE9" s="28" t="s">
        <v>598</v>
      </c>
      <c r="AF9" s="169" t="s">
        <v>223</v>
      </c>
      <c r="AG9" s="169" t="s">
        <v>223</v>
      </c>
      <c r="AH9" s="28" t="s">
        <v>223</v>
      </c>
    </row>
    <row r="10" spans="1:34" x14ac:dyDescent="0.25">
      <c r="A10" s="131" t="s">
        <v>168</v>
      </c>
      <c r="B10" s="157">
        <v>6</v>
      </c>
      <c r="C10" s="157">
        <v>6</v>
      </c>
      <c r="D10" s="157">
        <v>6</v>
      </c>
      <c r="E10" s="157">
        <v>6</v>
      </c>
      <c r="F10" s="157">
        <v>6</v>
      </c>
      <c r="G10" s="157">
        <v>6</v>
      </c>
      <c r="H10" s="157">
        <v>6</v>
      </c>
      <c r="I10" s="157">
        <v>6</v>
      </c>
      <c r="J10" s="157">
        <v>6</v>
      </c>
      <c r="K10" s="157">
        <v>6</v>
      </c>
      <c r="L10" s="157">
        <v>6</v>
      </c>
      <c r="M10" s="157">
        <v>6</v>
      </c>
      <c r="N10" s="157">
        <v>6</v>
      </c>
      <c r="O10" s="157">
        <v>6</v>
      </c>
      <c r="P10" s="157">
        <v>6</v>
      </c>
      <c r="Q10" s="157">
        <v>6</v>
      </c>
      <c r="R10" s="157">
        <v>6</v>
      </c>
      <c r="S10" s="157">
        <v>6</v>
      </c>
      <c r="T10" s="157">
        <v>6</v>
      </c>
      <c r="U10" s="157">
        <v>6</v>
      </c>
      <c r="V10" s="157">
        <v>6</v>
      </c>
      <c r="W10" s="157">
        <v>6</v>
      </c>
      <c r="X10" s="157">
        <v>6</v>
      </c>
      <c r="Y10" s="157">
        <v>6</v>
      </c>
      <c r="Z10" s="157">
        <v>147</v>
      </c>
      <c r="AA10" s="157">
        <v>6</v>
      </c>
      <c r="AB10" s="157">
        <v>6</v>
      </c>
      <c r="AC10" s="157">
        <v>6</v>
      </c>
      <c r="AD10" s="157">
        <v>6</v>
      </c>
      <c r="AE10" s="168">
        <v>14</v>
      </c>
      <c r="AF10" s="157">
        <v>6</v>
      </c>
      <c r="AG10" s="157">
        <v>6</v>
      </c>
      <c r="AH10" s="157">
        <v>6</v>
      </c>
    </row>
    <row r="11" spans="1:34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28" t="s">
        <v>170</v>
      </c>
      <c r="O11" s="28" t="s">
        <v>170</v>
      </c>
      <c r="P11" s="28" t="s">
        <v>170</v>
      </c>
      <c r="Q11" s="28" t="s">
        <v>170</v>
      </c>
      <c r="R11" s="28" t="s">
        <v>170</v>
      </c>
      <c r="S11" s="28" t="s">
        <v>170</v>
      </c>
      <c r="T11" s="28" t="s">
        <v>170</v>
      </c>
      <c r="U11" s="28" t="s">
        <v>170</v>
      </c>
      <c r="V11" s="28" t="s">
        <v>170</v>
      </c>
      <c r="W11" s="28" t="s">
        <v>170</v>
      </c>
      <c r="X11" s="28" t="s">
        <v>170</v>
      </c>
      <c r="Y11" s="28" t="s">
        <v>170</v>
      </c>
      <c r="Z11" s="28" t="s">
        <v>170</v>
      </c>
      <c r="AA11" s="28" t="s">
        <v>170</v>
      </c>
      <c r="AB11" s="28" t="s">
        <v>170</v>
      </c>
      <c r="AC11" s="28" t="s">
        <v>170</v>
      </c>
      <c r="AD11" s="28" t="s">
        <v>170</v>
      </c>
      <c r="AE11" s="28" t="s">
        <v>170</v>
      </c>
      <c r="AF11" s="28" t="s">
        <v>170</v>
      </c>
      <c r="AG11" s="28" t="s">
        <v>170</v>
      </c>
      <c r="AH11" s="28" t="s">
        <v>170</v>
      </c>
    </row>
    <row r="12" spans="1:34" x14ac:dyDescent="0.25">
      <c r="A12" s="26" t="s">
        <v>171</v>
      </c>
      <c r="B12" s="28" t="s">
        <v>170</v>
      </c>
      <c r="C12" s="28" t="s">
        <v>170</v>
      </c>
      <c r="D12" s="28" t="s">
        <v>170</v>
      </c>
      <c r="E12" s="28" t="s">
        <v>170</v>
      </c>
      <c r="F12" s="28" t="s">
        <v>170</v>
      </c>
      <c r="G12" s="28" t="s">
        <v>170</v>
      </c>
      <c r="H12" s="28" t="s">
        <v>170</v>
      </c>
      <c r="I12" s="28" t="s">
        <v>170</v>
      </c>
      <c r="J12" s="28" t="s">
        <v>170</v>
      </c>
      <c r="K12" s="28" t="s">
        <v>170</v>
      </c>
      <c r="L12" s="28" t="s">
        <v>170</v>
      </c>
      <c r="M12" s="28" t="s">
        <v>170</v>
      </c>
      <c r="N12" s="28" t="s">
        <v>170</v>
      </c>
      <c r="O12" s="28" t="s">
        <v>170</v>
      </c>
      <c r="P12" s="28" t="s">
        <v>170</v>
      </c>
      <c r="Q12" s="28" t="s">
        <v>170</v>
      </c>
      <c r="R12" s="28" t="s">
        <v>170</v>
      </c>
      <c r="S12" s="28" t="s">
        <v>170</v>
      </c>
      <c r="T12" s="28" t="s">
        <v>170</v>
      </c>
      <c r="U12" s="28" t="s">
        <v>170</v>
      </c>
      <c r="V12" s="28" t="s">
        <v>170</v>
      </c>
      <c r="W12" s="28" t="s">
        <v>170</v>
      </c>
      <c r="X12" s="28" t="s">
        <v>170</v>
      </c>
      <c r="Y12" s="28" t="s">
        <v>170</v>
      </c>
      <c r="Z12" s="28" t="s">
        <v>170</v>
      </c>
      <c r="AA12" s="28" t="s">
        <v>170</v>
      </c>
      <c r="AB12" s="28" t="s">
        <v>170</v>
      </c>
      <c r="AC12" s="28" t="s">
        <v>170</v>
      </c>
      <c r="AD12" s="28" t="s">
        <v>170</v>
      </c>
      <c r="AE12" s="28" t="s">
        <v>170</v>
      </c>
      <c r="AF12" s="28" t="s">
        <v>170</v>
      </c>
      <c r="AG12" s="28" t="s">
        <v>170</v>
      </c>
      <c r="AH12" s="28" t="s">
        <v>170</v>
      </c>
    </row>
    <row r="13" spans="1:34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 t="s">
        <v>173</v>
      </c>
      <c r="S13" s="28" t="s">
        <v>173</v>
      </c>
      <c r="T13" s="28" t="s">
        <v>173</v>
      </c>
      <c r="U13" s="28" t="s">
        <v>173</v>
      </c>
      <c r="V13" s="28" t="s">
        <v>173</v>
      </c>
      <c r="W13" s="28" t="s">
        <v>173</v>
      </c>
      <c r="X13" s="28" t="s">
        <v>173</v>
      </c>
      <c r="Y13" s="28" t="s">
        <v>173</v>
      </c>
      <c r="Z13" s="28" t="s">
        <v>173</v>
      </c>
      <c r="AA13" s="28" t="s">
        <v>173</v>
      </c>
      <c r="AB13" s="28" t="s">
        <v>173</v>
      </c>
      <c r="AC13" s="28" t="s">
        <v>173</v>
      </c>
      <c r="AD13" s="28" t="s">
        <v>173</v>
      </c>
      <c r="AE13" s="28" t="s">
        <v>173</v>
      </c>
      <c r="AF13" s="28" t="s">
        <v>173</v>
      </c>
      <c r="AG13" s="28" t="s">
        <v>173</v>
      </c>
      <c r="AH13" s="28" t="s">
        <v>173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 t="s">
        <v>173</v>
      </c>
      <c r="V14" s="28" t="s">
        <v>173</v>
      </c>
      <c r="W14" s="28" t="s">
        <v>173</v>
      </c>
      <c r="X14" s="28" t="s">
        <v>173</v>
      </c>
      <c r="Y14" s="28" t="s">
        <v>173</v>
      </c>
      <c r="Z14" s="28" t="s">
        <v>173</v>
      </c>
      <c r="AA14" s="28" t="s">
        <v>173</v>
      </c>
      <c r="AB14" s="28" t="s">
        <v>173</v>
      </c>
      <c r="AC14" s="28" t="s">
        <v>173</v>
      </c>
      <c r="AD14" s="28" t="s">
        <v>173</v>
      </c>
      <c r="AE14" s="28" t="s">
        <v>173</v>
      </c>
      <c r="AF14" s="28" t="s">
        <v>173</v>
      </c>
      <c r="AG14" s="28" t="s">
        <v>173</v>
      </c>
      <c r="AH14" s="28" t="s">
        <v>173</v>
      </c>
    </row>
    <row r="15" spans="1:34" x14ac:dyDescent="0.25">
      <c r="A15" s="26" t="s">
        <v>175</v>
      </c>
      <c r="B15" s="28" t="s">
        <v>198</v>
      </c>
      <c r="C15" s="28" t="s">
        <v>198</v>
      </c>
      <c r="D15" s="28" t="s">
        <v>198</v>
      </c>
      <c r="E15" s="28" t="s">
        <v>198</v>
      </c>
      <c r="F15" s="28" t="s">
        <v>198</v>
      </c>
      <c r="G15" s="28" t="s">
        <v>198</v>
      </c>
      <c r="H15" s="28" t="s">
        <v>198</v>
      </c>
      <c r="I15" s="28" t="s">
        <v>198</v>
      </c>
      <c r="J15" s="28" t="s">
        <v>198</v>
      </c>
      <c r="K15" s="28" t="s">
        <v>198</v>
      </c>
      <c r="L15" s="28" t="s">
        <v>198</v>
      </c>
      <c r="M15" s="28" t="s">
        <v>198</v>
      </c>
      <c r="N15" s="28" t="s">
        <v>198</v>
      </c>
      <c r="O15" s="28" t="s">
        <v>198</v>
      </c>
      <c r="P15" s="28" t="s">
        <v>198</v>
      </c>
      <c r="Q15" s="28" t="s">
        <v>198</v>
      </c>
      <c r="R15" s="28" t="s">
        <v>198</v>
      </c>
      <c r="S15" s="28" t="s">
        <v>198</v>
      </c>
      <c r="T15" s="28" t="s">
        <v>198</v>
      </c>
      <c r="U15" s="28" t="s">
        <v>198</v>
      </c>
      <c r="V15" s="28" t="s">
        <v>198</v>
      </c>
      <c r="W15" s="28" t="s">
        <v>198</v>
      </c>
      <c r="X15" s="28" t="s">
        <v>198</v>
      </c>
      <c r="Y15" s="28" t="s">
        <v>198</v>
      </c>
      <c r="Z15" s="28" t="s">
        <v>370</v>
      </c>
      <c r="AA15" s="28" t="s">
        <v>198</v>
      </c>
      <c r="AB15" s="28" t="s">
        <v>198</v>
      </c>
      <c r="AC15" s="28" t="s">
        <v>198</v>
      </c>
      <c r="AD15" s="28" t="s">
        <v>198</v>
      </c>
      <c r="AE15" s="28" t="s">
        <v>199</v>
      </c>
      <c r="AF15" s="28" t="s">
        <v>198</v>
      </c>
      <c r="AG15" s="28" t="s">
        <v>198</v>
      </c>
      <c r="AH15" s="28" t="s">
        <v>198</v>
      </c>
    </row>
    <row r="16" spans="1:34" x14ac:dyDescent="0.25">
      <c r="A16" s="26" t="s">
        <v>176</v>
      </c>
      <c r="B16" s="30">
        <f>5/3</f>
        <v>1.6666666666666667</v>
      </c>
      <c r="C16" s="30">
        <f t="shared" ref="C16:F16" si="0">5/3</f>
        <v>1.6666666666666667</v>
      </c>
      <c r="D16" s="30">
        <f t="shared" si="0"/>
        <v>1.6666666666666667</v>
      </c>
      <c r="E16" s="30">
        <f t="shared" si="0"/>
        <v>1.6666666666666667</v>
      </c>
      <c r="F16" s="30">
        <f t="shared" si="0"/>
        <v>1.6666666666666667</v>
      </c>
      <c r="G16" s="30">
        <f t="shared" ref="G16:J16" si="1">5/3</f>
        <v>1.6666666666666667</v>
      </c>
      <c r="H16" s="30">
        <f t="shared" si="1"/>
        <v>1.6666666666666667</v>
      </c>
      <c r="I16" s="30">
        <f t="shared" si="1"/>
        <v>1.6666666666666667</v>
      </c>
      <c r="J16" s="30">
        <f t="shared" si="1"/>
        <v>1.6666666666666667</v>
      </c>
      <c r="K16" s="30">
        <f t="shared" ref="K16:O16" si="2">5/3</f>
        <v>1.6666666666666667</v>
      </c>
      <c r="L16" s="30">
        <f t="shared" si="2"/>
        <v>1.6666666666666667</v>
      </c>
      <c r="M16" s="30">
        <f t="shared" si="2"/>
        <v>1.6666666666666667</v>
      </c>
      <c r="N16" s="30">
        <f t="shared" si="2"/>
        <v>1.6666666666666667</v>
      </c>
      <c r="O16" s="30">
        <f t="shared" si="2"/>
        <v>1.6666666666666667</v>
      </c>
      <c r="P16" s="30">
        <f>5/3</f>
        <v>1.6666666666666667</v>
      </c>
      <c r="Q16" s="30">
        <f t="shared" ref="Q16:Y16" si="3">5/3</f>
        <v>1.6666666666666667</v>
      </c>
      <c r="R16" s="30">
        <f t="shared" si="3"/>
        <v>1.6666666666666667</v>
      </c>
      <c r="S16" s="30">
        <f t="shared" si="3"/>
        <v>1.6666666666666667</v>
      </c>
      <c r="T16" s="30">
        <f t="shared" si="3"/>
        <v>1.6666666666666667</v>
      </c>
      <c r="U16" s="30">
        <f t="shared" si="3"/>
        <v>1.6666666666666667</v>
      </c>
      <c r="V16" s="30">
        <f t="shared" si="3"/>
        <v>1.6666666666666667</v>
      </c>
      <c r="W16" s="30">
        <f t="shared" si="3"/>
        <v>1.6666666666666667</v>
      </c>
      <c r="X16" s="30">
        <f t="shared" si="3"/>
        <v>1.6666666666666667</v>
      </c>
      <c r="Y16" s="30">
        <f t="shared" si="3"/>
        <v>1.6666666666666667</v>
      </c>
      <c r="Z16" s="30">
        <f>AVERAGE(7/3,-1.25)</f>
        <v>0.54166666666666674</v>
      </c>
      <c r="AA16" s="30">
        <f>5/3</f>
        <v>1.6666666666666667</v>
      </c>
      <c r="AB16" s="30">
        <f t="shared" ref="AB16:AD16" si="4">5/3</f>
        <v>1.6666666666666667</v>
      </c>
      <c r="AC16" s="30">
        <f t="shared" si="4"/>
        <v>1.6666666666666667</v>
      </c>
      <c r="AD16" s="30">
        <f t="shared" si="4"/>
        <v>1.6666666666666667</v>
      </c>
      <c r="AE16" s="30">
        <v>-1.25</v>
      </c>
      <c r="AF16" s="30">
        <f t="shared" ref="AF16:AG16" si="5">5/3</f>
        <v>1.6666666666666667</v>
      </c>
      <c r="AG16" s="30">
        <f t="shared" si="5"/>
        <v>1.6666666666666667</v>
      </c>
      <c r="AH16" s="30">
        <f>5/3</f>
        <v>1.6666666666666667</v>
      </c>
    </row>
    <row r="17" spans="1:34" x14ac:dyDescent="0.25">
      <c r="A17" s="26" t="s">
        <v>177</v>
      </c>
      <c r="B17" s="29" t="s">
        <v>178</v>
      </c>
      <c r="C17" s="29" t="s">
        <v>178</v>
      </c>
      <c r="D17" s="29" t="s">
        <v>178</v>
      </c>
      <c r="E17" s="29" t="s">
        <v>178</v>
      </c>
      <c r="F17" s="29" t="s">
        <v>178</v>
      </c>
      <c r="G17" s="29" t="s">
        <v>178</v>
      </c>
      <c r="H17" s="29" t="s">
        <v>178</v>
      </c>
      <c r="I17" s="29" t="s">
        <v>178</v>
      </c>
      <c r="J17" s="29" t="s">
        <v>178</v>
      </c>
      <c r="K17" s="29" t="s">
        <v>178</v>
      </c>
      <c r="L17" s="29" t="s">
        <v>178</v>
      </c>
      <c r="M17" s="29" t="s">
        <v>178</v>
      </c>
      <c r="N17" s="29" t="s">
        <v>178</v>
      </c>
      <c r="O17" s="29" t="s">
        <v>178</v>
      </c>
      <c r="P17" s="29" t="s">
        <v>178</v>
      </c>
      <c r="Q17" s="29" t="s">
        <v>178</v>
      </c>
      <c r="R17" s="29" t="s">
        <v>178</v>
      </c>
      <c r="S17" s="29" t="s">
        <v>178</v>
      </c>
      <c r="T17" s="29" t="s">
        <v>178</v>
      </c>
      <c r="U17" s="29" t="s">
        <v>178</v>
      </c>
      <c r="V17" s="29" t="s">
        <v>178</v>
      </c>
      <c r="W17" s="29" t="s">
        <v>178</v>
      </c>
      <c r="X17" s="29" t="s">
        <v>178</v>
      </c>
      <c r="Y17" s="29" t="s">
        <v>178</v>
      </c>
      <c r="Z17" s="29" t="s">
        <v>178</v>
      </c>
      <c r="AA17" s="29" t="s">
        <v>178</v>
      </c>
      <c r="AB17" s="29" t="s">
        <v>178</v>
      </c>
      <c r="AC17" s="29" t="s">
        <v>178</v>
      </c>
      <c r="AD17" s="29" t="s">
        <v>178</v>
      </c>
      <c r="AE17" s="91" t="s">
        <v>178</v>
      </c>
      <c r="AF17" s="29" t="s">
        <v>178</v>
      </c>
      <c r="AG17" s="29" t="s">
        <v>178</v>
      </c>
      <c r="AH17" s="29" t="s">
        <v>178</v>
      </c>
    </row>
    <row r="18" spans="1:34" x14ac:dyDescent="0.25">
      <c r="A18" s="26" t="s">
        <v>182</v>
      </c>
      <c r="B18" s="30">
        <v>4</v>
      </c>
      <c r="C18" s="30">
        <v>4</v>
      </c>
      <c r="D18" s="30">
        <v>4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30">
        <v>4</v>
      </c>
      <c r="S18" s="30">
        <v>4</v>
      </c>
      <c r="T18" s="30">
        <v>4</v>
      </c>
      <c r="U18" s="30">
        <v>4</v>
      </c>
      <c r="V18" s="30">
        <v>4</v>
      </c>
      <c r="W18" s="30">
        <v>4</v>
      </c>
      <c r="X18" s="30">
        <v>4</v>
      </c>
      <c r="Y18" s="30">
        <v>4</v>
      </c>
      <c r="Z18" s="30">
        <v>4</v>
      </c>
      <c r="AA18" s="30">
        <v>4</v>
      </c>
      <c r="AB18" s="30">
        <v>4</v>
      </c>
      <c r="AC18" s="30">
        <v>4</v>
      </c>
      <c r="AD18" s="30">
        <v>4</v>
      </c>
      <c r="AE18" s="92">
        <v>4</v>
      </c>
      <c r="AF18" s="30">
        <v>4</v>
      </c>
      <c r="AG18" s="30">
        <v>4</v>
      </c>
      <c r="AH18" s="30">
        <v>4</v>
      </c>
    </row>
    <row r="20" spans="1:34" x14ac:dyDescent="0.25">
      <c r="A20" s="26" t="s">
        <v>159</v>
      </c>
      <c r="B20" s="28" t="s">
        <v>447</v>
      </c>
      <c r="C20" s="28" t="s">
        <v>448</v>
      </c>
      <c r="D20" s="28" t="s">
        <v>448</v>
      </c>
      <c r="E20" s="28" t="s">
        <v>448</v>
      </c>
      <c r="F20" s="28" t="s">
        <v>448</v>
      </c>
      <c r="G20" s="28" t="s">
        <v>448</v>
      </c>
      <c r="H20" s="28" t="s">
        <v>448</v>
      </c>
      <c r="I20" s="28" t="s">
        <v>448</v>
      </c>
      <c r="J20" s="28" t="s">
        <v>448</v>
      </c>
      <c r="K20" s="28" t="s">
        <v>448</v>
      </c>
      <c r="L20" s="28" t="s">
        <v>448</v>
      </c>
      <c r="M20" s="28" t="s">
        <v>448</v>
      </c>
      <c r="N20" s="28" t="s">
        <v>448</v>
      </c>
      <c r="O20" s="28" t="s">
        <v>448</v>
      </c>
      <c r="P20" s="28" t="s">
        <v>448</v>
      </c>
      <c r="Q20" s="28" t="s">
        <v>448</v>
      </c>
      <c r="R20" s="28" t="s">
        <v>448</v>
      </c>
      <c r="S20" s="28" t="s">
        <v>448</v>
      </c>
      <c r="T20" s="28" t="s">
        <v>448</v>
      </c>
      <c r="U20" s="28" t="s">
        <v>448</v>
      </c>
      <c r="V20" s="28" t="s">
        <v>448</v>
      </c>
      <c r="W20" s="28" t="s">
        <v>448</v>
      </c>
      <c r="X20" s="28" t="s">
        <v>448</v>
      </c>
      <c r="Y20" s="28" t="s">
        <v>448</v>
      </c>
      <c r="Z20" s="28" t="s">
        <v>448</v>
      </c>
      <c r="AA20" s="28" t="s">
        <v>448</v>
      </c>
      <c r="AB20" s="28" t="s">
        <v>448</v>
      </c>
      <c r="AC20" s="28" t="s">
        <v>448</v>
      </c>
      <c r="AD20" s="28" t="s">
        <v>448</v>
      </c>
      <c r="AE20" s="28" t="s">
        <v>448</v>
      </c>
      <c r="AF20" s="28" t="s">
        <v>448</v>
      </c>
      <c r="AG20" s="28" t="s">
        <v>448</v>
      </c>
      <c r="AH20" s="28" t="s">
        <v>448</v>
      </c>
    </row>
    <row r="21" spans="1:34" x14ac:dyDescent="0.25">
      <c r="A21" s="26" t="s">
        <v>165</v>
      </c>
      <c r="B21" s="29" t="s">
        <v>561</v>
      </c>
      <c r="C21" s="29" t="s">
        <v>561</v>
      </c>
      <c r="D21" s="29" t="s">
        <v>561</v>
      </c>
      <c r="E21" s="29" t="s">
        <v>561</v>
      </c>
      <c r="F21" s="29" t="s">
        <v>561</v>
      </c>
      <c r="G21" s="29" t="s">
        <v>561</v>
      </c>
      <c r="H21" s="29" t="s">
        <v>561</v>
      </c>
      <c r="I21" s="29" t="s">
        <v>561</v>
      </c>
      <c r="J21" s="29" t="s">
        <v>561</v>
      </c>
      <c r="K21" s="29" t="s">
        <v>561</v>
      </c>
      <c r="L21" s="29" t="s">
        <v>561</v>
      </c>
      <c r="M21" s="29" t="s">
        <v>561</v>
      </c>
      <c r="N21" s="113" t="s">
        <v>572</v>
      </c>
      <c r="O21" s="29" t="s">
        <v>561</v>
      </c>
      <c r="P21" s="113" t="s">
        <v>453</v>
      </c>
      <c r="Q21" s="113" t="s">
        <v>453</v>
      </c>
      <c r="R21" s="29" t="s">
        <v>454</v>
      </c>
      <c r="S21" s="113" t="s">
        <v>572</v>
      </c>
      <c r="T21" s="29" t="s">
        <v>561</v>
      </c>
      <c r="U21" s="29" t="s">
        <v>561</v>
      </c>
      <c r="V21" s="29" t="s">
        <v>561</v>
      </c>
      <c r="W21" s="29" t="s">
        <v>561</v>
      </c>
      <c r="X21" s="29" t="s">
        <v>561</v>
      </c>
      <c r="Y21" s="29" t="s">
        <v>561</v>
      </c>
      <c r="Z21" s="29" t="s">
        <v>591</v>
      </c>
      <c r="AA21" s="29" t="s">
        <v>561</v>
      </c>
      <c r="AB21" s="29" t="s">
        <v>561</v>
      </c>
      <c r="AC21" s="29" t="s">
        <v>561</v>
      </c>
      <c r="AD21" s="29" t="s">
        <v>561</v>
      </c>
      <c r="AE21" s="29" t="s">
        <v>592</v>
      </c>
      <c r="AF21" s="29" t="s">
        <v>561</v>
      </c>
      <c r="AG21" s="28" t="s">
        <v>457</v>
      </c>
      <c r="AH21" s="28" t="s">
        <v>457</v>
      </c>
    </row>
    <row r="22" spans="1:34" x14ac:dyDescent="0.25">
      <c r="A22" s="131" t="s">
        <v>168</v>
      </c>
      <c r="B22" s="157">
        <v>83</v>
      </c>
      <c r="C22" s="157">
        <v>83</v>
      </c>
      <c r="D22" s="157">
        <v>83</v>
      </c>
      <c r="E22" s="157">
        <v>83</v>
      </c>
      <c r="F22" s="157">
        <v>83</v>
      </c>
      <c r="G22" s="157">
        <v>83</v>
      </c>
      <c r="H22" s="157">
        <v>83</v>
      </c>
      <c r="I22" s="157">
        <v>83</v>
      </c>
      <c r="J22" s="157">
        <v>83</v>
      </c>
      <c r="K22" s="157">
        <v>83</v>
      </c>
      <c r="L22" s="157">
        <v>83</v>
      </c>
      <c r="M22" s="157">
        <v>83</v>
      </c>
      <c r="N22" s="157">
        <v>143</v>
      </c>
      <c r="O22" s="157">
        <v>83</v>
      </c>
      <c r="P22" s="157">
        <v>142</v>
      </c>
      <c r="Q22" s="157">
        <v>142</v>
      </c>
      <c r="R22" s="157">
        <v>81</v>
      </c>
      <c r="S22" s="157">
        <v>143</v>
      </c>
      <c r="T22" s="157">
        <v>83</v>
      </c>
      <c r="U22" s="157">
        <v>83</v>
      </c>
      <c r="V22" s="157">
        <v>83</v>
      </c>
      <c r="W22" s="157">
        <v>83</v>
      </c>
      <c r="X22" s="157">
        <v>83</v>
      </c>
      <c r="Y22" s="157">
        <v>83</v>
      </c>
      <c r="Z22" s="157">
        <v>146</v>
      </c>
      <c r="AA22" s="157">
        <v>83</v>
      </c>
      <c r="AB22" s="157">
        <v>83</v>
      </c>
      <c r="AC22" s="157">
        <v>83</v>
      </c>
      <c r="AD22" s="157">
        <v>83</v>
      </c>
      <c r="AE22" s="157">
        <v>80</v>
      </c>
      <c r="AF22" s="157">
        <v>83</v>
      </c>
      <c r="AG22" s="157">
        <v>82</v>
      </c>
      <c r="AH22" s="157">
        <v>82</v>
      </c>
    </row>
    <row r="23" spans="1:34" x14ac:dyDescent="0.25">
      <c r="A23" s="26" t="s">
        <v>169</v>
      </c>
      <c r="B23" s="28" t="s">
        <v>170</v>
      </c>
      <c r="C23" s="28" t="s">
        <v>170</v>
      </c>
      <c r="D23" s="28" t="s">
        <v>170</v>
      </c>
      <c r="E23" s="28" t="s">
        <v>170</v>
      </c>
      <c r="F23" s="28" t="s">
        <v>170</v>
      </c>
      <c r="G23" s="28" t="s">
        <v>170</v>
      </c>
      <c r="H23" s="28" t="s">
        <v>170</v>
      </c>
      <c r="I23" s="28" t="s">
        <v>170</v>
      </c>
      <c r="J23" s="28" t="s">
        <v>170</v>
      </c>
      <c r="K23" s="28" t="s">
        <v>170</v>
      </c>
      <c r="L23" s="28" t="s">
        <v>170</v>
      </c>
      <c r="M23" s="28" t="s">
        <v>170</v>
      </c>
      <c r="N23" s="28" t="s">
        <v>170</v>
      </c>
      <c r="O23" s="28" t="s">
        <v>170</v>
      </c>
      <c r="P23" s="28" t="s">
        <v>170</v>
      </c>
      <c r="Q23" s="28" t="s">
        <v>170</v>
      </c>
      <c r="R23" s="28" t="s">
        <v>170</v>
      </c>
      <c r="S23" s="28" t="s">
        <v>170</v>
      </c>
      <c r="T23" s="28" t="s">
        <v>170</v>
      </c>
      <c r="U23" s="28" t="s">
        <v>170</v>
      </c>
      <c r="V23" s="28" t="s">
        <v>170</v>
      </c>
      <c r="W23" s="28" t="s">
        <v>170</v>
      </c>
      <c r="X23" s="28" t="s">
        <v>170</v>
      </c>
      <c r="Y23" s="28" t="s">
        <v>170</v>
      </c>
      <c r="Z23" s="28" t="s">
        <v>170</v>
      </c>
      <c r="AA23" s="28" t="s">
        <v>170</v>
      </c>
      <c r="AB23" s="28" t="s">
        <v>170</v>
      </c>
      <c r="AC23" s="28" t="s">
        <v>170</v>
      </c>
      <c r="AD23" s="28" t="s">
        <v>170</v>
      </c>
      <c r="AE23" s="28" t="s">
        <v>170</v>
      </c>
      <c r="AF23" s="28" t="s">
        <v>170</v>
      </c>
      <c r="AG23" s="28" t="s">
        <v>170</v>
      </c>
      <c r="AH23" s="28" t="s">
        <v>170</v>
      </c>
    </row>
    <row r="24" spans="1:34" x14ac:dyDescent="0.25">
      <c r="A24" s="26" t="s">
        <v>171</v>
      </c>
      <c r="B24" s="28" t="s">
        <v>170</v>
      </c>
      <c r="C24" s="28" t="s">
        <v>170</v>
      </c>
      <c r="D24" s="28" t="s">
        <v>170</v>
      </c>
      <c r="E24" s="28" t="s">
        <v>170</v>
      </c>
      <c r="F24" s="28" t="s">
        <v>170</v>
      </c>
      <c r="G24" s="28" t="s">
        <v>170</v>
      </c>
      <c r="H24" s="28" t="s">
        <v>170</v>
      </c>
      <c r="I24" s="28" t="s">
        <v>170</v>
      </c>
      <c r="J24" s="28" t="s">
        <v>170</v>
      </c>
      <c r="K24" s="28" t="s">
        <v>170</v>
      </c>
      <c r="L24" s="28" t="s">
        <v>170</v>
      </c>
      <c r="M24" s="28" t="s">
        <v>170</v>
      </c>
      <c r="N24" s="28" t="s">
        <v>170</v>
      </c>
      <c r="O24" s="28" t="s">
        <v>170</v>
      </c>
      <c r="P24" s="28" t="s">
        <v>170</v>
      </c>
      <c r="Q24" s="28" t="s">
        <v>170</v>
      </c>
      <c r="R24" s="28" t="s">
        <v>170</v>
      </c>
      <c r="S24" s="28" t="s">
        <v>170</v>
      </c>
      <c r="T24" s="28" t="s">
        <v>170</v>
      </c>
      <c r="U24" s="28" t="s">
        <v>170</v>
      </c>
      <c r="V24" s="28" t="s">
        <v>170</v>
      </c>
      <c r="W24" s="28" t="s">
        <v>170</v>
      </c>
      <c r="X24" s="28" t="s">
        <v>170</v>
      </c>
      <c r="Y24" s="28" t="s">
        <v>170</v>
      </c>
      <c r="Z24" s="28" t="s">
        <v>170</v>
      </c>
      <c r="AA24" s="28" t="s">
        <v>170</v>
      </c>
      <c r="AB24" s="28" t="s">
        <v>170</v>
      </c>
      <c r="AC24" s="28" t="s">
        <v>170</v>
      </c>
      <c r="AD24" s="28" t="s">
        <v>170</v>
      </c>
      <c r="AE24" s="28" t="s">
        <v>170</v>
      </c>
      <c r="AF24" s="28" t="s">
        <v>170</v>
      </c>
      <c r="AG24" s="28" t="s">
        <v>170</v>
      </c>
      <c r="AH24" s="28" t="s">
        <v>170</v>
      </c>
    </row>
    <row r="25" spans="1:34" x14ac:dyDescent="0.25">
      <c r="A25" s="26" t="s">
        <v>172</v>
      </c>
      <c r="B25" s="28" t="s">
        <v>173</v>
      </c>
      <c r="C25" s="28" t="s">
        <v>173</v>
      </c>
      <c r="D25" s="28" t="s">
        <v>173</v>
      </c>
      <c r="E25" s="28" t="s">
        <v>173</v>
      </c>
      <c r="F25" s="28" t="s">
        <v>173</v>
      </c>
      <c r="G25" s="28" t="s">
        <v>173</v>
      </c>
      <c r="H25" s="28" t="s">
        <v>173</v>
      </c>
      <c r="I25" s="28" t="s">
        <v>173</v>
      </c>
      <c r="J25" s="28" t="s">
        <v>173</v>
      </c>
      <c r="K25" s="28" t="s">
        <v>173</v>
      </c>
      <c r="L25" s="28" t="s">
        <v>173</v>
      </c>
      <c r="M25" s="28" t="s">
        <v>173</v>
      </c>
      <c r="N25" s="28" t="s">
        <v>173</v>
      </c>
      <c r="O25" s="28" t="s">
        <v>173</v>
      </c>
      <c r="P25" s="28" t="s">
        <v>173</v>
      </c>
      <c r="Q25" s="28" t="s">
        <v>173</v>
      </c>
      <c r="R25" s="28" t="s">
        <v>173</v>
      </c>
      <c r="S25" s="28" t="s">
        <v>173</v>
      </c>
      <c r="T25" s="28" t="s">
        <v>173</v>
      </c>
      <c r="U25" s="28" t="s">
        <v>173</v>
      </c>
      <c r="V25" s="28" t="s">
        <v>173</v>
      </c>
      <c r="W25" s="28" t="s">
        <v>173</v>
      </c>
      <c r="X25" s="28" t="s">
        <v>173</v>
      </c>
      <c r="Y25" s="28" t="s">
        <v>173</v>
      </c>
      <c r="Z25" s="28" t="s">
        <v>173</v>
      </c>
      <c r="AA25" s="28" t="s">
        <v>173</v>
      </c>
      <c r="AB25" s="28" t="s">
        <v>173</v>
      </c>
      <c r="AC25" s="28" t="s">
        <v>173</v>
      </c>
      <c r="AD25" s="28" t="s">
        <v>173</v>
      </c>
      <c r="AE25" s="28" t="s">
        <v>173</v>
      </c>
      <c r="AF25" s="28" t="s">
        <v>173</v>
      </c>
      <c r="AG25" s="28" t="s">
        <v>173</v>
      </c>
      <c r="AH25" s="28" t="s">
        <v>173</v>
      </c>
    </row>
    <row r="26" spans="1:34" x14ac:dyDescent="0.25">
      <c r="A26" s="26" t="s">
        <v>174</v>
      </c>
      <c r="B26" s="28" t="s">
        <v>173</v>
      </c>
      <c r="C26" s="28" t="s">
        <v>173</v>
      </c>
      <c r="D26" s="28" t="s">
        <v>173</v>
      </c>
      <c r="E26" s="28" t="s">
        <v>173</v>
      </c>
      <c r="F26" s="28" t="s">
        <v>173</v>
      </c>
      <c r="G26" s="28" t="s">
        <v>173</v>
      </c>
      <c r="H26" s="28" t="s">
        <v>173</v>
      </c>
      <c r="I26" s="28" t="s">
        <v>173</v>
      </c>
      <c r="J26" s="28" t="s">
        <v>173</v>
      </c>
      <c r="K26" s="28" t="s">
        <v>173</v>
      </c>
      <c r="L26" s="28" t="s">
        <v>173</v>
      </c>
      <c r="M26" s="28" t="s">
        <v>173</v>
      </c>
      <c r="N26" s="28" t="s">
        <v>173</v>
      </c>
      <c r="O26" s="28" t="s">
        <v>173</v>
      </c>
      <c r="P26" s="28" t="s">
        <v>173</v>
      </c>
      <c r="Q26" s="28" t="s">
        <v>173</v>
      </c>
      <c r="R26" s="28" t="s">
        <v>173</v>
      </c>
      <c r="S26" s="28" t="s">
        <v>173</v>
      </c>
      <c r="T26" s="28" t="s">
        <v>173</v>
      </c>
      <c r="U26" s="28" t="s">
        <v>173</v>
      </c>
      <c r="V26" s="28" t="s">
        <v>173</v>
      </c>
      <c r="W26" s="28" t="s">
        <v>173</v>
      </c>
      <c r="X26" s="28" t="s">
        <v>173</v>
      </c>
      <c r="Y26" s="28" t="s">
        <v>173</v>
      </c>
      <c r="Z26" s="28" t="s">
        <v>173</v>
      </c>
      <c r="AA26" s="28" t="s">
        <v>173</v>
      </c>
      <c r="AB26" s="28" t="s">
        <v>173</v>
      </c>
      <c r="AC26" s="28" t="s">
        <v>173</v>
      </c>
      <c r="AD26" s="28" t="s">
        <v>173</v>
      </c>
      <c r="AE26" s="28" t="s">
        <v>173</v>
      </c>
      <c r="AF26" s="28" t="s">
        <v>173</v>
      </c>
      <c r="AG26" s="28" t="s">
        <v>173</v>
      </c>
      <c r="AH26" s="28" t="s">
        <v>173</v>
      </c>
    </row>
    <row r="27" spans="1:34" x14ac:dyDescent="0.25">
      <c r="A27" s="26" t="s">
        <v>175</v>
      </c>
      <c r="B27" s="28" t="s">
        <v>198</v>
      </c>
      <c r="C27" s="28" t="s">
        <v>198</v>
      </c>
      <c r="D27" s="28" t="s">
        <v>198</v>
      </c>
      <c r="E27" s="28" t="s">
        <v>198</v>
      </c>
      <c r="F27" s="28" t="s">
        <v>198</v>
      </c>
      <c r="G27" s="28" t="s">
        <v>198</v>
      </c>
      <c r="H27" s="28" t="s">
        <v>198</v>
      </c>
      <c r="I27" s="28" t="s">
        <v>198</v>
      </c>
      <c r="J27" s="28" t="s">
        <v>198</v>
      </c>
      <c r="K27" s="28" t="s">
        <v>198</v>
      </c>
      <c r="L27" s="28" t="s">
        <v>198</v>
      </c>
      <c r="M27" s="28" t="s">
        <v>198</v>
      </c>
      <c r="N27" s="113" t="s">
        <v>460</v>
      </c>
      <c r="O27" s="28" t="s">
        <v>198</v>
      </c>
      <c r="P27" s="28" t="s">
        <v>461</v>
      </c>
      <c r="Q27" s="28" t="s">
        <v>461</v>
      </c>
      <c r="R27" s="28" t="s">
        <v>461</v>
      </c>
      <c r="S27" s="113" t="s">
        <v>460</v>
      </c>
      <c r="T27" s="28" t="s">
        <v>198</v>
      </c>
      <c r="U27" s="28" t="s">
        <v>198</v>
      </c>
      <c r="V27" s="28" t="s">
        <v>198</v>
      </c>
      <c r="W27" s="28" t="s">
        <v>198</v>
      </c>
      <c r="X27" s="28" t="s">
        <v>198</v>
      </c>
      <c r="Y27" s="28" t="s">
        <v>198</v>
      </c>
      <c r="Z27" s="28" t="s">
        <v>370</v>
      </c>
      <c r="AA27" s="28" t="s">
        <v>198</v>
      </c>
      <c r="AB27" s="28" t="s">
        <v>198</v>
      </c>
      <c r="AC27" s="28" t="s">
        <v>198</v>
      </c>
      <c r="AD27" s="28" t="s">
        <v>198</v>
      </c>
      <c r="AE27" s="28" t="s">
        <v>199</v>
      </c>
      <c r="AF27" s="28" t="s">
        <v>198</v>
      </c>
      <c r="AG27" s="28" t="s">
        <v>198</v>
      </c>
      <c r="AH27" s="28" t="s">
        <v>198</v>
      </c>
    </row>
    <row r="28" spans="1:34" x14ac:dyDescent="0.25">
      <c r="A28" s="26" t="s">
        <v>176</v>
      </c>
      <c r="B28" s="30">
        <v>0.75</v>
      </c>
      <c r="C28" s="30">
        <v>0.75</v>
      </c>
      <c r="D28" s="30">
        <v>0.75</v>
      </c>
      <c r="E28" s="30">
        <v>0.75</v>
      </c>
      <c r="F28" s="30">
        <v>0.75</v>
      </c>
      <c r="G28" s="30">
        <v>0.75</v>
      </c>
      <c r="H28" s="30">
        <v>0.75</v>
      </c>
      <c r="I28" s="30">
        <v>0.75</v>
      </c>
      <c r="J28" s="30">
        <v>0.75</v>
      </c>
      <c r="K28" s="30">
        <v>0.75</v>
      </c>
      <c r="L28" s="30">
        <v>0.75</v>
      </c>
      <c r="M28" s="30">
        <v>0.75</v>
      </c>
      <c r="N28" s="30">
        <f>AVERAGE(0.75,0.75,-4)</f>
        <v>-0.83333333333333337</v>
      </c>
      <c r="O28" s="30">
        <v>0.75</v>
      </c>
      <c r="P28" s="30">
        <v>-4</v>
      </c>
      <c r="Q28" s="30">
        <v>-4</v>
      </c>
      <c r="R28" s="30">
        <v>-4</v>
      </c>
      <c r="S28" s="30">
        <f>AVERAGE(0.75,0.75,-4)</f>
        <v>-0.83333333333333337</v>
      </c>
      <c r="T28" s="30">
        <v>0.75</v>
      </c>
      <c r="U28" s="30">
        <v>0.75</v>
      </c>
      <c r="V28" s="30">
        <v>0.75</v>
      </c>
      <c r="W28" s="30">
        <v>0.75</v>
      </c>
      <c r="X28" s="30">
        <v>0.75</v>
      </c>
      <c r="Y28" s="30">
        <v>0.75</v>
      </c>
      <c r="Z28" s="30">
        <f>AVERAGE(0.75,-1.25)</f>
        <v>-0.25</v>
      </c>
      <c r="AA28" s="30">
        <v>0.75</v>
      </c>
      <c r="AB28" s="30">
        <v>0.75</v>
      </c>
      <c r="AC28" s="30">
        <v>0.75</v>
      </c>
      <c r="AD28" s="30">
        <v>0.75</v>
      </c>
      <c r="AE28" s="30">
        <v>-1.25</v>
      </c>
      <c r="AF28" s="30">
        <v>0.75</v>
      </c>
      <c r="AG28" s="30">
        <f>5/3</f>
        <v>1.6666666666666667</v>
      </c>
      <c r="AH28" s="30">
        <f>5/3</f>
        <v>1.6666666666666667</v>
      </c>
    </row>
    <row r="29" spans="1:34" x14ac:dyDescent="0.25">
      <c r="A29" s="26" t="s">
        <v>177</v>
      </c>
      <c r="B29" s="28" t="s">
        <v>462</v>
      </c>
      <c r="C29" s="28" t="s">
        <v>462</v>
      </c>
      <c r="D29" s="28" t="s">
        <v>462</v>
      </c>
      <c r="E29" s="28" t="s">
        <v>462</v>
      </c>
      <c r="F29" s="28" t="s">
        <v>462</v>
      </c>
      <c r="G29" s="28" t="s">
        <v>462</v>
      </c>
      <c r="H29" s="28" t="s">
        <v>462</v>
      </c>
      <c r="I29" s="28" t="s">
        <v>462</v>
      </c>
      <c r="J29" s="28" t="s">
        <v>462</v>
      </c>
      <c r="K29" s="28" t="s">
        <v>462</v>
      </c>
      <c r="L29" s="28" t="s">
        <v>462</v>
      </c>
      <c r="M29" s="28" t="s">
        <v>462</v>
      </c>
      <c r="N29" s="28" t="s">
        <v>462</v>
      </c>
      <c r="O29" s="28" t="s">
        <v>462</v>
      </c>
      <c r="P29" s="113" t="s">
        <v>464</v>
      </c>
      <c r="Q29" s="113" t="s">
        <v>464</v>
      </c>
      <c r="R29" s="28" t="s">
        <v>462</v>
      </c>
      <c r="S29" s="28" t="s">
        <v>462</v>
      </c>
      <c r="T29" s="28" t="s">
        <v>462</v>
      </c>
      <c r="U29" s="28" t="s">
        <v>462</v>
      </c>
      <c r="V29" s="28" t="s">
        <v>462</v>
      </c>
      <c r="W29" s="28" t="s">
        <v>462</v>
      </c>
      <c r="X29" s="28" t="s">
        <v>462</v>
      </c>
      <c r="Y29" s="28" t="s">
        <v>462</v>
      </c>
      <c r="Z29" s="28" t="s">
        <v>462</v>
      </c>
      <c r="AA29" s="28" t="s">
        <v>462</v>
      </c>
      <c r="AB29" s="28" t="s">
        <v>462</v>
      </c>
      <c r="AC29" s="28" t="s">
        <v>462</v>
      </c>
      <c r="AD29" s="28" t="s">
        <v>462</v>
      </c>
      <c r="AE29" s="28" t="s">
        <v>462</v>
      </c>
      <c r="AF29" s="28" t="s">
        <v>462</v>
      </c>
      <c r="AG29" s="28" t="s">
        <v>462</v>
      </c>
      <c r="AH29" s="28" t="s">
        <v>462</v>
      </c>
    </row>
    <row r="30" spans="1:34" x14ac:dyDescent="0.25">
      <c r="A30" s="26" t="s">
        <v>182</v>
      </c>
      <c r="B30" s="30">
        <v>1</v>
      </c>
      <c r="C30" s="30">
        <v>1</v>
      </c>
      <c r="D30" s="30">
        <v>1</v>
      </c>
      <c r="E30" s="30">
        <v>1</v>
      </c>
      <c r="F30" s="30">
        <v>1</v>
      </c>
      <c r="G30" s="30">
        <v>1</v>
      </c>
      <c r="H30" s="30">
        <v>1</v>
      </c>
      <c r="I30" s="30">
        <v>1</v>
      </c>
      <c r="J30" s="30">
        <v>1</v>
      </c>
      <c r="K30" s="30">
        <v>1</v>
      </c>
      <c r="L30" s="30">
        <v>1</v>
      </c>
      <c r="M30" s="30">
        <v>1</v>
      </c>
      <c r="N30" s="30">
        <f>AVERAGE(1,1,1.25)</f>
        <v>1.0833333333333333</v>
      </c>
      <c r="O30" s="30">
        <v>1</v>
      </c>
      <c r="P30" s="30">
        <f>AVERAGE(2,2,1.25)</f>
        <v>1.75</v>
      </c>
      <c r="Q30" s="30">
        <f>AVERAGE(2,2,1.25)</f>
        <v>1.75</v>
      </c>
      <c r="R30" s="30">
        <v>1.25</v>
      </c>
      <c r="S30" s="30">
        <f>AVERAGE(1,1,1.25)</f>
        <v>1.0833333333333333</v>
      </c>
      <c r="T30" s="30">
        <v>1</v>
      </c>
      <c r="U30" s="30">
        <v>1</v>
      </c>
      <c r="V30" s="30">
        <v>1</v>
      </c>
      <c r="W30" s="30">
        <v>1</v>
      </c>
      <c r="X30" s="30">
        <v>1</v>
      </c>
      <c r="Y30" s="30">
        <v>1</v>
      </c>
      <c r="Z30" s="30">
        <v>1</v>
      </c>
      <c r="AA30" s="30">
        <v>1</v>
      </c>
      <c r="AB30" s="30">
        <v>1</v>
      </c>
      <c r="AC30" s="30">
        <v>1</v>
      </c>
      <c r="AD30" s="30">
        <v>1</v>
      </c>
      <c r="AE30" s="30">
        <v>1</v>
      </c>
      <c r="AF30" s="30">
        <v>1</v>
      </c>
      <c r="AG30" s="30">
        <v>1</v>
      </c>
      <c r="AH30" s="30">
        <v>1</v>
      </c>
    </row>
    <row r="32" spans="1:34" x14ac:dyDescent="0.25">
      <c r="A32" s="31" t="s">
        <v>183</v>
      </c>
    </row>
    <row r="33" spans="1:2" x14ac:dyDescent="0.25">
      <c r="A33" s="26" t="s">
        <v>599</v>
      </c>
      <c r="B33" s="93" t="s">
        <v>600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BA189-F9DE-4A7B-A66B-D23FDE9EAFC0}">
  <dimension ref="A1:AH34"/>
  <sheetViews>
    <sheetView topLeftCell="C1" workbookViewId="0">
      <selection activeCell="P21" sqref="P21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117</v>
      </c>
      <c r="I1" s="25" t="s">
        <v>549</v>
      </c>
    </row>
    <row r="3" spans="1:34" ht="18" x14ac:dyDescent="0.25">
      <c r="A3" s="25" t="s">
        <v>119</v>
      </c>
      <c r="B3" s="215">
        <v>37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601</v>
      </c>
      <c r="C4" s="215"/>
      <c r="D4" s="215"/>
      <c r="F4" s="216" t="s">
        <v>602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377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87" t="s">
        <v>247</v>
      </c>
      <c r="C8" s="28" t="s">
        <v>248</v>
      </c>
      <c r="D8" s="28" t="s">
        <v>248</v>
      </c>
      <c r="E8" s="28" t="s">
        <v>248</v>
      </c>
      <c r="F8" s="28" t="s">
        <v>248</v>
      </c>
      <c r="G8" s="28" t="s">
        <v>248</v>
      </c>
      <c r="H8" s="28" t="s">
        <v>248</v>
      </c>
      <c r="I8" s="28" t="s">
        <v>248</v>
      </c>
      <c r="J8" s="28" t="s">
        <v>248</v>
      </c>
      <c r="K8" s="28" t="s">
        <v>248</v>
      </c>
      <c r="L8" s="28" t="s">
        <v>248</v>
      </c>
      <c r="M8" s="28" t="s">
        <v>248</v>
      </c>
      <c r="N8" s="28" t="s">
        <v>248</v>
      </c>
      <c r="O8" s="28" t="s">
        <v>248</v>
      </c>
      <c r="P8" s="28" t="s">
        <v>248</v>
      </c>
      <c r="Q8" s="28" t="s">
        <v>248</v>
      </c>
      <c r="R8" s="28" t="s">
        <v>248</v>
      </c>
      <c r="S8" s="28" t="s">
        <v>248</v>
      </c>
      <c r="T8" s="28" t="s">
        <v>248</v>
      </c>
      <c r="U8" s="28" t="s">
        <v>248</v>
      </c>
      <c r="V8" s="28" t="s">
        <v>248</v>
      </c>
      <c r="W8" s="28" t="s">
        <v>248</v>
      </c>
      <c r="X8" s="28" t="s">
        <v>248</v>
      </c>
      <c r="Y8" s="28" t="s">
        <v>248</v>
      </c>
      <c r="Z8" s="28" t="s">
        <v>248</v>
      </c>
      <c r="AA8" s="28" t="s">
        <v>248</v>
      </c>
      <c r="AB8" s="28" t="s">
        <v>248</v>
      </c>
      <c r="AC8" s="28" t="s">
        <v>248</v>
      </c>
      <c r="AD8" s="28" t="s">
        <v>248</v>
      </c>
      <c r="AE8" s="28" t="s">
        <v>248</v>
      </c>
      <c r="AF8" s="28" t="s">
        <v>248</v>
      </c>
      <c r="AG8" s="28" t="s">
        <v>248</v>
      </c>
      <c r="AH8" s="28" t="s">
        <v>248</v>
      </c>
    </row>
    <row r="9" spans="1:34" x14ac:dyDescent="0.25">
      <c r="A9" s="26" t="s">
        <v>165</v>
      </c>
      <c r="B9" s="28" t="s">
        <v>254</v>
      </c>
      <c r="C9" s="28" t="s">
        <v>254</v>
      </c>
      <c r="D9" s="28" t="s">
        <v>254</v>
      </c>
      <c r="E9" s="28" t="s">
        <v>254</v>
      </c>
      <c r="F9" s="28" t="s">
        <v>254</v>
      </c>
      <c r="G9" s="28" t="s">
        <v>254</v>
      </c>
      <c r="H9" s="28" t="s">
        <v>254</v>
      </c>
      <c r="I9" s="28" t="s">
        <v>254</v>
      </c>
      <c r="J9" s="28" t="s">
        <v>254</v>
      </c>
      <c r="K9" s="28" t="s">
        <v>254</v>
      </c>
      <c r="L9" s="28" t="s">
        <v>254</v>
      </c>
      <c r="M9" s="28" t="s">
        <v>254</v>
      </c>
      <c r="N9" s="28" t="s">
        <v>254</v>
      </c>
      <c r="O9" s="28" t="s">
        <v>254</v>
      </c>
      <c r="P9" s="28" t="s">
        <v>254</v>
      </c>
      <c r="Q9" s="28" t="s">
        <v>254</v>
      </c>
      <c r="R9" s="28" t="s">
        <v>254</v>
      </c>
      <c r="S9" s="28" t="s">
        <v>254</v>
      </c>
      <c r="T9" s="28" t="s">
        <v>254</v>
      </c>
      <c r="U9" s="28" t="s">
        <v>254</v>
      </c>
      <c r="V9" s="28" t="s">
        <v>254</v>
      </c>
      <c r="W9" s="28" t="s">
        <v>254</v>
      </c>
      <c r="X9" s="28" t="s">
        <v>254</v>
      </c>
      <c r="Y9" s="28" t="s">
        <v>254</v>
      </c>
      <c r="Z9" s="28" t="s">
        <v>254</v>
      </c>
      <c r="AA9" s="28" t="s">
        <v>254</v>
      </c>
      <c r="AB9" s="28" t="s">
        <v>254</v>
      </c>
      <c r="AC9" s="28" t="s">
        <v>254</v>
      </c>
      <c r="AD9" s="28" t="s">
        <v>254</v>
      </c>
      <c r="AE9" s="28" t="s">
        <v>254</v>
      </c>
      <c r="AF9" s="28" t="s">
        <v>254</v>
      </c>
      <c r="AG9" s="28" t="s">
        <v>254</v>
      </c>
      <c r="AH9" s="28" t="s">
        <v>254</v>
      </c>
    </row>
    <row r="10" spans="1:34" x14ac:dyDescent="0.25">
      <c r="A10" s="131" t="s">
        <v>168</v>
      </c>
      <c r="B10" s="157">
        <v>19</v>
      </c>
      <c r="C10" s="157">
        <v>19</v>
      </c>
      <c r="D10" s="157">
        <v>19</v>
      </c>
      <c r="E10" s="157">
        <v>19</v>
      </c>
      <c r="F10" s="157">
        <v>19</v>
      </c>
      <c r="G10" s="157">
        <v>19</v>
      </c>
      <c r="H10" s="157">
        <v>19</v>
      </c>
      <c r="I10" s="157">
        <v>19</v>
      </c>
      <c r="J10" s="157">
        <v>19</v>
      </c>
      <c r="K10" s="157">
        <v>19</v>
      </c>
      <c r="L10" s="157">
        <v>19</v>
      </c>
      <c r="M10" s="157">
        <v>19</v>
      </c>
      <c r="N10" s="157">
        <v>19</v>
      </c>
      <c r="O10" s="157">
        <v>19</v>
      </c>
      <c r="P10" s="157">
        <v>19</v>
      </c>
      <c r="Q10" s="157">
        <v>19</v>
      </c>
      <c r="R10" s="157">
        <v>19</v>
      </c>
      <c r="S10" s="157">
        <v>19</v>
      </c>
      <c r="T10" s="157">
        <v>19</v>
      </c>
      <c r="U10" s="157">
        <v>19</v>
      </c>
      <c r="V10" s="157">
        <v>19</v>
      </c>
      <c r="W10" s="157">
        <v>19</v>
      </c>
      <c r="X10" s="157">
        <v>19</v>
      </c>
      <c r="Y10" s="157">
        <v>19</v>
      </c>
      <c r="Z10" s="157">
        <v>19</v>
      </c>
      <c r="AA10" s="157">
        <v>19</v>
      </c>
      <c r="AB10" s="157">
        <v>19</v>
      </c>
      <c r="AC10" s="157">
        <v>19</v>
      </c>
      <c r="AD10" s="157">
        <v>19</v>
      </c>
      <c r="AE10" s="157">
        <v>19</v>
      </c>
      <c r="AF10" s="157">
        <v>19</v>
      </c>
      <c r="AG10" s="157">
        <v>19</v>
      </c>
      <c r="AH10" s="157">
        <v>19</v>
      </c>
    </row>
    <row r="11" spans="1:34" x14ac:dyDescent="0.25">
      <c r="A11" s="26" t="s">
        <v>169</v>
      </c>
      <c r="B11" s="29" t="s">
        <v>170</v>
      </c>
      <c r="C11" s="29" t="s">
        <v>170</v>
      </c>
      <c r="D11" s="29" t="s">
        <v>170</v>
      </c>
      <c r="E11" s="29" t="s">
        <v>170</v>
      </c>
      <c r="F11" s="29" t="s">
        <v>170</v>
      </c>
      <c r="G11" s="29" t="s">
        <v>170</v>
      </c>
      <c r="H11" s="29" t="s">
        <v>170</v>
      </c>
      <c r="I11" s="29" t="s">
        <v>170</v>
      </c>
      <c r="J11" s="29" t="s">
        <v>170</v>
      </c>
      <c r="K11" s="29" t="s">
        <v>170</v>
      </c>
      <c r="L11" s="29" t="s">
        <v>170</v>
      </c>
      <c r="M11" s="29" t="s">
        <v>170</v>
      </c>
      <c r="N11" s="29" t="s">
        <v>170</v>
      </c>
      <c r="O11" s="29" t="s">
        <v>170</v>
      </c>
      <c r="P11" s="29" t="s">
        <v>170</v>
      </c>
      <c r="Q11" s="29" t="s">
        <v>170</v>
      </c>
      <c r="R11" s="29" t="s">
        <v>170</v>
      </c>
      <c r="S11" s="29" t="s">
        <v>170</v>
      </c>
      <c r="T11" s="29" t="s">
        <v>170</v>
      </c>
      <c r="U11" s="29" t="s">
        <v>170</v>
      </c>
      <c r="V11" s="29" t="s">
        <v>170</v>
      </c>
      <c r="W11" s="29" t="s">
        <v>170</v>
      </c>
      <c r="X11" s="29" t="s">
        <v>170</v>
      </c>
      <c r="Y11" s="29" t="s">
        <v>170</v>
      </c>
      <c r="Z11" s="29" t="s">
        <v>170</v>
      </c>
      <c r="AA11" s="29" t="s">
        <v>170</v>
      </c>
      <c r="AB11" s="29" t="s">
        <v>170</v>
      </c>
      <c r="AC11" s="29" t="s">
        <v>170</v>
      </c>
      <c r="AD11" s="29" t="s">
        <v>170</v>
      </c>
      <c r="AE11" s="29" t="s">
        <v>170</v>
      </c>
      <c r="AF11" s="29" t="s">
        <v>170</v>
      </c>
      <c r="AG11" s="29" t="s">
        <v>170</v>
      </c>
      <c r="AH11" s="29" t="s">
        <v>170</v>
      </c>
    </row>
    <row r="12" spans="1:34" x14ac:dyDescent="0.25">
      <c r="A12" s="26" t="s">
        <v>171</v>
      </c>
      <c r="B12" s="28" t="s">
        <v>173</v>
      </c>
      <c r="C12" s="28" t="s">
        <v>173</v>
      </c>
      <c r="D12" s="28" t="s">
        <v>173</v>
      </c>
      <c r="E12" s="28" t="s">
        <v>173</v>
      </c>
      <c r="F12" s="28" t="s">
        <v>173</v>
      </c>
      <c r="G12" s="28" t="s">
        <v>173</v>
      </c>
      <c r="H12" s="28" t="s">
        <v>173</v>
      </c>
      <c r="I12" s="28" t="s">
        <v>173</v>
      </c>
      <c r="J12" s="28" t="s">
        <v>173</v>
      </c>
      <c r="K12" s="28" t="s">
        <v>173</v>
      </c>
      <c r="L12" s="28" t="s">
        <v>173</v>
      </c>
      <c r="M12" s="28" t="s">
        <v>173</v>
      </c>
      <c r="N12" s="28" t="s">
        <v>173</v>
      </c>
      <c r="O12" s="28" t="s">
        <v>173</v>
      </c>
      <c r="P12" s="28" t="s">
        <v>173</v>
      </c>
      <c r="Q12" s="28" t="s">
        <v>173</v>
      </c>
      <c r="R12" s="28" t="s">
        <v>173</v>
      </c>
      <c r="S12" s="28" t="s">
        <v>173</v>
      </c>
      <c r="T12" s="28" t="s">
        <v>173</v>
      </c>
      <c r="U12" s="28" t="s">
        <v>173</v>
      </c>
      <c r="V12" s="28" t="s">
        <v>173</v>
      </c>
      <c r="W12" s="28" t="s">
        <v>173</v>
      </c>
      <c r="X12" s="28" t="s">
        <v>173</v>
      </c>
      <c r="Y12" s="28" t="s">
        <v>173</v>
      </c>
      <c r="Z12" s="28" t="s">
        <v>173</v>
      </c>
      <c r="AA12" s="28" t="s">
        <v>173</v>
      </c>
      <c r="AB12" s="28" t="s">
        <v>173</v>
      </c>
      <c r="AC12" s="28" t="s">
        <v>173</v>
      </c>
      <c r="AD12" s="28" t="s">
        <v>173</v>
      </c>
      <c r="AE12" s="28" t="s">
        <v>173</v>
      </c>
      <c r="AF12" s="28" t="s">
        <v>173</v>
      </c>
      <c r="AG12" s="28" t="s">
        <v>173</v>
      </c>
      <c r="AH12" s="28" t="s">
        <v>173</v>
      </c>
    </row>
    <row r="13" spans="1:34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 t="s">
        <v>173</v>
      </c>
      <c r="S13" s="28" t="s">
        <v>173</v>
      </c>
      <c r="T13" s="28" t="s">
        <v>173</v>
      </c>
      <c r="U13" s="28" t="s">
        <v>173</v>
      </c>
      <c r="V13" s="28" t="s">
        <v>173</v>
      </c>
      <c r="W13" s="28" t="s">
        <v>173</v>
      </c>
      <c r="X13" s="28" t="s">
        <v>173</v>
      </c>
      <c r="Y13" s="28" t="s">
        <v>173</v>
      </c>
      <c r="Z13" s="28" t="s">
        <v>173</v>
      </c>
      <c r="AA13" s="28" t="s">
        <v>173</v>
      </c>
      <c r="AB13" s="28" t="s">
        <v>173</v>
      </c>
      <c r="AC13" s="28" t="s">
        <v>173</v>
      </c>
      <c r="AD13" s="28" t="s">
        <v>173</v>
      </c>
      <c r="AE13" s="28" t="s">
        <v>173</v>
      </c>
      <c r="AF13" s="28" t="s">
        <v>173</v>
      </c>
      <c r="AG13" s="28" t="s">
        <v>173</v>
      </c>
      <c r="AH13" s="28" t="s">
        <v>173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 t="s">
        <v>173</v>
      </c>
      <c r="V14" s="28" t="s">
        <v>173</v>
      </c>
      <c r="W14" s="28" t="s">
        <v>173</v>
      </c>
      <c r="X14" s="28" t="s">
        <v>173</v>
      </c>
      <c r="Y14" s="28" t="s">
        <v>173</v>
      </c>
      <c r="Z14" s="28" t="s">
        <v>173</v>
      </c>
      <c r="AA14" s="28" t="s">
        <v>173</v>
      </c>
      <c r="AB14" s="28" t="s">
        <v>173</v>
      </c>
      <c r="AC14" s="28" t="s">
        <v>173</v>
      </c>
      <c r="AD14" s="28" t="s">
        <v>173</v>
      </c>
      <c r="AE14" s="28" t="s">
        <v>173</v>
      </c>
      <c r="AF14" s="28" t="s">
        <v>173</v>
      </c>
      <c r="AG14" s="28" t="s">
        <v>173</v>
      </c>
      <c r="AH14" s="28" t="s">
        <v>173</v>
      </c>
    </row>
    <row r="15" spans="1:34" x14ac:dyDescent="0.25">
      <c r="A15" s="26" t="s">
        <v>175</v>
      </c>
      <c r="B15" s="28" t="s">
        <v>267</v>
      </c>
      <c r="C15" s="28" t="s">
        <v>267</v>
      </c>
      <c r="D15" s="28" t="s">
        <v>267</v>
      </c>
      <c r="E15" s="28" t="s">
        <v>267</v>
      </c>
      <c r="F15" s="28" t="s">
        <v>267</v>
      </c>
      <c r="G15" s="28" t="s">
        <v>267</v>
      </c>
      <c r="H15" s="28" t="s">
        <v>267</v>
      </c>
      <c r="I15" s="28" t="s">
        <v>267</v>
      </c>
      <c r="J15" s="28" t="s">
        <v>267</v>
      </c>
      <c r="K15" s="28" t="s">
        <v>267</v>
      </c>
      <c r="L15" s="28" t="s">
        <v>267</v>
      </c>
      <c r="M15" s="28" t="s">
        <v>267</v>
      </c>
      <c r="N15" s="28" t="s">
        <v>267</v>
      </c>
      <c r="O15" s="28" t="s">
        <v>267</v>
      </c>
      <c r="P15" s="28" t="s">
        <v>267</v>
      </c>
      <c r="Q15" s="28" t="s">
        <v>267</v>
      </c>
      <c r="R15" s="28" t="s">
        <v>267</v>
      </c>
      <c r="S15" s="28" t="s">
        <v>267</v>
      </c>
      <c r="T15" s="28" t="s">
        <v>267</v>
      </c>
      <c r="U15" s="28" t="s">
        <v>267</v>
      </c>
      <c r="V15" s="28" t="s">
        <v>267</v>
      </c>
      <c r="W15" s="28" t="s">
        <v>267</v>
      </c>
      <c r="X15" s="28" t="s">
        <v>267</v>
      </c>
      <c r="Y15" s="28" t="s">
        <v>267</v>
      </c>
      <c r="Z15" s="28" t="s">
        <v>267</v>
      </c>
      <c r="AA15" s="28" t="s">
        <v>267</v>
      </c>
      <c r="AB15" s="28" t="s">
        <v>267</v>
      </c>
      <c r="AC15" s="28" t="s">
        <v>267</v>
      </c>
      <c r="AD15" s="28" t="s">
        <v>267</v>
      </c>
      <c r="AE15" s="28" t="s">
        <v>267</v>
      </c>
      <c r="AF15" s="28" t="s">
        <v>267</v>
      </c>
      <c r="AG15" s="28" t="s">
        <v>267</v>
      </c>
      <c r="AH15" s="28" t="s">
        <v>267</v>
      </c>
    </row>
    <row r="16" spans="1:34" x14ac:dyDescent="0.25">
      <c r="A16" s="26" t="s">
        <v>176</v>
      </c>
      <c r="B16" s="30">
        <v>-3</v>
      </c>
      <c r="C16" s="30">
        <v>-3</v>
      </c>
      <c r="D16" s="30">
        <v>-3</v>
      </c>
      <c r="E16" s="30">
        <v>-3</v>
      </c>
      <c r="F16" s="30">
        <v>-3</v>
      </c>
      <c r="G16" s="30">
        <v>-3</v>
      </c>
      <c r="H16" s="30">
        <v>-3</v>
      </c>
      <c r="I16" s="30">
        <v>-3</v>
      </c>
      <c r="J16" s="30">
        <v>-3</v>
      </c>
      <c r="K16" s="30">
        <v>-3</v>
      </c>
      <c r="L16" s="30">
        <v>-3</v>
      </c>
      <c r="M16" s="30">
        <v>-3</v>
      </c>
      <c r="N16" s="30">
        <v>-3</v>
      </c>
      <c r="O16" s="30">
        <v>-3</v>
      </c>
      <c r="P16" s="30">
        <v>-3</v>
      </c>
      <c r="Q16" s="30">
        <v>-3</v>
      </c>
      <c r="R16" s="30">
        <v>-3</v>
      </c>
      <c r="S16" s="30">
        <v>-3</v>
      </c>
      <c r="T16" s="30">
        <v>-3</v>
      </c>
      <c r="U16" s="30">
        <v>-3</v>
      </c>
      <c r="V16" s="30">
        <v>-3</v>
      </c>
      <c r="W16" s="30">
        <v>-3</v>
      </c>
      <c r="X16" s="30">
        <v>-3</v>
      </c>
      <c r="Y16" s="30">
        <v>-3</v>
      </c>
      <c r="Z16" s="30">
        <v>-3</v>
      </c>
      <c r="AA16" s="30">
        <v>-3</v>
      </c>
      <c r="AB16" s="30">
        <v>-3</v>
      </c>
      <c r="AC16" s="30">
        <v>-3</v>
      </c>
      <c r="AD16" s="30">
        <v>-3</v>
      </c>
      <c r="AE16" s="30">
        <v>-3</v>
      </c>
      <c r="AF16" s="30">
        <v>-3</v>
      </c>
      <c r="AG16" s="30">
        <v>-3</v>
      </c>
      <c r="AH16" s="30">
        <v>-3</v>
      </c>
    </row>
    <row r="17" spans="1:34" x14ac:dyDescent="0.25">
      <c r="A17" s="26" t="s">
        <v>177</v>
      </c>
      <c r="B17" s="28" t="s">
        <v>178</v>
      </c>
      <c r="C17" s="28" t="s">
        <v>178</v>
      </c>
      <c r="D17" s="28" t="s">
        <v>178</v>
      </c>
      <c r="E17" s="28" t="s">
        <v>178</v>
      </c>
      <c r="F17" s="28" t="s">
        <v>178</v>
      </c>
      <c r="G17" s="28" t="s">
        <v>178</v>
      </c>
      <c r="H17" s="28" t="s">
        <v>178</v>
      </c>
      <c r="I17" s="28" t="s">
        <v>178</v>
      </c>
      <c r="J17" s="28" t="s">
        <v>178</v>
      </c>
      <c r="K17" s="28" t="s">
        <v>178</v>
      </c>
      <c r="L17" s="28" t="s">
        <v>178</v>
      </c>
      <c r="M17" s="28" t="s">
        <v>178</v>
      </c>
      <c r="N17" s="28" t="s">
        <v>178</v>
      </c>
      <c r="O17" s="28" t="s">
        <v>178</v>
      </c>
      <c r="P17" s="28" t="s">
        <v>178</v>
      </c>
      <c r="Q17" s="28" t="s">
        <v>178</v>
      </c>
      <c r="R17" s="28" t="s">
        <v>178</v>
      </c>
      <c r="S17" s="28" t="s">
        <v>178</v>
      </c>
      <c r="T17" s="28" t="s">
        <v>178</v>
      </c>
      <c r="U17" s="28" t="s">
        <v>178</v>
      </c>
      <c r="V17" s="28" t="s">
        <v>178</v>
      </c>
      <c r="W17" s="28" t="s">
        <v>178</v>
      </c>
      <c r="X17" s="28" t="s">
        <v>178</v>
      </c>
      <c r="Y17" s="28" t="s">
        <v>178</v>
      </c>
      <c r="Z17" s="28" t="s">
        <v>178</v>
      </c>
      <c r="AA17" s="28" t="s">
        <v>178</v>
      </c>
      <c r="AB17" s="28" t="s">
        <v>178</v>
      </c>
      <c r="AC17" s="28" t="s">
        <v>178</v>
      </c>
      <c r="AD17" s="28" t="s">
        <v>178</v>
      </c>
      <c r="AE17" s="28" t="s">
        <v>178</v>
      </c>
      <c r="AF17" s="28" t="s">
        <v>178</v>
      </c>
      <c r="AG17" s="28" t="s">
        <v>178</v>
      </c>
      <c r="AH17" s="28" t="s">
        <v>178</v>
      </c>
    </row>
    <row r="18" spans="1:34" x14ac:dyDescent="0.25">
      <c r="A18" s="26" t="s">
        <v>182</v>
      </c>
      <c r="B18" s="30">
        <v>4</v>
      </c>
      <c r="C18" s="30">
        <v>4</v>
      </c>
      <c r="D18" s="30">
        <v>4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30">
        <v>4</v>
      </c>
      <c r="S18" s="30">
        <v>4</v>
      </c>
      <c r="T18" s="30">
        <v>4</v>
      </c>
      <c r="U18" s="30">
        <v>4</v>
      </c>
      <c r="V18" s="30">
        <v>4</v>
      </c>
      <c r="W18" s="30">
        <v>4</v>
      </c>
      <c r="X18" s="30">
        <v>4</v>
      </c>
      <c r="Y18" s="30">
        <v>4</v>
      </c>
      <c r="Z18" s="30">
        <v>4</v>
      </c>
      <c r="AA18" s="30">
        <v>4</v>
      </c>
      <c r="AB18" s="30">
        <v>4</v>
      </c>
      <c r="AC18" s="30">
        <v>4</v>
      </c>
      <c r="AD18" s="30">
        <v>4</v>
      </c>
      <c r="AE18" s="30">
        <v>4</v>
      </c>
      <c r="AF18" s="30">
        <v>4</v>
      </c>
      <c r="AG18" s="30">
        <v>4</v>
      </c>
      <c r="AH18" s="30">
        <v>4</v>
      </c>
    </row>
    <row r="20" spans="1:34" x14ac:dyDescent="0.25">
      <c r="A20" s="26" t="s">
        <v>159</v>
      </c>
      <c r="B20" s="28" t="s">
        <v>447</v>
      </c>
      <c r="C20" s="28" t="s">
        <v>448</v>
      </c>
      <c r="D20" s="28" t="s">
        <v>448</v>
      </c>
      <c r="E20" s="28" t="s">
        <v>448</v>
      </c>
      <c r="F20" s="28" t="s">
        <v>448</v>
      </c>
      <c r="G20" s="28" t="s">
        <v>448</v>
      </c>
      <c r="H20" s="28" t="s">
        <v>448</v>
      </c>
      <c r="I20" s="28" t="s">
        <v>448</v>
      </c>
      <c r="J20" s="28" t="s">
        <v>448</v>
      </c>
      <c r="K20" s="28" t="s">
        <v>448</v>
      </c>
      <c r="L20" s="28" t="s">
        <v>448</v>
      </c>
      <c r="M20" s="28" t="s">
        <v>448</v>
      </c>
      <c r="N20" s="28" t="s">
        <v>448</v>
      </c>
      <c r="O20" s="28" t="s">
        <v>448</v>
      </c>
      <c r="P20" s="28" t="s">
        <v>448</v>
      </c>
      <c r="Q20" s="28" t="s">
        <v>448</v>
      </c>
      <c r="R20" s="28" t="s">
        <v>448</v>
      </c>
      <c r="S20" s="28" t="s">
        <v>448</v>
      </c>
      <c r="T20" s="28" t="s">
        <v>448</v>
      </c>
      <c r="U20" s="28" t="s">
        <v>448</v>
      </c>
      <c r="V20" s="28" t="s">
        <v>448</v>
      </c>
      <c r="W20" s="28" t="s">
        <v>448</v>
      </c>
      <c r="X20" s="28" t="s">
        <v>448</v>
      </c>
      <c r="Y20" s="28" t="s">
        <v>448</v>
      </c>
      <c r="Z20" s="28" t="s">
        <v>448</v>
      </c>
      <c r="AA20" s="28" t="s">
        <v>448</v>
      </c>
      <c r="AB20" s="28" t="s">
        <v>448</v>
      </c>
      <c r="AC20" s="28" t="s">
        <v>448</v>
      </c>
      <c r="AD20" s="28" t="s">
        <v>448</v>
      </c>
      <c r="AE20" s="28" t="s">
        <v>448</v>
      </c>
      <c r="AF20" s="28" t="s">
        <v>448</v>
      </c>
      <c r="AG20" s="28" t="s">
        <v>448</v>
      </c>
      <c r="AH20" s="28" t="s">
        <v>448</v>
      </c>
    </row>
    <row r="21" spans="1:34" x14ac:dyDescent="0.25">
      <c r="A21" s="26" t="s">
        <v>165</v>
      </c>
      <c r="B21" s="29" t="s">
        <v>561</v>
      </c>
      <c r="C21" s="29" t="s">
        <v>561</v>
      </c>
      <c r="D21" s="29" t="s">
        <v>561</v>
      </c>
      <c r="E21" s="29" t="s">
        <v>561</v>
      </c>
      <c r="F21" s="29" t="s">
        <v>561</v>
      </c>
      <c r="G21" s="29" t="s">
        <v>561</v>
      </c>
      <c r="H21" s="29" t="s">
        <v>561</v>
      </c>
      <c r="I21" s="29" t="s">
        <v>561</v>
      </c>
      <c r="J21" s="29" t="s">
        <v>561</v>
      </c>
      <c r="K21" s="29" t="s">
        <v>561</v>
      </c>
      <c r="L21" s="29" t="s">
        <v>561</v>
      </c>
      <c r="M21" s="29" t="s">
        <v>561</v>
      </c>
      <c r="N21" s="113" t="s">
        <v>572</v>
      </c>
      <c r="O21" s="29" t="s">
        <v>561</v>
      </c>
      <c r="P21" s="113" t="s">
        <v>453</v>
      </c>
      <c r="Q21" s="113" t="s">
        <v>453</v>
      </c>
      <c r="R21" s="29" t="s">
        <v>454</v>
      </c>
      <c r="S21" s="113" t="s">
        <v>572</v>
      </c>
      <c r="T21" s="29" t="s">
        <v>561</v>
      </c>
      <c r="U21" s="29" t="s">
        <v>561</v>
      </c>
      <c r="V21" s="29" t="s">
        <v>561</v>
      </c>
      <c r="W21" s="29" t="s">
        <v>561</v>
      </c>
      <c r="X21" s="29" t="s">
        <v>561</v>
      </c>
      <c r="Y21" s="29" t="s">
        <v>561</v>
      </c>
      <c r="Z21" s="29" t="s">
        <v>561</v>
      </c>
      <c r="AA21" s="29" t="s">
        <v>561</v>
      </c>
      <c r="AB21" s="29" t="s">
        <v>561</v>
      </c>
      <c r="AC21" s="29" t="s">
        <v>561</v>
      </c>
      <c r="AD21" s="29" t="s">
        <v>561</v>
      </c>
      <c r="AE21" s="29" t="s">
        <v>561</v>
      </c>
      <c r="AF21" s="29" t="s">
        <v>561</v>
      </c>
      <c r="AG21" s="28" t="s">
        <v>457</v>
      </c>
      <c r="AH21" s="28" t="s">
        <v>457</v>
      </c>
    </row>
    <row r="22" spans="1:34" x14ac:dyDescent="0.25">
      <c r="A22" s="131" t="s">
        <v>168</v>
      </c>
      <c r="B22" s="157">
        <v>83</v>
      </c>
      <c r="C22" s="157">
        <v>83</v>
      </c>
      <c r="D22" s="157">
        <v>83</v>
      </c>
      <c r="E22" s="157">
        <v>83</v>
      </c>
      <c r="F22" s="157">
        <v>83</v>
      </c>
      <c r="G22" s="157">
        <v>83</v>
      </c>
      <c r="H22" s="157">
        <v>83</v>
      </c>
      <c r="I22" s="157">
        <v>83</v>
      </c>
      <c r="J22" s="157">
        <v>83</v>
      </c>
      <c r="K22" s="157">
        <v>83</v>
      </c>
      <c r="L22" s="157">
        <v>83</v>
      </c>
      <c r="M22" s="157">
        <v>83</v>
      </c>
      <c r="N22" s="157">
        <v>143</v>
      </c>
      <c r="O22" s="157">
        <v>83</v>
      </c>
      <c r="P22" s="157">
        <v>142</v>
      </c>
      <c r="Q22" s="157">
        <v>142</v>
      </c>
      <c r="R22" s="157">
        <v>81</v>
      </c>
      <c r="S22" s="157">
        <v>143</v>
      </c>
      <c r="T22" s="157">
        <v>83</v>
      </c>
      <c r="U22" s="157">
        <v>83</v>
      </c>
      <c r="V22" s="157">
        <v>83</v>
      </c>
      <c r="W22" s="157">
        <v>83</v>
      </c>
      <c r="X22" s="157">
        <v>83</v>
      </c>
      <c r="Y22" s="157">
        <v>83</v>
      </c>
      <c r="Z22" s="157">
        <v>83</v>
      </c>
      <c r="AA22" s="157">
        <v>83</v>
      </c>
      <c r="AB22" s="157">
        <v>83</v>
      </c>
      <c r="AC22" s="157">
        <v>83</v>
      </c>
      <c r="AD22" s="157">
        <v>83</v>
      </c>
      <c r="AE22" s="157">
        <v>83</v>
      </c>
      <c r="AF22" s="157">
        <v>83</v>
      </c>
      <c r="AG22" s="157">
        <v>82</v>
      </c>
      <c r="AH22" s="157">
        <v>82</v>
      </c>
    </row>
    <row r="23" spans="1:34" x14ac:dyDescent="0.25">
      <c r="A23" s="26" t="s">
        <v>169</v>
      </c>
      <c r="B23" s="28" t="s">
        <v>170</v>
      </c>
      <c r="C23" s="28" t="s">
        <v>170</v>
      </c>
      <c r="D23" s="28" t="s">
        <v>170</v>
      </c>
      <c r="E23" s="28" t="s">
        <v>170</v>
      </c>
      <c r="F23" s="28" t="s">
        <v>170</v>
      </c>
      <c r="G23" s="28" t="s">
        <v>170</v>
      </c>
      <c r="H23" s="28" t="s">
        <v>170</v>
      </c>
      <c r="I23" s="28" t="s">
        <v>170</v>
      </c>
      <c r="J23" s="28" t="s">
        <v>170</v>
      </c>
      <c r="K23" s="28" t="s">
        <v>170</v>
      </c>
      <c r="L23" s="28" t="s">
        <v>170</v>
      </c>
      <c r="M23" s="28" t="s">
        <v>170</v>
      </c>
      <c r="N23" s="28" t="s">
        <v>170</v>
      </c>
      <c r="O23" s="28" t="s">
        <v>170</v>
      </c>
      <c r="P23" s="28" t="s">
        <v>170</v>
      </c>
      <c r="Q23" s="28" t="s">
        <v>170</v>
      </c>
      <c r="R23" s="28" t="s">
        <v>170</v>
      </c>
      <c r="S23" s="28" t="s">
        <v>170</v>
      </c>
      <c r="T23" s="28" t="s">
        <v>170</v>
      </c>
      <c r="U23" s="28" t="s">
        <v>170</v>
      </c>
      <c r="V23" s="28" t="s">
        <v>170</v>
      </c>
      <c r="W23" s="28" t="s">
        <v>170</v>
      </c>
      <c r="X23" s="28" t="s">
        <v>170</v>
      </c>
      <c r="Y23" s="28" t="s">
        <v>170</v>
      </c>
      <c r="Z23" s="28" t="s">
        <v>170</v>
      </c>
      <c r="AA23" s="28" t="s">
        <v>170</v>
      </c>
      <c r="AB23" s="28" t="s">
        <v>170</v>
      </c>
      <c r="AC23" s="28" t="s">
        <v>170</v>
      </c>
      <c r="AD23" s="28" t="s">
        <v>170</v>
      </c>
      <c r="AE23" s="28" t="s">
        <v>170</v>
      </c>
      <c r="AF23" s="28" t="s">
        <v>170</v>
      </c>
      <c r="AG23" s="28" t="s">
        <v>170</v>
      </c>
      <c r="AH23" s="28" t="s">
        <v>170</v>
      </c>
    </row>
    <row r="24" spans="1:34" x14ac:dyDescent="0.25">
      <c r="A24" s="26" t="s">
        <v>171</v>
      </c>
      <c r="B24" s="28" t="s">
        <v>170</v>
      </c>
      <c r="C24" s="28" t="s">
        <v>170</v>
      </c>
      <c r="D24" s="28" t="s">
        <v>170</v>
      </c>
      <c r="E24" s="28" t="s">
        <v>170</v>
      </c>
      <c r="F24" s="28" t="s">
        <v>170</v>
      </c>
      <c r="G24" s="28" t="s">
        <v>170</v>
      </c>
      <c r="H24" s="28" t="s">
        <v>170</v>
      </c>
      <c r="I24" s="28" t="s">
        <v>170</v>
      </c>
      <c r="J24" s="28" t="s">
        <v>170</v>
      </c>
      <c r="K24" s="28" t="s">
        <v>170</v>
      </c>
      <c r="L24" s="28" t="s">
        <v>170</v>
      </c>
      <c r="M24" s="28" t="s">
        <v>170</v>
      </c>
      <c r="N24" s="28" t="s">
        <v>170</v>
      </c>
      <c r="O24" s="28" t="s">
        <v>170</v>
      </c>
      <c r="P24" s="28" t="s">
        <v>170</v>
      </c>
      <c r="Q24" s="28" t="s">
        <v>170</v>
      </c>
      <c r="R24" s="28" t="s">
        <v>170</v>
      </c>
      <c r="S24" s="28" t="s">
        <v>170</v>
      </c>
      <c r="T24" s="28" t="s">
        <v>170</v>
      </c>
      <c r="U24" s="28" t="s">
        <v>170</v>
      </c>
      <c r="V24" s="28" t="s">
        <v>170</v>
      </c>
      <c r="W24" s="28" t="s">
        <v>170</v>
      </c>
      <c r="X24" s="28" t="s">
        <v>170</v>
      </c>
      <c r="Y24" s="28" t="s">
        <v>170</v>
      </c>
      <c r="Z24" s="28" t="s">
        <v>170</v>
      </c>
      <c r="AA24" s="28" t="s">
        <v>170</v>
      </c>
      <c r="AB24" s="28" t="s">
        <v>170</v>
      </c>
      <c r="AC24" s="28" t="s">
        <v>170</v>
      </c>
      <c r="AD24" s="28" t="s">
        <v>170</v>
      </c>
      <c r="AE24" s="28" t="s">
        <v>170</v>
      </c>
      <c r="AF24" s="28" t="s">
        <v>170</v>
      </c>
      <c r="AG24" s="28" t="s">
        <v>170</v>
      </c>
      <c r="AH24" s="28" t="s">
        <v>170</v>
      </c>
    </row>
    <row r="25" spans="1:34" x14ac:dyDescent="0.25">
      <c r="A25" s="26" t="s">
        <v>172</v>
      </c>
      <c r="B25" s="28" t="s">
        <v>173</v>
      </c>
      <c r="C25" s="28" t="s">
        <v>173</v>
      </c>
      <c r="D25" s="28" t="s">
        <v>173</v>
      </c>
      <c r="E25" s="28" t="s">
        <v>173</v>
      </c>
      <c r="F25" s="28" t="s">
        <v>173</v>
      </c>
      <c r="G25" s="28" t="s">
        <v>173</v>
      </c>
      <c r="H25" s="28" t="s">
        <v>173</v>
      </c>
      <c r="I25" s="28" t="s">
        <v>173</v>
      </c>
      <c r="J25" s="28" t="s">
        <v>173</v>
      </c>
      <c r="K25" s="28" t="s">
        <v>173</v>
      </c>
      <c r="L25" s="28" t="s">
        <v>173</v>
      </c>
      <c r="M25" s="28" t="s">
        <v>173</v>
      </c>
      <c r="N25" s="28" t="s">
        <v>173</v>
      </c>
      <c r="O25" s="28" t="s">
        <v>173</v>
      </c>
      <c r="P25" s="28" t="s">
        <v>173</v>
      </c>
      <c r="Q25" s="28" t="s">
        <v>173</v>
      </c>
      <c r="R25" s="28" t="s">
        <v>173</v>
      </c>
      <c r="S25" s="28" t="s">
        <v>173</v>
      </c>
      <c r="T25" s="28" t="s">
        <v>173</v>
      </c>
      <c r="U25" s="28" t="s">
        <v>173</v>
      </c>
      <c r="V25" s="28" t="s">
        <v>173</v>
      </c>
      <c r="W25" s="28" t="s">
        <v>173</v>
      </c>
      <c r="X25" s="28" t="s">
        <v>173</v>
      </c>
      <c r="Y25" s="28" t="s">
        <v>173</v>
      </c>
      <c r="Z25" s="28" t="s">
        <v>173</v>
      </c>
      <c r="AA25" s="28" t="s">
        <v>173</v>
      </c>
      <c r="AB25" s="28" t="s">
        <v>173</v>
      </c>
      <c r="AC25" s="28" t="s">
        <v>173</v>
      </c>
      <c r="AD25" s="28" t="s">
        <v>173</v>
      </c>
      <c r="AE25" s="28" t="s">
        <v>173</v>
      </c>
      <c r="AF25" s="28" t="s">
        <v>173</v>
      </c>
      <c r="AG25" s="28" t="s">
        <v>173</v>
      </c>
      <c r="AH25" s="28" t="s">
        <v>173</v>
      </c>
    </row>
    <row r="26" spans="1:34" x14ac:dyDescent="0.25">
      <c r="A26" s="26" t="s">
        <v>174</v>
      </c>
      <c r="B26" s="28" t="s">
        <v>173</v>
      </c>
      <c r="C26" s="28" t="s">
        <v>173</v>
      </c>
      <c r="D26" s="28" t="s">
        <v>173</v>
      </c>
      <c r="E26" s="28" t="s">
        <v>173</v>
      </c>
      <c r="F26" s="28" t="s">
        <v>173</v>
      </c>
      <c r="G26" s="28" t="s">
        <v>173</v>
      </c>
      <c r="H26" s="28" t="s">
        <v>173</v>
      </c>
      <c r="I26" s="28" t="s">
        <v>173</v>
      </c>
      <c r="J26" s="28" t="s">
        <v>173</v>
      </c>
      <c r="K26" s="28" t="s">
        <v>173</v>
      </c>
      <c r="L26" s="28" t="s">
        <v>173</v>
      </c>
      <c r="M26" s="28" t="s">
        <v>173</v>
      </c>
      <c r="N26" s="28" t="s">
        <v>173</v>
      </c>
      <c r="O26" s="28" t="s">
        <v>173</v>
      </c>
      <c r="P26" s="28" t="s">
        <v>173</v>
      </c>
      <c r="Q26" s="28" t="s">
        <v>173</v>
      </c>
      <c r="R26" s="28" t="s">
        <v>173</v>
      </c>
      <c r="S26" s="28" t="s">
        <v>173</v>
      </c>
      <c r="T26" s="28" t="s">
        <v>173</v>
      </c>
      <c r="U26" s="28" t="s">
        <v>173</v>
      </c>
      <c r="V26" s="28" t="s">
        <v>173</v>
      </c>
      <c r="W26" s="28" t="s">
        <v>173</v>
      </c>
      <c r="X26" s="28" t="s">
        <v>173</v>
      </c>
      <c r="Y26" s="28" t="s">
        <v>173</v>
      </c>
      <c r="Z26" s="28" t="s">
        <v>173</v>
      </c>
      <c r="AA26" s="28" t="s">
        <v>173</v>
      </c>
      <c r="AB26" s="28" t="s">
        <v>173</v>
      </c>
      <c r="AC26" s="28" t="s">
        <v>173</v>
      </c>
      <c r="AD26" s="28" t="s">
        <v>173</v>
      </c>
      <c r="AE26" s="28" t="s">
        <v>173</v>
      </c>
      <c r="AF26" s="28" t="s">
        <v>173</v>
      </c>
      <c r="AG26" s="28" t="s">
        <v>173</v>
      </c>
      <c r="AH26" s="28" t="s">
        <v>173</v>
      </c>
    </row>
    <row r="27" spans="1:34" x14ac:dyDescent="0.25">
      <c r="A27" s="26" t="s">
        <v>175</v>
      </c>
      <c r="B27" s="28" t="s">
        <v>198</v>
      </c>
      <c r="C27" s="28" t="s">
        <v>198</v>
      </c>
      <c r="D27" s="28" t="s">
        <v>198</v>
      </c>
      <c r="E27" s="28" t="s">
        <v>198</v>
      </c>
      <c r="F27" s="28" t="s">
        <v>198</v>
      </c>
      <c r="G27" s="28" t="s">
        <v>198</v>
      </c>
      <c r="H27" s="28" t="s">
        <v>198</v>
      </c>
      <c r="I27" s="28" t="s">
        <v>198</v>
      </c>
      <c r="J27" s="28" t="s">
        <v>198</v>
      </c>
      <c r="K27" s="28" t="s">
        <v>198</v>
      </c>
      <c r="L27" s="28" t="s">
        <v>198</v>
      </c>
      <c r="M27" s="28" t="s">
        <v>198</v>
      </c>
      <c r="N27" s="113" t="s">
        <v>460</v>
      </c>
      <c r="O27" s="28" t="s">
        <v>198</v>
      </c>
      <c r="P27" s="28" t="s">
        <v>461</v>
      </c>
      <c r="Q27" s="28" t="s">
        <v>461</v>
      </c>
      <c r="R27" s="28" t="s">
        <v>461</v>
      </c>
      <c r="S27" s="113" t="s">
        <v>460</v>
      </c>
      <c r="T27" s="28" t="s">
        <v>198</v>
      </c>
      <c r="U27" s="28" t="s">
        <v>198</v>
      </c>
      <c r="V27" s="28" t="s">
        <v>198</v>
      </c>
      <c r="W27" s="28" t="s">
        <v>198</v>
      </c>
      <c r="X27" s="28" t="s">
        <v>198</v>
      </c>
      <c r="Y27" s="28" t="s">
        <v>198</v>
      </c>
      <c r="Z27" s="28" t="s">
        <v>198</v>
      </c>
      <c r="AA27" s="28" t="s">
        <v>198</v>
      </c>
      <c r="AB27" s="28" t="s">
        <v>198</v>
      </c>
      <c r="AC27" s="28" t="s">
        <v>198</v>
      </c>
      <c r="AD27" s="28" t="s">
        <v>198</v>
      </c>
      <c r="AE27" s="28" t="s">
        <v>198</v>
      </c>
      <c r="AF27" s="28" t="s">
        <v>198</v>
      </c>
      <c r="AG27" s="28" t="s">
        <v>198</v>
      </c>
      <c r="AH27" s="28" t="s">
        <v>198</v>
      </c>
    </row>
    <row r="28" spans="1:34" x14ac:dyDescent="0.25">
      <c r="A28" s="26" t="s">
        <v>176</v>
      </c>
      <c r="B28" s="30">
        <v>0.75</v>
      </c>
      <c r="C28" s="30">
        <v>0.75</v>
      </c>
      <c r="D28" s="30">
        <v>0.75</v>
      </c>
      <c r="E28" s="30">
        <v>0.75</v>
      </c>
      <c r="F28" s="30">
        <v>0.75</v>
      </c>
      <c r="G28" s="30">
        <v>0.75</v>
      </c>
      <c r="H28" s="30">
        <v>0.75</v>
      </c>
      <c r="I28" s="30">
        <v>0.75</v>
      </c>
      <c r="J28" s="30">
        <v>0.75</v>
      </c>
      <c r="K28" s="30">
        <v>0.75</v>
      </c>
      <c r="L28" s="30">
        <v>0.75</v>
      </c>
      <c r="M28" s="30">
        <v>0.75</v>
      </c>
      <c r="N28" s="30">
        <f>AVERAGE(0.75,0.75,-4)</f>
        <v>-0.83333333333333337</v>
      </c>
      <c r="O28" s="30">
        <v>0.75</v>
      </c>
      <c r="P28" s="30">
        <v>-4</v>
      </c>
      <c r="Q28" s="30">
        <v>-4</v>
      </c>
      <c r="R28" s="30">
        <v>-4</v>
      </c>
      <c r="S28" s="30">
        <f>AVERAGE(0.75,0.75,-4)</f>
        <v>-0.83333333333333337</v>
      </c>
      <c r="T28" s="30">
        <v>0.75</v>
      </c>
      <c r="U28" s="30">
        <v>0.75</v>
      </c>
      <c r="V28" s="30">
        <v>0.75</v>
      </c>
      <c r="W28" s="30">
        <v>0.75</v>
      </c>
      <c r="X28" s="30">
        <v>0.75</v>
      </c>
      <c r="Y28" s="30">
        <v>0.75</v>
      </c>
      <c r="Z28" s="30">
        <v>0.75</v>
      </c>
      <c r="AA28" s="30">
        <v>0.75</v>
      </c>
      <c r="AB28" s="30">
        <v>0.75</v>
      </c>
      <c r="AC28" s="30">
        <v>0.75</v>
      </c>
      <c r="AD28" s="30">
        <v>0.75</v>
      </c>
      <c r="AE28" s="30">
        <v>0.75</v>
      </c>
      <c r="AF28" s="30">
        <v>0.75</v>
      </c>
      <c r="AG28" s="30">
        <f>5/3</f>
        <v>1.6666666666666667</v>
      </c>
      <c r="AH28" s="30">
        <f>5/3</f>
        <v>1.6666666666666667</v>
      </c>
    </row>
    <row r="29" spans="1:34" x14ac:dyDescent="0.25">
      <c r="A29" s="26" t="s">
        <v>177</v>
      </c>
      <c r="B29" s="28" t="s">
        <v>462</v>
      </c>
      <c r="C29" s="28" t="s">
        <v>462</v>
      </c>
      <c r="D29" s="28" t="s">
        <v>462</v>
      </c>
      <c r="E29" s="28" t="s">
        <v>462</v>
      </c>
      <c r="F29" s="28" t="s">
        <v>462</v>
      </c>
      <c r="G29" s="28" t="s">
        <v>462</v>
      </c>
      <c r="H29" s="28" t="s">
        <v>462</v>
      </c>
      <c r="I29" s="28" t="s">
        <v>462</v>
      </c>
      <c r="J29" s="28" t="s">
        <v>462</v>
      </c>
      <c r="K29" s="28" t="s">
        <v>462</v>
      </c>
      <c r="L29" s="28" t="s">
        <v>462</v>
      </c>
      <c r="M29" s="28" t="s">
        <v>462</v>
      </c>
      <c r="N29" s="28" t="s">
        <v>462</v>
      </c>
      <c r="O29" s="28" t="s">
        <v>462</v>
      </c>
      <c r="P29" s="113" t="s">
        <v>464</v>
      </c>
      <c r="Q29" s="113" t="s">
        <v>464</v>
      </c>
      <c r="R29" s="28" t="s">
        <v>462</v>
      </c>
      <c r="S29" s="28" t="s">
        <v>462</v>
      </c>
      <c r="T29" s="28" t="s">
        <v>462</v>
      </c>
      <c r="U29" s="28" t="s">
        <v>462</v>
      </c>
      <c r="V29" s="28" t="s">
        <v>462</v>
      </c>
      <c r="W29" s="28" t="s">
        <v>462</v>
      </c>
      <c r="X29" s="28" t="s">
        <v>462</v>
      </c>
      <c r="Y29" s="28" t="s">
        <v>462</v>
      </c>
      <c r="Z29" s="28" t="s">
        <v>462</v>
      </c>
      <c r="AA29" s="28" t="s">
        <v>462</v>
      </c>
      <c r="AB29" s="28" t="s">
        <v>462</v>
      </c>
      <c r="AC29" s="28" t="s">
        <v>462</v>
      </c>
      <c r="AD29" s="28" t="s">
        <v>462</v>
      </c>
      <c r="AE29" s="28" t="s">
        <v>462</v>
      </c>
      <c r="AF29" s="28" t="s">
        <v>462</v>
      </c>
      <c r="AG29" s="28" t="s">
        <v>462</v>
      </c>
      <c r="AH29" s="28" t="s">
        <v>462</v>
      </c>
    </row>
    <row r="30" spans="1:34" x14ac:dyDescent="0.25">
      <c r="A30" s="26" t="s">
        <v>182</v>
      </c>
      <c r="B30" s="30">
        <v>1</v>
      </c>
      <c r="C30" s="30">
        <v>1</v>
      </c>
      <c r="D30" s="30">
        <v>1</v>
      </c>
      <c r="E30" s="30">
        <v>1</v>
      </c>
      <c r="F30" s="30">
        <v>1</v>
      </c>
      <c r="G30" s="30">
        <v>1</v>
      </c>
      <c r="H30" s="30">
        <v>1</v>
      </c>
      <c r="I30" s="30">
        <v>1</v>
      </c>
      <c r="J30" s="30">
        <v>1</v>
      </c>
      <c r="K30" s="30">
        <v>1</v>
      </c>
      <c r="L30" s="30">
        <v>1</v>
      </c>
      <c r="M30" s="30">
        <v>1</v>
      </c>
      <c r="N30" s="30">
        <f>AVERAGE(1,1,1.25)</f>
        <v>1.0833333333333333</v>
      </c>
      <c r="O30" s="30">
        <v>1</v>
      </c>
      <c r="P30" s="30">
        <f>AVERAGE(2,2,1.25)</f>
        <v>1.75</v>
      </c>
      <c r="Q30" s="30">
        <f>AVERAGE(2,2,1.25)</f>
        <v>1.75</v>
      </c>
      <c r="R30" s="30">
        <v>1.25</v>
      </c>
      <c r="S30" s="30">
        <f>AVERAGE(1,1,1.25)</f>
        <v>1.0833333333333333</v>
      </c>
      <c r="T30" s="30">
        <v>1</v>
      </c>
      <c r="U30" s="30">
        <v>1</v>
      </c>
      <c r="V30" s="30">
        <v>1</v>
      </c>
      <c r="W30" s="30">
        <v>1</v>
      </c>
      <c r="X30" s="30">
        <v>1</v>
      </c>
      <c r="Y30" s="30">
        <v>1</v>
      </c>
      <c r="Z30" s="30">
        <v>1</v>
      </c>
      <c r="AA30" s="30">
        <v>1</v>
      </c>
      <c r="AB30" s="30">
        <v>1</v>
      </c>
      <c r="AC30" s="30">
        <v>1</v>
      </c>
      <c r="AD30" s="30">
        <v>1</v>
      </c>
      <c r="AE30" s="30">
        <v>1</v>
      </c>
      <c r="AF30" s="30">
        <v>1</v>
      </c>
      <c r="AG30" s="30">
        <v>1</v>
      </c>
      <c r="AH30" s="30">
        <v>1</v>
      </c>
    </row>
    <row r="32" spans="1:34" x14ac:dyDescent="0.25">
      <c r="A32" s="31" t="s">
        <v>183</v>
      </c>
    </row>
    <row r="33" spans="1:2" x14ac:dyDescent="0.25">
      <c r="A33" s="93" t="s">
        <v>603</v>
      </c>
      <c r="B33" s="56" t="s">
        <v>604</v>
      </c>
    </row>
    <row r="34" spans="1:2" x14ac:dyDescent="0.25">
      <c r="A34" s="93" t="s">
        <v>605</v>
      </c>
      <c r="B34" s="56" t="s">
        <v>606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C9E6E-EC7C-4A34-8258-4811B8ED4FDF}">
  <dimension ref="A1:AK38"/>
  <sheetViews>
    <sheetView topLeftCell="A5" workbookViewId="0">
      <selection activeCell="AH23" sqref="AH23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7" x14ac:dyDescent="0.25">
      <c r="A1" s="25" t="s">
        <v>116</v>
      </c>
      <c r="D1" s="25" t="s">
        <v>117</v>
      </c>
      <c r="I1" s="25" t="s">
        <v>549</v>
      </c>
    </row>
    <row r="3" spans="1:37" ht="18" x14ac:dyDescent="0.25">
      <c r="A3" s="25" t="s">
        <v>119</v>
      </c>
      <c r="B3" s="215">
        <v>38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7" ht="18" x14ac:dyDescent="0.25">
      <c r="A4" s="25" t="s">
        <v>121</v>
      </c>
      <c r="B4" s="215" t="s">
        <v>607</v>
      </c>
      <c r="C4" s="215"/>
      <c r="D4" s="215"/>
      <c r="F4" s="216" t="s">
        <v>608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7" ht="18" x14ac:dyDescent="0.25">
      <c r="A5" s="25" t="s">
        <v>124</v>
      </c>
      <c r="B5" s="215" t="s">
        <v>377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7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76" t="s">
        <v>158</v>
      </c>
      <c r="AJ7" s="67" t="s">
        <v>140</v>
      </c>
      <c r="AK7" s="57" t="s">
        <v>17</v>
      </c>
    </row>
    <row r="8" spans="1:37" x14ac:dyDescent="0.25">
      <c r="A8" s="26" t="s">
        <v>159</v>
      </c>
      <c r="B8" s="87" t="s">
        <v>247</v>
      </c>
      <c r="C8" s="28" t="s">
        <v>252</v>
      </c>
      <c r="D8" s="28" t="s">
        <v>252</v>
      </c>
      <c r="E8" s="28" t="s">
        <v>252</v>
      </c>
      <c r="F8" s="80" t="s">
        <v>341</v>
      </c>
      <c r="G8" s="80" t="s">
        <v>341</v>
      </c>
      <c r="H8" s="80" t="s">
        <v>341</v>
      </c>
      <c r="I8" s="80" t="s">
        <v>341</v>
      </c>
      <c r="J8" s="28" t="s">
        <v>248</v>
      </c>
      <c r="K8" s="28" t="s">
        <v>248</v>
      </c>
      <c r="L8" s="28" t="s">
        <v>248</v>
      </c>
      <c r="M8" s="28" t="s">
        <v>248</v>
      </c>
      <c r="N8" s="28" t="s">
        <v>248</v>
      </c>
      <c r="O8" s="28" t="s">
        <v>248</v>
      </c>
      <c r="P8" s="28" t="s">
        <v>248</v>
      </c>
      <c r="Q8" s="28" t="s">
        <v>248</v>
      </c>
      <c r="R8" s="28" t="s">
        <v>248</v>
      </c>
      <c r="S8" s="28" t="s">
        <v>248</v>
      </c>
      <c r="T8" s="28" t="s">
        <v>553</v>
      </c>
      <c r="U8" s="28" t="s">
        <v>553</v>
      </c>
      <c r="V8" s="28" t="s">
        <v>248</v>
      </c>
      <c r="W8" s="28" t="s">
        <v>248</v>
      </c>
      <c r="X8" s="28" t="s">
        <v>248</v>
      </c>
      <c r="Y8" s="28" t="s">
        <v>248</v>
      </c>
      <c r="Z8" s="28" t="s">
        <v>609</v>
      </c>
      <c r="AA8" s="28" t="s">
        <v>252</v>
      </c>
      <c r="AB8" s="28" t="s">
        <v>554</v>
      </c>
      <c r="AC8" s="28" t="s">
        <v>554</v>
      </c>
      <c r="AD8" s="28" t="s">
        <v>554</v>
      </c>
      <c r="AE8" s="28" t="s">
        <v>554</v>
      </c>
      <c r="AF8" s="28" t="s">
        <v>553</v>
      </c>
      <c r="AG8" s="28" t="s">
        <v>248</v>
      </c>
      <c r="AH8" s="28" t="s">
        <v>252</v>
      </c>
      <c r="AJ8" s="28" t="s">
        <v>302</v>
      </c>
      <c r="AK8" s="87" t="s">
        <v>247</v>
      </c>
    </row>
    <row r="9" spans="1:37" x14ac:dyDescent="0.25">
      <c r="A9" s="26" t="s">
        <v>165</v>
      </c>
      <c r="B9" s="28" t="s">
        <v>254</v>
      </c>
      <c r="C9" s="28" t="s">
        <v>283</v>
      </c>
      <c r="D9" s="28" t="s">
        <v>283</v>
      </c>
      <c r="E9" s="28" t="s">
        <v>197</v>
      </c>
      <c r="F9" s="81" t="s">
        <v>341</v>
      </c>
      <c r="G9" s="81" t="s">
        <v>341</v>
      </c>
      <c r="H9" s="81" t="s">
        <v>341</v>
      </c>
      <c r="I9" s="81" t="s">
        <v>341</v>
      </c>
      <c r="J9" s="28" t="s">
        <v>254</v>
      </c>
      <c r="K9" s="28" t="s">
        <v>254</v>
      </c>
      <c r="L9" s="28" t="s">
        <v>254</v>
      </c>
      <c r="M9" s="28" t="s">
        <v>254</v>
      </c>
      <c r="N9" s="28" t="s">
        <v>254</v>
      </c>
      <c r="O9" s="28" t="s">
        <v>254</v>
      </c>
      <c r="P9" s="28" t="s">
        <v>254</v>
      </c>
      <c r="Q9" s="28" t="s">
        <v>254</v>
      </c>
      <c r="R9" s="28" t="s">
        <v>254</v>
      </c>
      <c r="S9" s="28" t="s">
        <v>610</v>
      </c>
      <c r="T9" s="28" t="s">
        <v>197</v>
      </c>
      <c r="U9" s="28" t="s">
        <v>197</v>
      </c>
      <c r="V9" s="28" t="s">
        <v>254</v>
      </c>
      <c r="W9" s="28" t="s">
        <v>254</v>
      </c>
      <c r="X9" s="28" t="s">
        <v>254</v>
      </c>
      <c r="Y9" s="28" t="s">
        <v>254</v>
      </c>
      <c r="Z9" s="29" t="s">
        <v>248</v>
      </c>
      <c r="AA9" s="28" t="s">
        <v>254</v>
      </c>
      <c r="AB9" s="29" t="s">
        <v>248</v>
      </c>
      <c r="AC9" s="29" t="s">
        <v>248</v>
      </c>
      <c r="AD9" s="29" t="s">
        <v>248</v>
      </c>
      <c r="AE9" s="29" t="s">
        <v>248</v>
      </c>
      <c r="AF9" s="28" t="s">
        <v>197</v>
      </c>
      <c r="AG9" s="28" t="s">
        <v>254</v>
      </c>
      <c r="AH9" s="28" t="s">
        <v>285</v>
      </c>
      <c r="AJ9" s="28" t="s">
        <v>303</v>
      </c>
      <c r="AK9" s="28" t="s">
        <v>254</v>
      </c>
    </row>
    <row r="10" spans="1:37" x14ac:dyDescent="0.25">
      <c r="A10" s="131" t="s">
        <v>168</v>
      </c>
      <c r="B10" s="157">
        <v>19</v>
      </c>
      <c r="C10" s="157">
        <v>56</v>
      </c>
      <c r="D10" s="157">
        <v>56</v>
      </c>
      <c r="E10" s="157">
        <v>34</v>
      </c>
      <c r="F10" s="198"/>
      <c r="G10" s="198"/>
      <c r="H10" s="198"/>
      <c r="I10" s="198"/>
      <c r="J10" s="157">
        <v>19</v>
      </c>
      <c r="K10" s="157">
        <v>19</v>
      </c>
      <c r="L10" s="157">
        <v>19</v>
      </c>
      <c r="M10" s="157">
        <v>19</v>
      </c>
      <c r="N10" s="157">
        <v>19</v>
      </c>
      <c r="O10" s="157">
        <v>19</v>
      </c>
      <c r="P10" s="157">
        <v>19</v>
      </c>
      <c r="Q10" s="157">
        <v>19</v>
      </c>
      <c r="R10" s="157">
        <v>19</v>
      </c>
      <c r="S10" s="157">
        <v>148</v>
      </c>
      <c r="T10" s="157">
        <v>34</v>
      </c>
      <c r="U10" s="157">
        <v>34</v>
      </c>
      <c r="V10" s="157">
        <v>19</v>
      </c>
      <c r="W10" s="157">
        <v>19</v>
      </c>
      <c r="X10" s="157">
        <v>19</v>
      </c>
      <c r="Y10" s="157">
        <v>19</v>
      </c>
      <c r="Z10" s="157">
        <v>17</v>
      </c>
      <c r="AA10" s="157">
        <v>19</v>
      </c>
      <c r="AB10" s="157">
        <v>17</v>
      </c>
      <c r="AC10" s="157">
        <v>17</v>
      </c>
      <c r="AD10" s="157">
        <v>17</v>
      </c>
      <c r="AE10" s="157">
        <v>17</v>
      </c>
      <c r="AF10" s="157">
        <v>34</v>
      </c>
      <c r="AG10" s="157">
        <v>19</v>
      </c>
      <c r="AH10" s="157">
        <v>150</v>
      </c>
      <c r="AJ10" s="157">
        <v>20</v>
      </c>
      <c r="AK10" s="157">
        <v>19</v>
      </c>
    </row>
    <row r="11" spans="1:37" x14ac:dyDescent="0.25">
      <c r="A11" s="26" t="s">
        <v>169</v>
      </c>
      <c r="B11" s="29" t="s">
        <v>170</v>
      </c>
      <c r="C11" s="28" t="s">
        <v>170</v>
      </c>
      <c r="D11" s="28" t="s">
        <v>170</v>
      </c>
      <c r="E11" s="28" t="s">
        <v>170</v>
      </c>
      <c r="F11" s="80" t="s">
        <v>173</v>
      </c>
      <c r="G11" s="80" t="s">
        <v>173</v>
      </c>
      <c r="H11" s="80" t="s">
        <v>173</v>
      </c>
      <c r="I11" s="80" t="s">
        <v>173</v>
      </c>
      <c r="J11" s="29" t="s">
        <v>170</v>
      </c>
      <c r="K11" s="29" t="s">
        <v>170</v>
      </c>
      <c r="L11" s="29" t="s">
        <v>170</v>
      </c>
      <c r="M11" s="29" t="s">
        <v>170</v>
      </c>
      <c r="N11" s="29" t="s">
        <v>170</v>
      </c>
      <c r="O11" s="29" t="s">
        <v>170</v>
      </c>
      <c r="P11" s="29" t="s">
        <v>170</v>
      </c>
      <c r="Q11" s="29" t="s">
        <v>170</v>
      </c>
      <c r="R11" s="29" t="s">
        <v>170</v>
      </c>
      <c r="S11" s="29" t="s">
        <v>170</v>
      </c>
      <c r="T11" s="28" t="s">
        <v>170</v>
      </c>
      <c r="U11" s="28" t="s">
        <v>170</v>
      </c>
      <c r="V11" s="29" t="s">
        <v>170</v>
      </c>
      <c r="W11" s="29" t="s">
        <v>170</v>
      </c>
      <c r="X11" s="29" t="s">
        <v>170</v>
      </c>
      <c r="Y11" s="29" t="s">
        <v>170</v>
      </c>
      <c r="Z11" s="29" t="s">
        <v>170</v>
      </c>
      <c r="AA11" s="29" t="s">
        <v>170</v>
      </c>
      <c r="AB11" s="28" t="s">
        <v>170</v>
      </c>
      <c r="AC11" s="28" t="s">
        <v>170</v>
      </c>
      <c r="AD11" s="28" t="s">
        <v>170</v>
      </c>
      <c r="AE11" s="28" t="s">
        <v>170</v>
      </c>
      <c r="AF11" s="28" t="s">
        <v>170</v>
      </c>
      <c r="AG11" s="29" t="s">
        <v>170</v>
      </c>
      <c r="AH11" s="29" t="s">
        <v>170</v>
      </c>
      <c r="AJ11" s="29" t="s">
        <v>170</v>
      </c>
      <c r="AK11" s="29" t="s">
        <v>170</v>
      </c>
    </row>
    <row r="12" spans="1:37" x14ac:dyDescent="0.25">
      <c r="A12" s="26" t="s">
        <v>171</v>
      </c>
      <c r="B12" s="28" t="s">
        <v>173</v>
      </c>
      <c r="C12" s="28" t="s">
        <v>173</v>
      </c>
      <c r="D12" s="28" t="s">
        <v>173</v>
      </c>
      <c r="E12" s="28" t="s">
        <v>173</v>
      </c>
      <c r="F12" s="80" t="s">
        <v>173</v>
      </c>
      <c r="G12" s="80" t="s">
        <v>173</v>
      </c>
      <c r="H12" s="80" t="s">
        <v>173</v>
      </c>
      <c r="I12" s="80" t="s">
        <v>173</v>
      </c>
      <c r="J12" s="28" t="s">
        <v>173</v>
      </c>
      <c r="K12" s="28" t="s">
        <v>173</v>
      </c>
      <c r="L12" s="28" t="s">
        <v>173</v>
      </c>
      <c r="M12" s="28" t="s">
        <v>173</v>
      </c>
      <c r="N12" s="28" t="s">
        <v>173</v>
      </c>
      <c r="O12" s="28" t="s">
        <v>173</v>
      </c>
      <c r="P12" s="28" t="s">
        <v>173</v>
      </c>
      <c r="Q12" s="28" t="s">
        <v>173</v>
      </c>
      <c r="R12" s="28" t="s">
        <v>173</v>
      </c>
      <c r="S12" s="28" t="s">
        <v>173</v>
      </c>
      <c r="T12" s="28" t="s">
        <v>173</v>
      </c>
      <c r="U12" s="28" t="s">
        <v>173</v>
      </c>
      <c r="V12" s="28" t="s">
        <v>173</v>
      </c>
      <c r="W12" s="28" t="s">
        <v>173</v>
      </c>
      <c r="X12" s="28" t="s">
        <v>173</v>
      </c>
      <c r="Y12" s="28" t="s">
        <v>173</v>
      </c>
      <c r="Z12" s="28" t="s">
        <v>173</v>
      </c>
      <c r="AA12" s="28" t="s">
        <v>173</v>
      </c>
      <c r="AB12" s="28" t="s">
        <v>173</v>
      </c>
      <c r="AC12" s="28" t="s">
        <v>173</v>
      </c>
      <c r="AD12" s="28" t="s">
        <v>173</v>
      </c>
      <c r="AE12" s="28" t="s">
        <v>173</v>
      </c>
      <c r="AF12" s="28" t="s">
        <v>173</v>
      </c>
      <c r="AG12" s="28" t="s">
        <v>173</v>
      </c>
      <c r="AH12" s="28" t="s">
        <v>173</v>
      </c>
      <c r="AJ12" s="29" t="s">
        <v>170</v>
      </c>
      <c r="AK12" s="28" t="s">
        <v>173</v>
      </c>
    </row>
    <row r="13" spans="1:37" x14ac:dyDescent="0.25">
      <c r="A13" s="26" t="s">
        <v>172</v>
      </c>
      <c r="B13" s="28" t="s">
        <v>173</v>
      </c>
      <c r="C13" s="28" t="s">
        <v>170</v>
      </c>
      <c r="D13" s="28" t="s">
        <v>170</v>
      </c>
      <c r="E13" s="28" t="s">
        <v>170</v>
      </c>
      <c r="F13" s="80" t="s">
        <v>173</v>
      </c>
      <c r="G13" s="80" t="s">
        <v>173</v>
      </c>
      <c r="H13" s="80" t="s">
        <v>173</v>
      </c>
      <c r="I13" s="80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 t="s">
        <v>173</v>
      </c>
      <c r="S13" s="28" t="s">
        <v>173</v>
      </c>
      <c r="T13" s="28" t="s">
        <v>170</v>
      </c>
      <c r="U13" s="28" t="s">
        <v>170</v>
      </c>
      <c r="V13" s="28" t="s">
        <v>173</v>
      </c>
      <c r="W13" s="28" t="s">
        <v>173</v>
      </c>
      <c r="X13" s="28" t="s">
        <v>173</v>
      </c>
      <c r="Y13" s="28" t="s">
        <v>173</v>
      </c>
      <c r="Z13" s="28" t="s">
        <v>173</v>
      </c>
      <c r="AA13" s="28" t="s">
        <v>173</v>
      </c>
      <c r="AB13" s="28" t="s">
        <v>173</v>
      </c>
      <c r="AC13" s="28" t="s">
        <v>173</v>
      </c>
      <c r="AD13" s="28" t="s">
        <v>173</v>
      </c>
      <c r="AE13" s="28" t="s">
        <v>173</v>
      </c>
      <c r="AF13" s="28" t="s">
        <v>170</v>
      </c>
      <c r="AG13" s="28" t="s">
        <v>173</v>
      </c>
      <c r="AH13" s="28" t="s">
        <v>173</v>
      </c>
      <c r="AJ13" s="28" t="s">
        <v>173</v>
      </c>
      <c r="AK13" s="28" t="s">
        <v>173</v>
      </c>
    </row>
    <row r="14" spans="1:37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80" t="s">
        <v>173</v>
      </c>
      <c r="G14" s="80" t="s">
        <v>173</v>
      </c>
      <c r="H14" s="80" t="s">
        <v>173</v>
      </c>
      <c r="I14" s="80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 t="s">
        <v>173</v>
      </c>
      <c r="V14" s="28" t="s">
        <v>173</v>
      </c>
      <c r="W14" s="28" t="s">
        <v>173</v>
      </c>
      <c r="X14" s="28" t="s">
        <v>173</v>
      </c>
      <c r="Y14" s="28" t="s">
        <v>173</v>
      </c>
      <c r="Z14" s="28" t="s">
        <v>173</v>
      </c>
      <c r="AA14" s="28" t="s">
        <v>173</v>
      </c>
      <c r="AB14" s="28" t="s">
        <v>173</v>
      </c>
      <c r="AC14" s="28" t="s">
        <v>173</v>
      </c>
      <c r="AD14" s="28" t="s">
        <v>173</v>
      </c>
      <c r="AE14" s="28" t="s">
        <v>173</v>
      </c>
      <c r="AF14" s="28" t="s">
        <v>173</v>
      </c>
      <c r="AG14" s="28" t="s">
        <v>173</v>
      </c>
      <c r="AH14" s="28" t="s">
        <v>173</v>
      </c>
      <c r="AJ14" s="28" t="s">
        <v>173</v>
      </c>
      <c r="AK14" s="28" t="s">
        <v>173</v>
      </c>
    </row>
    <row r="15" spans="1:37" x14ac:dyDescent="0.25">
      <c r="A15" s="26" t="s">
        <v>175</v>
      </c>
      <c r="B15" s="28" t="s">
        <v>267</v>
      </c>
      <c r="C15" s="28" t="s">
        <v>199</v>
      </c>
      <c r="D15" s="28" t="s">
        <v>199</v>
      </c>
      <c r="E15" s="28" t="s">
        <v>199</v>
      </c>
      <c r="F15" s="80" t="s">
        <v>267</v>
      </c>
      <c r="G15" s="80" t="s">
        <v>267</v>
      </c>
      <c r="H15" s="80" t="s">
        <v>267</v>
      </c>
      <c r="I15" s="80" t="s">
        <v>267</v>
      </c>
      <c r="J15" s="28" t="s">
        <v>267</v>
      </c>
      <c r="K15" s="28" t="s">
        <v>267</v>
      </c>
      <c r="L15" s="28" t="s">
        <v>267</v>
      </c>
      <c r="M15" s="28" t="s">
        <v>267</v>
      </c>
      <c r="N15" s="28" t="s">
        <v>267</v>
      </c>
      <c r="O15" s="28" t="s">
        <v>267</v>
      </c>
      <c r="P15" s="28" t="s">
        <v>267</v>
      </c>
      <c r="Q15" s="28" t="s">
        <v>267</v>
      </c>
      <c r="R15" s="28" t="s">
        <v>267</v>
      </c>
      <c r="S15" s="28" t="s">
        <v>290</v>
      </c>
      <c r="T15" s="28" t="s">
        <v>199</v>
      </c>
      <c r="U15" s="28" t="s">
        <v>199</v>
      </c>
      <c r="V15" s="28" t="s">
        <v>267</v>
      </c>
      <c r="W15" s="28" t="s">
        <v>267</v>
      </c>
      <c r="X15" s="28" t="s">
        <v>267</v>
      </c>
      <c r="Y15" s="28" t="s">
        <v>267</v>
      </c>
      <c r="Z15" s="28" t="s">
        <v>199</v>
      </c>
      <c r="AA15" s="28" t="s">
        <v>267</v>
      </c>
      <c r="AB15" s="28" t="s">
        <v>199</v>
      </c>
      <c r="AC15" s="28" t="s">
        <v>199</v>
      </c>
      <c r="AD15" s="28" t="s">
        <v>199</v>
      </c>
      <c r="AE15" s="28" t="s">
        <v>199</v>
      </c>
      <c r="AF15" s="28" t="s">
        <v>199</v>
      </c>
      <c r="AG15" s="28" t="s">
        <v>267</v>
      </c>
      <c r="AH15" s="28" t="s">
        <v>290</v>
      </c>
      <c r="AJ15" s="28" t="s">
        <v>267</v>
      </c>
      <c r="AK15" s="28" t="s">
        <v>267</v>
      </c>
    </row>
    <row r="16" spans="1:37" x14ac:dyDescent="0.25">
      <c r="A16" s="26" t="s">
        <v>176</v>
      </c>
      <c r="B16" s="30">
        <v>-3</v>
      </c>
      <c r="C16" s="120">
        <v>-0.5</v>
      </c>
      <c r="D16" s="120">
        <v>-0.5</v>
      </c>
      <c r="E16" s="120">
        <v>-0.5</v>
      </c>
      <c r="F16" s="166">
        <v>-3</v>
      </c>
      <c r="G16" s="166">
        <v>-3</v>
      </c>
      <c r="H16" s="166">
        <v>-3</v>
      </c>
      <c r="I16" s="166">
        <v>-3</v>
      </c>
      <c r="J16" s="30">
        <v>-3</v>
      </c>
      <c r="K16" s="30">
        <v>-3</v>
      </c>
      <c r="L16" s="30">
        <v>-3</v>
      </c>
      <c r="M16" s="30">
        <v>-3</v>
      </c>
      <c r="N16" s="30">
        <v>-3</v>
      </c>
      <c r="O16" s="30">
        <v>-3</v>
      </c>
      <c r="P16" s="30">
        <v>-3</v>
      </c>
      <c r="Q16" s="30">
        <v>-3</v>
      </c>
      <c r="R16" s="30">
        <v>-3</v>
      </c>
      <c r="S16" s="30">
        <f>AVERAGE(-3,0)</f>
        <v>-1.5</v>
      </c>
      <c r="T16" s="120">
        <v>-0.5</v>
      </c>
      <c r="U16" s="120">
        <v>-0.5</v>
      </c>
      <c r="V16" s="30">
        <v>-3</v>
      </c>
      <c r="W16" s="30">
        <v>-3</v>
      </c>
      <c r="X16" s="30">
        <v>-3</v>
      </c>
      <c r="Y16" s="30">
        <v>-3</v>
      </c>
      <c r="Z16" s="30">
        <v>-2</v>
      </c>
      <c r="AA16" s="30">
        <v>-3</v>
      </c>
      <c r="AB16" s="30">
        <v>-2</v>
      </c>
      <c r="AC16" s="30">
        <v>-2</v>
      </c>
      <c r="AD16" s="30">
        <v>-2</v>
      </c>
      <c r="AE16" s="30">
        <v>-2</v>
      </c>
      <c r="AF16" s="120">
        <v>-0.5</v>
      </c>
      <c r="AG16" s="30">
        <v>-3</v>
      </c>
      <c r="AH16" s="30">
        <v>-2.5</v>
      </c>
      <c r="AJ16" s="30">
        <v>-3</v>
      </c>
      <c r="AK16" s="30">
        <v>-3</v>
      </c>
    </row>
    <row r="17" spans="1:37" x14ac:dyDescent="0.25">
      <c r="A17" s="26" t="s">
        <v>177</v>
      </c>
      <c r="B17" s="28" t="s">
        <v>178</v>
      </c>
      <c r="C17" s="28" t="s">
        <v>181</v>
      </c>
      <c r="D17" s="28" t="s">
        <v>181</v>
      </c>
      <c r="E17" s="28" t="s">
        <v>200</v>
      </c>
      <c r="F17" s="80" t="s">
        <v>341</v>
      </c>
      <c r="G17" s="80" t="s">
        <v>341</v>
      </c>
      <c r="H17" s="80" t="s">
        <v>341</v>
      </c>
      <c r="I17" s="80" t="s">
        <v>341</v>
      </c>
      <c r="J17" s="28" t="s">
        <v>178</v>
      </c>
      <c r="K17" s="28" t="s">
        <v>178</v>
      </c>
      <c r="L17" s="28" t="s">
        <v>178</v>
      </c>
      <c r="M17" s="28" t="s">
        <v>178</v>
      </c>
      <c r="N17" s="28" t="s">
        <v>178</v>
      </c>
      <c r="O17" s="28" t="s">
        <v>178</v>
      </c>
      <c r="P17" s="28" t="s">
        <v>178</v>
      </c>
      <c r="Q17" s="28" t="s">
        <v>178</v>
      </c>
      <c r="R17" s="28" t="s">
        <v>178</v>
      </c>
      <c r="S17" s="28" t="s">
        <v>178</v>
      </c>
      <c r="T17" s="28" t="s">
        <v>200</v>
      </c>
      <c r="U17" s="28" t="s">
        <v>200</v>
      </c>
      <c r="V17" s="28" t="s">
        <v>178</v>
      </c>
      <c r="W17" s="28" t="s">
        <v>178</v>
      </c>
      <c r="X17" s="28" t="s">
        <v>178</v>
      </c>
      <c r="Y17" s="28" t="s">
        <v>178</v>
      </c>
      <c r="Z17" s="28" t="s">
        <v>178</v>
      </c>
      <c r="AA17" s="28" t="s">
        <v>178</v>
      </c>
      <c r="AB17" s="28" t="s">
        <v>178</v>
      </c>
      <c r="AC17" s="28" t="s">
        <v>178</v>
      </c>
      <c r="AD17" s="28" t="s">
        <v>178</v>
      </c>
      <c r="AE17" s="28" t="s">
        <v>178</v>
      </c>
      <c r="AF17" s="28" t="s">
        <v>200</v>
      </c>
      <c r="AG17" s="28" t="s">
        <v>178</v>
      </c>
      <c r="AH17" s="28" t="s">
        <v>178</v>
      </c>
      <c r="AJ17" s="28" t="s">
        <v>178</v>
      </c>
      <c r="AK17" s="28" t="s">
        <v>178</v>
      </c>
    </row>
    <row r="18" spans="1:37" x14ac:dyDescent="0.25">
      <c r="A18" s="26" t="s">
        <v>182</v>
      </c>
      <c r="B18" s="30">
        <v>4</v>
      </c>
      <c r="C18" s="30">
        <v>2</v>
      </c>
      <c r="D18" s="30">
        <v>2</v>
      </c>
      <c r="E18" s="30">
        <v>3</v>
      </c>
      <c r="F18" s="82">
        <v>0</v>
      </c>
      <c r="G18" s="82">
        <v>0</v>
      </c>
      <c r="H18" s="82">
        <v>0</v>
      </c>
      <c r="I18" s="82">
        <v>0</v>
      </c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30">
        <v>4</v>
      </c>
      <c r="S18" s="30">
        <v>4</v>
      </c>
      <c r="T18" s="30">
        <v>3</v>
      </c>
      <c r="U18" s="30">
        <v>3</v>
      </c>
      <c r="V18" s="30">
        <v>4</v>
      </c>
      <c r="W18" s="30">
        <v>4</v>
      </c>
      <c r="X18" s="30">
        <v>4</v>
      </c>
      <c r="Y18" s="30">
        <v>4</v>
      </c>
      <c r="Z18" s="30">
        <v>4</v>
      </c>
      <c r="AA18" s="30">
        <v>4</v>
      </c>
      <c r="AB18" s="30">
        <v>4</v>
      </c>
      <c r="AC18" s="30">
        <v>4</v>
      </c>
      <c r="AD18" s="30">
        <v>4</v>
      </c>
      <c r="AE18" s="30">
        <v>4</v>
      </c>
      <c r="AF18" s="30">
        <v>3</v>
      </c>
      <c r="AG18" s="30">
        <v>4</v>
      </c>
      <c r="AH18" s="30">
        <v>4</v>
      </c>
      <c r="AJ18" s="30">
        <v>4</v>
      </c>
      <c r="AK18" s="30">
        <v>4</v>
      </c>
    </row>
    <row r="20" spans="1:37" x14ac:dyDescent="0.25">
      <c r="A20" s="26" t="s">
        <v>159</v>
      </c>
      <c r="B20" s="28" t="s">
        <v>462</v>
      </c>
      <c r="C20" s="80" t="s">
        <v>341</v>
      </c>
      <c r="D20" s="80" t="s">
        <v>341</v>
      </c>
      <c r="E20" s="80" t="s">
        <v>341</v>
      </c>
      <c r="F20" s="113" t="s">
        <v>474</v>
      </c>
      <c r="G20" s="28" t="s">
        <v>476</v>
      </c>
      <c r="H20" s="28" t="s">
        <v>476</v>
      </c>
      <c r="I20" s="28" t="s">
        <v>476</v>
      </c>
      <c r="J20" s="113" t="s">
        <v>475</v>
      </c>
      <c r="K20" s="28" t="s">
        <v>473</v>
      </c>
      <c r="L20" s="28" t="s">
        <v>473</v>
      </c>
      <c r="M20" s="28" t="s">
        <v>473</v>
      </c>
      <c r="N20" s="28" t="s">
        <v>473</v>
      </c>
      <c r="O20" s="28" t="s">
        <v>473</v>
      </c>
      <c r="P20" s="28" t="s">
        <v>473</v>
      </c>
      <c r="Q20" s="28" t="s">
        <v>473</v>
      </c>
      <c r="R20" s="28" t="s">
        <v>473</v>
      </c>
      <c r="S20" s="28" t="s">
        <v>476</v>
      </c>
      <c r="T20" s="80" t="s">
        <v>341</v>
      </c>
      <c r="U20" s="80" t="s">
        <v>341</v>
      </c>
      <c r="V20" s="28" t="s">
        <v>473</v>
      </c>
      <c r="W20" s="28" t="s">
        <v>473</v>
      </c>
      <c r="X20" s="28" t="s">
        <v>448</v>
      </c>
      <c r="Y20" s="28" t="s">
        <v>448</v>
      </c>
      <c r="Z20" s="80" t="s">
        <v>341</v>
      </c>
      <c r="AA20" s="28" t="s">
        <v>556</v>
      </c>
      <c r="AB20" s="80" t="s">
        <v>341</v>
      </c>
      <c r="AC20" s="80" t="s">
        <v>341</v>
      </c>
      <c r="AD20" s="80" t="s">
        <v>341</v>
      </c>
      <c r="AE20" s="80" t="s">
        <v>341</v>
      </c>
      <c r="AF20" s="80" t="s">
        <v>341</v>
      </c>
      <c r="AG20" s="86" t="s">
        <v>611</v>
      </c>
      <c r="AH20" s="28" t="s">
        <v>556</v>
      </c>
      <c r="AJ20" s="28" t="s">
        <v>473</v>
      </c>
      <c r="AK20" s="28" t="s">
        <v>462</v>
      </c>
    </row>
    <row r="21" spans="1:37" x14ac:dyDescent="0.25">
      <c r="A21" s="26" t="s">
        <v>165</v>
      </c>
      <c r="B21" s="28" t="s">
        <v>479</v>
      </c>
      <c r="C21" s="81" t="s">
        <v>341</v>
      </c>
      <c r="D21" s="81" t="s">
        <v>341</v>
      </c>
      <c r="E21" s="81" t="s">
        <v>341</v>
      </c>
      <c r="F21" s="113" t="s">
        <v>480</v>
      </c>
      <c r="G21" s="28" t="s">
        <v>557</v>
      </c>
      <c r="H21" s="28" t="s">
        <v>325</v>
      </c>
      <c r="I21" s="28" t="s">
        <v>325</v>
      </c>
      <c r="J21" s="113" t="s">
        <v>481</v>
      </c>
      <c r="K21" s="29" t="s">
        <v>473</v>
      </c>
      <c r="L21" s="28" t="s">
        <v>612</v>
      </c>
      <c r="M21" s="28" t="s">
        <v>559</v>
      </c>
      <c r="N21" s="29" t="s">
        <v>473</v>
      </c>
      <c r="O21" s="29" t="s">
        <v>473</v>
      </c>
      <c r="P21" s="29" t="s">
        <v>473</v>
      </c>
      <c r="Q21" s="29" t="s">
        <v>473</v>
      </c>
      <c r="R21" s="29" t="s">
        <v>473</v>
      </c>
      <c r="S21" s="111" t="s">
        <v>613</v>
      </c>
      <c r="T21" s="81" t="s">
        <v>341</v>
      </c>
      <c r="U21" s="81" t="s">
        <v>341</v>
      </c>
      <c r="V21" s="29" t="s">
        <v>473</v>
      </c>
      <c r="W21" s="29" t="s">
        <v>473</v>
      </c>
      <c r="X21" s="29" t="s">
        <v>561</v>
      </c>
      <c r="Y21" s="29" t="s">
        <v>561</v>
      </c>
      <c r="Z21" s="81" t="s">
        <v>341</v>
      </c>
      <c r="AA21" s="28" t="s">
        <v>322</v>
      </c>
      <c r="AB21" s="81" t="s">
        <v>341</v>
      </c>
      <c r="AC21" s="81" t="s">
        <v>341</v>
      </c>
      <c r="AD21" s="81" t="s">
        <v>341</v>
      </c>
      <c r="AE21" s="81" t="s">
        <v>341</v>
      </c>
      <c r="AF21" s="81" t="s">
        <v>341</v>
      </c>
      <c r="AG21" s="86" t="s">
        <v>557</v>
      </c>
      <c r="AH21" s="28" t="s">
        <v>614</v>
      </c>
      <c r="AJ21" s="29" t="s">
        <v>473</v>
      </c>
      <c r="AK21" s="28" t="s">
        <v>484</v>
      </c>
    </row>
    <row r="22" spans="1:37" x14ac:dyDescent="0.25">
      <c r="A22" s="131" t="s">
        <v>168</v>
      </c>
      <c r="B22" s="157">
        <v>87</v>
      </c>
      <c r="C22" s="198"/>
      <c r="D22" s="198"/>
      <c r="E22" s="198"/>
      <c r="F22" s="157">
        <v>129</v>
      </c>
      <c r="G22" s="157">
        <v>90</v>
      </c>
      <c r="H22" s="157">
        <v>39</v>
      </c>
      <c r="I22" s="157">
        <v>39</v>
      </c>
      <c r="J22" s="157">
        <v>130</v>
      </c>
      <c r="K22" s="157">
        <v>85</v>
      </c>
      <c r="L22" s="157">
        <v>89</v>
      </c>
      <c r="M22" s="157">
        <v>140</v>
      </c>
      <c r="N22" s="157">
        <v>85</v>
      </c>
      <c r="O22" s="157">
        <v>85</v>
      </c>
      <c r="P22" s="157">
        <v>85</v>
      </c>
      <c r="Q22" s="157">
        <v>85</v>
      </c>
      <c r="R22" s="157">
        <v>85</v>
      </c>
      <c r="S22" s="157">
        <v>149</v>
      </c>
      <c r="T22" s="198"/>
      <c r="U22" s="198"/>
      <c r="V22" s="157">
        <v>85</v>
      </c>
      <c r="W22" s="157">
        <v>85</v>
      </c>
      <c r="X22" s="157">
        <v>83</v>
      </c>
      <c r="Y22" s="157">
        <v>83</v>
      </c>
      <c r="Z22" s="198"/>
      <c r="AA22" s="157">
        <v>98</v>
      </c>
      <c r="AB22" s="198"/>
      <c r="AC22" s="198"/>
      <c r="AD22" s="198"/>
      <c r="AE22" s="198"/>
      <c r="AF22" s="198"/>
      <c r="AG22" s="161">
        <v>90</v>
      </c>
      <c r="AH22" s="157">
        <v>151</v>
      </c>
      <c r="AJ22" s="157">
        <v>85</v>
      </c>
      <c r="AK22" s="157">
        <v>139</v>
      </c>
    </row>
    <row r="23" spans="1:37" x14ac:dyDescent="0.25">
      <c r="A23" s="26" t="s">
        <v>169</v>
      </c>
      <c r="B23" s="28" t="s">
        <v>170</v>
      </c>
      <c r="C23" s="80" t="s">
        <v>173</v>
      </c>
      <c r="D23" s="80" t="s">
        <v>173</v>
      </c>
      <c r="E23" s="80" t="s">
        <v>173</v>
      </c>
      <c r="F23" s="28" t="s">
        <v>170</v>
      </c>
      <c r="G23" s="28" t="s">
        <v>170</v>
      </c>
      <c r="H23" s="28" t="s">
        <v>170</v>
      </c>
      <c r="I23" s="28" t="s">
        <v>170</v>
      </c>
      <c r="J23" s="28" t="s">
        <v>170</v>
      </c>
      <c r="K23" s="28" t="s">
        <v>170</v>
      </c>
      <c r="L23" s="28" t="s">
        <v>170</v>
      </c>
      <c r="M23" s="28" t="s">
        <v>170</v>
      </c>
      <c r="N23" s="28" t="s">
        <v>170</v>
      </c>
      <c r="O23" s="28" t="s">
        <v>170</v>
      </c>
      <c r="P23" s="28" t="s">
        <v>170</v>
      </c>
      <c r="Q23" s="28" t="s">
        <v>170</v>
      </c>
      <c r="R23" s="28" t="s">
        <v>170</v>
      </c>
      <c r="S23" s="28" t="s">
        <v>170</v>
      </c>
      <c r="T23" s="80" t="s">
        <v>173</v>
      </c>
      <c r="U23" s="80" t="s">
        <v>173</v>
      </c>
      <c r="V23" s="28" t="s">
        <v>170</v>
      </c>
      <c r="W23" s="28" t="s">
        <v>170</v>
      </c>
      <c r="X23" s="28" t="s">
        <v>170</v>
      </c>
      <c r="Y23" s="28" t="s">
        <v>170</v>
      </c>
      <c r="Z23" s="80" t="s">
        <v>173</v>
      </c>
      <c r="AA23" s="28" t="s">
        <v>170</v>
      </c>
      <c r="AB23" s="80" t="s">
        <v>173</v>
      </c>
      <c r="AC23" s="80" t="s">
        <v>173</v>
      </c>
      <c r="AD23" s="80" t="s">
        <v>173</v>
      </c>
      <c r="AE23" s="80" t="s">
        <v>173</v>
      </c>
      <c r="AF23" s="80" t="s">
        <v>173</v>
      </c>
      <c r="AG23" s="86" t="s">
        <v>170</v>
      </c>
      <c r="AH23" s="28" t="s">
        <v>266</v>
      </c>
      <c r="AJ23" s="28" t="s">
        <v>170</v>
      </c>
      <c r="AK23" s="28" t="s">
        <v>170</v>
      </c>
    </row>
    <row r="24" spans="1:37" x14ac:dyDescent="0.25">
      <c r="A24" s="26" t="s">
        <v>171</v>
      </c>
      <c r="B24" s="28" t="s">
        <v>170</v>
      </c>
      <c r="C24" s="80" t="s">
        <v>173</v>
      </c>
      <c r="D24" s="80" t="s">
        <v>173</v>
      </c>
      <c r="E24" s="80" t="s">
        <v>173</v>
      </c>
      <c r="F24" s="116" t="s">
        <v>288</v>
      </c>
      <c r="G24" s="28" t="s">
        <v>170</v>
      </c>
      <c r="H24" s="28" t="s">
        <v>170</v>
      </c>
      <c r="I24" s="28" t="s">
        <v>170</v>
      </c>
      <c r="J24" s="28" t="s">
        <v>170</v>
      </c>
      <c r="K24" s="28" t="s">
        <v>170</v>
      </c>
      <c r="L24" s="28" t="s">
        <v>170</v>
      </c>
      <c r="M24" s="28" t="s">
        <v>170</v>
      </c>
      <c r="N24" s="28" t="s">
        <v>170</v>
      </c>
      <c r="O24" s="28" t="s">
        <v>170</v>
      </c>
      <c r="P24" s="28" t="s">
        <v>170</v>
      </c>
      <c r="Q24" s="28" t="s">
        <v>170</v>
      </c>
      <c r="R24" s="28" t="s">
        <v>170</v>
      </c>
      <c r="S24" s="87" t="s">
        <v>170</v>
      </c>
      <c r="T24" s="80" t="s">
        <v>173</v>
      </c>
      <c r="U24" s="80" t="s">
        <v>173</v>
      </c>
      <c r="V24" s="28" t="s">
        <v>170</v>
      </c>
      <c r="W24" s="28" t="s">
        <v>170</v>
      </c>
      <c r="X24" s="28" t="s">
        <v>170</v>
      </c>
      <c r="Y24" s="28" t="s">
        <v>170</v>
      </c>
      <c r="Z24" s="80" t="s">
        <v>173</v>
      </c>
      <c r="AA24" s="28" t="s">
        <v>170</v>
      </c>
      <c r="AB24" s="80" t="s">
        <v>173</v>
      </c>
      <c r="AC24" s="80" t="s">
        <v>173</v>
      </c>
      <c r="AD24" s="80" t="s">
        <v>173</v>
      </c>
      <c r="AE24" s="80" t="s">
        <v>173</v>
      </c>
      <c r="AF24" s="80" t="s">
        <v>173</v>
      </c>
      <c r="AG24" s="86" t="s">
        <v>170</v>
      </c>
      <c r="AH24" s="28" t="s">
        <v>266</v>
      </c>
      <c r="AJ24" s="28" t="s">
        <v>170</v>
      </c>
      <c r="AK24" s="28" t="s">
        <v>170</v>
      </c>
    </row>
    <row r="25" spans="1:37" x14ac:dyDescent="0.25">
      <c r="A25" s="26" t="s">
        <v>172</v>
      </c>
      <c r="B25" s="28" t="s">
        <v>173</v>
      </c>
      <c r="C25" s="80" t="s">
        <v>173</v>
      </c>
      <c r="D25" s="80" t="s">
        <v>173</v>
      </c>
      <c r="E25" s="80" t="s">
        <v>173</v>
      </c>
      <c r="F25" s="113" t="s">
        <v>485</v>
      </c>
      <c r="G25" s="28" t="s">
        <v>173</v>
      </c>
      <c r="H25" s="28" t="s">
        <v>173</v>
      </c>
      <c r="I25" s="28" t="s">
        <v>173</v>
      </c>
      <c r="J25" s="28" t="s">
        <v>173</v>
      </c>
      <c r="K25" s="28" t="s">
        <v>173</v>
      </c>
      <c r="L25" s="28" t="s">
        <v>173</v>
      </c>
      <c r="M25" s="28" t="s">
        <v>173</v>
      </c>
      <c r="N25" s="28" t="s">
        <v>173</v>
      </c>
      <c r="O25" s="28" t="s">
        <v>173</v>
      </c>
      <c r="P25" s="28" t="s">
        <v>173</v>
      </c>
      <c r="Q25" s="28" t="s">
        <v>173</v>
      </c>
      <c r="R25" s="28" t="s">
        <v>173</v>
      </c>
      <c r="S25" s="28" t="s">
        <v>173</v>
      </c>
      <c r="T25" s="80" t="s">
        <v>173</v>
      </c>
      <c r="U25" s="80" t="s">
        <v>173</v>
      </c>
      <c r="V25" s="28" t="s">
        <v>173</v>
      </c>
      <c r="W25" s="28" t="s">
        <v>173</v>
      </c>
      <c r="X25" s="28" t="s">
        <v>173</v>
      </c>
      <c r="Y25" s="28" t="s">
        <v>173</v>
      </c>
      <c r="Z25" s="80" t="s">
        <v>173</v>
      </c>
      <c r="AA25" s="28" t="s">
        <v>173</v>
      </c>
      <c r="AB25" s="80" t="s">
        <v>173</v>
      </c>
      <c r="AC25" s="80" t="s">
        <v>173</v>
      </c>
      <c r="AD25" s="80" t="s">
        <v>173</v>
      </c>
      <c r="AE25" s="80" t="s">
        <v>173</v>
      </c>
      <c r="AF25" s="80" t="s">
        <v>173</v>
      </c>
      <c r="AG25" s="86" t="s">
        <v>173</v>
      </c>
      <c r="AH25" s="28" t="s">
        <v>173</v>
      </c>
      <c r="AJ25" s="28" t="s">
        <v>173</v>
      </c>
      <c r="AK25" s="28" t="s">
        <v>173</v>
      </c>
    </row>
    <row r="26" spans="1:37" x14ac:dyDescent="0.25">
      <c r="A26" s="26" t="s">
        <v>174</v>
      </c>
      <c r="B26" s="28" t="s">
        <v>170</v>
      </c>
      <c r="C26" s="80" t="s">
        <v>173</v>
      </c>
      <c r="D26" s="80" t="s">
        <v>173</v>
      </c>
      <c r="E26" s="80" t="s">
        <v>173</v>
      </c>
      <c r="F26" s="116" t="s">
        <v>288</v>
      </c>
      <c r="G26" s="28" t="s">
        <v>170</v>
      </c>
      <c r="H26" s="28" t="s">
        <v>173</v>
      </c>
      <c r="I26" s="28" t="s">
        <v>173</v>
      </c>
      <c r="J26" s="28" t="s">
        <v>170</v>
      </c>
      <c r="K26" s="28" t="s">
        <v>170</v>
      </c>
      <c r="L26" s="28" t="s">
        <v>170</v>
      </c>
      <c r="M26" s="28" t="s">
        <v>170</v>
      </c>
      <c r="N26" s="28" t="s">
        <v>170</v>
      </c>
      <c r="O26" s="28" t="s">
        <v>170</v>
      </c>
      <c r="P26" s="28" t="s">
        <v>170</v>
      </c>
      <c r="Q26" s="28" t="s">
        <v>170</v>
      </c>
      <c r="R26" s="28" t="s">
        <v>170</v>
      </c>
      <c r="S26" s="116" t="s">
        <v>266</v>
      </c>
      <c r="T26" s="80" t="s">
        <v>173</v>
      </c>
      <c r="U26" s="80" t="s">
        <v>173</v>
      </c>
      <c r="V26" s="28" t="s">
        <v>170</v>
      </c>
      <c r="W26" s="28" t="s">
        <v>170</v>
      </c>
      <c r="X26" s="28" t="s">
        <v>173</v>
      </c>
      <c r="Y26" s="28" t="s">
        <v>173</v>
      </c>
      <c r="Z26" s="80" t="s">
        <v>173</v>
      </c>
      <c r="AA26" s="28" t="s">
        <v>173</v>
      </c>
      <c r="AB26" s="80" t="s">
        <v>173</v>
      </c>
      <c r="AC26" s="80" t="s">
        <v>173</v>
      </c>
      <c r="AD26" s="80" t="s">
        <v>173</v>
      </c>
      <c r="AE26" s="80" t="s">
        <v>173</v>
      </c>
      <c r="AF26" s="80" t="s">
        <v>173</v>
      </c>
      <c r="AG26" s="86" t="s">
        <v>170</v>
      </c>
      <c r="AH26" s="28" t="s">
        <v>173</v>
      </c>
      <c r="AJ26" s="28" t="s">
        <v>170</v>
      </c>
      <c r="AK26" s="28" t="s">
        <v>170</v>
      </c>
    </row>
    <row r="27" spans="1:37" x14ac:dyDescent="0.25">
      <c r="A27" s="26" t="s">
        <v>175</v>
      </c>
      <c r="B27" s="28" t="s">
        <v>486</v>
      </c>
      <c r="C27" s="80" t="s">
        <v>199</v>
      </c>
      <c r="D27" s="80" t="s">
        <v>199</v>
      </c>
      <c r="E27" s="80" t="s">
        <v>199</v>
      </c>
      <c r="F27" s="28" t="s">
        <v>199</v>
      </c>
      <c r="G27" s="28" t="s">
        <v>199</v>
      </c>
      <c r="H27" s="28" t="s">
        <v>199</v>
      </c>
      <c r="I27" s="28" t="s">
        <v>199</v>
      </c>
      <c r="J27" s="111" t="s">
        <v>487</v>
      </c>
      <c r="K27" s="28" t="s">
        <v>198</v>
      </c>
      <c r="L27" s="28" t="s">
        <v>486</v>
      </c>
      <c r="M27" s="28" t="s">
        <v>267</v>
      </c>
      <c r="N27" s="28" t="s">
        <v>198</v>
      </c>
      <c r="O27" s="28" t="s">
        <v>198</v>
      </c>
      <c r="P27" s="28" t="s">
        <v>198</v>
      </c>
      <c r="Q27" s="28" t="s">
        <v>198</v>
      </c>
      <c r="R27" s="28" t="s">
        <v>198</v>
      </c>
      <c r="S27" s="111" t="s">
        <v>370</v>
      </c>
      <c r="T27" s="80" t="s">
        <v>199</v>
      </c>
      <c r="U27" s="80" t="s">
        <v>199</v>
      </c>
      <c r="V27" s="28" t="s">
        <v>198</v>
      </c>
      <c r="W27" s="28" t="s">
        <v>198</v>
      </c>
      <c r="X27" s="28" t="s">
        <v>198</v>
      </c>
      <c r="Y27" s="28" t="s">
        <v>198</v>
      </c>
      <c r="Z27" s="80" t="s">
        <v>199</v>
      </c>
      <c r="AA27" s="28" t="s">
        <v>199</v>
      </c>
      <c r="AB27" s="80" t="s">
        <v>199</v>
      </c>
      <c r="AC27" s="80" t="s">
        <v>199</v>
      </c>
      <c r="AD27" s="80" t="s">
        <v>199</v>
      </c>
      <c r="AE27" s="80" t="s">
        <v>199</v>
      </c>
      <c r="AF27" s="80" t="s">
        <v>199</v>
      </c>
      <c r="AG27" s="86" t="s">
        <v>199</v>
      </c>
      <c r="AH27" s="28" t="s">
        <v>199</v>
      </c>
      <c r="AJ27" s="28" t="s">
        <v>198</v>
      </c>
      <c r="AK27" s="28" t="s">
        <v>199</v>
      </c>
    </row>
    <row r="28" spans="1:37" x14ac:dyDescent="0.25">
      <c r="A28" s="26" t="s">
        <v>176</v>
      </c>
      <c r="B28" s="30">
        <f>-7/6</f>
        <v>-1.1666666666666667</v>
      </c>
      <c r="C28" s="82">
        <v>-2</v>
      </c>
      <c r="D28" s="82">
        <v>-2</v>
      </c>
      <c r="E28" s="82">
        <v>-2</v>
      </c>
      <c r="F28" s="120">
        <f>AVERAGE(0,0,-1.25)</f>
        <v>-0.41666666666666669</v>
      </c>
      <c r="G28" s="30">
        <v>-2</v>
      </c>
      <c r="H28" s="30">
        <v>-2</v>
      </c>
      <c r="I28" s="30">
        <v>-2</v>
      </c>
      <c r="J28" s="30">
        <f>AVERAGE(0.75,0.75,0.75,0)</f>
        <v>0.5625</v>
      </c>
      <c r="K28" s="30">
        <v>0.75</v>
      </c>
      <c r="L28" s="30">
        <v>-1.625</v>
      </c>
      <c r="M28" s="30">
        <v>-3</v>
      </c>
      <c r="N28" s="30">
        <v>0.75</v>
      </c>
      <c r="O28" s="30">
        <v>0.75</v>
      </c>
      <c r="P28" s="30">
        <v>0.75</v>
      </c>
      <c r="Q28" s="30">
        <v>0.75</v>
      </c>
      <c r="R28" s="30">
        <v>0.75</v>
      </c>
      <c r="S28" s="30">
        <f>AVERAGE(0.75,-2)</f>
        <v>-0.625</v>
      </c>
      <c r="T28" s="82">
        <v>-2</v>
      </c>
      <c r="U28" s="82">
        <v>-2</v>
      </c>
      <c r="V28" s="30">
        <v>0.75</v>
      </c>
      <c r="W28" s="30">
        <v>0.75</v>
      </c>
      <c r="X28" s="30">
        <v>0.75</v>
      </c>
      <c r="Y28" s="30">
        <v>0.75</v>
      </c>
      <c r="Z28" s="82">
        <v>-2</v>
      </c>
      <c r="AA28" s="30">
        <v>-2</v>
      </c>
      <c r="AB28" s="82">
        <v>-2</v>
      </c>
      <c r="AC28" s="82">
        <v>-2</v>
      </c>
      <c r="AD28" s="82">
        <v>-2</v>
      </c>
      <c r="AE28" s="82">
        <v>-2</v>
      </c>
      <c r="AF28" s="82">
        <v>-2</v>
      </c>
      <c r="AG28" s="92">
        <v>-2</v>
      </c>
      <c r="AH28" s="30">
        <v>-2</v>
      </c>
      <c r="AJ28" s="30">
        <v>0.75</v>
      </c>
      <c r="AK28" s="30">
        <f>-1/6</f>
        <v>-0.16666666666666666</v>
      </c>
    </row>
    <row r="29" spans="1:37" x14ac:dyDescent="0.25">
      <c r="A29" s="26" t="s">
        <v>177</v>
      </c>
      <c r="B29" s="28" t="s">
        <v>489</v>
      </c>
      <c r="C29" s="80" t="s">
        <v>341</v>
      </c>
      <c r="D29" s="80" t="s">
        <v>341</v>
      </c>
      <c r="E29" s="80" t="s">
        <v>341</v>
      </c>
      <c r="F29" s="77" t="s">
        <v>490</v>
      </c>
      <c r="G29" s="28" t="s">
        <v>462</v>
      </c>
      <c r="H29" s="28" t="s">
        <v>200</v>
      </c>
      <c r="I29" s="28" t="s">
        <v>200</v>
      </c>
      <c r="J29" s="28" t="s">
        <v>489</v>
      </c>
      <c r="K29" s="28" t="s">
        <v>489</v>
      </c>
      <c r="L29" s="28" t="s">
        <v>489</v>
      </c>
      <c r="M29" s="28" t="s">
        <v>489</v>
      </c>
      <c r="N29" s="28" t="s">
        <v>489</v>
      </c>
      <c r="O29" s="28" t="s">
        <v>489</v>
      </c>
      <c r="P29" s="28" t="s">
        <v>489</v>
      </c>
      <c r="Q29" s="28" t="s">
        <v>489</v>
      </c>
      <c r="R29" s="28" t="s">
        <v>489</v>
      </c>
      <c r="S29" s="170" t="s">
        <v>615</v>
      </c>
      <c r="T29" s="80" t="s">
        <v>341</v>
      </c>
      <c r="U29" s="80" t="s">
        <v>341</v>
      </c>
      <c r="V29" s="28" t="s">
        <v>489</v>
      </c>
      <c r="W29" s="28" t="s">
        <v>489</v>
      </c>
      <c r="X29" s="28" t="s">
        <v>462</v>
      </c>
      <c r="Y29" s="28" t="s">
        <v>462</v>
      </c>
      <c r="Z29" s="80" t="s">
        <v>341</v>
      </c>
      <c r="AA29" s="28" t="s">
        <v>334</v>
      </c>
      <c r="AB29" s="80" t="s">
        <v>341</v>
      </c>
      <c r="AC29" s="80" t="s">
        <v>341</v>
      </c>
      <c r="AD29" s="80" t="s">
        <v>341</v>
      </c>
      <c r="AE29" s="80" t="s">
        <v>341</v>
      </c>
      <c r="AF29" s="80" t="s">
        <v>341</v>
      </c>
      <c r="AG29" s="86" t="s">
        <v>462</v>
      </c>
      <c r="AH29" s="28" t="s">
        <v>537</v>
      </c>
      <c r="AJ29" s="28" t="s">
        <v>489</v>
      </c>
      <c r="AK29" s="28" t="s">
        <v>489</v>
      </c>
    </row>
    <row r="30" spans="1:37" x14ac:dyDescent="0.25">
      <c r="A30" s="26" t="s">
        <v>182</v>
      </c>
      <c r="B30" s="30">
        <v>0.75</v>
      </c>
      <c r="C30" s="82">
        <v>0</v>
      </c>
      <c r="D30" s="82">
        <v>0</v>
      </c>
      <c r="E30" s="82">
        <v>0</v>
      </c>
      <c r="F30" s="30">
        <f>AVERAGE(0.75,0.75,3)</f>
        <v>1.5</v>
      </c>
      <c r="G30" s="30">
        <v>0.75</v>
      </c>
      <c r="H30" s="30">
        <v>3</v>
      </c>
      <c r="I30" s="30">
        <v>3</v>
      </c>
      <c r="J30" s="30">
        <v>0.75</v>
      </c>
      <c r="K30" s="30">
        <v>0.75</v>
      </c>
      <c r="L30" s="30">
        <v>0.75</v>
      </c>
      <c r="M30" s="30">
        <v>0.75</v>
      </c>
      <c r="N30" s="30">
        <v>0.75</v>
      </c>
      <c r="O30" s="30">
        <v>0.75</v>
      </c>
      <c r="P30" s="30">
        <v>0.75</v>
      </c>
      <c r="Q30" s="30">
        <v>0.75</v>
      </c>
      <c r="R30" s="30">
        <v>0.75</v>
      </c>
      <c r="S30" s="30">
        <f>AVERAGE(0.75,1/3)</f>
        <v>0.54166666666666663</v>
      </c>
      <c r="T30" s="82">
        <v>0</v>
      </c>
      <c r="U30" s="82">
        <v>0</v>
      </c>
      <c r="V30" s="30">
        <v>0.75</v>
      </c>
      <c r="W30" s="30">
        <v>0.75</v>
      </c>
      <c r="X30" s="30">
        <v>1</v>
      </c>
      <c r="Y30" s="30">
        <v>1</v>
      </c>
      <c r="Z30" s="82">
        <v>0</v>
      </c>
      <c r="AA30" s="30">
        <f>1/3</f>
        <v>0.33333333333333331</v>
      </c>
      <c r="AB30" s="82">
        <v>0</v>
      </c>
      <c r="AC30" s="82">
        <v>0</v>
      </c>
      <c r="AD30" s="82">
        <v>0</v>
      </c>
      <c r="AE30" s="82">
        <v>0</v>
      </c>
      <c r="AF30" s="82">
        <v>0</v>
      </c>
      <c r="AG30" s="92">
        <v>0.75</v>
      </c>
      <c r="AH30" s="30">
        <f>AVERAGE(1/3,0)</f>
        <v>0.16666666666666666</v>
      </c>
      <c r="AJ30" s="30">
        <v>0.75</v>
      </c>
      <c r="AK30" s="30">
        <v>0.75</v>
      </c>
    </row>
    <row r="31" spans="1:37" x14ac:dyDescent="0.25">
      <c r="B31" s="78" t="s">
        <v>616</v>
      </c>
      <c r="P31" s="78" t="s">
        <v>617</v>
      </c>
      <c r="AJ31" s="78" t="s">
        <v>618</v>
      </c>
      <c r="AK31" s="78" t="s">
        <v>619</v>
      </c>
    </row>
    <row r="32" spans="1:37" x14ac:dyDescent="0.25">
      <c r="A32" s="31" t="s">
        <v>183</v>
      </c>
    </row>
    <row r="33" spans="1:2" x14ac:dyDescent="0.25">
      <c r="A33" s="235" t="s">
        <v>620</v>
      </c>
      <c r="B33" s="96" t="s">
        <v>621</v>
      </c>
    </row>
    <row r="34" spans="1:2" x14ac:dyDescent="0.25">
      <c r="A34" s="235"/>
      <c r="B34" s="96" t="s">
        <v>622</v>
      </c>
    </row>
    <row r="35" spans="1:2" x14ac:dyDescent="0.25">
      <c r="A35" s="235"/>
      <c r="B35" s="96" t="s">
        <v>569</v>
      </c>
    </row>
    <row r="36" spans="1:2" x14ac:dyDescent="0.25">
      <c r="A36" s="235"/>
      <c r="B36" s="96" t="s">
        <v>567</v>
      </c>
    </row>
    <row r="37" spans="1:2" x14ac:dyDescent="0.25">
      <c r="A37" s="26" t="s">
        <v>623</v>
      </c>
      <c r="B37" s="56" t="s">
        <v>624</v>
      </c>
    </row>
    <row r="38" spans="1:2" x14ac:dyDescent="0.25">
      <c r="A38" s="26" t="s">
        <v>625</v>
      </c>
    </row>
  </sheetData>
  <mergeCells count="6">
    <mergeCell ref="F3:O3"/>
    <mergeCell ref="F4:O5"/>
    <mergeCell ref="A33:A36"/>
    <mergeCell ref="B3:D3"/>
    <mergeCell ref="B4:D4"/>
    <mergeCell ref="B5:D5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DAFF6-3211-4DBA-8DEB-4D9868FE9433}">
  <dimension ref="A1:AM36"/>
  <sheetViews>
    <sheetView topLeftCell="A5" workbookViewId="0">
      <selection activeCell="E22" sqref="E22"/>
    </sheetView>
  </sheetViews>
  <sheetFormatPr defaultColWidth="9.140625" defaultRowHeight="15" x14ac:dyDescent="0.25"/>
  <cols>
    <col min="1" max="1" width="23.28515625" style="26" bestFit="1" customWidth="1"/>
    <col min="2" max="51" width="5.7109375" style="26" customWidth="1"/>
    <col min="52" max="16384" width="9.140625" style="26"/>
  </cols>
  <sheetData>
    <row r="1" spans="1:39" x14ac:dyDescent="0.25">
      <c r="A1" s="25" t="s">
        <v>116</v>
      </c>
      <c r="D1" s="25" t="s">
        <v>117</v>
      </c>
      <c r="I1" s="25" t="s">
        <v>549</v>
      </c>
    </row>
    <row r="3" spans="1:39" ht="18" x14ac:dyDescent="0.25">
      <c r="A3" s="25" t="s">
        <v>119</v>
      </c>
      <c r="B3" s="215">
        <v>39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9" ht="18" x14ac:dyDescent="0.25">
      <c r="A4" s="25" t="s">
        <v>121</v>
      </c>
      <c r="B4" s="215" t="s">
        <v>626</v>
      </c>
      <c r="C4" s="215"/>
      <c r="D4" s="215"/>
      <c r="F4" s="216" t="s">
        <v>627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9" ht="18" x14ac:dyDescent="0.25">
      <c r="A5" s="25" t="s">
        <v>124</v>
      </c>
      <c r="B5" s="215" t="s">
        <v>628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9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63" t="s">
        <v>134</v>
      </c>
      <c r="K7" s="64" t="s">
        <v>135</v>
      </c>
      <c r="L7" s="64" t="s">
        <v>136</v>
      </c>
      <c r="M7" s="64" t="s">
        <v>137</v>
      </c>
      <c r="N7" s="65" t="s">
        <v>138</v>
      </c>
      <c r="O7" s="65" t="s">
        <v>139</v>
      </c>
      <c r="P7" s="67" t="s">
        <v>140</v>
      </c>
      <c r="Q7" s="67" t="s">
        <v>141</v>
      </c>
      <c r="R7" s="66" t="s">
        <v>142</v>
      </c>
      <c r="S7" s="68" t="s">
        <v>143</v>
      </c>
      <c r="T7" s="69" t="s">
        <v>144</v>
      </c>
      <c r="U7" s="69" t="s">
        <v>145</v>
      </c>
      <c r="V7" s="70" t="s">
        <v>146</v>
      </c>
      <c r="W7" s="70" t="s">
        <v>147</v>
      </c>
      <c r="X7" s="71" t="s">
        <v>148</v>
      </c>
      <c r="Y7" s="71" t="s">
        <v>149</v>
      </c>
      <c r="Z7" s="72" t="s">
        <v>150</v>
      </c>
      <c r="AA7" s="72" t="s">
        <v>151</v>
      </c>
      <c r="AB7" s="73" t="s">
        <v>152</v>
      </c>
      <c r="AC7" s="73" t="s">
        <v>153</v>
      </c>
      <c r="AD7" s="73" t="s">
        <v>154</v>
      </c>
      <c r="AE7" s="50" t="s">
        <v>155</v>
      </c>
      <c r="AF7" s="51" t="s">
        <v>156</v>
      </c>
      <c r="AG7" s="53" t="s">
        <v>157</v>
      </c>
      <c r="AH7" s="76" t="s">
        <v>158</v>
      </c>
      <c r="AJ7" s="71" t="s">
        <v>148</v>
      </c>
      <c r="AK7" s="71" t="s">
        <v>149</v>
      </c>
      <c r="AL7" s="76" t="s">
        <v>157</v>
      </c>
      <c r="AM7" s="76" t="s">
        <v>158</v>
      </c>
    </row>
    <row r="8" spans="1:39" ht="15.75" customHeight="1" x14ac:dyDescent="0.25">
      <c r="A8" s="26" t="s">
        <v>159</v>
      </c>
      <c r="B8" s="28" t="s">
        <v>629</v>
      </c>
      <c r="C8" s="83" t="s">
        <v>630</v>
      </c>
      <c r="D8" s="83" t="s">
        <v>630</v>
      </c>
      <c r="E8" s="89" t="s">
        <v>248</v>
      </c>
      <c r="F8" s="89" t="s">
        <v>248</v>
      </c>
      <c r="G8" s="89" t="s">
        <v>248</v>
      </c>
      <c r="H8" s="83" t="s">
        <v>248</v>
      </c>
      <c r="I8" s="171" t="s">
        <v>248</v>
      </c>
      <c r="J8" s="28" t="s">
        <v>630</v>
      </c>
      <c r="K8" s="28" t="s">
        <v>630</v>
      </c>
      <c r="L8" s="28" t="s">
        <v>630</v>
      </c>
      <c r="M8" s="28" t="s">
        <v>630</v>
      </c>
      <c r="N8" s="28" t="s">
        <v>631</v>
      </c>
      <c r="O8" s="28" t="s">
        <v>630</v>
      </c>
      <c r="P8" s="28" t="s">
        <v>631</v>
      </c>
      <c r="Q8" s="28" t="s">
        <v>631</v>
      </c>
      <c r="R8" s="28" t="s">
        <v>248</v>
      </c>
      <c r="S8" s="28" t="s">
        <v>631</v>
      </c>
      <c r="T8" s="28" t="s">
        <v>630</v>
      </c>
      <c r="U8" s="28" t="s">
        <v>630</v>
      </c>
      <c r="V8" s="28" t="s">
        <v>630</v>
      </c>
      <c r="W8" s="28" t="s">
        <v>248</v>
      </c>
      <c r="X8" s="28" t="s">
        <v>161</v>
      </c>
      <c r="Y8" s="28" t="s">
        <v>248</v>
      </c>
      <c r="Z8" s="28" t="s">
        <v>631</v>
      </c>
      <c r="AA8" s="28" t="s">
        <v>630</v>
      </c>
      <c r="AB8" s="28" t="s">
        <v>630</v>
      </c>
      <c r="AC8" s="28" t="s">
        <v>630</v>
      </c>
      <c r="AD8" s="28" t="s">
        <v>630</v>
      </c>
      <c r="AE8" s="28" t="s">
        <v>630</v>
      </c>
      <c r="AF8" s="28" t="s">
        <v>248</v>
      </c>
      <c r="AG8" s="28" t="s">
        <v>552</v>
      </c>
      <c r="AH8" s="28" t="s">
        <v>552</v>
      </c>
      <c r="AJ8" s="28" t="s">
        <v>248</v>
      </c>
      <c r="AK8" s="28" t="s">
        <v>248</v>
      </c>
      <c r="AL8" s="28" t="s">
        <v>248</v>
      </c>
      <c r="AM8" s="28" t="s">
        <v>248</v>
      </c>
    </row>
    <row r="9" spans="1:39" ht="15.75" customHeight="1" x14ac:dyDescent="0.25">
      <c r="A9" s="26" t="s">
        <v>165</v>
      </c>
      <c r="B9" s="29" t="s">
        <v>632</v>
      </c>
      <c r="C9" s="28" t="s">
        <v>254</v>
      </c>
      <c r="D9" s="28" t="s">
        <v>254</v>
      </c>
      <c r="E9" s="28" t="s">
        <v>254</v>
      </c>
      <c r="F9" s="28" t="s">
        <v>254</v>
      </c>
      <c r="G9" s="28" t="s">
        <v>254</v>
      </c>
      <c r="H9" s="28" t="s">
        <v>254</v>
      </c>
      <c r="I9" s="86" t="s">
        <v>254</v>
      </c>
      <c r="J9" s="28" t="s">
        <v>254</v>
      </c>
      <c r="K9" s="28" t="s">
        <v>254</v>
      </c>
      <c r="L9" s="28" t="s">
        <v>254</v>
      </c>
      <c r="M9" s="28" t="s">
        <v>254</v>
      </c>
      <c r="N9" s="28" t="s">
        <v>254</v>
      </c>
      <c r="O9" s="28" t="s">
        <v>254</v>
      </c>
      <c r="P9" s="28" t="s">
        <v>254</v>
      </c>
      <c r="Q9" s="28" t="s">
        <v>254</v>
      </c>
      <c r="R9" s="28" t="s">
        <v>254</v>
      </c>
      <c r="S9" s="28" t="s">
        <v>254</v>
      </c>
      <c r="T9" s="28" t="s">
        <v>254</v>
      </c>
      <c r="U9" s="28" t="s">
        <v>254</v>
      </c>
      <c r="V9" s="28" t="s">
        <v>254</v>
      </c>
      <c r="W9" s="28" t="s">
        <v>254</v>
      </c>
      <c r="X9" s="28" t="s">
        <v>161</v>
      </c>
      <c r="Y9" s="28" t="s">
        <v>254</v>
      </c>
      <c r="Z9" s="29" t="s">
        <v>632</v>
      </c>
      <c r="AA9" s="28" t="s">
        <v>254</v>
      </c>
      <c r="AB9" s="28" t="s">
        <v>254</v>
      </c>
      <c r="AC9" s="28" t="s">
        <v>254</v>
      </c>
      <c r="AD9" s="28" t="s">
        <v>254</v>
      </c>
      <c r="AE9" s="28" t="s">
        <v>254</v>
      </c>
      <c r="AF9" s="28" t="s">
        <v>254</v>
      </c>
      <c r="AG9" s="28" t="s">
        <v>552</v>
      </c>
      <c r="AH9" s="28" t="s">
        <v>552</v>
      </c>
      <c r="AJ9" s="28" t="s">
        <v>254</v>
      </c>
      <c r="AK9" s="28" t="s">
        <v>254</v>
      </c>
      <c r="AL9" s="28" t="s">
        <v>254</v>
      </c>
      <c r="AM9" s="28" t="s">
        <v>254</v>
      </c>
    </row>
    <row r="10" spans="1:39" x14ac:dyDescent="0.25">
      <c r="A10" s="131" t="s">
        <v>168</v>
      </c>
      <c r="B10" s="157">
        <v>15</v>
      </c>
      <c r="C10" s="157">
        <v>19</v>
      </c>
      <c r="D10" s="157">
        <v>19</v>
      </c>
      <c r="E10" s="157">
        <v>19</v>
      </c>
      <c r="F10" s="157">
        <v>19</v>
      </c>
      <c r="G10" s="157">
        <v>19</v>
      </c>
      <c r="H10" s="157">
        <v>19</v>
      </c>
      <c r="I10" s="161">
        <v>19</v>
      </c>
      <c r="J10" s="157">
        <v>19</v>
      </c>
      <c r="K10" s="157">
        <v>19</v>
      </c>
      <c r="L10" s="157">
        <v>19</v>
      </c>
      <c r="M10" s="157">
        <v>19</v>
      </c>
      <c r="N10" s="157">
        <v>19</v>
      </c>
      <c r="O10" s="157">
        <v>19</v>
      </c>
      <c r="P10" s="157">
        <v>19</v>
      </c>
      <c r="Q10" s="157">
        <v>19</v>
      </c>
      <c r="R10" s="157">
        <v>19</v>
      </c>
      <c r="S10" s="157">
        <v>19</v>
      </c>
      <c r="T10" s="157">
        <v>19</v>
      </c>
      <c r="U10" s="157">
        <v>19</v>
      </c>
      <c r="V10" s="157">
        <v>19</v>
      </c>
      <c r="W10" s="157">
        <v>19</v>
      </c>
      <c r="X10" s="157">
        <v>2</v>
      </c>
      <c r="Y10" s="157">
        <v>19</v>
      </c>
      <c r="Z10" s="157">
        <v>15</v>
      </c>
      <c r="AA10" s="157">
        <v>19</v>
      </c>
      <c r="AB10" s="157">
        <v>19</v>
      </c>
      <c r="AC10" s="157">
        <v>19</v>
      </c>
      <c r="AD10" s="157">
        <v>19</v>
      </c>
      <c r="AE10" s="157">
        <v>19</v>
      </c>
      <c r="AF10" s="157">
        <v>19</v>
      </c>
      <c r="AG10" s="157">
        <v>1</v>
      </c>
      <c r="AH10" s="157">
        <v>1</v>
      </c>
      <c r="AJ10" s="157">
        <v>19</v>
      </c>
      <c r="AK10" s="157">
        <v>19</v>
      </c>
      <c r="AL10" s="29">
        <v>19</v>
      </c>
      <c r="AM10" s="29">
        <v>19</v>
      </c>
    </row>
    <row r="11" spans="1:39" x14ac:dyDescent="0.25">
      <c r="A11" s="26" t="s">
        <v>169</v>
      </c>
      <c r="B11" s="29" t="s">
        <v>170</v>
      </c>
      <c r="C11" s="29" t="s">
        <v>170</v>
      </c>
      <c r="D11" s="29" t="s">
        <v>170</v>
      </c>
      <c r="E11" s="29" t="s">
        <v>170</v>
      </c>
      <c r="F11" s="29" t="s">
        <v>170</v>
      </c>
      <c r="G11" s="29" t="s">
        <v>170</v>
      </c>
      <c r="H11" s="29" t="s">
        <v>170</v>
      </c>
      <c r="I11" s="91" t="s">
        <v>170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28" t="s">
        <v>170</v>
      </c>
      <c r="O11" s="28" t="s">
        <v>170</v>
      </c>
      <c r="P11" s="28" t="s">
        <v>170</v>
      </c>
      <c r="Q11" s="28" t="s">
        <v>170</v>
      </c>
      <c r="R11" s="28" t="s">
        <v>170</v>
      </c>
      <c r="S11" s="28" t="s">
        <v>170</v>
      </c>
      <c r="T11" s="28" t="s">
        <v>170</v>
      </c>
      <c r="U11" s="28" t="s">
        <v>170</v>
      </c>
      <c r="V11" s="28" t="s">
        <v>170</v>
      </c>
      <c r="W11" s="28" t="s">
        <v>170</v>
      </c>
      <c r="X11" s="28" t="s">
        <v>170</v>
      </c>
      <c r="Y11" s="28" t="s">
        <v>170</v>
      </c>
      <c r="Z11" s="29" t="s">
        <v>170</v>
      </c>
      <c r="AA11" s="28" t="s">
        <v>170</v>
      </c>
      <c r="AB11" s="28" t="s">
        <v>170</v>
      </c>
      <c r="AC11" s="28" t="s">
        <v>170</v>
      </c>
      <c r="AD11" s="28" t="s">
        <v>170</v>
      </c>
      <c r="AE11" s="28" t="s">
        <v>170</v>
      </c>
      <c r="AF11" s="28" t="s">
        <v>170</v>
      </c>
      <c r="AG11" s="29" t="s">
        <v>170</v>
      </c>
      <c r="AH11" s="29" t="s">
        <v>170</v>
      </c>
      <c r="AJ11" s="28" t="s">
        <v>170</v>
      </c>
      <c r="AK11" s="28" t="s">
        <v>170</v>
      </c>
      <c r="AL11" s="29" t="s">
        <v>170</v>
      </c>
      <c r="AM11" s="29" t="s">
        <v>170</v>
      </c>
    </row>
    <row r="12" spans="1:39" x14ac:dyDescent="0.25">
      <c r="A12" s="26" t="s">
        <v>171</v>
      </c>
      <c r="B12" s="28" t="s">
        <v>173</v>
      </c>
      <c r="C12" s="28" t="s">
        <v>173</v>
      </c>
      <c r="D12" s="28" t="s">
        <v>173</v>
      </c>
      <c r="E12" s="28" t="s">
        <v>173</v>
      </c>
      <c r="F12" s="28" t="s">
        <v>173</v>
      </c>
      <c r="G12" s="28" t="s">
        <v>173</v>
      </c>
      <c r="H12" s="28" t="s">
        <v>173</v>
      </c>
      <c r="I12" s="86" t="s">
        <v>173</v>
      </c>
      <c r="J12" s="28" t="s">
        <v>173</v>
      </c>
      <c r="K12" s="28" t="s">
        <v>173</v>
      </c>
      <c r="L12" s="28" t="s">
        <v>173</v>
      </c>
      <c r="M12" s="28" t="s">
        <v>173</v>
      </c>
      <c r="N12" s="28" t="s">
        <v>173</v>
      </c>
      <c r="O12" s="28" t="s">
        <v>173</v>
      </c>
      <c r="P12" s="28" t="s">
        <v>173</v>
      </c>
      <c r="Q12" s="28" t="s">
        <v>173</v>
      </c>
      <c r="R12" s="28" t="s">
        <v>173</v>
      </c>
      <c r="S12" s="28" t="s">
        <v>173</v>
      </c>
      <c r="T12" s="28" t="s">
        <v>173</v>
      </c>
      <c r="U12" s="28" t="s">
        <v>173</v>
      </c>
      <c r="V12" s="28" t="s">
        <v>173</v>
      </c>
      <c r="W12" s="28" t="s">
        <v>173</v>
      </c>
      <c r="X12" s="28" t="s">
        <v>170</v>
      </c>
      <c r="Y12" s="28" t="s">
        <v>173</v>
      </c>
      <c r="Z12" s="28" t="s">
        <v>173</v>
      </c>
      <c r="AA12" s="28" t="s">
        <v>173</v>
      </c>
      <c r="AB12" s="28" t="s">
        <v>173</v>
      </c>
      <c r="AC12" s="28" t="s">
        <v>173</v>
      </c>
      <c r="AD12" s="28" t="s">
        <v>173</v>
      </c>
      <c r="AE12" s="28" t="s">
        <v>173</v>
      </c>
      <c r="AF12" s="28" t="s">
        <v>173</v>
      </c>
      <c r="AG12" s="28" t="s">
        <v>173</v>
      </c>
      <c r="AH12" s="28" t="s">
        <v>173</v>
      </c>
      <c r="AJ12" s="28" t="s">
        <v>173</v>
      </c>
      <c r="AK12" s="28" t="s">
        <v>173</v>
      </c>
      <c r="AL12" s="28" t="s">
        <v>173</v>
      </c>
      <c r="AM12" s="28" t="s">
        <v>173</v>
      </c>
    </row>
    <row r="13" spans="1:39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86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 t="s">
        <v>173</v>
      </c>
      <c r="S13" s="28" t="s">
        <v>173</v>
      </c>
      <c r="T13" s="28" t="s">
        <v>173</v>
      </c>
      <c r="U13" s="28" t="s">
        <v>173</v>
      </c>
      <c r="V13" s="28" t="s">
        <v>173</v>
      </c>
      <c r="W13" s="28" t="s">
        <v>173</v>
      </c>
      <c r="X13" s="28" t="s">
        <v>173</v>
      </c>
      <c r="Y13" s="28" t="s">
        <v>173</v>
      </c>
      <c r="Z13" s="28" t="s">
        <v>173</v>
      </c>
      <c r="AA13" s="28" t="s">
        <v>173</v>
      </c>
      <c r="AB13" s="28" t="s">
        <v>173</v>
      </c>
      <c r="AC13" s="28" t="s">
        <v>173</v>
      </c>
      <c r="AD13" s="28" t="s">
        <v>173</v>
      </c>
      <c r="AE13" s="28" t="s">
        <v>173</v>
      </c>
      <c r="AF13" s="28" t="s">
        <v>173</v>
      </c>
      <c r="AG13" s="28" t="s">
        <v>173</v>
      </c>
      <c r="AH13" s="28" t="s">
        <v>173</v>
      </c>
      <c r="AJ13" s="87" t="s">
        <v>173</v>
      </c>
      <c r="AK13" s="87" t="s">
        <v>173</v>
      </c>
      <c r="AL13" s="28" t="s">
        <v>173</v>
      </c>
      <c r="AM13" s="28" t="s">
        <v>173</v>
      </c>
    </row>
    <row r="14" spans="1:39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86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 t="s">
        <v>173</v>
      </c>
      <c r="V14" s="28" t="s">
        <v>173</v>
      </c>
      <c r="W14" s="28" t="s">
        <v>173</v>
      </c>
      <c r="X14" s="28" t="s">
        <v>173</v>
      </c>
      <c r="Y14" s="28" t="s">
        <v>173</v>
      </c>
      <c r="Z14" s="28" t="s">
        <v>173</v>
      </c>
      <c r="AA14" s="28" t="s">
        <v>173</v>
      </c>
      <c r="AB14" s="28" t="s">
        <v>173</v>
      </c>
      <c r="AC14" s="28" t="s">
        <v>173</v>
      </c>
      <c r="AD14" s="28" t="s">
        <v>173</v>
      </c>
      <c r="AE14" s="28" t="s">
        <v>173</v>
      </c>
      <c r="AF14" s="28" t="s">
        <v>173</v>
      </c>
      <c r="AG14" s="28" t="s">
        <v>173</v>
      </c>
      <c r="AH14" s="28" t="s">
        <v>173</v>
      </c>
      <c r="AJ14" s="28" t="s">
        <v>173</v>
      </c>
      <c r="AK14" s="28" t="s">
        <v>173</v>
      </c>
      <c r="AL14" s="83" t="s">
        <v>173</v>
      </c>
      <c r="AM14" s="83" t="s">
        <v>173</v>
      </c>
    </row>
    <row r="15" spans="1:39" x14ac:dyDescent="0.25">
      <c r="A15" s="26" t="s">
        <v>175</v>
      </c>
      <c r="B15" s="28" t="s">
        <v>405</v>
      </c>
      <c r="C15" s="28" t="s">
        <v>267</v>
      </c>
      <c r="D15" s="28" t="s">
        <v>267</v>
      </c>
      <c r="E15" s="28" t="s">
        <v>267</v>
      </c>
      <c r="F15" s="28" t="s">
        <v>267</v>
      </c>
      <c r="G15" s="28" t="s">
        <v>267</v>
      </c>
      <c r="H15" s="28" t="s">
        <v>267</v>
      </c>
      <c r="I15" s="86" t="s">
        <v>267</v>
      </c>
      <c r="J15" s="28" t="s">
        <v>267</v>
      </c>
      <c r="K15" s="28" t="s">
        <v>267</v>
      </c>
      <c r="L15" s="28" t="s">
        <v>267</v>
      </c>
      <c r="M15" s="28" t="s">
        <v>267</v>
      </c>
      <c r="N15" s="28" t="s">
        <v>267</v>
      </c>
      <c r="O15" s="28" t="s">
        <v>267</v>
      </c>
      <c r="P15" s="28" t="s">
        <v>267</v>
      </c>
      <c r="Q15" s="28" t="s">
        <v>267</v>
      </c>
      <c r="R15" s="28" t="s">
        <v>267</v>
      </c>
      <c r="S15" s="28" t="s">
        <v>267</v>
      </c>
      <c r="T15" s="28" t="s">
        <v>267</v>
      </c>
      <c r="U15" s="28" t="s">
        <v>267</v>
      </c>
      <c r="V15" s="28" t="s">
        <v>267</v>
      </c>
      <c r="W15" s="28" t="s">
        <v>267</v>
      </c>
      <c r="X15" s="28" t="s">
        <v>160</v>
      </c>
      <c r="Y15" s="28" t="s">
        <v>267</v>
      </c>
      <c r="Z15" s="28" t="s">
        <v>405</v>
      </c>
      <c r="AA15" s="28" t="s">
        <v>267</v>
      </c>
      <c r="AB15" s="28" t="s">
        <v>267</v>
      </c>
      <c r="AC15" s="28" t="s">
        <v>267</v>
      </c>
      <c r="AD15" s="28" t="s">
        <v>267</v>
      </c>
      <c r="AE15" s="28" t="s">
        <v>267</v>
      </c>
      <c r="AF15" s="28" t="s">
        <v>267</v>
      </c>
      <c r="AG15" s="28" t="s">
        <v>160</v>
      </c>
      <c r="AH15" s="28" t="s">
        <v>160</v>
      </c>
      <c r="AJ15" s="28" t="s">
        <v>267</v>
      </c>
      <c r="AK15" s="28" t="s">
        <v>267</v>
      </c>
      <c r="AL15" s="83" t="s">
        <v>267</v>
      </c>
      <c r="AM15" s="83" t="s">
        <v>267</v>
      </c>
    </row>
    <row r="16" spans="1:39" x14ac:dyDescent="0.25">
      <c r="A16" s="26" t="s">
        <v>176</v>
      </c>
      <c r="B16" s="30">
        <v>-1</v>
      </c>
      <c r="C16" s="30">
        <v>-3</v>
      </c>
      <c r="D16" s="30">
        <v>-3</v>
      </c>
      <c r="E16" s="30">
        <v>-3</v>
      </c>
      <c r="F16" s="30">
        <v>-3</v>
      </c>
      <c r="G16" s="30">
        <v>-3</v>
      </c>
      <c r="H16" s="30">
        <v>-3</v>
      </c>
      <c r="I16" s="92">
        <v>-3</v>
      </c>
      <c r="J16" s="30">
        <v>-3</v>
      </c>
      <c r="K16" s="30">
        <v>-3</v>
      </c>
      <c r="L16" s="30">
        <v>-3</v>
      </c>
      <c r="M16" s="30">
        <v>-3</v>
      </c>
      <c r="N16" s="30">
        <v>-3</v>
      </c>
      <c r="O16" s="30">
        <v>-3</v>
      </c>
      <c r="P16" s="30">
        <v>-3</v>
      </c>
      <c r="Q16" s="30">
        <v>-3</v>
      </c>
      <c r="R16" s="30">
        <v>-3</v>
      </c>
      <c r="S16" s="30">
        <v>-3</v>
      </c>
      <c r="T16" s="30">
        <v>-3</v>
      </c>
      <c r="U16" s="30">
        <v>-3</v>
      </c>
      <c r="V16" s="30">
        <v>-3</v>
      </c>
      <c r="W16" s="30">
        <v>-3</v>
      </c>
      <c r="X16" s="30">
        <v>3</v>
      </c>
      <c r="Y16" s="30">
        <v>-3</v>
      </c>
      <c r="Z16" s="30">
        <v>-1</v>
      </c>
      <c r="AA16" s="30">
        <v>-3</v>
      </c>
      <c r="AB16" s="30">
        <v>-3</v>
      </c>
      <c r="AC16" s="30">
        <v>-3</v>
      </c>
      <c r="AD16" s="30">
        <v>-3</v>
      </c>
      <c r="AE16" s="30">
        <v>-3</v>
      </c>
      <c r="AF16" s="30">
        <v>-3</v>
      </c>
      <c r="AG16" s="30">
        <v>3</v>
      </c>
      <c r="AH16" s="30">
        <v>3</v>
      </c>
      <c r="AJ16" s="30">
        <v>-3</v>
      </c>
      <c r="AK16" s="30">
        <v>-3</v>
      </c>
      <c r="AL16" s="88">
        <v>-3</v>
      </c>
      <c r="AM16" s="88">
        <v>-3</v>
      </c>
    </row>
    <row r="17" spans="1:39" x14ac:dyDescent="0.25">
      <c r="A17" s="26" t="s">
        <v>177</v>
      </c>
      <c r="B17" s="28" t="s">
        <v>178</v>
      </c>
      <c r="C17" s="28" t="s">
        <v>178</v>
      </c>
      <c r="D17" s="28" t="s">
        <v>178</v>
      </c>
      <c r="E17" s="28" t="s">
        <v>178</v>
      </c>
      <c r="F17" s="28" t="s">
        <v>178</v>
      </c>
      <c r="G17" s="28" t="s">
        <v>178</v>
      </c>
      <c r="H17" s="28" t="s">
        <v>178</v>
      </c>
      <c r="I17" s="86" t="s">
        <v>178</v>
      </c>
      <c r="J17" s="28" t="s">
        <v>178</v>
      </c>
      <c r="K17" s="28" t="s">
        <v>178</v>
      </c>
      <c r="L17" s="28" t="s">
        <v>178</v>
      </c>
      <c r="M17" s="28" t="s">
        <v>178</v>
      </c>
      <c r="N17" s="28" t="s">
        <v>178</v>
      </c>
      <c r="O17" s="28" t="s">
        <v>178</v>
      </c>
      <c r="P17" s="28" t="s">
        <v>178</v>
      </c>
      <c r="Q17" s="28" t="s">
        <v>178</v>
      </c>
      <c r="R17" s="28" t="s">
        <v>178</v>
      </c>
      <c r="S17" s="28" t="s">
        <v>178</v>
      </c>
      <c r="T17" s="28" t="s">
        <v>178</v>
      </c>
      <c r="U17" s="28" t="s">
        <v>178</v>
      </c>
      <c r="V17" s="28" t="s">
        <v>178</v>
      </c>
      <c r="W17" s="28" t="s">
        <v>178</v>
      </c>
      <c r="X17" s="28" t="s">
        <v>178</v>
      </c>
      <c r="Y17" s="28" t="s">
        <v>178</v>
      </c>
      <c r="Z17" s="28" t="s">
        <v>178</v>
      </c>
      <c r="AA17" s="28" t="s">
        <v>178</v>
      </c>
      <c r="AB17" s="28" t="s">
        <v>178</v>
      </c>
      <c r="AC17" s="28" t="s">
        <v>178</v>
      </c>
      <c r="AD17" s="28" t="s">
        <v>178</v>
      </c>
      <c r="AE17" s="28" t="s">
        <v>178</v>
      </c>
      <c r="AF17" s="28" t="s">
        <v>178</v>
      </c>
      <c r="AG17" s="28" t="s">
        <v>178</v>
      </c>
      <c r="AH17" s="28" t="s">
        <v>178</v>
      </c>
      <c r="AJ17" s="28" t="s">
        <v>178</v>
      </c>
      <c r="AK17" s="28" t="s">
        <v>178</v>
      </c>
      <c r="AL17" s="83" t="s">
        <v>178</v>
      </c>
      <c r="AM17" s="83" t="s">
        <v>178</v>
      </c>
    </row>
    <row r="18" spans="1:39" x14ac:dyDescent="0.25">
      <c r="A18" s="26" t="s">
        <v>182</v>
      </c>
      <c r="B18" s="30">
        <v>4</v>
      </c>
      <c r="C18" s="30">
        <v>4</v>
      </c>
      <c r="D18" s="30">
        <v>4</v>
      </c>
      <c r="E18" s="30">
        <v>4</v>
      </c>
      <c r="F18" s="30">
        <v>4</v>
      </c>
      <c r="G18" s="30">
        <v>4</v>
      </c>
      <c r="H18" s="30">
        <v>4</v>
      </c>
      <c r="I18" s="92">
        <v>4</v>
      </c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30">
        <v>4</v>
      </c>
      <c r="S18" s="30">
        <v>4</v>
      </c>
      <c r="T18" s="30">
        <v>4</v>
      </c>
      <c r="U18" s="30">
        <v>4</v>
      </c>
      <c r="V18" s="30">
        <v>4</v>
      </c>
      <c r="W18" s="30">
        <v>4</v>
      </c>
      <c r="X18" s="30">
        <v>4</v>
      </c>
      <c r="Y18" s="30">
        <v>4</v>
      </c>
      <c r="Z18" s="30">
        <v>4</v>
      </c>
      <c r="AA18" s="30">
        <v>4</v>
      </c>
      <c r="AB18" s="30">
        <v>4</v>
      </c>
      <c r="AC18" s="30">
        <v>4</v>
      </c>
      <c r="AD18" s="30">
        <v>4</v>
      </c>
      <c r="AE18" s="30">
        <v>4</v>
      </c>
      <c r="AF18" s="30">
        <v>4</v>
      </c>
      <c r="AG18" s="30">
        <v>4</v>
      </c>
      <c r="AH18" s="30">
        <v>4</v>
      </c>
      <c r="AJ18" s="30">
        <v>4</v>
      </c>
      <c r="AK18" s="30">
        <v>4</v>
      </c>
      <c r="AL18" s="88">
        <v>4</v>
      </c>
      <c r="AM18" s="88">
        <v>4</v>
      </c>
    </row>
    <row r="20" spans="1:39" x14ac:dyDescent="0.25">
      <c r="A20" s="26" t="s">
        <v>159</v>
      </c>
      <c r="B20" s="199"/>
      <c r="C20" s="28" t="s">
        <v>531</v>
      </c>
      <c r="D20" s="28" t="s">
        <v>531</v>
      </c>
      <c r="E20" s="28" t="s">
        <v>532</v>
      </c>
      <c r="F20" s="28" t="s">
        <v>531</v>
      </c>
      <c r="G20" s="28" t="s">
        <v>531</v>
      </c>
      <c r="H20" s="28" t="s">
        <v>531</v>
      </c>
      <c r="I20" s="28" t="s">
        <v>531</v>
      </c>
      <c r="J20" s="28" t="s">
        <v>531</v>
      </c>
      <c r="K20" s="28" t="s">
        <v>531</v>
      </c>
      <c r="L20" s="86" t="s">
        <v>531</v>
      </c>
      <c r="M20" s="28" t="s">
        <v>531</v>
      </c>
      <c r="N20" s="80" t="s">
        <v>341</v>
      </c>
      <c r="O20" s="28" t="s">
        <v>531</v>
      </c>
      <c r="P20" s="80" t="s">
        <v>341</v>
      </c>
      <c r="Q20" s="80" t="s">
        <v>341</v>
      </c>
      <c r="R20" s="28" t="s">
        <v>403</v>
      </c>
      <c r="S20" s="80" t="s">
        <v>341</v>
      </c>
      <c r="T20" s="28" t="s">
        <v>531</v>
      </c>
      <c r="U20" s="28" t="s">
        <v>531</v>
      </c>
      <c r="V20" s="28" t="s">
        <v>531</v>
      </c>
      <c r="W20" s="28" t="s">
        <v>531</v>
      </c>
      <c r="X20" s="80" t="s">
        <v>341</v>
      </c>
      <c r="Y20" s="28" t="s">
        <v>531</v>
      </c>
      <c r="Z20" s="80" t="s">
        <v>341</v>
      </c>
      <c r="AA20" s="28" t="s">
        <v>531</v>
      </c>
      <c r="AB20" s="28" t="s">
        <v>531</v>
      </c>
      <c r="AC20" s="28" t="s">
        <v>531</v>
      </c>
      <c r="AD20" s="28" t="s">
        <v>531</v>
      </c>
      <c r="AE20" s="28" t="s">
        <v>531</v>
      </c>
      <c r="AF20" s="28" t="s">
        <v>531</v>
      </c>
      <c r="AG20" s="80" t="s">
        <v>341</v>
      </c>
      <c r="AH20" s="80" t="s">
        <v>341</v>
      </c>
      <c r="AJ20" s="80" t="s">
        <v>341</v>
      </c>
      <c r="AK20" s="80" t="s">
        <v>341</v>
      </c>
      <c r="AL20" s="80" t="s">
        <v>341</v>
      </c>
      <c r="AM20" s="80" t="s">
        <v>341</v>
      </c>
    </row>
    <row r="21" spans="1:39" x14ac:dyDescent="0.25">
      <c r="A21" s="26" t="s">
        <v>165</v>
      </c>
      <c r="B21" s="200"/>
      <c r="C21" s="28" t="s">
        <v>403</v>
      </c>
      <c r="D21" s="28" t="s">
        <v>403</v>
      </c>
      <c r="E21" s="105" t="s">
        <v>534</v>
      </c>
      <c r="F21" s="28" t="s">
        <v>403</v>
      </c>
      <c r="G21" s="28" t="s">
        <v>403</v>
      </c>
      <c r="H21" s="28" t="s">
        <v>403</v>
      </c>
      <c r="I21" s="28" t="s">
        <v>403</v>
      </c>
      <c r="J21" s="28" t="s">
        <v>403</v>
      </c>
      <c r="K21" s="28" t="s">
        <v>403</v>
      </c>
      <c r="L21" s="86" t="s">
        <v>403</v>
      </c>
      <c r="M21" s="28" t="s">
        <v>403</v>
      </c>
      <c r="N21" s="81" t="s">
        <v>341</v>
      </c>
      <c r="O21" s="28" t="s">
        <v>403</v>
      </c>
      <c r="P21" s="81" t="s">
        <v>341</v>
      </c>
      <c r="Q21" s="81" t="s">
        <v>341</v>
      </c>
      <c r="R21" s="103" t="s">
        <v>534</v>
      </c>
      <c r="S21" s="81" t="s">
        <v>341</v>
      </c>
      <c r="T21" s="28" t="s">
        <v>403</v>
      </c>
      <c r="U21" s="28" t="s">
        <v>403</v>
      </c>
      <c r="V21" s="28" t="s">
        <v>403</v>
      </c>
      <c r="W21" s="28" t="s">
        <v>403</v>
      </c>
      <c r="X21" s="81" t="s">
        <v>341</v>
      </c>
      <c r="Y21" s="28" t="s">
        <v>403</v>
      </c>
      <c r="Z21" s="81" t="s">
        <v>341</v>
      </c>
      <c r="AA21" s="28" t="s">
        <v>403</v>
      </c>
      <c r="AB21" s="28" t="s">
        <v>403</v>
      </c>
      <c r="AC21" s="28" t="s">
        <v>403</v>
      </c>
      <c r="AD21" s="28" t="s">
        <v>403</v>
      </c>
      <c r="AE21" s="28" t="s">
        <v>403</v>
      </c>
      <c r="AF21" s="28" t="s">
        <v>403</v>
      </c>
      <c r="AG21" s="81" t="s">
        <v>341</v>
      </c>
      <c r="AH21" s="81" t="s">
        <v>341</v>
      </c>
      <c r="AJ21" s="81" t="s">
        <v>341</v>
      </c>
      <c r="AK21" s="81" t="s">
        <v>341</v>
      </c>
      <c r="AL21" s="81" t="s">
        <v>341</v>
      </c>
      <c r="AM21" s="81" t="s">
        <v>341</v>
      </c>
    </row>
    <row r="22" spans="1:39" x14ac:dyDescent="0.25">
      <c r="A22" s="131" t="s">
        <v>168</v>
      </c>
      <c r="B22" s="200"/>
      <c r="C22" s="157">
        <v>97</v>
      </c>
      <c r="D22" s="157">
        <v>97</v>
      </c>
      <c r="E22" s="157">
        <v>134</v>
      </c>
      <c r="F22" s="157">
        <v>97</v>
      </c>
      <c r="G22" s="157">
        <v>97</v>
      </c>
      <c r="H22" s="157">
        <v>97</v>
      </c>
      <c r="I22" s="157">
        <v>97</v>
      </c>
      <c r="J22" s="157">
        <v>97</v>
      </c>
      <c r="K22" s="157">
        <v>97</v>
      </c>
      <c r="L22" s="161">
        <v>97</v>
      </c>
      <c r="M22" s="157">
        <v>97</v>
      </c>
      <c r="N22" s="198"/>
      <c r="O22" s="157">
        <v>97</v>
      </c>
      <c r="P22" s="198"/>
      <c r="Q22" s="198"/>
      <c r="R22" s="157">
        <v>134</v>
      </c>
      <c r="S22" s="198"/>
      <c r="T22" s="157">
        <v>97</v>
      </c>
      <c r="U22" s="157">
        <v>97</v>
      </c>
      <c r="V22" s="157">
        <v>97</v>
      </c>
      <c r="W22" s="157">
        <v>97</v>
      </c>
      <c r="X22" s="198"/>
      <c r="Y22" s="157">
        <v>97</v>
      </c>
      <c r="Z22" s="198"/>
      <c r="AA22" s="157">
        <v>97</v>
      </c>
      <c r="AB22" s="157">
        <v>97</v>
      </c>
      <c r="AC22" s="157">
        <v>97</v>
      </c>
      <c r="AD22" s="157">
        <v>97</v>
      </c>
      <c r="AE22" s="157">
        <v>97</v>
      </c>
      <c r="AF22" s="157">
        <v>97</v>
      </c>
      <c r="AG22" s="198"/>
      <c r="AH22" s="198"/>
      <c r="AJ22" s="198"/>
      <c r="AK22" s="198"/>
      <c r="AL22" s="198"/>
      <c r="AM22" s="198"/>
    </row>
    <row r="23" spans="1:39" x14ac:dyDescent="0.25">
      <c r="A23" s="26" t="s">
        <v>169</v>
      </c>
      <c r="B23" s="199"/>
      <c r="C23" s="28" t="s">
        <v>170</v>
      </c>
      <c r="D23" s="28" t="s">
        <v>170</v>
      </c>
      <c r="E23" s="28" t="s">
        <v>266</v>
      </c>
      <c r="F23" s="28" t="s">
        <v>170</v>
      </c>
      <c r="G23" s="28" t="s">
        <v>170</v>
      </c>
      <c r="H23" s="28" t="s">
        <v>170</v>
      </c>
      <c r="I23" s="28" t="s">
        <v>170</v>
      </c>
      <c r="J23" s="28" t="s">
        <v>170</v>
      </c>
      <c r="K23" s="28" t="s">
        <v>170</v>
      </c>
      <c r="L23" s="86" t="s">
        <v>170</v>
      </c>
      <c r="M23" s="28" t="s">
        <v>170</v>
      </c>
      <c r="N23" s="80" t="s">
        <v>173</v>
      </c>
      <c r="O23" s="28" t="s">
        <v>170</v>
      </c>
      <c r="P23" s="80" t="s">
        <v>173</v>
      </c>
      <c r="Q23" s="80" t="s">
        <v>173</v>
      </c>
      <c r="R23" s="28" t="s">
        <v>266</v>
      </c>
      <c r="S23" s="80" t="s">
        <v>173</v>
      </c>
      <c r="T23" s="28" t="s">
        <v>170</v>
      </c>
      <c r="U23" s="28" t="s">
        <v>170</v>
      </c>
      <c r="V23" s="28" t="s">
        <v>170</v>
      </c>
      <c r="W23" s="28" t="s">
        <v>170</v>
      </c>
      <c r="X23" s="80" t="s">
        <v>173</v>
      </c>
      <c r="Y23" s="28" t="s">
        <v>170</v>
      </c>
      <c r="Z23" s="80" t="s">
        <v>173</v>
      </c>
      <c r="AA23" s="28" t="s">
        <v>170</v>
      </c>
      <c r="AB23" s="28" t="s">
        <v>170</v>
      </c>
      <c r="AC23" s="28" t="s">
        <v>170</v>
      </c>
      <c r="AD23" s="28" t="s">
        <v>170</v>
      </c>
      <c r="AE23" s="28" t="s">
        <v>170</v>
      </c>
      <c r="AF23" s="28" t="s">
        <v>170</v>
      </c>
      <c r="AG23" s="80" t="s">
        <v>173</v>
      </c>
      <c r="AH23" s="80" t="s">
        <v>173</v>
      </c>
      <c r="AJ23" s="80" t="s">
        <v>173</v>
      </c>
      <c r="AK23" s="80" t="s">
        <v>173</v>
      </c>
      <c r="AL23" s="80" t="s">
        <v>173</v>
      </c>
      <c r="AM23" s="80" t="s">
        <v>173</v>
      </c>
    </row>
    <row r="24" spans="1:39" x14ac:dyDescent="0.25">
      <c r="A24" s="26" t="s">
        <v>171</v>
      </c>
      <c r="B24" s="199"/>
      <c r="C24" s="28" t="s">
        <v>170</v>
      </c>
      <c r="D24" s="28" t="s">
        <v>170</v>
      </c>
      <c r="E24" s="28" t="s">
        <v>266</v>
      </c>
      <c r="F24" s="28" t="s">
        <v>170</v>
      </c>
      <c r="G24" s="28" t="s">
        <v>170</v>
      </c>
      <c r="H24" s="28" t="s">
        <v>170</v>
      </c>
      <c r="I24" s="28" t="s">
        <v>170</v>
      </c>
      <c r="J24" s="28" t="s">
        <v>170</v>
      </c>
      <c r="K24" s="28" t="s">
        <v>170</v>
      </c>
      <c r="L24" s="86" t="s">
        <v>170</v>
      </c>
      <c r="M24" s="28" t="s">
        <v>170</v>
      </c>
      <c r="N24" s="80" t="s">
        <v>173</v>
      </c>
      <c r="O24" s="28" t="s">
        <v>170</v>
      </c>
      <c r="P24" s="80" t="s">
        <v>173</v>
      </c>
      <c r="Q24" s="80" t="s">
        <v>173</v>
      </c>
      <c r="R24" s="28" t="s">
        <v>266</v>
      </c>
      <c r="S24" s="80" t="s">
        <v>173</v>
      </c>
      <c r="T24" s="28" t="s">
        <v>170</v>
      </c>
      <c r="U24" s="28" t="s">
        <v>170</v>
      </c>
      <c r="V24" s="28" t="s">
        <v>170</v>
      </c>
      <c r="W24" s="28" t="s">
        <v>170</v>
      </c>
      <c r="X24" s="80" t="s">
        <v>173</v>
      </c>
      <c r="Y24" s="28" t="s">
        <v>170</v>
      </c>
      <c r="Z24" s="80" t="s">
        <v>173</v>
      </c>
      <c r="AA24" s="28" t="s">
        <v>170</v>
      </c>
      <c r="AB24" s="28" t="s">
        <v>170</v>
      </c>
      <c r="AC24" s="28" t="s">
        <v>170</v>
      </c>
      <c r="AD24" s="28" t="s">
        <v>170</v>
      </c>
      <c r="AE24" s="28" t="s">
        <v>170</v>
      </c>
      <c r="AF24" s="28" t="s">
        <v>170</v>
      </c>
      <c r="AG24" s="80" t="s">
        <v>173</v>
      </c>
      <c r="AH24" s="80" t="s">
        <v>173</v>
      </c>
      <c r="AJ24" s="80" t="s">
        <v>173</v>
      </c>
      <c r="AK24" s="80" t="s">
        <v>173</v>
      </c>
      <c r="AL24" s="80" t="s">
        <v>173</v>
      </c>
      <c r="AM24" s="80" t="s">
        <v>173</v>
      </c>
    </row>
    <row r="25" spans="1:39" x14ac:dyDescent="0.25">
      <c r="A25" s="26" t="s">
        <v>172</v>
      </c>
      <c r="B25" s="199"/>
      <c r="C25" s="28" t="s">
        <v>173</v>
      </c>
      <c r="D25" s="28" t="s">
        <v>173</v>
      </c>
      <c r="E25" s="28" t="s">
        <v>173</v>
      </c>
      <c r="F25" s="28" t="s">
        <v>173</v>
      </c>
      <c r="G25" s="28" t="s">
        <v>173</v>
      </c>
      <c r="H25" s="28" t="s">
        <v>173</v>
      </c>
      <c r="I25" s="28" t="s">
        <v>173</v>
      </c>
      <c r="J25" s="28" t="s">
        <v>173</v>
      </c>
      <c r="K25" s="28" t="s">
        <v>173</v>
      </c>
      <c r="L25" s="86" t="s">
        <v>173</v>
      </c>
      <c r="M25" s="28" t="s">
        <v>173</v>
      </c>
      <c r="N25" s="80" t="s">
        <v>173</v>
      </c>
      <c r="O25" s="28" t="s">
        <v>173</v>
      </c>
      <c r="P25" s="80" t="s">
        <v>173</v>
      </c>
      <c r="Q25" s="80" t="s">
        <v>173</v>
      </c>
      <c r="R25" s="28" t="s">
        <v>173</v>
      </c>
      <c r="S25" s="80" t="s">
        <v>173</v>
      </c>
      <c r="T25" s="28" t="s">
        <v>173</v>
      </c>
      <c r="U25" s="28" t="s">
        <v>173</v>
      </c>
      <c r="V25" s="28" t="s">
        <v>173</v>
      </c>
      <c r="W25" s="28" t="s">
        <v>173</v>
      </c>
      <c r="X25" s="80" t="s">
        <v>173</v>
      </c>
      <c r="Y25" s="28" t="s">
        <v>173</v>
      </c>
      <c r="Z25" s="80" t="s">
        <v>173</v>
      </c>
      <c r="AA25" s="28" t="s">
        <v>173</v>
      </c>
      <c r="AB25" s="28" t="s">
        <v>173</v>
      </c>
      <c r="AC25" s="28" t="s">
        <v>173</v>
      </c>
      <c r="AD25" s="28" t="s">
        <v>173</v>
      </c>
      <c r="AE25" s="28" t="s">
        <v>173</v>
      </c>
      <c r="AF25" s="28" t="s">
        <v>173</v>
      </c>
      <c r="AG25" s="80" t="s">
        <v>173</v>
      </c>
      <c r="AH25" s="80" t="s">
        <v>173</v>
      </c>
      <c r="AJ25" s="80" t="s">
        <v>173</v>
      </c>
      <c r="AK25" s="80" t="s">
        <v>173</v>
      </c>
      <c r="AL25" s="80" t="s">
        <v>173</v>
      </c>
      <c r="AM25" s="80" t="s">
        <v>173</v>
      </c>
    </row>
    <row r="26" spans="1:39" x14ac:dyDescent="0.25">
      <c r="A26" s="26" t="s">
        <v>174</v>
      </c>
      <c r="B26" s="199"/>
      <c r="C26" s="28" t="s">
        <v>173</v>
      </c>
      <c r="D26" s="28" t="s">
        <v>173</v>
      </c>
      <c r="E26" s="28" t="s">
        <v>173</v>
      </c>
      <c r="F26" s="28" t="s">
        <v>173</v>
      </c>
      <c r="G26" s="28" t="s">
        <v>173</v>
      </c>
      <c r="H26" s="28" t="s">
        <v>173</v>
      </c>
      <c r="I26" s="28" t="s">
        <v>173</v>
      </c>
      <c r="J26" s="28" t="s">
        <v>173</v>
      </c>
      <c r="K26" s="28" t="s">
        <v>173</v>
      </c>
      <c r="L26" s="86" t="s">
        <v>173</v>
      </c>
      <c r="M26" s="28" t="s">
        <v>173</v>
      </c>
      <c r="N26" s="80" t="s">
        <v>173</v>
      </c>
      <c r="O26" s="28" t="s">
        <v>173</v>
      </c>
      <c r="P26" s="80" t="s">
        <v>173</v>
      </c>
      <c r="Q26" s="80" t="s">
        <v>173</v>
      </c>
      <c r="R26" s="28" t="s">
        <v>173</v>
      </c>
      <c r="S26" s="80" t="s">
        <v>173</v>
      </c>
      <c r="T26" s="28" t="s">
        <v>173</v>
      </c>
      <c r="U26" s="28" t="s">
        <v>173</v>
      </c>
      <c r="V26" s="28" t="s">
        <v>173</v>
      </c>
      <c r="W26" s="28" t="s">
        <v>173</v>
      </c>
      <c r="X26" s="80" t="s">
        <v>173</v>
      </c>
      <c r="Y26" s="28" t="s">
        <v>173</v>
      </c>
      <c r="Z26" s="80" t="s">
        <v>173</v>
      </c>
      <c r="AA26" s="28" t="s">
        <v>173</v>
      </c>
      <c r="AB26" s="28" t="s">
        <v>173</v>
      </c>
      <c r="AC26" s="28" t="s">
        <v>173</v>
      </c>
      <c r="AD26" s="28" t="s">
        <v>173</v>
      </c>
      <c r="AE26" s="28" t="s">
        <v>173</v>
      </c>
      <c r="AF26" s="28" t="s">
        <v>173</v>
      </c>
      <c r="AG26" s="80" t="s">
        <v>173</v>
      </c>
      <c r="AH26" s="80" t="s">
        <v>173</v>
      </c>
      <c r="AJ26" s="80" t="s">
        <v>173</v>
      </c>
      <c r="AK26" s="80" t="s">
        <v>173</v>
      </c>
      <c r="AL26" s="80" t="s">
        <v>173</v>
      </c>
      <c r="AM26" s="80" t="s">
        <v>173</v>
      </c>
    </row>
    <row r="27" spans="1:39" x14ac:dyDescent="0.25">
      <c r="A27" s="26" t="s">
        <v>175</v>
      </c>
      <c r="B27" s="199"/>
      <c r="C27" s="28" t="s">
        <v>405</v>
      </c>
      <c r="D27" s="28" t="s">
        <v>405</v>
      </c>
      <c r="E27" s="28" t="s">
        <v>405</v>
      </c>
      <c r="F27" s="28" t="s">
        <v>405</v>
      </c>
      <c r="G27" s="28" t="s">
        <v>405</v>
      </c>
      <c r="H27" s="28" t="s">
        <v>405</v>
      </c>
      <c r="I27" s="28" t="s">
        <v>405</v>
      </c>
      <c r="J27" s="28" t="s">
        <v>405</v>
      </c>
      <c r="K27" s="28" t="s">
        <v>405</v>
      </c>
      <c r="L27" s="86" t="s">
        <v>405</v>
      </c>
      <c r="M27" s="28" t="s">
        <v>405</v>
      </c>
      <c r="N27" s="80" t="s">
        <v>405</v>
      </c>
      <c r="O27" s="28" t="s">
        <v>405</v>
      </c>
      <c r="P27" s="80" t="s">
        <v>405</v>
      </c>
      <c r="Q27" s="80" t="s">
        <v>405</v>
      </c>
      <c r="R27" s="28" t="s">
        <v>405</v>
      </c>
      <c r="S27" s="80" t="s">
        <v>405</v>
      </c>
      <c r="T27" s="28" t="s">
        <v>405</v>
      </c>
      <c r="U27" s="28" t="s">
        <v>405</v>
      </c>
      <c r="V27" s="28" t="s">
        <v>405</v>
      </c>
      <c r="W27" s="28" t="s">
        <v>405</v>
      </c>
      <c r="X27" s="80" t="s">
        <v>405</v>
      </c>
      <c r="Y27" s="28" t="s">
        <v>405</v>
      </c>
      <c r="Z27" s="80" t="s">
        <v>405</v>
      </c>
      <c r="AA27" s="28" t="s">
        <v>405</v>
      </c>
      <c r="AB27" s="28" t="s">
        <v>405</v>
      </c>
      <c r="AC27" s="28" t="s">
        <v>405</v>
      </c>
      <c r="AD27" s="28" t="s">
        <v>405</v>
      </c>
      <c r="AE27" s="28" t="s">
        <v>405</v>
      </c>
      <c r="AF27" s="28" t="s">
        <v>405</v>
      </c>
      <c r="AG27" s="80" t="s">
        <v>405</v>
      </c>
      <c r="AH27" s="80" t="s">
        <v>405</v>
      </c>
      <c r="AJ27" s="80" t="s">
        <v>405</v>
      </c>
      <c r="AK27" s="80" t="s">
        <v>405</v>
      </c>
      <c r="AL27" s="80" t="s">
        <v>405</v>
      </c>
      <c r="AM27" s="80" t="s">
        <v>405</v>
      </c>
    </row>
    <row r="28" spans="1:39" x14ac:dyDescent="0.25">
      <c r="A28" s="26" t="s">
        <v>176</v>
      </c>
      <c r="B28" s="201"/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92">
        <v>0</v>
      </c>
      <c r="M28" s="30">
        <v>0</v>
      </c>
      <c r="N28" s="82">
        <v>0</v>
      </c>
      <c r="O28" s="30">
        <v>0</v>
      </c>
      <c r="P28" s="82">
        <v>0</v>
      </c>
      <c r="Q28" s="82">
        <v>0</v>
      </c>
      <c r="R28" s="30">
        <v>0</v>
      </c>
      <c r="S28" s="82">
        <v>0</v>
      </c>
      <c r="T28" s="30">
        <v>0</v>
      </c>
      <c r="U28" s="30">
        <v>0</v>
      </c>
      <c r="V28" s="30">
        <v>0</v>
      </c>
      <c r="W28" s="30">
        <v>0</v>
      </c>
      <c r="X28" s="82">
        <v>0</v>
      </c>
      <c r="Y28" s="30">
        <v>0</v>
      </c>
      <c r="Z28" s="82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82">
        <v>0</v>
      </c>
      <c r="AH28" s="82">
        <v>0</v>
      </c>
      <c r="AJ28" s="82">
        <v>0</v>
      </c>
      <c r="AK28" s="82">
        <v>0</v>
      </c>
      <c r="AL28" s="82">
        <v>0</v>
      </c>
      <c r="AM28" s="82">
        <v>0</v>
      </c>
    </row>
    <row r="29" spans="1:39" x14ac:dyDescent="0.25">
      <c r="A29" s="26" t="s">
        <v>177</v>
      </c>
      <c r="B29" s="199"/>
      <c r="C29" s="28" t="s">
        <v>334</v>
      </c>
      <c r="D29" s="28" t="s">
        <v>334</v>
      </c>
      <c r="E29" s="103" t="s">
        <v>537</v>
      </c>
      <c r="F29" s="28" t="s">
        <v>334</v>
      </c>
      <c r="G29" s="28" t="s">
        <v>334</v>
      </c>
      <c r="H29" s="28" t="s">
        <v>334</v>
      </c>
      <c r="I29" s="28" t="s">
        <v>334</v>
      </c>
      <c r="J29" s="28" t="s">
        <v>334</v>
      </c>
      <c r="K29" s="28" t="s">
        <v>334</v>
      </c>
      <c r="L29" s="86" t="s">
        <v>334</v>
      </c>
      <c r="M29" s="28" t="s">
        <v>334</v>
      </c>
      <c r="N29" s="80" t="s">
        <v>341</v>
      </c>
      <c r="O29" s="28" t="s">
        <v>334</v>
      </c>
      <c r="P29" s="80" t="s">
        <v>341</v>
      </c>
      <c r="Q29" s="80" t="s">
        <v>341</v>
      </c>
      <c r="R29" s="103" t="s">
        <v>537</v>
      </c>
      <c r="S29" s="80" t="s">
        <v>341</v>
      </c>
      <c r="T29" s="28" t="s">
        <v>334</v>
      </c>
      <c r="U29" s="28" t="s">
        <v>334</v>
      </c>
      <c r="V29" s="28" t="s">
        <v>334</v>
      </c>
      <c r="W29" s="28" t="s">
        <v>334</v>
      </c>
      <c r="X29" s="80" t="s">
        <v>341</v>
      </c>
      <c r="Y29" s="28" t="s">
        <v>334</v>
      </c>
      <c r="Z29" s="80" t="s">
        <v>341</v>
      </c>
      <c r="AA29" s="28" t="s">
        <v>334</v>
      </c>
      <c r="AB29" s="28" t="s">
        <v>334</v>
      </c>
      <c r="AC29" s="28" t="s">
        <v>334</v>
      </c>
      <c r="AD29" s="28" t="s">
        <v>334</v>
      </c>
      <c r="AE29" s="28" t="s">
        <v>334</v>
      </c>
      <c r="AF29" s="28" t="s">
        <v>334</v>
      </c>
      <c r="AG29" s="80" t="s">
        <v>341</v>
      </c>
      <c r="AH29" s="80" t="s">
        <v>341</v>
      </c>
      <c r="AJ29" s="80" t="s">
        <v>341</v>
      </c>
      <c r="AK29" s="80" t="s">
        <v>341</v>
      </c>
      <c r="AL29" s="80" t="s">
        <v>341</v>
      </c>
      <c r="AM29" s="80" t="s">
        <v>341</v>
      </c>
    </row>
    <row r="30" spans="1:39" x14ac:dyDescent="0.25">
      <c r="A30" s="26" t="s">
        <v>182</v>
      </c>
      <c r="B30" s="201"/>
      <c r="C30" s="30">
        <f>1/3</f>
        <v>0.33333333333333331</v>
      </c>
      <c r="D30" s="30">
        <f>1/3</f>
        <v>0.33333333333333331</v>
      </c>
      <c r="E30" s="30">
        <f>AVERAGE(1/3,0)</f>
        <v>0.16666666666666666</v>
      </c>
      <c r="F30" s="30">
        <f t="shared" ref="F30:M30" si="0">1/3</f>
        <v>0.33333333333333331</v>
      </c>
      <c r="G30" s="30">
        <f t="shared" si="0"/>
        <v>0.33333333333333331</v>
      </c>
      <c r="H30" s="30">
        <f t="shared" si="0"/>
        <v>0.33333333333333331</v>
      </c>
      <c r="I30" s="30">
        <f t="shared" si="0"/>
        <v>0.33333333333333331</v>
      </c>
      <c r="J30" s="30">
        <f t="shared" si="0"/>
        <v>0.33333333333333331</v>
      </c>
      <c r="K30" s="30">
        <f t="shared" si="0"/>
        <v>0.33333333333333331</v>
      </c>
      <c r="L30" s="30">
        <f t="shared" si="0"/>
        <v>0.33333333333333331</v>
      </c>
      <c r="M30" s="30">
        <f t="shared" si="0"/>
        <v>0.33333333333333331</v>
      </c>
      <c r="N30" s="82">
        <v>0</v>
      </c>
      <c r="O30" s="30">
        <f>1/3</f>
        <v>0.33333333333333331</v>
      </c>
      <c r="P30" s="82">
        <v>0</v>
      </c>
      <c r="Q30" s="82">
        <v>0</v>
      </c>
      <c r="R30" s="30">
        <f>AVERAGE(1/3,0)</f>
        <v>0.16666666666666666</v>
      </c>
      <c r="S30" s="82">
        <v>0</v>
      </c>
      <c r="T30" s="30">
        <f>1/3</f>
        <v>0.33333333333333331</v>
      </c>
      <c r="U30" s="30">
        <f>1/3</f>
        <v>0.33333333333333331</v>
      </c>
      <c r="V30" s="30">
        <f>1/3</f>
        <v>0.33333333333333331</v>
      </c>
      <c r="W30" s="30">
        <f>1/3</f>
        <v>0.33333333333333331</v>
      </c>
      <c r="X30" s="82">
        <v>0</v>
      </c>
      <c r="Y30" s="30">
        <f>1/3</f>
        <v>0.33333333333333331</v>
      </c>
      <c r="Z30" s="82">
        <v>0</v>
      </c>
      <c r="AA30" s="30">
        <f t="shared" ref="AA30:AF30" si="1">1/3</f>
        <v>0.33333333333333331</v>
      </c>
      <c r="AB30" s="30">
        <f t="shared" si="1"/>
        <v>0.33333333333333331</v>
      </c>
      <c r="AC30" s="30">
        <f t="shared" si="1"/>
        <v>0.33333333333333331</v>
      </c>
      <c r="AD30" s="30">
        <f t="shared" si="1"/>
        <v>0.33333333333333331</v>
      </c>
      <c r="AE30" s="30">
        <f t="shared" si="1"/>
        <v>0.33333333333333331</v>
      </c>
      <c r="AF30" s="30">
        <f t="shared" si="1"/>
        <v>0.33333333333333331</v>
      </c>
      <c r="AG30" s="82">
        <v>0</v>
      </c>
      <c r="AH30" s="82">
        <v>0</v>
      </c>
      <c r="AJ30" s="82">
        <v>0</v>
      </c>
      <c r="AK30" s="82">
        <v>0</v>
      </c>
      <c r="AL30" s="82">
        <v>0</v>
      </c>
      <c r="AM30" s="82">
        <v>0</v>
      </c>
    </row>
    <row r="31" spans="1:39" ht="15.75" customHeight="1" x14ac:dyDescent="0.25">
      <c r="X31" s="227" t="s">
        <v>633</v>
      </c>
      <c r="Y31" s="227"/>
      <c r="AH31" s="78" t="s">
        <v>633</v>
      </c>
      <c r="AJ31" s="223" t="s">
        <v>634</v>
      </c>
      <c r="AK31" s="223"/>
      <c r="AL31" s="223"/>
      <c r="AM31" s="223"/>
    </row>
    <row r="32" spans="1:39" x14ac:dyDescent="0.25">
      <c r="A32" s="31" t="s">
        <v>183</v>
      </c>
    </row>
    <row r="33" spans="1:2" x14ac:dyDescent="0.25">
      <c r="A33" s="224" t="s">
        <v>635</v>
      </c>
      <c r="B33" s="93" t="s">
        <v>636</v>
      </c>
    </row>
    <row r="34" spans="1:2" x14ac:dyDescent="0.25">
      <c r="A34" s="224"/>
      <c r="B34" s="93" t="s">
        <v>637</v>
      </c>
    </row>
    <row r="35" spans="1:2" x14ac:dyDescent="0.25">
      <c r="A35" s="224"/>
      <c r="B35" s="93" t="s">
        <v>638</v>
      </c>
    </row>
    <row r="36" spans="1:2" ht="30" x14ac:dyDescent="0.25">
      <c r="A36" s="97" t="s">
        <v>639</v>
      </c>
      <c r="B36" s="93" t="s">
        <v>640</v>
      </c>
    </row>
  </sheetData>
  <mergeCells count="8">
    <mergeCell ref="AJ31:AM31"/>
    <mergeCell ref="X31:Y31"/>
    <mergeCell ref="F3:O3"/>
    <mergeCell ref="F4:O5"/>
    <mergeCell ref="A33:A35"/>
    <mergeCell ref="B3:D3"/>
    <mergeCell ref="B4:D4"/>
    <mergeCell ref="B5:D5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5D92C-2A54-445A-BF7E-CDB7BDE86B31}">
  <dimension ref="A1:AN38"/>
  <sheetViews>
    <sheetView topLeftCell="L5" workbookViewId="0">
      <selection activeCell="V22" sqref="V22"/>
    </sheetView>
  </sheetViews>
  <sheetFormatPr defaultColWidth="9.140625" defaultRowHeight="15" x14ac:dyDescent="0.25"/>
  <cols>
    <col min="1" max="1" width="23.28515625" style="26" bestFit="1" customWidth="1"/>
    <col min="2" max="52" width="5.7109375" style="26" customWidth="1"/>
    <col min="53" max="16384" width="9.140625" style="26"/>
  </cols>
  <sheetData>
    <row r="1" spans="1:40" x14ac:dyDescent="0.25">
      <c r="A1" s="25" t="s">
        <v>116</v>
      </c>
      <c r="D1" s="25" t="s">
        <v>117</v>
      </c>
      <c r="I1" s="25" t="s">
        <v>549</v>
      </c>
    </row>
    <row r="3" spans="1:40" ht="18" x14ac:dyDescent="0.25">
      <c r="A3" s="25" t="s">
        <v>119</v>
      </c>
      <c r="B3" s="215">
        <v>40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40" ht="18" x14ac:dyDescent="0.25">
      <c r="A4" s="25" t="s">
        <v>121</v>
      </c>
      <c r="B4" s="215" t="s">
        <v>626</v>
      </c>
      <c r="C4" s="215"/>
      <c r="D4" s="215"/>
      <c r="F4" s="216" t="s">
        <v>641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40" ht="18" x14ac:dyDescent="0.25">
      <c r="A5" s="25" t="s">
        <v>124</v>
      </c>
      <c r="B5" s="215" t="s">
        <v>642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40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76" t="s">
        <v>158</v>
      </c>
      <c r="AJ7" s="64" t="s">
        <v>135</v>
      </c>
      <c r="AK7" s="64" t="s">
        <v>136</v>
      </c>
      <c r="AL7" s="64" t="s">
        <v>137</v>
      </c>
      <c r="AM7" s="41" t="s">
        <v>142</v>
      </c>
      <c r="AN7" s="46" t="s">
        <v>147</v>
      </c>
    </row>
    <row r="8" spans="1:40" ht="15.75" customHeight="1" x14ac:dyDescent="0.25">
      <c r="A8" s="26" t="s">
        <v>159</v>
      </c>
      <c r="B8" s="28" t="s">
        <v>629</v>
      </c>
      <c r="C8" s="83" t="s">
        <v>248</v>
      </c>
      <c r="D8" s="83" t="s">
        <v>248</v>
      </c>
      <c r="E8" s="83" t="s">
        <v>248</v>
      </c>
      <c r="F8" s="83" t="s">
        <v>248</v>
      </c>
      <c r="G8" s="83" t="s">
        <v>248</v>
      </c>
      <c r="H8" s="83" t="s">
        <v>248</v>
      </c>
      <c r="I8" s="83" t="s">
        <v>248</v>
      </c>
      <c r="J8" s="83" t="s">
        <v>248</v>
      </c>
      <c r="K8" s="83" t="s">
        <v>248</v>
      </c>
      <c r="L8" s="83" t="s">
        <v>248</v>
      </c>
      <c r="M8" s="83" t="s">
        <v>248</v>
      </c>
      <c r="N8" s="83" t="s">
        <v>248</v>
      </c>
      <c r="O8" s="83" t="s">
        <v>248</v>
      </c>
      <c r="P8" s="83" t="s">
        <v>631</v>
      </c>
      <c r="Q8" s="83" t="s">
        <v>631</v>
      </c>
      <c r="R8" s="83" t="s">
        <v>248</v>
      </c>
      <c r="S8" s="83" t="s">
        <v>631</v>
      </c>
      <c r="T8" s="83" t="s">
        <v>630</v>
      </c>
      <c r="U8" s="83" t="s">
        <v>630</v>
      </c>
      <c r="V8" s="83" t="s">
        <v>630</v>
      </c>
      <c r="W8" s="83" t="s">
        <v>248</v>
      </c>
      <c r="X8" s="28" t="s">
        <v>161</v>
      </c>
      <c r="Y8" s="83" t="s">
        <v>248</v>
      </c>
      <c r="Z8" s="28" t="s">
        <v>631</v>
      </c>
      <c r="AA8" s="28" t="s">
        <v>630</v>
      </c>
      <c r="AB8" s="28" t="s">
        <v>630</v>
      </c>
      <c r="AC8" s="28" t="s">
        <v>630</v>
      </c>
      <c r="AD8" s="28" t="s">
        <v>630</v>
      </c>
      <c r="AE8" s="28" t="s">
        <v>630</v>
      </c>
      <c r="AF8" s="28" t="s">
        <v>248</v>
      </c>
      <c r="AG8" s="28" t="s">
        <v>552</v>
      </c>
      <c r="AH8" s="28" t="s">
        <v>552</v>
      </c>
      <c r="AJ8" s="28" t="s">
        <v>630</v>
      </c>
      <c r="AK8" s="83" t="s">
        <v>630</v>
      </c>
      <c r="AL8" s="83" t="s">
        <v>630</v>
      </c>
      <c r="AM8" s="28" t="s">
        <v>248</v>
      </c>
      <c r="AN8" s="83" t="s">
        <v>248</v>
      </c>
    </row>
    <row r="9" spans="1:40" x14ac:dyDescent="0.25">
      <c r="A9" s="26" t="s">
        <v>165</v>
      </c>
      <c r="B9" s="29" t="s">
        <v>632</v>
      </c>
      <c r="C9" s="28" t="s">
        <v>254</v>
      </c>
      <c r="D9" s="28" t="s">
        <v>254</v>
      </c>
      <c r="E9" s="28" t="s">
        <v>254</v>
      </c>
      <c r="F9" s="28" t="s">
        <v>254</v>
      </c>
      <c r="G9" s="28" t="s">
        <v>254</v>
      </c>
      <c r="H9" s="28" t="s">
        <v>254</v>
      </c>
      <c r="I9" s="28" t="s">
        <v>254</v>
      </c>
      <c r="J9" s="28" t="s">
        <v>254</v>
      </c>
      <c r="K9" s="28" t="s">
        <v>254</v>
      </c>
      <c r="L9" s="28" t="s">
        <v>254</v>
      </c>
      <c r="M9" s="28" t="s">
        <v>254</v>
      </c>
      <c r="N9" s="28" t="s">
        <v>254</v>
      </c>
      <c r="O9" s="28" t="s">
        <v>254</v>
      </c>
      <c r="P9" s="28" t="s">
        <v>254</v>
      </c>
      <c r="Q9" s="28" t="s">
        <v>254</v>
      </c>
      <c r="R9" s="28" t="s">
        <v>254</v>
      </c>
      <c r="S9" s="28" t="s">
        <v>254</v>
      </c>
      <c r="T9" s="28" t="s">
        <v>254</v>
      </c>
      <c r="U9" s="28" t="s">
        <v>254</v>
      </c>
      <c r="V9" s="28" t="s">
        <v>254</v>
      </c>
      <c r="W9" s="28" t="s">
        <v>254</v>
      </c>
      <c r="X9" s="28" t="s">
        <v>161</v>
      </c>
      <c r="Y9" s="28" t="s">
        <v>254</v>
      </c>
      <c r="Z9" s="29" t="s">
        <v>632</v>
      </c>
      <c r="AA9" s="28" t="s">
        <v>254</v>
      </c>
      <c r="AB9" s="28" t="s">
        <v>254</v>
      </c>
      <c r="AC9" s="28" t="s">
        <v>254</v>
      </c>
      <c r="AD9" s="28" t="s">
        <v>254</v>
      </c>
      <c r="AE9" s="28" t="s">
        <v>254</v>
      </c>
      <c r="AF9" s="28" t="s">
        <v>254</v>
      </c>
      <c r="AG9" s="28" t="s">
        <v>552</v>
      </c>
      <c r="AH9" s="28" t="s">
        <v>552</v>
      </c>
      <c r="AJ9" s="29" t="s">
        <v>254</v>
      </c>
      <c r="AK9" s="28" t="s">
        <v>254</v>
      </c>
      <c r="AL9" s="28" t="s">
        <v>254</v>
      </c>
      <c r="AM9" s="28" t="s">
        <v>254</v>
      </c>
      <c r="AN9" s="28" t="s">
        <v>254</v>
      </c>
    </row>
    <row r="10" spans="1:40" x14ac:dyDescent="0.25">
      <c r="A10" s="131" t="s">
        <v>168</v>
      </c>
      <c r="B10" s="157">
        <v>15</v>
      </c>
      <c r="C10" s="157">
        <v>19</v>
      </c>
      <c r="D10" s="157">
        <v>19</v>
      </c>
      <c r="E10" s="157">
        <v>19</v>
      </c>
      <c r="F10" s="157">
        <v>19</v>
      </c>
      <c r="G10" s="157">
        <v>19</v>
      </c>
      <c r="H10" s="157">
        <v>19</v>
      </c>
      <c r="I10" s="157">
        <v>19</v>
      </c>
      <c r="J10" s="157">
        <v>19</v>
      </c>
      <c r="K10" s="157">
        <v>19</v>
      </c>
      <c r="L10" s="157">
        <v>19</v>
      </c>
      <c r="M10" s="157">
        <v>19</v>
      </c>
      <c r="N10" s="157">
        <v>19</v>
      </c>
      <c r="O10" s="157">
        <v>19</v>
      </c>
      <c r="P10" s="157">
        <v>19</v>
      </c>
      <c r="Q10" s="157">
        <v>19</v>
      </c>
      <c r="R10" s="157">
        <v>19</v>
      </c>
      <c r="S10" s="157">
        <v>19</v>
      </c>
      <c r="T10" s="157">
        <v>19</v>
      </c>
      <c r="U10" s="157">
        <v>19</v>
      </c>
      <c r="V10" s="157">
        <v>19</v>
      </c>
      <c r="W10" s="157">
        <v>19</v>
      </c>
      <c r="X10" s="157">
        <v>2</v>
      </c>
      <c r="Y10" s="157">
        <v>19</v>
      </c>
      <c r="Z10" s="157">
        <v>15</v>
      </c>
      <c r="AA10" s="157">
        <v>19</v>
      </c>
      <c r="AB10" s="157">
        <v>19</v>
      </c>
      <c r="AC10" s="157">
        <v>19</v>
      </c>
      <c r="AD10" s="157">
        <v>19</v>
      </c>
      <c r="AE10" s="157">
        <v>19</v>
      </c>
      <c r="AF10" s="157">
        <v>19</v>
      </c>
      <c r="AG10" s="157">
        <v>1</v>
      </c>
      <c r="AH10" s="157">
        <v>1</v>
      </c>
      <c r="AJ10" s="157">
        <v>19</v>
      </c>
      <c r="AK10" s="157">
        <v>19</v>
      </c>
      <c r="AL10" s="157">
        <v>19</v>
      </c>
      <c r="AM10" s="157">
        <v>19</v>
      </c>
      <c r="AN10" s="157">
        <v>19</v>
      </c>
    </row>
    <row r="11" spans="1:40" x14ac:dyDescent="0.25">
      <c r="A11" s="26" t="s">
        <v>169</v>
      </c>
      <c r="B11" s="29" t="s">
        <v>170</v>
      </c>
      <c r="C11" s="29" t="s">
        <v>170</v>
      </c>
      <c r="D11" s="29" t="s">
        <v>170</v>
      </c>
      <c r="E11" s="29" t="s">
        <v>170</v>
      </c>
      <c r="F11" s="29" t="s">
        <v>170</v>
      </c>
      <c r="G11" s="29" t="s">
        <v>170</v>
      </c>
      <c r="H11" s="29" t="s">
        <v>170</v>
      </c>
      <c r="I11" s="29" t="s">
        <v>170</v>
      </c>
      <c r="J11" s="29" t="s">
        <v>170</v>
      </c>
      <c r="K11" s="29" t="s">
        <v>170</v>
      </c>
      <c r="L11" s="29" t="s">
        <v>170</v>
      </c>
      <c r="M11" s="29" t="s">
        <v>170</v>
      </c>
      <c r="N11" s="29" t="s">
        <v>170</v>
      </c>
      <c r="O11" s="29" t="s">
        <v>170</v>
      </c>
      <c r="P11" s="29" t="s">
        <v>170</v>
      </c>
      <c r="Q11" s="29" t="s">
        <v>170</v>
      </c>
      <c r="R11" s="29" t="s">
        <v>170</v>
      </c>
      <c r="S11" s="29" t="s">
        <v>170</v>
      </c>
      <c r="T11" s="29" t="s">
        <v>170</v>
      </c>
      <c r="U11" s="29" t="s">
        <v>170</v>
      </c>
      <c r="V11" s="29" t="s">
        <v>170</v>
      </c>
      <c r="W11" s="29" t="s">
        <v>170</v>
      </c>
      <c r="X11" s="29" t="s">
        <v>170</v>
      </c>
      <c r="Y11" s="29" t="s">
        <v>170</v>
      </c>
      <c r="Z11" s="29" t="s">
        <v>170</v>
      </c>
      <c r="AA11" s="29" t="s">
        <v>170</v>
      </c>
      <c r="AB11" s="29" t="s">
        <v>170</v>
      </c>
      <c r="AC11" s="29" t="s">
        <v>170</v>
      </c>
      <c r="AD11" s="29" t="s">
        <v>170</v>
      </c>
      <c r="AE11" s="29" t="s">
        <v>170</v>
      </c>
      <c r="AF11" s="29" t="s">
        <v>170</v>
      </c>
      <c r="AG11" s="29" t="s">
        <v>170</v>
      </c>
      <c r="AH11" s="29" t="s">
        <v>170</v>
      </c>
      <c r="AJ11" s="29" t="s">
        <v>170</v>
      </c>
      <c r="AK11" s="29" t="s">
        <v>170</v>
      </c>
      <c r="AL11" s="29" t="s">
        <v>170</v>
      </c>
      <c r="AM11" s="29" t="s">
        <v>170</v>
      </c>
      <c r="AN11" s="29" t="s">
        <v>170</v>
      </c>
    </row>
    <row r="12" spans="1:40" x14ac:dyDescent="0.25">
      <c r="A12" s="26" t="s">
        <v>171</v>
      </c>
      <c r="B12" s="28" t="s">
        <v>173</v>
      </c>
      <c r="C12" s="28" t="s">
        <v>173</v>
      </c>
      <c r="D12" s="28" t="s">
        <v>173</v>
      </c>
      <c r="E12" s="28" t="s">
        <v>173</v>
      </c>
      <c r="F12" s="28" t="s">
        <v>173</v>
      </c>
      <c r="G12" s="28" t="s">
        <v>173</v>
      </c>
      <c r="H12" s="28" t="s">
        <v>173</v>
      </c>
      <c r="I12" s="28" t="s">
        <v>173</v>
      </c>
      <c r="J12" s="28" t="s">
        <v>173</v>
      </c>
      <c r="K12" s="28" t="s">
        <v>173</v>
      </c>
      <c r="L12" s="28" t="s">
        <v>173</v>
      </c>
      <c r="M12" s="28" t="s">
        <v>173</v>
      </c>
      <c r="N12" s="28" t="s">
        <v>173</v>
      </c>
      <c r="O12" s="28" t="s">
        <v>173</v>
      </c>
      <c r="P12" s="28" t="s">
        <v>173</v>
      </c>
      <c r="Q12" s="28" t="s">
        <v>173</v>
      </c>
      <c r="R12" s="28" t="s">
        <v>173</v>
      </c>
      <c r="S12" s="28" t="s">
        <v>173</v>
      </c>
      <c r="T12" s="28" t="s">
        <v>173</v>
      </c>
      <c r="U12" s="28" t="s">
        <v>173</v>
      </c>
      <c r="V12" s="28" t="s">
        <v>173</v>
      </c>
      <c r="W12" s="28" t="s">
        <v>173</v>
      </c>
      <c r="X12" s="29" t="s">
        <v>170</v>
      </c>
      <c r="Y12" s="28" t="s">
        <v>173</v>
      </c>
      <c r="Z12" s="28" t="s">
        <v>173</v>
      </c>
      <c r="AA12" s="28" t="s">
        <v>173</v>
      </c>
      <c r="AB12" s="28" t="s">
        <v>173</v>
      </c>
      <c r="AC12" s="28" t="s">
        <v>173</v>
      </c>
      <c r="AD12" s="28" t="s">
        <v>173</v>
      </c>
      <c r="AE12" s="28" t="s">
        <v>173</v>
      </c>
      <c r="AF12" s="28" t="s">
        <v>173</v>
      </c>
      <c r="AG12" s="28" t="s">
        <v>173</v>
      </c>
      <c r="AH12" s="28" t="s">
        <v>173</v>
      </c>
      <c r="AJ12" s="28" t="s">
        <v>173</v>
      </c>
      <c r="AK12" s="28" t="s">
        <v>173</v>
      </c>
      <c r="AL12" s="28" t="s">
        <v>173</v>
      </c>
      <c r="AM12" s="28" t="s">
        <v>173</v>
      </c>
      <c r="AN12" s="28" t="s">
        <v>173</v>
      </c>
    </row>
    <row r="13" spans="1:40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 t="s">
        <v>173</v>
      </c>
      <c r="S13" s="28" t="s">
        <v>173</v>
      </c>
      <c r="T13" s="28" t="s">
        <v>173</v>
      </c>
      <c r="U13" s="28" t="s">
        <v>173</v>
      </c>
      <c r="V13" s="28" t="s">
        <v>173</v>
      </c>
      <c r="W13" s="28" t="s">
        <v>173</v>
      </c>
      <c r="X13" s="28" t="s">
        <v>173</v>
      </c>
      <c r="Y13" s="28" t="s">
        <v>173</v>
      </c>
      <c r="Z13" s="28" t="s">
        <v>173</v>
      </c>
      <c r="AA13" s="28" t="s">
        <v>173</v>
      </c>
      <c r="AB13" s="28" t="s">
        <v>173</v>
      </c>
      <c r="AC13" s="28" t="s">
        <v>173</v>
      </c>
      <c r="AD13" s="28" t="s">
        <v>173</v>
      </c>
      <c r="AE13" s="28" t="s">
        <v>173</v>
      </c>
      <c r="AF13" s="28" t="s">
        <v>173</v>
      </c>
      <c r="AG13" s="28" t="s">
        <v>173</v>
      </c>
      <c r="AH13" s="28" t="s">
        <v>173</v>
      </c>
      <c r="AJ13" s="28" t="s">
        <v>173</v>
      </c>
      <c r="AK13" s="28" t="s">
        <v>173</v>
      </c>
      <c r="AL13" s="28" t="s">
        <v>173</v>
      </c>
      <c r="AM13" s="28" t="s">
        <v>173</v>
      </c>
      <c r="AN13" s="28" t="s">
        <v>173</v>
      </c>
    </row>
    <row r="14" spans="1:40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 t="s">
        <v>173</v>
      </c>
      <c r="V14" s="28" t="s">
        <v>173</v>
      </c>
      <c r="W14" s="28" t="s">
        <v>173</v>
      </c>
      <c r="X14" s="28" t="s">
        <v>173</v>
      </c>
      <c r="Y14" s="28" t="s">
        <v>173</v>
      </c>
      <c r="Z14" s="28" t="s">
        <v>173</v>
      </c>
      <c r="AA14" s="28" t="s">
        <v>173</v>
      </c>
      <c r="AB14" s="28" t="s">
        <v>173</v>
      </c>
      <c r="AC14" s="28" t="s">
        <v>173</v>
      </c>
      <c r="AD14" s="28" t="s">
        <v>173</v>
      </c>
      <c r="AE14" s="28" t="s">
        <v>173</v>
      </c>
      <c r="AF14" s="28" t="s">
        <v>173</v>
      </c>
      <c r="AG14" s="28" t="s">
        <v>173</v>
      </c>
      <c r="AH14" s="28" t="s">
        <v>173</v>
      </c>
      <c r="AJ14" s="28" t="s">
        <v>173</v>
      </c>
      <c r="AK14" s="28" t="s">
        <v>173</v>
      </c>
      <c r="AL14" s="28" t="s">
        <v>173</v>
      </c>
      <c r="AM14" s="28" t="s">
        <v>173</v>
      </c>
      <c r="AN14" s="28" t="s">
        <v>173</v>
      </c>
    </row>
    <row r="15" spans="1:40" x14ac:dyDescent="0.25">
      <c r="A15" s="26" t="s">
        <v>175</v>
      </c>
      <c r="B15" s="28" t="s">
        <v>405</v>
      </c>
      <c r="C15" s="28" t="s">
        <v>267</v>
      </c>
      <c r="D15" s="28" t="s">
        <v>267</v>
      </c>
      <c r="E15" s="28" t="s">
        <v>267</v>
      </c>
      <c r="F15" s="28" t="s">
        <v>267</v>
      </c>
      <c r="G15" s="28" t="s">
        <v>267</v>
      </c>
      <c r="H15" s="28" t="s">
        <v>267</v>
      </c>
      <c r="I15" s="28" t="s">
        <v>267</v>
      </c>
      <c r="J15" s="28" t="s">
        <v>267</v>
      </c>
      <c r="K15" s="28" t="s">
        <v>267</v>
      </c>
      <c r="L15" s="28" t="s">
        <v>267</v>
      </c>
      <c r="M15" s="28" t="s">
        <v>267</v>
      </c>
      <c r="N15" s="28" t="s">
        <v>267</v>
      </c>
      <c r="O15" s="28" t="s">
        <v>267</v>
      </c>
      <c r="P15" s="28" t="s">
        <v>267</v>
      </c>
      <c r="Q15" s="28" t="s">
        <v>267</v>
      </c>
      <c r="R15" s="28" t="s">
        <v>267</v>
      </c>
      <c r="S15" s="28" t="s">
        <v>267</v>
      </c>
      <c r="T15" s="28" t="s">
        <v>267</v>
      </c>
      <c r="U15" s="28" t="s">
        <v>267</v>
      </c>
      <c r="V15" s="28" t="s">
        <v>267</v>
      </c>
      <c r="W15" s="28" t="s">
        <v>267</v>
      </c>
      <c r="X15" s="28" t="s">
        <v>160</v>
      </c>
      <c r="Y15" s="28" t="s">
        <v>267</v>
      </c>
      <c r="Z15" s="28" t="s">
        <v>405</v>
      </c>
      <c r="AA15" s="28" t="s">
        <v>267</v>
      </c>
      <c r="AB15" s="28" t="s">
        <v>267</v>
      </c>
      <c r="AC15" s="28" t="s">
        <v>267</v>
      </c>
      <c r="AD15" s="28" t="s">
        <v>267</v>
      </c>
      <c r="AE15" s="28" t="s">
        <v>267</v>
      </c>
      <c r="AF15" s="28" t="s">
        <v>267</v>
      </c>
      <c r="AG15" s="28" t="s">
        <v>160</v>
      </c>
      <c r="AH15" s="28" t="s">
        <v>160</v>
      </c>
      <c r="AJ15" s="28" t="s">
        <v>267</v>
      </c>
      <c r="AK15" s="28" t="s">
        <v>267</v>
      </c>
      <c r="AL15" s="28" t="s">
        <v>267</v>
      </c>
      <c r="AM15" s="28" t="s">
        <v>267</v>
      </c>
      <c r="AN15" s="28" t="s">
        <v>267</v>
      </c>
    </row>
    <row r="16" spans="1:40" x14ac:dyDescent="0.25">
      <c r="A16" s="26" t="s">
        <v>176</v>
      </c>
      <c r="B16" s="30">
        <v>-1</v>
      </c>
      <c r="C16" s="30">
        <v>-3</v>
      </c>
      <c r="D16" s="30">
        <v>-3</v>
      </c>
      <c r="E16" s="30">
        <v>-3</v>
      </c>
      <c r="F16" s="30">
        <v>-3</v>
      </c>
      <c r="G16" s="30">
        <v>-3</v>
      </c>
      <c r="H16" s="30">
        <v>-3</v>
      </c>
      <c r="I16" s="30">
        <v>-3</v>
      </c>
      <c r="J16" s="30">
        <v>-3</v>
      </c>
      <c r="K16" s="30">
        <v>-3</v>
      </c>
      <c r="L16" s="30">
        <v>-3</v>
      </c>
      <c r="M16" s="30">
        <v>-3</v>
      </c>
      <c r="N16" s="30">
        <v>-3</v>
      </c>
      <c r="O16" s="30">
        <v>-3</v>
      </c>
      <c r="P16" s="30">
        <v>-3</v>
      </c>
      <c r="Q16" s="30">
        <v>-3</v>
      </c>
      <c r="R16" s="30">
        <v>-3</v>
      </c>
      <c r="S16" s="30">
        <v>-3</v>
      </c>
      <c r="T16" s="30">
        <v>-3</v>
      </c>
      <c r="U16" s="30">
        <v>-3</v>
      </c>
      <c r="V16" s="30">
        <v>-3</v>
      </c>
      <c r="W16" s="30">
        <v>-3</v>
      </c>
      <c r="X16" s="30">
        <v>3</v>
      </c>
      <c r="Y16" s="30">
        <v>-3</v>
      </c>
      <c r="Z16" s="30">
        <v>-1</v>
      </c>
      <c r="AA16" s="30">
        <v>-3</v>
      </c>
      <c r="AB16" s="30">
        <v>-3</v>
      </c>
      <c r="AC16" s="30">
        <v>-3</v>
      </c>
      <c r="AD16" s="30">
        <v>-3</v>
      </c>
      <c r="AE16" s="30">
        <v>-3</v>
      </c>
      <c r="AF16" s="30">
        <v>-3</v>
      </c>
      <c r="AG16" s="30">
        <v>3</v>
      </c>
      <c r="AH16" s="30">
        <v>3</v>
      </c>
      <c r="AJ16" s="30">
        <v>-3</v>
      </c>
      <c r="AK16" s="30">
        <v>-3</v>
      </c>
      <c r="AL16" s="30">
        <v>-3</v>
      </c>
      <c r="AM16" s="30">
        <v>-3</v>
      </c>
      <c r="AN16" s="30">
        <v>-3</v>
      </c>
    </row>
    <row r="17" spans="1:40" x14ac:dyDescent="0.25">
      <c r="A17" s="26" t="s">
        <v>177</v>
      </c>
      <c r="B17" s="28" t="s">
        <v>178</v>
      </c>
      <c r="C17" s="28" t="s">
        <v>178</v>
      </c>
      <c r="D17" s="28" t="s">
        <v>178</v>
      </c>
      <c r="E17" s="28" t="s">
        <v>178</v>
      </c>
      <c r="F17" s="28" t="s">
        <v>178</v>
      </c>
      <c r="G17" s="28" t="s">
        <v>178</v>
      </c>
      <c r="H17" s="28" t="s">
        <v>178</v>
      </c>
      <c r="I17" s="28" t="s">
        <v>178</v>
      </c>
      <c r="J17" s="28" t="s">
        <v>178</v>
      </c>
      <c r="K17" s="28" t="s">
        <v>178</v>
      </c>
      <c r="L17" s="28" t="s">
        <v>178</v>
      </c>
      <c r="M17" s="28" t="s">
        <v>178</v>
      </c>
      <c r="N17" s="28" t="s">
        <v>178</v>
      </c>
      <c r="O17" s="28" t="s">
        <v>178</v>
      </c>
      <c r="P17" s="28" t="s">
        <v>178</v>
      </c>
      <c r="Q17" s="28" t="s">
        <v>178</v>
      </c>
      <c r="R17" s="28" t="s">
        <v>178</v>
      </c>
      <c r="S17" s="28" t="s">
        <v>178</v>
      </c>
      <c r="T17" s="28" t="s">
        <v>178</v>
      </c>
      <c r="U17" s="28" t="s">
        <v>178</v>
      </c>
      <c r="V17" s="28" t="s">
        <v>178</v>
      </c>
      <c r="W17" s="28" t="s">
        <v>178</v>
      </c>
      <c r="X17" s="28" t="s">
        <v>178</v>
      </c>
      <c r="Y17" s="28" t="s">
        <v>178</v>
      </c>
      <c r="Z17" s="28" t="s">
        <v>178</v>
      </c>
      <c r="AA17" s="28" t="s">
        <v>178</v>
      </c>
      <c r="AB17" s="28" t="s">
        <v>178</v>
      </c>
      <c r="AC17" s="28" t="s">
        <v>178</v>
      </c>
      <c r="AD17" s="28" t="s">
        <v>178</v>
      </c>
      <c r="AE17" s="28" t="s">
        <v>178</v>
      </c>
      <c r="AF17" s="28" t="s">
        <v>178</v>
      </c>
      <c r="AG17" s="28" t="s">
        <v>178</v>
      </c>
      <c r="AH17" s="28" t="s">
        <v>178</v>
      </c>
      <c r="AJ17" s="28" t="s">
        <v>178</v>
      </c>
      <c r="AK17" s="28" t="s">
        <v>178</v>
      </c>
      <c r="AL17" s="28" t="s">
        <v>178</v>
      </c>
      <c r="AM17" s="28" t="s">
        <v>178</v>
      </c>
      <c r="AN17" s="28" t="s">
        <v>178</v>
      </c>
    </row>
    <row r="18" spans="1:40" x14ac:dyDescent="0.25">
      <c r="A18" s="26" t="s">
        <v>182</v>
      </c>
      <c r="B18" s="30">
        <v>4</v>
      </c>
      <c r="C18" s="30">
        <v>4</v>
      </c>
      <c r="D18" s="30">
        <v>4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30">
        <v>4</v>
      </c>
      <c r="S18" s="30">
        <v>4</v>
      </c>
      <c r="T18" s="30">
        <v>4</v>
      </c>
      <c r="U18" s="30">
        <v>4</v>
      </c>
      <c r="V18" s="30">
        <v>4</v>
      </c>
      <c r="W18" s="30">
        <v>4</v>
      </c>
      <c r="X18" s="30">
        <v>4</v>
      </c>
      <c r="Y18" s="30">
        <v>4</v>
      </c>
      <c r="Z18" s="30">
        <v>4</v>
      </c>
      <c r="AA18" s="30">
        <v>4</v>
      </c>
      <c r="AB18" s="30">
        <v>4</v>
      </c>
      <c r="AC18" s="30">
        <v>4</v>
      </c>
      <c r="AD18" s="30">
        <v>4</v>
      </c>
      <c r="AE18" s="30">
        <v>4</v>
      </c>
      <c r="AF18" s="30">
        <v>4</v>
      </c>
      <c r="AG18" s="30">
        <v>4</v>
      </c>
      <c r="AH18" s="30">
        <v>4</v>
      </c>
      <c r="AJ18" s="30">
        <v>4</v>
      </c>
      <c r="AK18" s="30">
        <v>4</v>
      </c>
      <c r="AL18" s="30">
        <v>4</v>
      </c>
      <c r="AM18" s="30">
        <v>4</v>
      </c>
      <c r="AN18" s="30">
        <v>4</v>
      </c>
    </row>
    <row r="20" spans="1:40" x14ac:dyDescent="0.25">
      <c r="A20" s="26" t="s">
        <v>159</v>
      </c>
      <c r="B20" s="199"/>
      <c r="C20" s="80" t="s">
        <v>341</v>
      </c>
      <c r="D20" s="80" t="s">
        <v>341</v>
      </c>
      <c r="E20" s="80" t="s">
        <v>341</v>
      </c>
      <c r="F20" s="80" t="s">
        <v>341</v>
      </c>
      <c r="G20" s="80" t="s">
        <v>341</v>
      </c>
      <c r="H20" s="80" t="s">
        <v>341</v>
      </c>
      <c r="I20" s="80" t="s">
        <v>341</v>
      </c>
      <c r="J20" s="80" t="s">
        <v>341</v>
      </c>
      <c r="K20" s="80" t="s">
        <v>341</v>
      </c>
      <c r="L20" s="80" t="s">
        <v>341</v>
      </c>
      <c r="M20" s="80" t="s">
        <v>341</v>
      </c>
      <c r="N20" s="80" t="s">
        <v>341</v>
      </c>
      <c r="O20" s="80" t="s">
        <v>341</v>
      </c>
      <c r="P20" s="80" t="s">
        <v>341</v>
      </c>
      <c r="Q20" s="80" t="s">
        <v>341</v>
      </c>
      <c r="R20" s="80" t="s">
        <v>341</v>
      </c>
      <c r="S20" s="80" t="s">
        <v>341</v>
      </c>
      <c r="T20" s="28" t="s">
        <v>531</v>
      </c>
      <c r="U20" s="28" t="s">
        <v>531</v>
      </c>
      <c r="V20" s="28" t="s">
        <v>531</v>
      </c>
      <c r="W20" s="80" t="s">
        <v>341</v>
      </c>
      <c r="X20" s="80" t="s">
        <v>341</v>
      </c>
      <c r="Y20" s="80" t="s">
        <v>341</v>
      </c>
      <c r="Z20" s="80" t="s">
        <v>341</v>
      </c>
      <c r="AA20" s="28" t="s">
        <v>531</v>
      </c>
      <c r="AB20" s="28" t="s">
        <v>531</v>
      </c>
      <c r="AC20" s="28" t="s">
        <v>531</v>
      </c>
      <c r="AD20" s="28" t="s">
        <v>531</v>
      </c>
      <c r="AE20" s="28" t="s">
        <v>531</v>
      </c>
      <c r="AF20" s="28" t="s">
        <v>531</v>
      </c>
      <c r="AG20" s="80" t="s">
        <v>341</v>
      </c>
      <c r="AH20" s="80" t="s">
        <v>341</v>
      </c>
      <c r="AJ20" s="28" t="s">
        <v>531</v>
      </c>
      <c r="AK20" s="28" t="s">
        <v>531</v>
      </c>
      <c r="AL20" s="28" t="s">
        <v>531</v>
      </c>
      <c r="AM20" s="28" t="s">
        <v>643</v>
      </c>
      <c r="AN20" s="28" t="s">
        <v>531</v>
      </c>
    </row>
    <row r="21" spans="1:40" x14ac:dyDescent="0.25">
      <c r="A21" s="26" t="s">
        <v>165</v>
      </c>
      <c r="B21" s="200"/>
      <c r="C21" s="81" t="s">
        <v>341</v>
      </c>
      <c r="D21" s="81" t="s">
        <v>341</v>
      </c>
      <c r="E21" s="81" t="s">
        <v>341</v>
      </c>
      <c r="F21" s="81" t="s">
        <v>341</v>
      </c>
      <c r="G21" s="81" t="s">
        <v>341</v>
      </c>
      <c r="H21" s="81" t="s">
        <v>341</v>
      </c>
      <c r="I21" s="81" t="s">
        <v>341</v>
      </c>
      <c r="J21" s="81" t="s">
        <v>341</v>
      </c>
      <c r="K21" s="81" t="s">
        <v>341</v>
      </c>
      <c r="L21" s="81" t="s">
        <v>341</v>
      </c>
      <c r="M21" s="81" t="s">
        <v>341</v>
      </c>
      <c r="N21" s="81" t="s">
        <v>341</v>
      </c>
      <c r="O21" s="81" t="s">
        <v>341</v>
      </c>
      <c r="P21" s="81" t="s">
        <v>341</v>
      </c>
      <c r="Q21" s="81" t="s">
        <v>341</v>
      </c>
      <c r="R21" s="81" t="s">
        <v>341</v>
      </c>
      <c r="S21" s="81" t="s">
        <v>341</v>
      </c>
      <c r="T21" s="28" t="s">
        <v>403</v>
      </c>
      <c r="U21" s="28" t="s">
        <v>403</v>
      </c>
      <c r="V21" s="105" t="s">
        <v>534</v>
      </c>
      <c r="W21" s="81" t="s">
        <v>341</v>
      </c>
      <c r="X21" s="81" t="s">
        <v>341</v>
      </c>
      <c r="Y21" s="81" t="s">
        <v>341</v>
      </c>
      <c r="Z21" s="81" t="s">
        <v>341</v>
      </c>
      <c r="AA21" s="28" t="s">
        <v>403</v>
      </c>
      <c r="AB21" s="28" t="s">
        <v>403</v>
      </c>
      <c r="AC21" s="28" t="s">
        <v>403</v>
      </c>
      <c r="AD21" s="28" t="s">
        <v>403</v>
      </c>
      <c r="AE21" s="28" t="s">
        <v>403</v>
      </c>
      <c r="AF21" s="28" t="s">
        <v>403</v>
      </c>
      <c r="AG21" s="81" t="s">
        <v>341</v>
      </c>
      <c r="AH21" s="81" t="s">
        <v>341</v>
      </c>
      <c r="AJ21" s="28" t="s">
        <v>403</v>
      </c>
      <c r="AK21" s="28" t="s">
        <v>403</v>
      </c>
      <c r="AL21" s="28" t="s">
        <v>403</v>
      </c>
      <c r="AM21" s="105" t="s">
        <v>534</v>
      </c>
      <c r="AN21" s="105" t="s">
        <v>534</v>
      </c>
    </row>
    <row r="22" spans="1:40" x14ac:dyDescent="0.25">
      <c r="A22" s="131" t="s">
        <v>168</v>
      </c>
      <c r="B22" s="200"/>
      <c r="C22" s="198"/>
      <c r="D22" s="198"/>
      <c r="E22" s="198"/>
      <c r="F22" s="198"/>
      <c r="G22" s="198"/>
      <c r="H22" s="198"/>
      <c r="I22" s="198"/>
      <c r="J22" s="198"/>
      <c r="K22" s="198"/>
      <c r="L22" s="198"/>
      <c r="M22" s="198"/>
      <c r="N22" s="198"/>
      <c r="O22" s="198"/>
      <c r="P22" s="198"/>
      <c r="Q22" s="198"/>
      <c r="R22" s="198"/>
      <c r="S22" s="198"/>
      <c r="T22" s="157">
        <v>97</v>
      </c>
      <c r="U22" s="157">
        <v>97</v>
      </c>
      <c r="V22" s="157">
        <v>134</v>
      </c>
      <c r="W22" s="198"/>
      <c r="X22" s="198"/>
      <c r="Y22" s="198"/>
      <c r="Z22" s="198"/>
      <c r="AA22" s="157">
        <v>97</v>
      </c>
      <c r="AB22" s="157">
        <v>97</v>
      </c>
      <c r="AC22" s="157">
        <v>97</v>
      </c>
      <c r="AD22" s="157">
        <v>97</v>
      </c>
      <c r="AE22" s="157">
        <v>97</v>
      </c>
      <c r="AF22" s="157">
        <v>97</v>
      </c>
      <c r="AG22" s="198"/>
      <c r="AH22" s="198"/>
      <c r="AJ22" s="157">
        <v>97</v>
      </c>
      <c r="AK22" s="157">
        <v>97</v>
      </c>
      <c r="AL22" s="157">
        <v>97</v>
      </c>
      <c r="AM22" s="157">
        <v>134</v>
      </c>
      <c r="AN22" s="157">
        <v>134</v>
      </c>
    </row>
    <row r="23" spans="1:40" x14ac:dyDescent="0.25">
      <c r="A23" s="26" t="s">
        <v>169</v>
      </c>
      <c r="B23" s="199"/>
      <c r="C23" s="80" t="s">
        <v>173</v>
      </c>
      <c r="D23" s="80" t="s">
        <v>173</v>
      </c>
      <c r="E23" s="80" t="s">
        <v>173</v>
      </c>
      <c r="F23" s="80" t="s">
        <v>173</v>
      </c>
      <c r="G23" s="80" t="s">
        <v>173</v>
      </c>
      <c r="H23" s="80" t="s">
        <v>173</v>
      </c>
      <c r="I23" s="80" t="s">
        <v>173</v>
      </c>
      <c r="J23" s="80" t="s">
        <v>173</v>
      </c>
      <c r="K23" s="80" t="s">
        <v>173</v>
      </c>
      <c r="L23" s="80" t="s">
        <v>173</v>
      </c>
      <c r="M23" s="80" t="s">
        <v>173</v>
      </c>
      <c r="N23" s="80" t="s">
        <v>173</v>
      </c>
      <c r="O23" s="80" t="s">
        <v>173</v>
      </c>
      <c r="P23" s="80" t="s">
        <v>173</v>
      </c>
      <c r="Q23" s="80" t="s">
        <v>173</v>
      </c>
      <c r="R23" s="80" t="s">
        <v>173</v>
      </c>
      <c r="S23" s="80" t="s">
        <v>173</v>
      </c>
      <c r="T23" s="28" t="s">
        <v>170</v>
      </c>
      <c r="U23" s="28" t="s">
        <v>170</v>
      </c>
      <c r="V23" s="28" t="s">
        <v>266</v>
      </c>
      <c r="W23" s="80" t="s">
        <v>173</v>
      </c>
      <c r="X23" s="80" t="s">
        <v>173</v>
      </c>
      <c r="Y23" s="80" t="s">
        <v>173</v>
      </c>
      <c r="Z23" s="80" t="s">
        <v>173</v>
      </c>
      <c r="AA23" s="28" t="s">
        <v>170</v>
      </c>
      <c r="AB23" s="28" t="s">
        <v>170</v>
      </c>
      <c r="AC23" s="28" t="s">
        <v>170</v>
      </c>
      <c r="AD23" s="28" t="s">
        <v>170</v>
      </c>
      <c r="AE23" s="28" t="s">
        <v>170</v>
      </c>
      <c r="AF23" s="28" t="s">
        <v>170</v>
      </c>
      <c r="AG23" s="80" t="s">
        <v>173</v>
      </c>
      <c r="AH23" s="80" t="s">
        <v>173</v>
      </c>
      <c r="AJ23" s="28" t="s">
        <v>170</v>
      </c>
      <c r="AK23" s="28" t="s">
        <v>170</v>
      </c>
      <c r="AL23" s="28" t="s">
        <v>170</v>
      </c>
      <c r="AM23" s="28" t="s">
        <v>266</v>
      </c>
      <c r="AN23" s="28" t="s">
        <v>266</v>
      </c>
    </row>
    <row r="24" spans="1:40" x14ac:dyDescent="0.25">
      <c r="A24" s="26" t="s">
        <v>171</v>
      </c>
      <c r="B24" s="199"/>
      <c r="C24" s="80" t="s">
        <v>173</v>
      </c>
      <c r="D24" s="80" t="s">
        <v>173</v>
      </c>
      <c r="E24" s="80" t="s">
        <v>173</v>
      </c>
      <c r="F24" s="80" t="s">
        <v>173</v>
      </c>
      <c r="G24" s="80" t="s">
        <v>173</v>
      </c>
      <c r="H24" s="80" t="s">
        <v>173</v>
      </c>
      <c r="I24" s="80" t="s">
        <v>173</v>
      </c>
      <c r="J24" s="80" t="s">
        <v>173</v>
      </c>
      <c r="K24" s="80" t="s">
        <v>173</v>
      </c>
      <c r="L24" s="80" t="s">
        <v>173</v>
      </c>
      <c r="M24" s="80" t="s">
        <v>173</v>
      </c>
      <c r="N24" s="80" t="s">
        <v>173</v>
      </c>
      <c r="O24" s="80" t="s">
        <v>173</v>
      </c>
      <c r="P24" s="80" t="s">
        <v>173</v>
      </c>
      <c r="Q24" s="80" t="s">
        <v>173</v>
      </c>
      <c r="R24" s="80" t="s">
        <v>173</v>
      </c>
      <c r="S24" s="80" t="s">
        <v>173</v>
      </c>
      <c r="T24" s="28" t="s">
        <v>170</v>
      </c>
      <c r="U24" s="28" t="s">
        <v>170</v>
      </c>
      <c r="V24" s="28" t="s">
        <v>266</v>
      </c>
      <c r="W24" s="80" t="s">
        <v>173</v>
      </c>
      <c r="X24" s="80" t="s">
        <v>173</v>
      </c>
      <c r="Y24" s="80" t="s">
        <v>173</v>
      </c>
      <c r="Z24" s="80" t="s">
        <v>173</v>
      </c>
      <c r="AA24" s="28" t="s">
        <v>170</v>
      </c>
      <c r="AB24" s="28" t="s">
        <v>170</v>
      </c>
      <c r="AC24" s="28" t="s">
        <v>170</v>
      </c>
      <c r="AD24" s="28" t="s">
        <v>170</v>
      </c>
      <c r="AE24" s="28" t="s">
        <v>170</v>
      </c>
      <c r="AF24" s="28" t="s">
        <v>170</v>
      </c>
      <c r="AG24" s="80" t="s">
        <v>173</v>
      </c>
      <c r="AH24" s="80" t="s">
        <v>173</v>
      </c>
      <c r="AJ24" s="28" t="s">
        <v>170</v>
      </c>
      <c r="AK24" s="28" t="s">
        <v>170</v>
      </c>
      <c r="AL24" s="28" t="s">
        <v>170</v>
      </c>
      <c r="AM24" s="28" t="s">
        <v>266</v>
      </c>
      <c r="AN24" s="28" t="s">
        <v>266</v>
      </c>
    </row>
    <row r="25" spans="1:40" x14ac:dyDescent="0.25">
      <c r="A25" s="26" t="s">
        <v>172</v>
      </c>
      <c r="B25" s="199"/>
      <c r="C25" s="80" t="s">
        <v>173</v>
      </c>
      <c r="D25" s="80" t="s">
        <v>173</v>
      </c>
      <c r="E25" s="80" t="s">
        <v>173</v>
      </c>
      <c r="F25" s="80" t="s">
        <v>173</v>
      </c>
      <c r="G25" s="80" t="s">
        <v>173</v>
      </c>
      <c r="H25" s="80" t="s">
        <v>173</v>
      </c>
      <c r="I25" s="80" t="s">
        <v>173</v>
      </c>
      <c r="J25" s="80" t="s">
        <v>173</v>
      </c>
      <c r="K25" s="80" t="s">
        <v>173</v>
      </c>
      <c r="L25" s="80" t="s">
        <v>173</v>
      </c>
      <c r="M25" s="80" t="s">
        <v>173</v>
      </c>
      <c r="N25" s="80" t="s">
        <v>173</v>
      </c>
      <c r="O25" s="80" t="s">
        <v>173</v>
      </c>
      <c r="P25" s="80" t="s">
        <v>173</v>
      </c>
      <c r="Q25" s="80" t="s">
        <v>173</v>
      </c>
      <c r="R25" s="80" t="s">
        <v>173</v>
      </c>
      <c r="S25" s="80" t="s">
        <v>173</v>
      </c>
      <c r="T25" s="28" t="s">
        <v>173</v>
      </c>
      <c r="U25" s="28" t="s">
        <v>173</v>
      </c>
      <c r="V25" s="28" t="s">
        <v>173</v>
      </c>
      <c r="W25" s="80" t="s">
        <v>173</v>
      </c>
      <c r="X25" s="80" t="s">
        <v>173</v>
      </c>
      <c r="Y25" s="80" t="s">
        <v>173</v>
      </c>
      <c r="Z25" s="80" t="s">
        <v>173</v>
      </c>
      <c r="AA25" s="28" t="s">
        <v>173</v>
      </c>
      <c r="AB25" s="28" t="s">
        <v>173</v>
      </c>
      <c r="AC25" s="28" t="s">
        <v>173</v>
      </c>
      <c r="AD25" s="28" t="s">
        <v>173</v>
      </c>
      <c r="AE25" s="28" t="s">
        <v>173</v>
      </c>
      <c r="AF25" s="28" t="s">
        <v>173</v>
      </c>
      <c r="AG25" s="80" t="s">
        <v>173</v>
      </c>
      <c r="AH25" s="80" t="s">
        <v>173</v>
      </c>
      <c r="AJ25" s="28" t="s">
        <v>173</v>
      </c>
      <c r="AK25" s="28" t="s">
        <v>173</v>
      </c>
      <c r="AL25" s="28" t="s">
        <v>173</v>
      </c>
      <c r="AM25" s="28" t="s">
        <v>173</v>
      </c>
      <c r="AN25" s="28" t="s">
        <v>173</v>
      </c>
    </row>
    <row r="26" spans="1:40" x14ac:dyDescent="0.25">
      <c r="A26" s="26" t="s">
        <v>174</v>
      </c>
      <c r="B26" s="199"/>
      <c r="C26" s="80" t="s">
        <v>173</v>
      </c>
      <c r="D26" s="80" t="s">
        <v>173</v>
      </c>
      <c r="E26" s="80" t="s">
        <v>173</v>
      </c>
      <c r="F26" s="80" t="s">
        <v>173</v>
      </c>
      <c r="G26" s="80" t="s">
        <v>173</v>
      </c>
      <c r="H26" s="80" t="s">
        <v>173</v>
      </c>
      <c r="I26" s="80" t="s">
        <v>173</v>
      </c>
      <c r="J26" s="80" t="s">
        <v>173</v>
      </c>
      <c r="K26" s="80" t="s">
        <v>173</v>
      </c>
      <c r="L26" s="80" t="s">
        <v>173</v>
      </c>
      <c r="M26" s="80" t="s">
        <v>173</v>
      </c>
      <c r="N26" s="80" t="s">
        <v>173</v>
      </c>
      <c r="O26" s="80" t="s">
        <v>173</v>
      </c>
      <c r="P26" s="80" t="s">
        <v>173</v>
      </c>
      <c r="Q26" s="80" t="s">
        <v>173</v>
      </c>
      <c r="R26" s="80" t="s">
        <v>173</v>
      </c>
      <c r="S26" s="80" t="s">
        <v>173</v>
      </c>
      <c r="T26" s="28" t="s">
        <v>173</v>
      </c>
      <c r="U26" s="28" t="s">
        <v>173</v>
      </c>
      <c r="V26" s="28" t="s">
        <v>173</v>
      </c>
      <c r="W26" s="80" t="s">
        <v>173</v>
      </c>
      <c r="X26" s="80" t="s">
        <v>173</v>
      </c>
      <c r="Y26" s="80" t="s">
        <v>173</v>
      </c>
      <c r="Z26" s="80" t="s">
        <v>173</v>
      </c>
      <c r="AA26" s="28" t="s">
        <v>173</v>
      </c>
      <c r="AB26" s="28" t="s">
        <v>173</v>
      </c>
      <c r="AC26" s="28" t="s">
        <v>173</v>
      </c>
      <c r="AD26" s="28" t="s">
        <v>173</v>
      </c>
      <c r="AE26" s="28" t="s">
        <v>173</v>
      </c>
      <c r="AF26" s="28" t="s">
        <v>173</v>
      </c>
      <c r="AG26" s="80" t="s">
        <v>173</v>
      </c>
      <c r="AH26" s="80" t="s">
        <v>173</v>
      </c>
      <c r="AJ26" s="28" t="s">
        <v>173</v>
      </c>
      <c r="AK26" s="28" t="s">
        <v>173</v>
      </c>
      <c r="AL26" s="28" t="s">
        <v>173</v>
      </c>
      <c r="AM26" s="28" t="s">
        <v>173</v>
      </c>
      <c r="AN26" s="28" t="s">
        <v>173</v>
      </c>
    </row>
    <row r="27" spans="1:40" x14ac:dyDescent="0.25">
      <c r="A27" s="26" t="s">
        <v>175</v>
      </c>
      <c r="B27" s="199"/>
      <c r="C27" s="80" t="s">
        <v>405</v>
      </c>
      <c r="D27" s="80" t="s">
        <v>405</v>
      </c>
      <c r="E27" s="80" t="s">
        <v>405</v>
      </c>
      <c r="F27" s="80" t="s">
        <v>405</v>
      </c>
      <c r="G27" s="80" t="s">
        <v>405</v>
      </c>
      <c r="H27" s="80" t="s">
        <v>405</v>
      </c>
      <c r="I27" s="80" t="s">
        <v>405</v>
      </c>
      <c r="J27" s="80" t="s">
        <v>405</v>
      </c>
      <c r="K27" s="80" t="s">
        <v>405</v>
      </c>
      <c r="L27" s="80" t="s">
        <v>405</v>
      </c>
      <c r="M27" s="80" t="s">
        <v>405</v>
      </c>
      <c r="N27" s="80" t="s">
        <v>405</v>
      </c>
      <c r="O27" s="80" t="s">
        <v>405</v>
      </c>
      <c r="P27" s="80" t="s">
        <v>405</v>
      </c>
      <c r="Q27" s="80" t="s">
        <v>405</v>
      </c>
      <c r="R27" s="80" t="s">
        <v>405</v>
      </c>
      <c r="S27" s="80" t="s">
        <v>405</v>
      </c>
      <c r="T27" s="28" t="s">
        <v>405</v>
      </c>
      <c r="U27" s="28" t="s">
        <v>405</v>
      </c>
      <c r="V27" s="28" t="s">
        <v>405</v>
      </c>
      <c r="W27" s="80" t="s">
        <v>405</v>
      </c>
      <c r="X27" s="80" t="s">
        <v>405</v>
      </c>
      <c r="Y27" s="80" t="s">
        <v>405</v>
      </c>
      <c r="Z27" s="80" t="s">
        <v>405</v>
      </c>
      <c r="AA27" s="28" t="s">
        <v>405</v>
      </c>
      <c r="AB27" s="28" t="s">
        <v>405</v>
      </c>
      <c r="AC27" s="28" t="s">
        <v>405</v>
      </c>
      <c r="AD27" s="28" t="s">
        <v>405</v>
      </c>
      <c r="AE27" s="28" t="s">
        <v>405</v>
      </c>
      <c r="AF27" s="28" t="s">
        <v>405</v>
      </c>
      <c r="AG27" s="80" t="s">
        <v>405</v>
      </c>
      <c r="AH27" s="80" t="s">
        <v>405</v>
      </c>
      <c r="AJ27" s="28" t="s">
        <v>405</v>
      </c>
      <c r="AK27" s="28" t="s">
        <v>405</v>
      </c>
      <c r="AL27" s="28" t="s">
        <v>405</v>
      </c>
      <c r="AM27" s="28" t="s">
        <v>405</v>
      </c>
      <c r="AN27" s="28" t="s">
        <v>405</v>
      </c>
    </row>
    <row r="28" spans="1:40" x14ac:dyDescent="0.25">
      <c r="A28" s="26" t="s">
        <v>176</v>
      </c>
      <c r="B28" s="201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30">
        <v>0</v>
      </c>
      <c r="U28" s="30">
        <v>0</v>
      </c>
      <c r="V28" s="30">
        <v>0</v>
      </c>
      <c r="W28" s="82">
        <v>0</v>
      </c>
      <c r="X28" s="82">
        <v>0</v>
      </c>
      <c r="Y28" s="82">
        <v>0</v>
      </c>
      <c r="Z28" s="82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82">
        <v>0</v>
      </c>
      <c r="AH28" s="82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</row>
    <row r="29" spans="1:40" x14ac:dyDescent="0.25">
      <c r="A29" s="26" t="s">
        <v>177</v>
      </c>
      <c r="B29" s="199"/>
      <c r="C29" s="80" t="s">
        <v>341</v>
      </c>
      <c r="D29" s="80" t="s">
        <v>341</v>
      </c>
      <c r="E29" s="80" t="s">
        <v>341</v>
      </c>
      <c r="F29" s="80" t="s">
        <v>341</v>
      </c>
      <c r="G29" s="80" t="s">
        <v>341</v>
      </c>
      <c r="H29" s="80" t="s">
        <v>341</v>
      </c>
      <c r="I29" s="80" t="s">
        <v>341</v>
      </c>
      <c r="J29" s="80" t="s">
        <v>341</v>
      </c>
      <c r="K29" s="80" t="s">
        <v>341</v>
      </c>
      <c r="L29" s="80" t="s">
        <v>341</v>
      </c>
      <c r="M29" s="80" t="s">
        <v>341</v>
      </c>
      <c r="N29" s="80" t="s">
        <v>341</v>
      </c>
      <c r="O29" s="80" t="s">
        <v>341</v>
      </c>
      <c r="P29" s="80" t="s">
        <v>341</v>
      </c>
      <c r="Q29" s="80" t="s">
        <v>341</v>
      </c>
      <c r="R29" s="80" t="s">
        <v>341</v>
      </c>
      <c r="S29" s="80" t="s">
        <v>341</v>
      </c>
      <c r="T29" s="28" t="s">
        <v>334</v>
      </c>
      <c r="U29" s="28" t="s">
        <v>334</v>
      </c>
      <c r="V29" s="103" t="s">
        <v>537</v>
      </c>
      <c r="W29" s="80" t="s">
        <v>341</v>
      </c>
      <c r="X29" s="80" t="s">
        <v>341</v>
      </c>
      <c r="Y29" s="80" t="s">
        <v>341</v>
      </c>
      <c r="Z29" s="80" t="s">
        <v>341</v>
      </c>
      <c r="AA29" s="28" t="s">
        <v>334</v>
      </c>
      <c r="AB29" s="28" t="s">
        <v>334</v>
      </c>
      <c r="AC29" s="28" t="s">
        <v>334</v>
      </c>
      <c r="AD29" s="28" t="s">
        <v>334</v>
      </c>
      <c r="AE29" s="28" t="s">
        <v>334</v>
      </c>
      <c r="AF29" s="28" t="s">
        <v>334</v>
      </c>
      <c r="AG29" s="80" t="s">
        <v>341</v>
      </c>
      <c r="AH29" s="80" t="s">
        <v>341</v>
      </c>
      <c r="AJ29" s="28" t="s">
        <v>334</v>
      </c>
      <c r="AK29" s="28" t="s">
        <v>334</v>
      </c>
      <c r="AL29" s="28" t="s">
        <v>334</v>
      </c>
      <c r="AM29" s="103" t="s">
        <v>537</v>
      </c>
      <c r="AN29" s="103" t="s">
        <v>537</v>
      </c>
    </row>
    <row r="30" spans="1:40" x14ac:dyDescent="0.25">
      <c r="A30" s="26" t="s">
        <v>182</v>
      </c>
      <c r="B30" s="201"/>
      <c r="C30" s="82">
        <v>0</v>
      </c>
      <c r="D30" s="82">
        <v>0</v>
      </c>
      <c r="E30" s="82">
        <v>0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  <c r="N30" s="82">
        <v>0</v>
      </c>
      <c r="O30" s="82">
        <v>0</v>
      </c>
      <c r="P30" s="82">
        <v>0</v>
      </c>
      <c r="Q30" s="82">
        <v>0</v>
      </c>
      <c r="R30" s="82">
        <v>0</v>
      </c>
      <c r="S30" s="82">
        <v>0</v>
      </c>
      <c r="T30" s="30">
        <f>1/3</f>
        <v>0.33333333333333331</v>
      </c>
      <c r="U30" s="30">
        <f>1/3</f>
        <v>0.33333333333333331</v>
      </c>
      <c r="V30" s="30">
        <f>AVERAGE(1/3,0)</f>
        <v>0.16666666666666666</v>
      </c>
      <c r="W30" s="82">
        <v>0</v>
      </c>
      <c r="X30" s="82">
        <v>0</v>
      </c>
      <c r="Y30" s="82">
        <v>0</v>
      </c>
      <c r="Z30" s="82">
        <v>0</v>
      </c>
      <c r="AA30" s="30">
        <f t="shared" ref="AA30:AF30" si="0">1/3</f>
        <v>0.33333333333333331</v>
      </c>
      <c r="AB30" s="30">
        <f t="shared" si="0"/>
        <v>0.33333333333333331</v>
      </c>
      <c r="AC30" s="30">
        <f t="shared" si="0"/>
        <v>0.33333333333333331</v>
      </c>
      <c r="AD30" s="30">
        <f t="shared" si="0"/>
        <v>0.33333333333333331</v>
      </c>
      <c r="AE30" s="30">
        <f t="shared" si="0"/>
        <v>0.33333333333333331</v>
      </c>
      <c r="AF30" s="30">
        <f t="shared" si="0"/>
        <v>0.33333333333333331</v>
      </c>
      <c r="AG30" s="82">
        <v>0</v>
      </c>
      <c r="AH30" s="82">
        <v>0</v>
      </c>
      <c r="AJ30" s="30">
        <f>1/3</f>
        <v>0.33333333333333331</v>
      </c>
      <c r="AK30" s="30">
        <f>1/3</f>
        <v>0.33333333333333331</v>
      </c>
      <c r="AL30" s="30">
        <f>1/3</f>
        <v>0.33333333333333331</v>
      </c>
      <c r="AM30" s="30">
        <f>AVERAGE(1/3,0)</f>
        <v>0.16666666666666666</v>
      </c>
      <c r="AN30" s="30">
        <f>AVERAGE(1/3,0)</f>
        <v>0.16666666666666666</v>
      </c>
    </row>
    <row r="31" spans="1:40" x14ac:dyDescent="0.25">
      <c r="K31" s="223" t="s">
        <v>644</v>
      </c>
      <c r="L31" s="223"/>
      <c r="M31" s="223"/>
      <c r="R31" s="26" t="s">
        <v>644</v>
      </c>
      <c r="AJ31" s="223" t="s">
        <v>645</v>
      </c>
      <c r="AK31" s="223"/>
      <c r="AL31" s="223"/>
      <c r="AM31" s="223"/>
    </row>
    <row r="32" spans="1:40" x14ac:dyDescent="0.25">
      <c r="A32" s="31" t="s">
        <v>183</v>
      </c>
    </row>
    <row r="33" spans="1:2" x14ac:dyDescent="0.25">
      <c r="A33" s="235" t="s">
        <v>646</v>
      </c>
      <c r="B33" s="93" t="s">
        <v>295</v>
      </c>
    </row>
    <row r="34" spans="1:2" x14ac:dyDescent="0.25">
      <c r="A34" s="235"/>
      <c r="B34" s="93" t="s">
        <v>647</v>
      </c>
    </row>
    <row r="35" spans="1:2" x14ac:dyDescent="0.25">
      <c r="A35" s="235"/>
      <c r="B35" s="93" t="s">
        <v>638</v>
      </c>
    </row>
    <row r="36" spans="1:2" x14ac:dyDescent="0.25">
      <c r="A36" s="235" t="s">
        <v>648</v>
      </c>
      <c r="B36" s="93" t="s">
        <v>295</v>
      </c>
    </row>
    <row r="37" spans="1:2" x14ac:dyDescent="0.25">
      <c r="A37" s="235"/>
      <c r="B37" s="93" t="s">
        <v>649</v>
      </c>
    </row>
    <row r="38" spans="1:2" x14ac:dyDescent="0.25">
      <c r="A38" s="235"/>
      <c r="B38" s="93" t="s">
        <v>638</v>
      </c>
    </row>
  </sheetData>
  <mergeCells count="9">
    <mergeCell ref="AJ31:AM31"/>
    <mergeCell ref="A33:A35"/>
    <mergeCell ref="A36:A38"/>
    <mergeCell ref="K31:M31"/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9A9D3-75D0-4E18-9363-418225E2C0F9}">
  <dimension ref="A1:AH33"/>
  <sheetViews>
    <sheetView workbookViewId="0">
      <selection activeCell="B7" sqref="B7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117</v>
      </c>
      <c r="I1" s="25" t="s">
        <v>549</v>
      </c>
    </row>
    <row r="3" spans="1:34" ht="18" x14ac:dyDescent="0.25">
      <c r="A3" s="25" t="s">
        <v>119</v>
      </c>
      <c r="B3" s="215">
        <v>41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626</v>
      </c>
      <c r="C4" s="215"/>
      <c r="D4" s="215"/>
      <c r="F4" s="216" t="s">
        <v>650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361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28" t="s">
        <v>629</v>
      </c>
      <c r="C8" s="28" t="s">
        <v>248</v>
      </c>
      <c r="D8" s="28" t="s">
        <v>248</v>
      </c>
      <c r="E8" s="28" t="s">
        <v>248</v>
      </c>
      <c r="F8" s="28" t="s">
        <v>248</v>
      </c>
      <c r="G8" s="28" t="s">
        <v>248</v>
      </c>
      <c r="H8" s="28" t="s">
        <v>248</v>
      </c>
      <c r="I8" s="28" t="s">
        <v>248</v>
      </c>
      <c r="J8" s="28" t="s">
        <v>248</v>
      </c>
      <c r="K8" s="28" t="s">
        <v>248</v>
      </c>
      <c r="L8" s="28" t="s">
        <v>248</v>
      </c>
      <c r="M8" s="28" t="s">
        <v>248</v>
      </c>
      <c r="N8" s="28" t="s">
        <v>248</v>
      </c>
      <c r="O8" s="28" t="s">
        <v>248</v>
      </c>
      <c r="P8" s="28" t="s">
        <v>248</v>
      </c>
      <c r="Q8" s="28" t="s">
        <v>248</v>
      </c>
      <c r="R8" s="28" t="s">
        <v>248</v>
      </c>
      <c r="S8" s="28" t="s">
        <v>248</v>
      </c>
      <c r="T8" s="28" t="s">
        <v>248</v>
      </c>
      <c r="U8" s="28" t="s">
        <v>248</v>
      </c>
      <c r="V8" s="28" t="s">
        <v>248</v>
      </c>
      <c r="W8" s="28" t="s">
        <v>248</v>
      </c>
      <c r="X8" s="28" t="s">
        <v>248</v>
      </c>
      <c r="Y8" s="28" t="s">
        <v>248</v>
      </c>
      <c r="Z8" s="28" t="s">
        <v>248</v>
      </c>
      <c r="AA8" s="28" t="s">
        <v>248</v>
      </c>
      <c r="AB8" s="28" t="s">
        <v>248</v>
      </c>
      <c r="AC8" s="28" t="s">
        <v>248</v>
      </c>
      <c r="AD8" s="28" t="s">
        <v>248</v>
      </c>
      <c r="AE8" s="28" t="s">
        <v>248</v>
      </c>
      <c r="AF8" s="28" t="s">
        <v>248</v>
      </c>
      <c r="AG8" s="28" t="s">
        <v>248</v>
      </c>
      <c r="AH8" s="28" t="s">
        <v>248</v>
      </c>
    </row>
    <row r="9" spans="1:34" x14ac:dyDescent="0.25">
      <c r="A9" s="26" t="s">
        <v>165</v>
      </c>
      <c r="B9" s="29" t="s">
        <v>632</v>
      </c>
      <c r="C9" s="28" t="s">
        <v>254</v>
      </c>
      <c r="D9" s="28" t="s">
        <v>254</v>
      </c>
      <c r="E9" s="28" t="s">
        <v>254</v>
      </c>
      <c r="F9" s="28" t="s">
        <v>254</v>
      </c>
      <c r="G9" s="28" t="s">
        <v>254</v>
      </c>
      <c r="H9" s="28" t="s">
        <v>254</v>
      </c>
      <c r="I9" s="28" t="s">
        <v>254</v>
      </c>
      <c r="J9" s="28" t="s">
        <v>254</v>
      </c>
      <c r="K9" s="28" t="s">
        <v>254</v>
      </c>
      <c r="L9" s="28" t="s">
        <v>254</v>
      </c>
      <c r="M9" s="28" t="s">
        <v>254</v>
      </c>
      <c r="N9" s="28" t="s">
        <v>254</v>
      </c>
      <c r="O9" s="28" t="s">
        <v>254</v>
      </c>
      <c r="P9" s="28" t="s">
        <v>254</v>
      </c>
      <c r="Q9" s="28" t="s">
        <v>254</v>
      </c>
      <c r="R9" s="28" t="s">
        <v>254</v>
      </c>
      <c r="S9" s="28" t="s">
        <v>254</v>
      </c>
      <c r="T9" s="28" t="s">
        <v>254</v>
      </c>
      <c r="U9" s="28" t="s">
        <v>254</v>
      </c>
      <c r="V9" s="28" t="s">
        <v>254</v>
      </c>
      <c r="W9" s="28" t="s">
        <v>254</v>
      </c>
      <c r="X9" s="28" t="s">
        <v>254</v>
      </c>
      <c r="Y9" s="28" t="s">
        <v>254</v>
      </c>
      <c r="Z9" s="28" t="s">
        <v>254</v>
      </c>
      <c r="AA9" s="28" t="s">
        <v>254</v>
      </c>
      <c r="AB9" s="28" t="s">
        <v>254</v>
      </c>
      <c r="AC9" s="28" t="s">
        <v>254</v>
      </c>
      <c r="AD9" s="28" t="s">
        <v>254</v>
      </c>
      <c r="AE9" s="28" t="s">
        <v>254</v>
      </c>
      <c r="AF9" s="28" t="s">
        <v>254</v>
      </c>
      <c r="AG9" s="28" t="s">
        <v>254</v>
      </c>
      <c r="AH9" s="28" t="s">
        <v>254</v>
      </c>
    </row>
    <row r="10" spans="1:34" x14ac:dyDescent="0.25">
      <c r="A10" s="131" t="s">
        <v>168</v>
      </c>
      <c r="B10" s="157">
        <v>15</v>
      </c>
      <c r="C10" s="157">
        <v>19</v>
      </c>
      <c r="D10" s="157">
        <v>19</v>
      </c>
      <c r="E10" s="157">
        <v>19</v>
      </c>
      <c r="F10" s="157">
        <v>19</v>
      </c>
      <c r="G10" s="157">
        <v>19</v>
      </c>
      <c r="H10" s="157">
        <v>19</v>
      </c>
      <c r="I10" s="157">
        <v>19</v>
      </c>
      <c r="J10" s="157">
        <v>19</v>
      </c>
      <c r="K10" s="157">
        <v>19</v>
      </c>
      <c r="L10" s="157">
        <v>19</v>
      </c>
      <c r="M10" s="157">
        <v>19</v>
      </c>
      <c r="N10" s="157">
        <v>19</v>
      </c>
      <c r="O10" s="157">
        <v>19</v>
      </c>
      <c r="P10" s="157">
        <v>19</v>
      </c>
      <c r="Q10" s="157">
        <v>19</v>
      </c>
      <c r="R10" s="157">
        <v>19</v>
      </c>
      <c r="S10" s="157">
        <v>19</v>
      </c>
      <c r="T10" s="157">
        <v>19</v>
      </c>
      <c r="U10" s="157">
        <v>19</v>
      </c>
      <c r="V10" s="157">
        <v>19</v>
      </c>
      <c r="W10" s="157">
        <v>19</v>
      </c>
      <c r="X10" s="157">
        <v>19</v>
      </c>
      <c r="Y10" s="157">
        <v>19</v>
      </c>
      <c r="Z10" s="157">
        <v>19</v>
      </c>
      <c r="AA10" s="157">
        <v>19</v>
      </c>
      <c r="AB10" s="157">
        <v>19</v>
      </c>
      <c r="AC10" s="157">
        <v>19</v>
      </c>
      <c r="AD10" s="157">
        <v>19</v>
      </c>
      <c r="AE10" s="157">
        <v>19</v>
      </c>
      <c r="AF10" s="157">
        <v>19</v>
      </c>
      <c r="AG10" s="157">
        <v>19</v>
      </c>
      <c r="AH10" s="157">
        <v>19</v>
      </c>
    </row>
    <row r="11" spans="1:34" x14ac:dyDescent="0.25">
      <c r="A11" s="26" t="s">
        <v>169</v>
      </c>
      <c r="B11" s="29" t="s">
        <v>170</v>
      </c>
      <c r="C11" s="29" t="s">
        <v>170</v>
      </c>
      <c r="D11" s="29" t="s">
        <v>170</v>
      </c>
      <c r="E11" s="29" t="s">
        <v>170</v>
      </c>
      <c r="F11" s="29" t="s">
        <v>170</v>
      </c>
      <c r="G11" s="29" t="s">
        <v>170</v>
      </c>
      <c r="H11" s="29" t="s">
        <v>170</v>
      </c>
      <c r="I11" s="29" t="s">
        <v>170</v>
      </c>
      <c r="J11" s="29" t="s">
        <v>170</v>
      </c>
      <c r="K11" s="29" t="s">
        <v>170</v>
      </c>
      <c r="L11" s="29" t="s">
        <v>170</v>
      </c>
      <c r="M11" s="29" t="s">
        <v>170</v>
      </c>
      <c r="N11" s="29" t="s">
        <v>170</v>
      </c>
      <c r="O11" s="29" t="s">
        <v>170</v>
      </c>
      <c r="P11" s="29" t="s">
        <v>170</v>
      </c>
      <c r="Q11" s="29" t="s">
        <v>170</v>
      </c>
      <c r="R11" s="29" t="s">
        <v>170</v>
      </c>
      <c r="S11" s="29" t="s">
        <v>170</v>
      </c>
      <c r="T11" s="29" t="s">
        <v>170</v>
      </c>
      <c r="U11" s="29" t="s">
        <v>170</v>
      </c>
      <c r="V11" s="29" t="s">
        <v>170</v>
      </c>
      <c r="W11" s="29" t="s">
        <v>170</v>
      </c>
      <c r="X11" s="29" t="s">
        <v>170</v>
      </c>
      <c r="Y11" s="29" t="s">
        <v>170</v>
      </c>
      <c r="Z11" s="29" t="s">
        <v>170</v>
      </c>
      <c r="AA11" s="29" t="s">
        <v>170</v>
      </c>
      <c r="AB11" s="29" t="s">
        <v>170</v>
      </c>
      <c r="AC11" s="29" t="s">
        <v>170</v>
      </c>
      <c r="AD11" s="29" t="s">
        <v>170</v>
      </c>
      <c r="AE11" s="29" t="s">
        <v>170</v>
      </c>
      <c r="AF11" s="29" t="s">
        <v>170</v>
      </c>
      <c r="AG11" s="29" t="s">
        <v>170</v>
      </c>
      <c r="AH11" s="29" t="s">
        <v>170</v>
      </c>
    </row>
    <row r="12" spans="1:34" x14ac:dyDescent="0.25">
      <c r="A12" s="26" t="s">
        <v>171</v>
      </c>
      <c r="B12" s="28" t="s">
        <v>173</v>
      </c>
      <c r="C12" s="28" t="s">
        <v>173</v>
      </c>
      <c r="D12" s="28" t="s">
        <v>173</v>
      </c>
      <c r="E12" s="28" t="s">
        <v>173</v>
      </c>
      <c r="F12" s="28" t="s">
        <v>173</v>
      </c>
      <c r="G12" s="28" t="s">
        <v>173</v>
      </c>
      <c r="H12" s="28" t="s">
        <v>173</v>
      </c>
      <c r="I12" s="28" t="s">
        <v>173</v>
      </c>
      <c r="J12" s="28" t="s">
        <v>173</v>
      </c>
      <c r="K12" s="28" t="s">
        <v>173</v>
      </c>
      <c r="L12" s="28" t="s">
        <v>173</v>
      </c>
      <c r="M12" s="28" t="s">
        <v>173</v>
      </c>
      <c r="N12" s="28" t="s">
        <v>173</v>
      </c>
      <c r="O12" s="28" t="s">
        <v>173</v>
      </c>
      <c r="P12" s="28" t="s">
        <v>173</v>
      </c>
      <c r="Q12" s="28" t="s">
        <v>173</v>
      </c>
      <c r="R12" s="28" t="s">
        <v>173</v>
      </c>
      <c r="S12" s="28" t="s">
        <v>173</v>
      </c>
      <c r="T12" s="28" t="s">
        <v>173</v>
      </c>
      <c r="U12" s="28" t="s">
        <v>173</v>
      </c>
      <c r="V12" s="28" t="s">
        <v>173</v>
      </c>
      <c r="W12" s="28" t="s">
        <v>173</v>
      </c>
      <c r="X12" s="28" t="s">
        <v>173</v>
      </c>
      <c r="Y12" s="28" t="s">
        <v>173</v>
      </c>
      <c r="Z12" s="28" t="s">
        <v>173</v>
      </c>
      <c r="AA12" s="28" t="s">
        <v>173</v>
      </c>
      <c r="AB12" s="28" t="s">
        <v>173</v>
      </c>
      <c r="AC12" s="28" t="s">
        <v>173</v>
      </c>
      <c r="AD12" s="28" t="s">
        <v>173</v>
      </c>
      <c r="AE12" s="28" t="s">
        <v>173</v>
      </c>
      <c r="AF12" s="28" t="s">
        <v>173</v>
      </c>
      <c r="AG12" s="28" t="s">
        <v>173</v>
      </c>
      <c r="AH12" s="28" t="s">
        <v>173</v>
      </c>
    </row>
    <row r="13" spans="1:34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 t="s">
        <v>173</v>
      </c>
      <c r="S13" s="28" t="s">
        <v>173</v>
      </c>
      <c r="T13" s="28" t="s">
        <v>173</v>
      </c>
      <c r="U13" s="28" t="s">
        <v>173</v>
      </c>
      <c r="V13" s="28" t="s">
        <v>173</v>
      </c>
      <c r="W13" s="28" t="s">
        <v>173</v>
      </c>
      <c r="X13" s="28" t="s">
        <v>173</v>
      </c>
      <c r="Y13" s="28" t="s">
        <v>173</v>
      </c>
      <c r="Z13" s="28" t="s">
        <v>173</v>
      </c>
      <c r="AA13" s="28" t="s">
        <v>173</v>
      </c>
      <c r="AB13" s="28" t="s">
        <v>173</v>
      </c>
      <c r="AC13" s="28" t="s">
        <v>173</v>
      </c>
      <c r="AD13" s="28" t="s">
        <v>173</v>
      </c>
      <c r="AE13" s="28" t="s">
        <v>173</v>
      </c>
      <c r="AF13" s="28" t="s">
        <v>173</v>
      </c>
      <c r="AG13" s="28" t="s">
        <v>173</v>
      </c>
      <c r="AH13" s="28" t="s">
        <v>173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 t="s">
        <v>173</v>
      </c>
      <c r="V14" s="28" t="s">
        <v>173</v>
      </c>
      <c r="W14" s="28" t="s">
        <v>173</v>
      </c>
      <c r="X14" s="28" t="s">
        <v>173</v>
      </c>
      <c r="Y14" s="28" t="s">
        <v>173</v>
      </c>
      <c r="Z14" s="28" t="s">
        <v>173</v>
      </c>
      <c r="AA14" s="28" t="s">
        <v>173</v>
      </c>
      <c r="AB14" s="28" t="s">
        <v>173</v>
      </c>
      <c r="AC14" s="28" t="s">
        <v>173</v>
      </c>
      <c r="AD14" s="28" t="s">
        <v>173</v>
      </c>
      <c r="AE14" s="28" t="s">
        <v>173</v>
      </c>
      <c r="AF14" s="28" t="s">
        <v>173</v>
      </c>
      <c r="AG14" s="28" t="s">
        <v>173</v>
      </c>
      <c r="AH14" s="28" t="s">
        <v>173</v>
      </c>
    </row>
    <row r="15" spans="1:34" x14ac:dyDescent="0.25">
      <c r="A15" s="26" t="s">
        <v>175</v>
      </c>
      <c r="B15" s="28" t="s">
        <v>405</v>
      </c>
      <c r="C15" s="28" t="s">
        <v>267</v>
      </c>
      <c r="D15" s="28" t="s">
        <v>267</v>
      </c>
      <c r="E15" s="28" t="s">
        <v>267</v>
      </c>
      <c r="F15" s="28" t="s">
        <v>267</v>
      </c>
      <c r="G15" s="28" t="s">
        <v>267</v>
      </c>
      <c r="H15" s="28" t="s">
        <v>267</v>
      </c>
      <c r="I15" s="28" t="s">
        <v>267</v>
      </c>
      <c r="J15" s="28" t="s">
        <v>267</v>
      </c>
      <c r="K15" s="28" t="s">
        <v>267</v>
      </c>
      <c r="L15" s="28" t="s">
        <v>267</v>
      </c>
      <c r="M15" s="28" t="s">
        <v>267</v>
      </c>
      <c r="N15" s="28" t="s">
        <v>267</v>
      </c>
      <c r="O15" s="28" t="s">
        <v>267</v>
      </c>
      <c r="P15" s="28" t="s">
        <v>267</v>
      </c>
      <c r="Q15" s="28" t="s">
        <v>267</v>
      </c>
      <c r="R15" s="28" t="s">
        <v>267</v>
      </c>
      <c r="S15" s="28" t="s">
        <v>267</v>
      </c>
      <c r="T15" s="28" t="s">
        <v>267</v>
      </c>
      <c r="U15" s="28" t="s">
        <v>267</v>
      </c>
      <c r="V15" s="28" t="s">
        <v>267</v>
      </c>
      <c r="W15" s="28" t="s">
        <v>267</v>
      </c>
      <c r="X15" s="28" t="s">
        <v>267</v>
      </c>
      <c r="Y15" s="28" t="s">
        <v>267</v>
      </c>
      <c r="Z15" s="28" t="s">
        <v>267</v>
      </c>
      <c r="AA15" s="28" t="s">
        <v>267</v>
      </c>
      <c r="AB15" s="28" t="s">
        <v>267</v>
      </c>
      <c r="AC15" s="28" t="s">
        <v>267</v>
      </c>
      <c r="AD15" s="28" t="s">
        <v>267</v>
      </c>
      <c r="AE15" s="28" t="s">
        <v>267</v>
      </c>
      <c r="AF15" s="28" t="s">
        <v>267</v>
      </c>
      <c r="AG15" s="28" t="s">
        <v>267</v>
      </c>
      <c r="AH15" s="28" t="s">
        <v>267</v>
      </c>
    </row>
    <row r="16" spans="1:34" x14ac:dyDescent="0.25">
      <c r="A16" s="26" t="s">
        <v>176</v>
      </c>
      <c r="B16" s="30">
        <v>-1</v>
      </c>
      <c r="C16" s="30">
        <v>-3</v>
      </c>
      <c r="D16" s="30">
        <v>-3</v>
      </c>
      <c r="E16" s="30">
        <v>-3</v>
      </c>
      <c r="F16" s="30">
        <v>-3</v>
      </c>
      <c r="G16" s="30">
        <v>-3</v>
      </c>
      <c r="H16" s="30">
        <v>-3</v>
      </c>
      <c r="I16" s="30">
        <v>-3</v>
      </c>
      <c r="J16" s="30">
        <v>-3</v>
      </c>
      <c r="K16" s="30">
        <v>-3</v>
      </c>
      <c r="L16" s="30">
        <v>-3</v>
      </c>
      <c r="M16" s="30">
        <v>-3</v>
      </c>
      <c r="N16" s="30">
        <v>-3</v>
      </c>
      <c r="O16" s="30">
        <v>-3</v>
      </c>
      <c r="P16" s="30">
        <v>-3</v>
      </c>
      <c r="Q16" s="30">
        <v>-3</v>
      </c>
      <c r="R16" s="30">
        <v>-3</v>
      </c>
      <c r="S16" s="30">
        <v>-3</v>
      </c>
      <c r="T16" s="30">
        <v>-3</v>
      </c>
      <c r="U16" s="30">
        <v>-3</v>
      </c>
      <c r="V16" s="30">
        <v>-3</v>
      </c>
      <c r="W16" s="30">
        <v>-3</v>
      </c>
      <c r="X16" s="30">
        <v>-3</v>
      </c>
      <c r="Y16" s="30">
        <v>-3</v>
      </c>
      <c r="Z16" s="30">
        <v>-3</v>
      </c>
      <c r="AA16" s="30">
        <v>-3</v>
      </c>
      <c r="AB16" s="30">
        <v>-3</v>
      </c>
      <c r="AC16" s="30">
        <v>-3</v>
      </c>
      <c r="AD16" s="30">
        <v>-3</v>
      </c>
      <c r="AE16" s="30">
        <v>-3</v>
      </c>
      <c r="AF16" s="30">
        <v>-3</v>
      </c>
      <c r="AG16" s="30">
        <v>-3</v>
      </c>
      <c r="AH16" s="30">
        <v>-3</v>
      </c>
    </row>
    <row r="17" spans="1:34" x14ac:dyDescent="0.25">
      <c r="A17" s="26" t="s">
        <v>177</v>
      </c>
      <c r="B17" s="28" t="s">
        <v>178</v>
      </c>
      <c r="C17" s="28" t="s">
        <v>178</v>
      </c>
      <c r="D17" s="28" t="s">
        <v>178</v>
      </c>
      <c r="E17" s="28" t="s">
        <v>178</v>
      </c>
      <c r="F17" s="28" t="s">
        <v>178</v>
      </c>
      <c r="G17" s="28" t="s">
        <v>178</v>
      </c>
      <c r="H17" s="28" t="s">
        <v>178</v>
      </c>
      <c r="I17" s="28" t="s">
        <v>178</v>
      </c>
      <c r="J17" s="28" t="s">
        <v>178</v>
      </c>
      <c r="K17" s="28" t="s">
        <v>178</v>
      </c>
      <c r="L17" s="28" t="s">
        <v>178</v>
      </c>
      <c r="M17" s="28" t="s">
        <v>178</v>
      </c>
      <c r="N17" s="28" t="s">
        <v>178</v>
      </c>
      <c r="O17" s="28" t="s">
        <v>178</v>
      </c>
      <c r="P17" s="28" t="s">
        <v>178</v>
      </c>
      <c r="Q17" s="28" t="s">
        <v>178</v>
      </c>
      <c r="R17" s="28" t="s">
        <v>178</v>
      </c>
      <c r="S17" s="28" t="s">
        <v>178</v>
      </c>
      <c r="T17" s="28" t="s">
        <v>178</v>
      </c>
      <c r="U17" s="28" t="s">
        <v>178</v>
      </c>
      <c r="V17" s="28" t="s">
        <v>178</v>
      </c>
      <c r="W17" s="28" t="s">
        <v>178</v>
      </c>
      <c r="X17" s="28" t="s">
        <v>178</v>
      </c>
      <c r="Y17" s="28" t="s">
        <v>178</v>
      </c>
      <c r="Z17" s="28" t="s">
        <v>178</v>
      </c>
      <c r="AA17" s="28" t="s">
        <v>178</v>
      </c>
      <c r="AB17" s="28" t="s">
        <v>178</v>
      </c>
      <c r="AC17" s="28" t="s">
        <v>178</v>
      </c>
      <c r="AD17" s="28" t="s">
        <v>178</v>
      </c>
      <c r="AE17" s="28" t="s">
        <v>178</v>
      </c>
      <c r="AF17" s="28" t="s">
        <v>178</v>
      </c>
      <c r="AG17" s="28" t="s">
        <v>178</v>
      </c>
      <c r="AH17" s="28" t="s">
        <v>178</v>
      </c>
    </row>
    <row r="18" spans="1:34" x14ac:dyDescent="0.25">
      <c r="A18" s="26" t="s">
        <v>182</v>
      </c>
      <c r="B18" s="30">
        <v>4</v>
      </c>
      <c r="C18" s="30">
        <v>4</v>
      </c>
      <c r="D18" s="30">
        <v>4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30">
        <v>4</v>
      </c>
      <c r="S18" s="30">
        <v>4</v>
      </c>
      <c r="T18" s="30">
        <v>4</v>
      </c>
      <c r="U18" s="30">
        <v>4</v>
      </c>
      <c r="V18" s="30">
        <v>4</v>
      </c>
      <c r="W18" s="30">
        <v>4</v>
      </c>
      <c r="X18" s="30">
        <v>4</v>
      </c>
      <c r="Y18" s="30">
        <v>4</v>
      </c>
      <c r="Z18" s="30">
        <v>4</v>
      </c>
      <c r="AA18" s="30">
        <v>4</v>
      </c>
      <c r="AB18" s="30">
        <v>4</v>
      </c>
      <c r="AC18" s="30">
        <v>4</v>
      </c>
      <c r="AD18" s="30">
        <v>4</v>
      </c>
      <c r="AE18" s="30">
        <v>4</v>
      </c>
      <c r="AF18" s="30">
        <v>4</v>
      </c>
      <c r="AG18" s="30">
        <v>4</v>
      </c>
      <c r="AH18" s="30">
        <v>4</v>
      </c>
    </row>
    <row r="20" spans="1:34" x14ac:dyDescent="0.25">
      <c r="A20" s="26" t="s">
        <v>159</v>
      </c>
      <c r="B20" s="199"/>
      <c r="C20" s="80" t="s">
        <v>341</v>
      </c>
      <c r="D20" s="80" t="s">
        <v>341</v>
      </c>
      <c r="E20" s="80" t="s">
        <v>341</v>
      </c>
      <c r="F20" s="80" t="s">
        <v>341</v>
      </c>
      <c r="G20" s="80" t="s">
        <v>341</v>
      </c>
      <c r="H20" s="80" t="s">
        <v>341</v>
      </c>
      <c r="I20" s="80" t="s">
        <v>341</v>
      </c>
      <c r="J20" s="80" t="s">
        <v>341</v>
      </c>
      <c r="K20" s="80" t="s">
        <v>341</v>
      </c>
      <c r="L20" s="80" t="s">
        <v>341</v>
      </c>
      <c r="M20" s="80" t="s">
        <v>341</v>
      </c>
      <c r="N20" s="80" t="s">
        <v>341</v>
      </c>
      <c r="O20" s="80" t="s">
        <v>341</v>
      </c>
      <c r="P20" s="80" t="s">
        <v>341</v>
      </c>
      <c r="Q20" s="80" t="s">
        <v>341</v>
      </c>
      <c r="R20" s="80" t="s">
        <v>341</v>
      </c>
      <c r="S20" s="80" t="s">
        <v>341</v>
      </c>
      <c r="T20" s="80" t="s">
        <v>341</v>
      </c>
      <c r="U20" s="80" t="s">
        <v>341</v>
      </c>
      <c r="V20" s="80" t="s">
        <v>341</v>
      </c>
      <c r="W20" s="80" t="s">
        <v>341</v>
      </c>
      <c r="X20" s="80" t="s">
        <v>341</v>
      </c>
      <c r="Y20" s="80" t="s">
        <v>341</v>
      </c>
      <c r="Z20" s="80" t="s">
        <v>341</v>
      </c>
      <c r="AA20" s="80" t="s">
        <v>341</v>
      </c>
      <c r="AB20" s="80" t="s">
        <v>341</v>
      </c>
      <c r="AC20" s="80" t="s">
        <v>341</v>
      </c>
      <c r="AD20" s="80" t="s">
        <v>341</v>
      </c>
      <c r="AE20" s="80" t="s">
        <v>341</v>
      </c>
      <c r="AF20" s="80" t="s">
        <v>341</v>
      </c>
      <c r="AG20" s="80" t="s">
        <v>341</v>
      </c>
      <c r="AH20" s="80" t="s">
        <v>341</v>
      </c>
    </row>
    <row r="21" spans="1:34" x14ac:dyDescent="0.25">
      <c r="A21" s="26" t="s">
        <v>165</v>
      </c>
      <c r="B21" s="200"/>
      <c r="C21" s="81" t="s">
        <v>341</v>
      </c>
      <c r="D21" s="81" t="s">
        <v>341</v>
      </c>
      <c r="E21" s="81" t="s">
        <v>341</v>
      </c>
      <c r="F21" s="81" t="s">
        <v>341</v>
      </c>
      <c r="G21" s="81" t="s">
        <v>341</v>
      </c>
      <c r="H21" s="81" t="s">
        <v>341</v>
      </c>
      <c r="I21" s="81" t="s">
        <v>341</v>
      </c>
      <c r="J21" s="81" t="s">
        <v>341</v>
      </c>
      <c r="K21" s="81" t="s">
        <v>341</v>
      </c>
      <c r="L21" s="81" t="s">
        <v>341</v>
      </c>
      <c r="M21" s="81" t="s">
        <v>341</v>
      </c>
      <c r="N21" s="81" t="s">
        <v>341</v>
      </c>
      <c r="O21" s="81" t="s">
        <v>341</v>
      </c>
      <c r="P21" s="81" t="s">
        <v>341</v>
      </c>
      <c r="Q21" s="81" t="s">
        <v>341</v>
      </c>
      <c r="R21" s="81" t="s">
        <v>341</v>
      </c>
      <c r="S21" s="81" t="s">
        <v>341</v>
      </c>
      <c r="T21" s="81" t="s">
        <v>341</v>
      </c>
      <c r="U21" s="81" t="s">
        <v>341</v>
      </c>
      <c r="V21" s="81" t="s">
        <v>341</v>
      </c>
      <c r="W21" s="81" t="s">
        <v>341</v>
      </c>
      <c r="X21" s="81" t="s">
        <v>341</v>
      </c>
      <c r="Y21" s="81" t="s">
        <v>341</v>
      </c>
      <c r="Z21" s="81" t="s">
        <v>341</v>
      </c>
      <c r="AA21" s="81" t="s">
        <v>341</v>
      </c>
      <c r="AB21" s="81" t="s">
        <v>341</v>
      </c>
      <c r="AC21" s="81" t="s">
        <v>341</v>
      </c>
      <c r="AD21" s="81" t="s">
        <v>341</v>
      </c>
      <c r="AE21" s="81" t="s">
        <v>341</v>
      </c>
      <c r="AF21" s="81" t="s">
        <v>341</v>
      </c>
      <c r="AG21" s="81" t="s">
        <v>341</v>
      </c>
      <c r="AH21" s="81" t="s">
        <v>341</v>
      </c>
    </row>
    <row r="22" spans="1:34" x14ac:dyDescent="0.25">
      <c r="A22" s="131" t="s">
        <v>168</v>
      </c>
      <c r="B22" s="200"/>
      <c r="C22" s="198"/>
      <c r="D22" s="198"/>
      <c r="E22" s="198"/>
      <c r="F22" s="198"/>
      <c r="G22" s="198"/>
      <c r="H22" s="198"/>
      <c r="I22" s="198"/>
      <c r="J22" s="198"/>
      <c r="K22" s="198"/>
      <c r="L22" s="198"/>
      <c r="M22" s="198"/>
      <c r="N22" s="198"/>
      <c r="O22" s="198"/>
      <c r="P22" s="198"/>
      <c r="Q22" s="198"/>
      <c r="R22" s="198"/>
      <c r="S22" s="198"/>
      <c r="T22" s="198"/>
      <c r="U22" s="198"/>
      <c r="V22" s="198"/>
      <c r="W22" s="198"/>
      <c r="X22" s="198"/>
      <c r="Y22" s="198"/>
      <c r="Z22" s="198"/>
      <c r="AA22" s="198"/>
      <c r="AB22" s="198"/>
      <c r="AC22" s="198"/>
      <c r="AD22" s="198"/>
      <c r="AE22" s="198"/>
      <c r="AF22" s="198"/>
      <c r="AG22" s="198"/>
      <c r="AH22" s="198"/>
    </row>
    <row r="23" spans="1:34" x14ac:dyDescent="0.25">
      <c r="A23" s="26" t="s">
        <v>169</v>
      </c>
      <c r="B23" s="199"/>
      <c r="C23" s="80" t="s">
        <v>173</v>
      </c>
      <c r="D23" s="80" t="s">
        <v>173</v>
      </c>
      <c r="E23" s="80" t="s">
        <v>173</v>
      </c>
      <c r="F23" s="80" t="s">
        <v>173</v>
      </c>
      <c r="G23" s="80" t="s">
        <v>173</v>
      </c>
      <c r="H23" s="80" t="s">
        <v>173</v>
      </c>
      <c r="I23" s="80" t="s">
        <v>173</v>
      </c>
      <c r="J23" s="80" t="s">
        <v>173</v>
      </c>
      <c r="K23" s="80" t="s">
        <v>173</v>
      </c>
      <c r="L23" s="80" t="s">
        <v>173</v>
      </c>
      <c r="M23" s="80" t="s">
        <v>173</v>
      </c>
      <c r="N23" s="80" t="s">
        <v>173</v>
      </c>
      <c r="O23" s="80" t="s">
        <v>173</v>
      </c>
      <c r="P23" s="80" t="s">
        <v>173</v>
      </c>
      <c r="Q23" s="80" t="s">
        <v>173</v>
      </c>
      <c r="R23" s="80" t="s">
        <v>173</v>
      </c>
      <c r="S23" s="80" t="s">
        <v>173</v>
      </c>
      <c r="T23" s="80" t="s">
        <v>173</v>
      </c>
      <c r="U23" s="80" t="s">
        <v>173</v>
      </c>
      <c r="V23" s="80" t="s">
        <v>173</v>
      </c>
      <c r="W23" s="80" t="s">
        <v>173</v>
      </c>
      <c r="X23" s="80" t="s">
        <v>173</v>
      </c>
      <c r="Y23" s="80" t="s">
        <v>173</v>
      </c>
      <c r="Z23" s="80" t="s">
        <v>173</v>
      </c>
      <c r="AA23" s="80" t="s">
        <v>173</v>
      </c>
      <c r="AB23" s="80" t="s">
        <v>173</v>
      </c>
      <c r="AC23" s="80" t="s">
        <v>173</v>
      </c>
      <c r="AD23" s="80" t="s">
        <v>173</v>
      </c>
      <c r="AE23" s="80" t="s">
        <v>173</v>
      </c>
      <c r="AF23" s="80" t="s">
        <v>173</v>
      </c>
      <c r="AG23" s="80" t="s">
        <v>173</v>
      </c>
      <c r="AH23" s="80" t="s">
        <v>173</v>
      </c>
    </row>
    <row r="24" spans="1:34" x14ac:dyDescent="0.25">
      <c r="A24" s="26" t="s">
        <v>171</v>
      </c>
      <c r="B24" s="199"/>
      <c r="C24" s="80" t="s">
        <v>173</v>
      </c>
      <c r="D24" s="80" t="s">
        <v>173</v>
      </c>
      <c r="E24" s="80" t="s">
        <v>173</v>
      </c>
      <c r="F24" s="80" t="s">
        <v>173</v>
      </c>
      <c r="G24" s="80" t="s">
        <v>173</v>
      </c>
      <c r="H24" s="80" t="s">
        <v>173</v>
      </c>
      <c r="I24" s="80" t="s">
        <v>173</v>
      </c>
      <c r="J24" s="80" t="s">
        <v>173</v>
      </c>
      <c r="K24" s="80" t="s">
        <v>173</v>
      </c>
      <c r="L24" s="80" t="s">
        <v>173</v>
      </c>
      <c r="M24" s="80" t="s">
        <v>173</v>
      </c>
      <c r="N24" s="80" t="s">
        <v>173</v>
      </c>
      <c r="O24" s="80" t="s">
        <v>173</v>
      </c>
      <c r="P24" s="80" t="s">
        <v>173</v>
      </c>
      <c r="Q24" s="80" t="s">
        <v>173</v>
      </c>
      <c r="R24" s="80" t="s">
        <v>173</v>
      </c>
      <c r="S24" s="80" t="s">
        <v>173</v>
      </c>
      <c r="T24" s="80" t="s">
        <v>173</v>
      </c>
      <c r="U24" s="80" t="s">
        <v>173</v>
      </c>
      <c r="V24" s="80" t="s">
        <v>173</v>
      </c>
      <c r="W24" s="80" t="s">
        <v>173</v>
      </c>
      <c r="X24" s="80" t="s">
        <v>173</v>
      </c>
      <c r="Y24" s="80" t="s">
        <v>173</v>
      </c>
      <c r="Z24" s="80" t="s">
        <v>173</v>
      </c>
      <c r="AA24" s="80" t="s">
        <v>173</v>
      </c>
      <c r="AB24" s="80" t="s">
        <v>173</v>
      </c>
      <c r="AC24" s="80" t="s">
        <v>173</v>
      </c>
      <c r="AD24" s="80" t="s">
        <v>173</v>
      </c>
      <c r="AE24" s="80" t="s">
        <v>173</v>
      </c>
      <c r="AF24" s="80" t="s">
        <v>173</v>
      </c>
      <c r="AG24" s="80" t="s">
        <v>173</v>
      </c>
      <c r="AH24" s="80" t="s">
        <v>173</v>
      </c>
    </row>
    <row r="25" spans="1:34" x14ac:dyDescent="0.25">
      <c r="A25" s="26" t="s">
        <v>172</v>
      </c>
      <c r="B25" s="199"/>
      <c r="C25" s="80" t="s">
        <v>173</v>
      </c>
      <c r="D25" s="80" t="s">
        <v>173</v>
      </c>
      <c r="E25" s="80" t="s">
        <v>173</v>
      </c>
      <c r="F25" s="80" t="s">
        <v>173</v>
      </c>
      <c r="G25" s="80" t="s">
        <v>173</v>
      </c>
      <c r="H25" s="80" t="s">
        <v>173</v>
      </c>
      <c r="I25" s="80" t="s">
        <v>173</v>
      </c>
      <c r="J25" s="80" t="s">
        <v>173</v>
      </c>
      <c r="K25" s="80" t="s">
        <v>173</v>
      </c>
      <c r="L25" s="80" t="s">
        <v>173</v>
      </c>
      <c r="M25" s="80" t="s">
        <v>173</v>
      </c>
      <c r="N25" s="80" t="s">
        <v>173</v>
      </c>
      <c r="O25" s="80" t="s">
        <v>173</v>
      </c>
      <c r="P25" s="80" t="s">
        <v>173</v>
      </c>
      <c r="Q25" s="80" t="s">
        <v>173</v>
      </c>
      <c r="R25" s="80" t="s">
        <v>173</v>
      </c>
      <c r="S25" s="80" t="s">
        <v>173</v>
      </c>
      <c r="T25" s="80" t="s">
        <v>173</v>
      </c>
      <c r="U25" s="80" t="s">
        <v>173</v>
      </c>
      <c r="V25" s="80" t="s">
        <v>173</v>
      </c>
      <c r="W25" s="80" t="s">
        <v>173</v>
      </c>
      <c r="X25" s="80" t="s">
        <v>173</v>
      </c>
      <c r="Y25" s="80" t="s">
        <v>173</v>
      </c>
      <c r="Z25" s="80" t="s">
        <v>173</v>
      </c>
      <c r="AA25" s="80" t="s">
        <v>173</v>
      </c>
      <c r="AB25" s="80" t="s">
        <v>173</v>
      </c>
      <c r="AC25" s="80" t="s">
        <v>173</v>
      </c>
      <c r="AD25" s="80" t="s">
        <v>173</v>
      </c>
      <c r="AE25" s="80" t="s">
        <v>173</v>
      </c>
      <c r="AF25" s="80" t="s">
        <v>173</v>
      </c>
      <c r="AG25" s="80" t="s">
        <v>173</v>
      </c>
      <c r="AH25" s="80" t="s">
        <v>173</v>
      </c>
    </row>
    <row r="26" spans="1:34" x14ac:dyDescent="0.25">
      <c r="A26" s="26" t="s">
        <v>174</v>
      </c>
      <c r="B26" s="199"/>
      <c r="C26" s="80" t="s">
        <v>173</v>
      </c>
      <c r="D26" s="80" t="s">
        <v>173</v>
      </c>
      <c r="E26" s="80" t="s">
        <v>173</v>
      </c>
      <c r="F26" s="80" t="s">
        <v>173</v>
      </c>
      <c r="G26" s="80" t="s">
        <v>173</v>
      </c>
      <c r="H26" s="80" t="s">
        <v>173</v>
      </c>
      <c r="I26" s="80" t="s">
        <v>173</v>
      </c>
      <c r="J26" s="80" t="s">
        <v>173</v>
      </c>
      <c r="K26" s="80" t="s">
        <v>173</v>
      </c>
      <c r="L26" s="80" t="s">
        <v>173</v>
      </c>
      <c r="M26" s="80" t="s">
        <v>173</v>
      </c>
      <c r="N26" s="80" t="s">
        <v>173</v>
      </c>
      <c r="O26" s="80" t="s">
        <v>173</v>
      </c>
      <c r="P26" s="80" t="s">
        <v>173</v>
      </c>
      <c r="Q26" s="80" t="s">
        <v>173</v>
      </c>
      <c r="R26" s="80" t="s">
        <v>173</v>
      </c>
      <c r="S26" s="80" t="s">
        <v>173</v>
      </c>
      <c r="T26" s="80" t="s">
        <v>173</v>
      </c>
      <c r="U26" s="80" t="s">
        <v>173</v>
      </c>
      <c r="V26" s="80" t="s">
        <v>173</v>
      </c>
      <c r="W26" s="80" t="s">
        <v>173</v>
      </c>
      <c r="X26" s="80" t="s">
        <v>173</v>
      </c>
      <c r="Y26" s="80" t="s">
        <v>173</v>
      </c>
      <c r="Z26" s="80" t="s">
        <v>173</v>
      </c>
      <c r="AA26" s="80" t="s">
        <v>173</v>
      </c>
      <c r="AB26" s="80" t="s">
        <v>173</v>
      </c>
      <c r="AC26" s="80" t="s">
        <v>173</v>
      </c>
      <c r="AD26" s="80" t="s">
        <v>173</v>
      </c>
      <c r="AE26" s="80" t="s">
        <v>173</v>
      </c>
      <c r="AF26" s="80" t="s">
        <v>173</v>
      </c>
      <c r="AG26" s="80" t="s">
        <v>173</v>
      </c>
      <c r="AH26" s="80" t="s">
        <v>173</v>
      </c>
    </row>
    <row r="27" spans="1:34" x14ac:dyDescent="0.25">
      <c r="A27" s="26" t="s">
        <v>175</v>
      </c>
      <c r="B27" s="199"/>
      <c r="C27" s="80" t="s">
        <v>405</v>
      </c>
      <c r="D27" s="80" t="s">
        <v>405</v>
      </c>
      <c r="E27" s="80" t="s">
        <v>405</v>
      </c>
      <c r="F27" s="80" t="s">
        <v>405</v>
      </c>
      <c r="G27" s="80" t="s">
        <v>405</v>
      </c>
      <c r="H27" s="80" t="s">
        <v>405</v>
      </c>
      <c r="I27" s="80" t="s">
        <v>405</v>
      </c>
      <c r="J27" s="80" t="s">
        <v>405</v>
      </c>
      <c r="K27" s="80" t="s">
        <v>405</v>
      </c>
      <c r="L27" s="80" t="s">
        <v>405</v>
      </c>
      <c r="M27" s="80" t="s">
        <v>405</v>
      </c>
      <c r="N27" s="80" t="s">
        <v>405</v>
      </c>
      <c r="O27" s="80" t="s">
        <v>405</v>
      </c>
      <c r="P27" s="80" t="s">
        <v>405</v>
      </c>
      <c r="Q27" s="80" t="s">
        <v>405</v>
      </c>
      <c r="R27" s="80" t="s">
        <v>405</v>
      </c>
      <c r="S27" s="80" t="s">
        <v>405</v>
      </c>
      <c r="T27" s="80" t="s">
        <v>405</v>
      </c>
      <c r="U27" s="80" t="s">
        <v>405</v>
      </c>
      <c r="V27" s="80" t="s">
        <v>405</v>
      </c>
      <c r="W27" s="80" t="s">
        <v>405</v>
      </c>
      <c r="X27" s="80" t="s">
        <v>405</v>
      </c>
      <c r="Y27" s="80" t="s">
        <v>405</v>
      </c>
      <c r="Z27" s="80" t="s">
        <v>405</v>
      </c>
      <c r="AA27" s="80" t="s">
        <v>405</v>
      </c>
      <c r="AB27" s="80" t="s">
        <v>405</v>
      </c>
      <c r="AC27" s="80" t="s">
        <v>405</v>
      </c>
      <c r="AD27" s="80" t="s">
        <v>405</v>
      </c>
      <c r="AE27" s="80" t="s">
        <v>405</v>
      </c>
      <c r="AF27" s="80" t="s">
        <v>405</v>
      </c>
      <c r="AG27" s="80" t="s">
        <v>405</v>
      </c>
      <c r="AH27" s="80" t="s">
        <v>405</v>
      </c>
    </row>
    <row r="28" spans="1:34" x14ac:dyDescent="0.25">
      <c r="A28" s="26" t="s">
        <v>176</v>
      </c>
      <c r="B28" s="201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82">
        <v>0</v>
      </c>
      <c r="Y28" s="82">
        <v>0</v>
      </c>
      <c r="Z28" s="82">
        <v>0</v>
      </c>
      <c r="AA28" s="82">
        <v>0</v>
      </c>
      <c r="AB28" s="82">
        <v>0</v>
      </c>
      <c r="AC28" s="82">
        <v>0</v>
      </c>
      <c r="AD28" s="82">
        <v>0</v>
      </c>
      <c r="AE28" s="82">
        <v>0</v>
      </c>
      <c r="AF28" s="82">
        <v>0</v>
      </c>
      <c r="AG28" s="82">
        <v>0</v>
      </c>
      <c r="AH28" s="82">
        <v>0</v>
      </c>
    </row>
    <row r="29" spans="1:34" x14ac:dyDescent="0.25">
      <c r="A29" s="26" t="s">
        <v>177</v>
      </c>
      <c r="B29" s="199"/>
      <c r="C29" s="80" t="s">
        <v>341</v>
      </c>
      <c r="D29" s="80" t="s">
        <v>341</v>
      </c>
      <c r="E29" s="80" t="s">
        <v>341</v>
      </c>
      <c r="F29" s="80" t="s">
        <v>341</v>
      </c>
      <c r="G29" s="80" t="s">
        <v>341</v>
      </c>
      <c r="H29" s="80" t="s">
        <v>341</v>
      </c>
      <c r="I29" s="80" t="s">
        <v>341</v>
      </c>
      <c r="J29" s="80" t="s">
        <v>341</v>
      </c>
      <c r="K29" s="80" t="s">
        <v>341</v>
      </c>
      <c r="L29" s="80" t="s">
        <v>341</v>
      </c>
      <c r="M29" s="80" t="s">
        <v>341</v>
      </c>
      <c r="N29" s="80" t="s">
        <v>341</v>
      </c>
      <c r="O29" s="80" t="s">
        <v>341</v>
      </c>
      <c r="P29" s="80" t="s">
        <v>341</v>
      </c>
      <c r="Q29" s="80" t="s">
        <v>341</v>
      </c>
      <c r="R29" s="80" t="s">
        <v>341</v>
      </c>
      <c r="S29" s="80" t="s">
        <v>341</v>
      </c>
      <c r="T29" s="80" t="s">
        <v>341</v>
      </c>
      <c r="U29" s="80" t="s">
        <v>341</v>
      </c>
      <c r="V29" s="80" t="s">
        <v>341</v>
      </c>
      <c r="W29" s="80" t="s">
        <v>341</v>
      </c>
      <c r="X29" s="80" t="s">
        <v>341</v>
      </c>
      <c r="Y29" s="80" t="s">
        <v>341</v>
      </c>
      <c r="Z29" s="80" t="s">
        <v>341</v>
      </c>
      <c r="AA29" s="80" t="s">
        <v>341</v>
      </c>
      <c r="AB29" s="80" t="s">
        <v>341</v>
      </c>
      <c r="AC29" s="80" t="s">
        <v>341</v>
      </c>
      <c r="AD29" s="80" t="s">
        <v>341</v>
      </c>
      <c r="AE29" s="80" t="s">
        <v>341</v>
      </c>
      <c r="AF29" s="80" t="s">
        <v>341</v>
      </c>
      <c r="AG29" s="80" t="s">
        <v>341</v>
      </c>
      <c r="AH29" s="80" t="s">
        <v>341</v>
      </c>
    </row>
    <row r="30" spans="1:34" x14ac:dyDescent="0.25">
      <c r="A30" s="26" t="s">
        <v>182</v>
      </c>
      <c r="B30" s="201"/>
      <c r="C30" s="82">
        <v>0</v>
      </c>
      <c r="D30" s="82">
        <v>0</v>
      </c>
      <c r="E30" s="82">
        <v>0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  <c r="N30" s="82">
        <v>0</v>
      </c>
      <c r="O30" s="82">
        <v>0</v>
      </c>
      <c r="P30" s="82">
        <v>0</v>
      </c>
      <c r="Q30" s="82">
        <v>0</v>
      </c>
      <c r="R30" s="82">
        <v>0</v>
      </c>
      <c r="S30" s="82">
        <v>0</v>
      </c>
      <c r="T30" s="82">
        <v>0</v>
      </c>
      <c r="U30" s="82">
        <v>0</v>
      </c>
      <c r="V30" s="82">
        <v>0</v>
      </c>
      <c r="W30" s="82">
        <v>0</v>
      </c>
      <c r="X30" s="82">
        <v>0</v>
      </c>
      <c r="Y30" s="82">
        <v>0</v>
      </c>
      <c r="Z30" s="82">
        <v>0</v>
      </c>
      <c r="AA30" s="82">
        <v>0</v>
      </c>
      <c r="AB30" s="82">
        <v>0</v>
      </c>
      <c r="AC30" s="82">
        <v>0</v>
      </c>
      <c r="AD30" s="82">
        <v>0</v>
      </c>
      <c r="AE30" s="82">
        <v>0</v>
      </c>
      <c r="AF30" s="82">
        <v>0</v>
      </c>
      <c r="AG30" s="82">
        <v>0</v>
      </c>
      <c r="AH30" s="82">
        <v>0</v>
      </c>
    </row>
    <row r="32" spans="1:34" x14ac:dyDescent="0.25">
      <c r="A32" s="31" t="s">
        <v>183</v>
      </c>
    </row>
    <row r="33" spans="1:2" x14ac:dyDescent="0.25">
      <c r="A33" s="26" t="s">
        <v>651</v>
      </c>
      <c r="B33" s="56" t="s">
        <v>295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51F5B-A7B0-492A-B8A7-F5355375C712}">
  <dimension ref="A1:AU37"/>
  <sheetViews>
    <sheetView topLeftCell="Q9" workbookViewId="0">
      <selection activeCell="AE22" sqref="AE22"/>
    </sheetView>
  </sheetViews>
  <sheetFormatPr defaultColWidth="9.140625" defaultRowHeight="15" x14ac:dyDescent="0.25"/>
  <cols>
    <col min="1" max="1" width="23.28515625" style="26" bestFit="1" customWidth="1"/>
    <col min="2" max="57" width="5.7109375" style="26" customWidth="1"/>
    <col min="58" max="16384" width="9.140625" style="26"/>
  </cols>
  <sheetData>
    <row r="1" spans="1:47" x14ac:dyDescent="0.25">
      <c r="A1" s="25" t="s">
        <v>116</v>
      </c>
      <c r="D1" s="25" t="s">
        <v>117</v>
      </c>
      <c r="I1" s="25" t="s">
        <v>549</v>
      </c>
    </row>
    <row r="3" spans="1:47" ht="18" x14ac:dyDescent="0.25">
      <c r="A3" s="25" t="s">
        <v>119</v>
      </c>
      <c r="B3" s="215">
        <v>42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47" ht="18" x14ac:dyDescent="0.25">
      <c r="A4" s="25" t="s">
        <v>121</v>
      </c>
      <c r="B4" s="215" t="s">
        <v>626</v>
      </c>
      <c r="C4" s="215"/>
      <c r="D4" s="215"/>
      <c r="F4" s="216" t="s">
        <v>652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47" ht="18" x14ac:dyDescent="0.25">
      <c r="A5" s="25" t="s">
        <v>124</v>
      </c>
      <c r="B5" s="215" t="s">
        <v>187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47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76" t="s">
        <v>158</v>
      </c>
      <c r="AJ7" s="45" t="s">
        <v>144</v>
      </c>
      <c r="AK7" s="45" t="s">
        <v>145</v>
      </c>
      <c r="AL7" s="46" t="s">
        <v>146</v>
      </c>
      <c r="AM7" s="47" t="s">
        <v>148</v>
      </c>
      <c r="AN7" s="47" t="s">
        <v>149</v>
      </c>
      <c r="AO7" s="48" t="s">
        <v>150</v>
      </c>
      <c r="AP7" s="72" t="s">
        <v>151</v>
      </c>
      <c r="AQ7" s="49" t="s">
        <v>152</v>
      </c>
      <c r="AR7" s="49" t="s">
        <v>153</v>
      </c>
      <c r="AS7" s="49" t="s">
        <v>154</v>
      </c>
      <c r="AT7" s="50" t="s">
        <v>155</v>
      </c>
      <c r="AU7" s="51" t="s">
        <v>156</v>
      </c>
    </row>
    <row r="8" spans="1:47" x14ac:dyDescent="0.25">
      <c r="A8" s="26" t="s">
        <v>159</v>
      </c>
      <c r="B8" s="28" t="s">
        <v>629</v>
      </c>
      <c r="C8" s="83" t="s">
        <v>631</v>
      </c>
      <c r="D8" s="83" t="s">
        <v>631</v>
      </c>
      <c r="E8" s="83" t="s">
        <v>631</v>
      </c>
      <c r="F8" s="83" t="s">
        <v>631</v>
      </c>
      <c r="G8" s="83" t="s">
        <v>631</v>
      </c>
      <c r="H8" s="83" t="s">
        <v>631</v>
      </c>
      <c r="I8" s="83" t="s">
        <v>631</v>
      </c>
      <c r="J8" s="83" t="s">
        <v>631</v>
      </c>
      <c r="K8" s="83" t="s">
        <v>631</v>
      </c>
      <c r="L8" s="83" t="s">
        <v>631</v>
      </c>
      <c r="M8" s="83" t="s">
        <v>631</v>
      </c>
      <c r="N8" s="83" t="s">
        <v>631</v>
      </c>
      <c r="O8" s="83" t="s">
        <v>631</v>
      </c>
      <c r="P8" s="83" t="s">
        <v>653</v>
      </c>
      <c r="Q8" s="83" t="s">
        <v>653</v>
      </c>
      <c r="R8" s="28" t="s">
        <v>248</v>
      </c>
      <c r="S8" s="83" t="s">
        <v>631</v>
      </c>
      <c r="T8" s="28" t="s">
        <v>252</v>
      </c>
      <c r="U8" s="28" t="s">
        <v>252</v>
      </c>
      <c r="V8" s="28" t="s">
        <v>654</v>
      </c>
      <c r="W8" s="28" t="s">
        <v>248</v>
      </c>
      <c r="X8" s="28" t="s">
        <v>252</v>
      </c>
      <c r="Y8" s="28" t="s">
        <v>252</v>
      </c>
      <c r="Z8" s="28" t="s">
        <v>252</v>
      </c>
      <c r="AA8" s="28" t="s">
        <v>252</v>
      </c>
      <c r="AB8" s="28"/>
      <c r="AC8" s="28" t="s">
        <v>248</v>
      </c>
      <c r="AD8" s="28"/>
      <c r="AE8" s="28" t="s">
        <v>655</v>
      </c>
      <c r="AF8" s="28" t="s">
        <v>252</v>
      </c>
      <c r="AG8" s="28" t="s">
        <v>193</v>
      </c>
      <c r="AH8" s="28" t="s">
        <v>248</v>
      </c>
      <c r="AJ8" s="28" t="s">
        <v>630</v>
      </c>
      <c r="AK8" s="28" t="s">
        <v>630</v>
      </c>
      <c r="AL8" s="28" t="s">
        <v>630</v>
      </c>
      <c r="AM8" s="28" t="s">
        <v>161</v>
      </c>
      <c r="AN8" s="28" t="s">
        <v>248</v>
      </c>
      <c r="AO8" s="28" t="s">
        <v>630</v>
      </c>
      <c r="AP8" s="28" t="s">
        <v>630</v>
      </c>
      <c r="AQ8" s="28" t="s">
        <v>630</v>
      </c>
      <c r="AR8" s="28" t="s">
        <v>630</v>
      </c>
      <c r="AS8" s="28" t="s">
        <v>630</v>
      </c>
      <c r="AT8" s="28" t="s">
        <v>630</v>
      </c>
      <c r="AU8" s="28" t="s">
        <v>248</v>
      </c>
    </row>
    <row r="9" spans="1:47" x14ac:dyDescent="0.25">
      <c r="A9" s="26" t="s">
        <v>165</v>
      </c>
      <c r="B9" s="29" t="s">
        <v>632</v>
      </c>
      <c r="C9" s="28" t="s">
        <v>254</v>
      </c>
      <c r="D9" s="28" t="s">
        <v>254</v>
      </c>
      <c r="E9" s="28" t="s">
        <v>254</v>
      </c>
      <c r="F9" s="28" t="s">
        <v>254</v>
      </c>
      <c r="G9" s="28" t="s">
        <v>254</v>
      </c>
      <c r="H9" s="28" t="s">
        <v>254</v>
      </c>
      <c r="I9" s="28" t="s">
        <v>254</v>
      </c>
      <c r="J9" s="28" t="s">
        <v>254</v>
      </c>
      <c r="K9" s="28" t="s">
        <v>254</v>
      </c>
      <c r="L9" s="28" t="s">
        <v>254</v>
      </c>
      <c r="M9" s="28" t="s">
        <v>285</v>
      </c>
      <c r="N9" s="28" t="s">
        <v>254</v>
      </c>
      <c r="O9" s="28" t="s">
        <v>254</v>
      </c>
      <c r="P9" s="28" t="s">
        <v>254</v>
      </c>
      <c r="Q9" s="28" t="s">
        <v>254</v>
      </c>
      <c r="R9" s="28" t="s">
        <v>254</v>
      </c>
      <c r="S9" s="28" t="s">
        <v>254</v>
      </c>
      <c r="T9" s="28" t="s">
        <v>254</v>
      </c>
      <c r="U9" s="28" t="s">
        <v>254</v>
      </c>
      <c r="V9" s="29" t="s">
        <v>286</v>
      </c>
      <c r="W9" s="28" t="s">
        <v>254</v>
      </c>
      <c r="X9" s="28" t="s">
        <v>254</v>
      </c>
      <c r="Y9" s="28" t="s">
        <v>254</v>
      </c>
      <c r="Z9" s="28" t="s">
        <v>254</v>
      </c>
      <c r="AA9" s="28" t="s">
        <v>254</v>
      </c>
      <c r="AB9" s="29"/>
      <c r="AC9" s="28" t="s">
        <v>254</v>
      </c>
      <c r="AD9" s="29"/>
      <c r="AE9" s="28" t="s">
        <v>254</v>
      </c>
      <c r="AF9" s="28" t="s">
        <v>254</v>
      </c>
      <c r="AG9" s="29" t="s">
        <v>196</v>
      </c>
      <c r="AH9" s="28" t="s">
        <v>197</v>
      </c>
      <c r="AJ9" s="28" t="s">
        <v>254</v>
      </c>
      <c r="AK9" s="28" t="s">
        <v>254</v>
      </c>
      <c r="AL9" s="28" t="s">
        <v>254</v>
      </c>
      <c r="AM9" s="28" t="s">
        <v>161</v>
      </c>
      <c r="AN9" s="28" t="s">
        <v>254</v>
      </c>
      <c r="AO9" s="28" t="s">
        <v>254</v>
      </c>
      <c r="AP9" s="28" t="s">
        <v>254</v>
      </c>
      <c r="AQ9" s="28" t="s">
        <v>254</v>
      </c>
      <c r="AR9" s="28" t="s">
        <v>254</v>
      </c>
      <c r="AS9" s="28" t="s">
        <v>254</v>
      </c>
      <c r="AT9" s="28" t="s">
        <v>254</v>
      </c>
      <c r="AU9" s="28" t="s">
        <v>254</v>
      </c>
    </row>
    <row r="10" spans="1:47" x14ac:dyDescent="0.25">
      <c r="A10" s="131" t="s">
        <v>168</v>
      </c>
      <c r="B10" s="157">
        <v>15</v>
      </c>
      <c r="C10" s="157">
        <v>19</v>
      </c>
      <c r="D10" s="157">
        <v>19</v>
      </c>
      <c r="E10" s="157">
        <v>19</v>
      </c>
      <c r="F10" s="157">
        <v>19</v>
      </c>
      <c r="G10" s="157">
        <v>19</v>
      </c>
      <c r="H10" s="157">
        <v>19</v>
      </c>
      <c r="I10" s="157">
        <v>19</v>
      </c>
      <c r="J10" s="157">
        <v>19</v>
      </c>
      <c r="K10" s="157">
        <v>19</v>
      </c>
      <c r="L10" s="157">
        <v>19</v>
      </c>
      <c r="M10" s="157">
        <v>150</v>
      </c>
      <c r="N10" s="157">
        <v>19</v>
      </c>
      <c r="O10" s="157">
        <v>19</v>
      </c>
      <c r="P10" s="157">
        <v>19</v>
      </c>
      <c r="Q10" s="157">
        <v>19</v>
      </c>
      <c r="R10" s="157">
        <v>19</v>
      </c>
      <c r="S10" s="157">
        <v>19</v>
      </c>
      <c r="T10" s="157">
        <v>19</v>
      </c>
      <c r="U10" s="157">
        <v>19</v>
      </c>
      <c r="V10" s="157">
        <v>152</v>
      </c>
      <c r="W10" s="157">
        <v>19</v>
      </c>
      <c r="X10" s="157">
        <v>19</v>
      </c>
      <c r="Y10" s="157">
        <v>19</v>
      </c>
      <c r="Z10" s="157">
        <v>19</v>
      </c>
      <c r="AA10" s="157">
        <v>19</v>
      </c>
      <c r="AB10" s="157"/>
      <c r="AC10" s="157">
        <v>19</v>
      </c>
      <c r="AD10" s="157"/>
      <c r="AE10" s="157">
        <v>19</v>
      </c>
      <c r="AF10" s="157">
        <v>19</v>
      </c>
      <c r="AG10" s="132">
        <v>26</v>
      </c>
      <c r="AH10" s="157">
        <v>34</v>
      </c>
      <c r="AJ10" s="157">
        <v>19</v>
      </c>
      <c r="AK10" s="157">
        <v>19</v>
      </c>
      <c r="AL10" s="157">
        <v>19</v>
      </c>
      <c r="AM10" s="157">
        <v>2</v>
      </c>
      <c r="AN10" s="157">
        <v>19</v>
      </c>
      <c r="AO10" s="157">
        <v>19</v>
      </c>
      <c r="AP10" s="157">
        <v>19</v>
      </c>
      <c r="AQ10" s="157">
        <v>19</v>
      </c>
      <c r="AR10" s="157">
        <v>19</v>
      </c>
      <c r="AS10" s="157">
        <v>19</v>
      </c>
      <c r="AT10" s="157">
        <v>19</v>
      </c>
      <c r="AU10" s="157">
        <v>19</v>
      </c>
    </row>
    <row r="11" spans="1:47" x14ac:dyDescent="0.25">
      <c r="A11" s="26" t="s">
        <v>169</v>
      </c>
      <c r="B11" s="29" t="s">
        <v>170</v>
      </c>
      <c r="C11" s="29" t="s">
        <v>170</v>
      </c>
      <c r="D11" s="29" t="s">
        <v>170</v>
      </c>
      <c r="E11" s="29" t="s">
        <v>170</v>
      </c>
      <c r="F11" s="29" t="s">
        <v>170</v>
      </c>
      <c r="G11" s="29" t="s">
        <v>170</v>
      </c>
      <c r="H11" s="29" t="s">
        <v>170</v>
      </c>
      <c r="I11" s="29" t="s">
        <v>170</v>
      </c>
      <c r="J11" s="29" t="s">
        <v>170</v>
      </c>
      <c r="K11" s="29" t="s">
        <v>170</v>
      </c>
      <c r="L11" s="29" t="s">
        <v>170</v>
      </c>
      <c r="M11" s="29" t="s">
        <v>170</v>
      </c>
      <c r="N11" s="29" t="s">
        <v>170</v>
      </c>
      <c r="O11" s="29" t="s">
        <v>170</v>
      </c>
      <c r="P11" s="29" t="s">
        <v>170</v>
      </c>
      <c r="Q11" s="29" t="s">
        <v>170</v>
      </c>
      <c r="R11" s="29" t="s">
        <v>170</v>
      </c>
      <c r="S11" s="29" t="s">
        <v>170</v>
      </c>
      <c r="T11" s="29" t="s">
        <v>170</v>
      </c>
      <c r="U11" s="29" t="s">
        <v>170</v>
      </c>
      <c r="V11" s="29" t="s">
        <v>170</v>
      </c>
      <c r="W11" s="28" t="s">
        <v>170</v>
      </c>
      <c r="X11" s="29" t="s">
        <v>170</v>
      </c>
      <c r="Y11" s="29" t="s">
        <v>170</v>
      </c>
      <c r="Z11" s="29" t="s">
        <v>170</v>
      </c>
      <c r="AA11" s="29" t="s">
        <v>170</v>
      </c>
      <c r="AB11" s="28"/>
      <c r="AC11" s="29" t="s">
        <v>170</v>
      </c>
      <c r="AD11" s="28"/>
      <c r="AE11" s="29" t="s">
        <v>170</v>
      </c>
      <c r="AF11" s="29" t="s">
        <v>170</v>
      </c>
      <c r="AG11" s="28" t="s">
        <v>170</v>
      </c>
      <c r="AH11" s="28" t="s">
        <v>170</v>
      </c>
      <c r="AJ11" s="29" t="s">
        <v>170</v>
      </c>
      <c r="AK11" s="29" t="s">
        <v>170</v>
      </c>
      <c r="AL11" s="29" t="s">
        <v>170</v>
      </c>
      <c r="AM11" s="28" t="s">
        <v>170</v>
      </c>
      <c r="AN11" s="28" t="s">
        <v>170</v>
      </c>
      <c r="AO11" s="29" t="s">
        <v>170</v>
      </c>
      <c r="AP11" s="29" t="s">
        <v>170</v>
      </c>
      <c r="AQ11" s="29" t="s">
        <v>170</v>
      </c>
      <c r="AR11" s="29" t="s">
        <v>170</v>
      </c>
      <c r="AS11" s="29" t="s">
        <v>170</v>
      </c>
      <c r="AT11" s="29" t="s">
        <v>170</v>
      </c>
      <c r="AU11" s="29" t="s">
        <v>170</v>
      </c>
    </row>
    <row r="12" spans="1:47" x14ac:dyDescent="0.25">
      <c r="A12" s="26" t="s">
        <v>171</v>
      </c>
      <c r="B12" s="28" t="s">
        <v>173</v>
      </c>
      <c r="C12" s="28" t="s">
        <v>173</v>
      </c>
      <c r="D12" s="28" t="s">
        <v>173</v>
      </c>
      <c r="E12" s="28" t="s">
        <v>173</v>
      </c>
      <c r="F12" s="28" t="s">
        <v>173</v>
      </c>
      <c r="G12" s="28" t="s">
        <v>173</v>
      </c>
      <c r="H12" s="28" t="s">
        <v>173</v>
      </c>
      <c r="I12" s="28" t="s">
        <v>173</v>
      </c>
      <c r="J12" s="28" t="s">
        <v>173</v>
      </c>
      <c r="K12" s="28" t="s">
        <v>173</v>
      </c>
      <c r="L12" s="28" t="s">
        <v>173</v>
      </c>
      <c r="M12" s="28" t="s">
        <v>173</v>
      </c>
      <c r="N12" s="28" t="s">
        <v>173</v>
      </c>
      <c r="O12" s="28" t="s">
        <v>173</v>
      </c>
      <c r="P12" s="28" t="s">
        <v>173</v>
      </c>
      <c r="Q12" s="28" t="s">
        <v>173</v>
      </c>
      <c r="R12" s="28" t="s">
        <v>173</v>
      </c>
      <c r="S12" s="28" t="s">
        <v>173</v>
      </c>
      <c r="T12" s="28" t="s">
        <v>173</v>
      </c>
      <c r="U12" s="28" t="s">
        <v>173</v>
      </c>
      <c r="V12" s="28" t="s">
        <v>173</v>
      </c>
      <c r="W12" s="28" t="s">
        <v>173</v>
      </c>
      <c r="X12" s="28" t="s">
        <v>173</v>
      </c>
      <c r="Y12" s="28" t="s">
        <v>173</v>
      </c>
      <c r="Z12" s="28" t="s">
        <v>173</v>
      </c>
      <c r="AA12" s="28" t="s">
        <v>173</v>
      </c>
      <c r="AB12" s="28"/>
      <c r="AC12" s="28" t="s">
        <v>173</v>
      </c>
      <c r="AD12" s="28"/>
      <c r="AE12" s="28" t="s">
        <v>173</v>
      </c>
      <c r="AF12" s="28" t="s">
        <v>173</v>
      </c>
      <c r="AG12" s="28" t="s">
        <v>173</v>
      </c>
      <c r="AH12" s="28" t="s">
        <v>173</v>
      </c>
      <c r="AJ12" s="28" t="s">
        <v>173</v>
      </c>
      <c r="AK12" s="28" t="s">
        <v>173</v>
      </c>
      <c r="AL12" s="28" t="s">
        <v>173</v>
      </c>
      <c r="AM12" s="28" t="s">
        <v>170</v>
      </c>
      <c r="AN12" s="28" t="s">
        <v>173</v>
      </c>
      <c r="AO12" s="28" t="s">
        <v>173</v>
      </c>
      <c r="AP12" s="28" t="s">
        <v>173</v>
      </c>
      <c r="AQ12" s="28" t="s">
        <v>173</v>
      </c>
      <c r="AR12" s="28" t="s">
        <v>173</v>
      </c>
      <c r="AS12" s="28" t="s">
        <v>173</v>
      </c>
      <c r="AT12" s="28" t="s">
        <v>173</v>
      </c>
      <c r="AU12" s="28" t="s">
        <v>173</v>
      </c>
    </row>
    <row r="13" spans="1:47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 t="s">
        <v>173</v>
      </c>
      <c r="S13" s="28" t="s">
        <v>173</v>
      </c>
      <c r="T13" s="28" t="s">
        <v>173</v>
      </c>
      <c r="U13" s="28" t="s">
        <v>173</v>
      </c>
      <c r="V13" s="28" t="s">
        <v>287</v>
      </c>
      <c r="W13" s="28" t="s">
        <v>173</v>
      </c>
      <c r="X13" s="28" t="s">
        <v>173</v>
      </c>
      <c r="Y13" s="28" t="s">
        <v>173</v>
      </c>
      <c r="Z13" s="28" t="s">
        <v>173</v>
      </c>
      <c r="AA13" s="28" t="s">
        <v>173</v>
      </c>
      <c r="AB13" s="28"/>
      <c r="AC13" s="28" t="s">
        <v>173</v>
      </c>
      <c r="AD13" s="28"/>
      <c r="AE13" s="28" t="s">
        <v>173</v>
      </c>
      <c r="AF13" s="28" t="s">
        <v>173</v>
      </c>
      <c r="AG13" s="28" t="s">
        <v>170</v>
      </c>
      <c r="AH13" s="28" t="s">
        <v>170</v>
      </c>
      <c r="AJ13" s="28" t="s">
        <v>173</v>
      </c>
      <c r="AK13" s="28" t="s">
        <v>173</v>
      </c>
      <c r="AL13" s="28" t="s">
        <v>173</v>
      </c>
      <c r="AM13" s="28" t="s">
        <v>173</v>
      </c>
      <c r="AN13" s="28" t="s">
        <v>173</v>
      </c>
      <c r="AO13" s="28" t="s">
        <v>173</v>
      </c>
      <c r="AP13" s="28" t="s">
        <v>173</v>
      </c>
      <c r="AQ13" s="28" t="s">
        <v>173</v>
      </c>
      <c r="AR13" s="28" t="s">
        <v>173</v>
      </c>
      <c r="AS13" s="28" t="s">
        <v>173</v>
      </c>
      <c r="AT13" s="28" t="s">
        <v>173</v>
      </c>
      <c r="AU13" s="28" t="s">
        <v>173</v>
      </c>
    </row>
    <row r="14" spans="1:47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 t="s">
        <v>173</v>
      </c>
      <c r="V14" s="28" t="s">
        <v>173</v>
      </c>
      <c r="W14" s="28" t="s">
        <v>173</v>
      </c>
      <c r="X14" s="28" t="s">
        <v>173</v>
      </c>
      <c r="Y14" s="28" t="s">
        <v>173</v>
      </c>
      <c r="Z14" s="28" t="s">
        <v>173</v>
      </c>
      <c r="AA14" s="28" t="s">
        <v>173</v>
      </c>
      <c r="AB14" s="28"/>
      <c r="AC14" s="28" t="s">
        <v>173</v>
      </c>
      <c r="AD14" s="28"/>
      <c r="AE14" s="28" t="s">
        <v>173</v>
      </c>
      <c r="AF14" s="28" t="s">
        <v>173</v>
      </c>
      <c r="AG14" s="28" t="s">
        <v>173</v>
      </c>
      <c r="AH14" s="28" t="s">
        <v>173</v>
      </c>
      <c r="AJ14" s="28" t="s">
        <v>173</v>
      </c>
      <c r="AK14" s="28" t="s">
        <v>173</v>
      </c>
      <c r="AL14" s="28" t="s">
        <v>173</v>
      </c>
      <c r="AM14" s="28" t="s">
        <v>173</v>
      </c>
      <c r="AN14" s="28" t="s">
        <v>173</v>
      </c>
      <c r="AO14" s="28" t="s">
        <v>173</v>
      </c>
      <c r="AP14" s="28" t="s">
        <v>173</v>
      </c>
      <c r="AQ14" s="28" t="s">
        <v>173</v>
      </c>
      <c r="AR14" s="28" t="s">
        <v>173</v>
      </c>
      <c r="AS14" s="28" t="s">
        <v>173</v>
      </c>
      <c r="AT14" s="28" t="s">
        <v>173</v>
      </c>
      <c r="AU14" s="28" t="s">
        <v>173</v>
      </c>
    </row>
    <row r="15" spans="1:47" x14ac:dyDescent="0.25">
      <c r="A15" s="26" t="s">
        <v>175</v>
      </c>
      <c r="B15" s="28" t="s">
        <v>405</v>
      </c>
      <c r="C15" s="28" t="s">
        <v>267</v>
      </c>
      <c r="D15" s="28" t="s">
        <v>267</v>
      </c>
      <c r="E15" s="28" t="s">
        <v>267</v>
      </c>
      <c r="F15" s="28" t="s">
        <v>267</v>
      </c>
      <c r="G15" s="28" t="s">
        <v>267</v>
      </c>
      <c r="H15" s="28" t="s">
        <v>267</v>
      </c>
      <c r="I15" s="28" t="s">
        <v>267</v>
      </c>
      <c r="J15" s="28" t="s">
        <v>267</v>
      </c>
      <c r="K15" s="28" t="s">
        <v>267</v>
      </c>
      <c r="L15" s="28" t="s">
        <v>267</v>
      </c>
      <c r="M15" s="28" t="s">
        <v>290</v>
      </c>
      <c r="N15" s="28" t="s">
        <v>267</v>
      </c>
      <c r="O15" s="28" t="s">
        <v>267</v>
      </c>
      <c r="P15" s="28" t="s">
        <v>267</v>
      </c>
      <c r="Q15" s="28" t="s">
        <v>267</v>
      </c>
      <c r="R15" s="28" t="s">
        <v>267</v>
      </c>
      <c r="S15" s="28" t="s">
        <v>267</v>
      </c>
      <c r="T15" s="28" t="s">
        <v>267</v>
      </c>
      <c r="U15" s="28" t="s">
        <v>267</v>
      </c>
      <c r="V15" s="28" t="s">
        <v>199</v>
      </c>
      <c r="W15" s="28" t="s">
        <v>267</v>
      </c>
      <c r="X15" s="28" t="s">
        <v>267</v>
      </c>
      <c r="Y15" s="28" t="s">
        <v>267</v>
      </c>
      <c r="Z15" s="28" t="s">
        <v>267</v>
      </c>
      <c r="AA15" s="28" t="s">
        <v>267</v>
      </c>
      <c r="AB15" s="28"/>
      <c r="AC15" s="28" t="s">
        <v>267</v>
      </c>
      <c r="AD15" s="28"/>
      <c r="AE15" s="28" t="s">
        <v>267</v>
      </c>
      <c r="AF15" s="28" t="s">
        <v>267</v>
      </c>
      <c r="AG15" s="28" t="s">
        <v>198</v>
      </c>
      <c r="AH15" s="28" t="s">
        <v>199</v>
      </c>
      <c r="AJ15" s="28" t="s">
        <v>267</v>
      </c>
      <c r="AK15" s="28" t="s">
        <v>267</v>
      </c>
      <c r="AL15" s="28" t="s">
        <v>267</v>
      </c>
      <c r="AM15" s="28" t="s">
        <v>160</v>
      </c>
      <c r="AN15" s="28" t="s">
        <v>267</v>
      </c>
      <c r="AO15" s="28" t="s">
        <v>267</v>
      </c>
      <c r="AP15" s="28" t="s">
        <v>267</v>
      </c>
      <c r="AQ15" s="28" t="s">
        <v>267</v>
      </c>
      <c r="AR15" s="28" t="s">
        <v>267</v>
      </c>
      <c r="AS15" s="28" t="s">
        <v>267</v>
      </c>
      <c r="AT15" s="28" t="s">
        <v>267</v>
      </c>
      <c r="AU15" s="28" t="s">
        <v>267</v>
      </c>
    </row>
    <row r="16" spans="1:47" x14ac:dyDescent="0.25">
      <c r="A16" s="26" t="s">
        <v>176</v>
      </c>
      <c r="B16" s="30">
        <v>-1</v>
      </c>
      <c r="C16" s="30">
        <v>-3</v>
      </c>
      <c r="D16" s="30">
        <v>-3</v>
      </c>
      <c r="E16" s="30">
        <v>-3</v>
      </c>
      <c r="F16" s="30">
        <v>-3</v>
      </c>
      <c r="G16" s="30">
        <v>-3</v>
      </c>
      <c r="H16" s="30">
        <v>-3</v>
      </c>
      <c r="I16" s="30">
        <v>-3</v>
      </c>
      <c r="J16" s="30">
        <v>-3</v>
      </c>
      <c r="K16" s="30">
        <v>-3</v>
      </c>
      <c r="L16" s="30">
        <v>-3</v>
      </c>
      <c r="M16" s="30">
        <f>AVERAGE(-3,-2)</f>
        <v>-2.5</v>
      </c>
      <c r="N16" s="30">
        <v>-3</v>
      </c>
      <c r="O16" s="30">
        <v>-3</v>
      </c>
      <c r="P16" s="30">
        <v>-3</v>
      </c>
      <c r="Q16" s="30">
        <v>-3</v>
      </c>
      <c r="R16" s="30">
        <v>-3</v>
      </c>
      <c r="S16" s="30">
        <v>-3</v>
      </c>
      <c r="T16" s="30">
        <v>-3</v>
      </c>
      <c r="U16" s="30">
        <v>-3</v>
      </c>
      <c r="V16" s="30">
        <f>AVERAGE(-2,-0.5)</f>
        <v>-1.25</v>
      </c>
      <c r="W16" s="30">
        <v>-3</v>
      </c>
      <c r="X16" s="30">
        <v>-3</v>
      </c>
      <c r="Y16" s="30">
        <v>-3</v>
      </c>
      <c r="Z16" s="30">
        <v>-3</v>
      </c>
      <c r="AA16" s="30">
        <v>-3</v>
      </c>
      <c r="AB16" s="30"/>
      <c r="AC16" s="30">
        <v>-3</v>
      </c>
      <c r="AD16" s="30"/>
      <c r="AE16" s="30">
        <v>-3</v>
      </c>
      <c r="AF16" s="30">
        <v>-3</v>
      </c>
      <c r="AG16" s="30">
        <f>4/3</f>
        <v>1.3333333333333333</v>
      </c>
      <c r="AH16" s="30">
        <v>-0.5</v>
      </c>
      <c r="AJ16" s="30">
        <v>-3</v>
      </c>
      <c r="AK16" s="30">
        <v>-3</v>
      </c>
      <c r="AL16" s="30">
        <v>-3</v>
      </c>
      <c r="AM16" s="30">
        <v>3</v>
      </c>
      <c r="AN16" s="30">
        <v>-3</v>
      </c>
      <c r="AO16" s="30">
        <v>-3</v>
      </c>
      <c r="AP16" s="30">
        <v>-3</v>
      </c>
      <c r="AQ16" s="30">
        <v>-3</v>
      </c>
      <c r="AR16" s="30">
        <v>-3</v>
      </c>
      <c r="AS16" s="30">
        <v>-3</v>
      </c>
      <c r="AT16" s="30">
        <v>-3</v>
      </c>
      <c r="AU16" s="30">
        <v>-3</v>
      </c>
    </row>
    <row r="17" spans="1:47" x14ac:dyDescent="0.25">
      <c r="A17" s="26" t="s">
        <v>177</v>
      </c>
      <c r="B17" s="28" t="s">
        <v>178</v>
      </c>
      <c r="C17" s="28" t="s">
        <v>178</v>
      </c>
      <c r="D17" s="28" t="s">
        <v>178</v>
      </c>
      <c r="E17" s="28" t="s">
        <v>178</v>
      </c>
      <c r="F17" s="28" t="s">
        <v>178</v>
      </c>
      <c r="G17" s="28" t="s">
        <v>178</v>
      </c>
      <c r="H17" s="28" t="s">
        <v>178</v>
      </c>
      <c r="I17" s="28" t="s">
        <v>178</v>
      </c>
      <c r="J17" s="28" t="s">
        <v>178</v>
      </c>
      <c r="K17" s="28" t="s">
        <v>178</v>
      </c>
      <c r="L17" s="28" t="s">
        <v>178</v>
      </c>
      <c r="M17" s="28" t="s">
        <v>178</v>
      </c>
      <c r="N17" s="28" t="s">
        <v>178</v>
      </c>
      <c r="O17" s="28" t="s">
        <v>178</v>
      </c>
      <c r="P17" s="28" t="s">
        <v>178</v>
      </c>
      <c r="Q17" s="28" t="s">
        <v>178</v>
      </c>
      <c r="R17" s="28" t="s">
        <v>178</v>
      </c>
      <c r="S17" s="28" t="s">
        <v>178</v>
      </c>
      <c r="T17" s="28" t="s">
        <v>178</v>
      </c>
      <c r="U17" s="28" t="s">
        <v>178</v>
      </c>
      <c r="V17" s="28" t="s">
        <v>293</v>
      </c>
      <c r="W17" s="28" t="s">
        <v>178</v>
      </c>
      <c r="X17" s="28" t="s">
        <v>178</v>
      </c>
      <c r="Y17" s="28" t="s">
        <v>178</v>
      </c>
      <c r="Z17" s="28" t="s">
        <v>178</v>
      </c>
      <c r="AA17" s="28" t="s">
        <v>178</v>
      </c>
      <c r="AB17" s="28"/>
      <c r="AC17" s="28" t="s">
        <v>178</v>
      </c>
      <c r="AD17" s="28"/>
      <c r="AE17" s="28" t="s">
        <v>178</v>
      </c>
      <c r="AF17" s="28" t="s">
        <v>178</v>
      </c>
      <c r="AG17" s="28" t="s">
        <v>200</v>
      </c>
      <c r="AH17" s="28" t="s">
        <v>200</v>
      </c>
      <c r="AJ17" s="28" t="s">
        <v>178</v>
      </c>
      <c r="AK17" s="28" t="s">
        <v>178</v>
      </c>
      <c r="AL17" s="28" t="s">
        <v>178</v>
      </c>
      <c r="AM17" s="28" t="s">
        <v>178</v>
      </c>
      <c r="AN17" s="28" t="s">
        <v>178</v>
      </c>
      <c r="AO17" s="28" t="s">
        <v>178</v>
      </c>
      <c r="AP17" s="28" t="s">
        <v>178</v>
      </c>
      <c r="AQ17" s="28" t="s">
        <v>178</v>
      </c>
      <c r="AR17" s="28" t="s">
        <v>178</v>
      </c>
      <c r="AS17" s="28" t="s">
        <v>178</v>
      </c>
      <c r="AT17" s="28" t="s">
        <v>178</v>
      </c>
      <c r="AU17" s="28" t="s">
        <v>178</v>
      </c>
    </row>
    <row r="18" spans="1:47" x14ac:dyDescent="0.25">
      <c r="A18" s="26" t="s">
        <v>182</v>
      </c>
      <c r="B18" s="30">
        <v>4</v>
      </c>
      <c r="C18" s="30">
        <v>4</v>
      </c>
      <c r="D18" s="30">
        <v>4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30">
        <v>4</v>
      </c>
      <c r="S18" s="30">
        <v>4</v>
      </c>
      <c r="T18" s="30">
        <v>4</v>
      </c>
      <c r="U18" s="30">
        <v>4</v>
      </c>
      <c r="V18" s="30">
        <f>AVERAGE(4,3)</f>
        <v>3.5</v>
      </c>
      <c r="W18" s="30">
        <v>4</v>
      </c>
      <c r="X18" s="30">
        <v>4</v>
      </c>
      <c r="Y18" s="30">
        <v>4</v>
      </c>
      <c r="Z18" s="30">
        <v>4</v>
      </c>
      <c r="AA18" s="30">
        <v>4</v>
      </c>
      <c r="AB18" s="30"/>
      <c r="AC18" s="30">
        <v>4</v>
      </c>
      <c r="AD18" s="30"/>
      <c r="AE18" s="30">
        <v>4</v>
      </c>
      <c r="AF18" s="30">
        <v>4</v>
      </c>
      <c r="AG18" s="30">
        <v>3</v>
      </c>
      <c r="AH18" s="30">
        <v>3</v>
      </c>
      <c r="AJ18" s="30">
        <v>4</v>
      </c>
      <c r="AK18" s="30">
        <v>4</v>
      </c>
      <c r="AL18" s="30">
        <v>4</v>
      </c>
      <c r="AM18" s="30">
        <v>4</v>
      </c>
      <c r="AN18" s="30">
        <v>4</v>
      </c>
      <c r="AO18" s="30">
        <v>4</v>
      </c>
      <c r="AP18" s="30">
        <v>4</v>
      </c>
      <c r="AQ18" s="30">
        <v>4</v>
      </c>
      <c r="AR18" s="30">
        <v>4</v>
      </c>
      <c r="AS18" s="30">
        <v>4</v>
      </c>
      <c r="AT18" s="30">
        <v>4</v>
      </c>
      <c r="AU18" s="30">
        <v>4</v>
      </c>
    </row>
    <row r="20" spans="1:47" x14ac:dyDescent="0.25">
      <c r="A20" s="26" t="s">
        <v>159</v>
      </c>
      <c r="B20" s="199"/>
      <c r="C20" s="80" t="s">
        <v>341</v>
      </c>
      <c r="D20" s="80" t="s">
        <v>341</v>
      </c>
      <c r="E20" s="80" t="s">
        <v>341</v>
      </c>
      <c r="F20" s="80" t="s">
        <v>341</v>
      </c>
      <c r="G20" s="80" t="s">
        <v>341</v>
      </c>
      <c r="H20" s="80" t="s">
        <v>341</v>
      </c>
      <c r="I20" s="80" t="s">
        <v>341</v>
      </c>
      <c r="J20" s="80" t="s">
        <v>341</v>
      </c>
      <c r="K20" s="80" t="s">
        <v>341</v>
      </c>
      <c r="L20" s="80" t="s">
        <v>341</v>
      </c>
      <c r="M20" s="80" t="s">
        <v>341</v>
      </c>
      <c r="N20" s="80" t="s">
        <v>341</v>
      </c>
      <c r="O20" s="80" t="s">
        <v>341</v>
      </c>
      <c r="P20" s="80" t="s">
        <v>341</v>
      </c>
      <c r="Q20" s="80" t="s">
        <v>341</v>
      </c>
      <c r="R20" s="28" t="s">
        <v>403</v>
      </c>
      <c r="S20" s="80" t="s">
        <v>341</v>
      </c>
      <c r="T20" s="80" t="s">
        <v>341</v>
      </c>
      <c r="U20" s="80" t="s">
        <v>341</v>
      </c>
      <c r="V20" s="80" t="s">
        <v>341</v>
      </c>
      <c r="W20" s="28" t="s">
        <v>531</v>
      </c>
      <c r="X20" s="80" t="s">
        <v>341</v>
      </c>
      <c r="Y20" s="80" t="s">
        <v>341</v>
      </c>
      <c r="Z20" s="80" t="s">
        <v>341</v>
      </c>
      <c r="AA20" s="80" t="s">
        <v>341</v>
      </c>
      <c r="AB20" s="28"/>
      <c r="AC20" s="80" t="s">
        <v>341</v>
      </c>
      <c r="AD20" s="28"/>
      <c r="AE20" s="28" t="s">
        <v>643</v>
      </c>
      <c r="AF20" s="80" t="s">
        <v>341</v>
      </c>
      <c r="AG20" s="80" t="s">
        <v>341</v>
      </c>
      <c r="AH20" s="80" t="s">
        <v>341</v>
      </c>
      <c r="AJ20" s="28" t="s">
        <v>531</v>
      </c>
      <c r="AK20" s="28" t="s">
        <v>531</v>
      </c>
      <c r="AL20" s="28" t="s">
        <v>531</v>
      </c>
      <c r="AM20" s="80" t="s">
        <v>341</v>
      </c>
      <c r="AN20" s="28" t="s">
        <v>531</v>
      </c>
      <c r="AO20" s="28" t="s">
        <v>531</v>
      </c>
      <c r="AP20" s="28" t="s">
        <v>531</v>
      </c>
      <c r="AQ20" s="28" t="s">
        <v>531</v>
      </c>
      <c r="AR20" s="28" t="s">
        <v>531</v>
      </c>
      <c r="AS20" s="28" t="s">
        <v>531</v>
      </c>
      <c r="AT20" s="28" t="s">
        <v>531</v>
      </c>
      <c r="AU20" s="28" t="s">
        <v>531</v>
      </c>
    </row>
    <row r="21" spans="1:47" x14ac:dyDescent="0.25">
      <c r="A21" s="26" t="s">
        <v>165</v>
      </c>
      <c r="B21" s="200"/>
      <c r="C21" s="81" t="s">
        <v>341</v>
      </c>
      <c r="D21" s="81" t="s">
        <v>341</v>
      </c>
      <c r="E21" s="81" t="s">
        <v>341</v>
      </c>
      <c r="F21" s="81" t="s">
        <v>341</v>
      </c>
      <c r="G21" s="81" t="s">
        <v>341</v>
      </c>
      <c r="H21" s="81" t="s">
        <v>341</v>
      </c>
      <c r="I21" s="81" t="s">
        <v>341</v>
      </c>
      <c r="J21" s="81" t="s">
        <v>341</v>
      </c>
      <c r="K21" s="81" t="s">
        <v>341</v>
      </c>
      <c r="L21" s="81" t="s">
        <v>341</v>
      </c>
      <c r="M21" s="81" t="s">
        <v>341</v>
      </c>
      <c r="N21" s="81" t="s">
        <v>341</v>
      </c>
      <c r="O21" s="81" t="s">
        <v>341</v>
      </c>
      <c r="P21" s="81" t="s">
        <v>341</v>
      </c>
      <c r="Q21" s="81" t="s">
        <v>341</v>
      </c>
      <c r="R21" s="105" t="s">
        <v>534</v>
      </c>
      <c r="S21" s="81" t="s">
        <v>341</v>
      </c>
      <c r="T21" s="81" t="s">
        <v>341</v>
      </c>
      <c r="U21" s="81" t="s">
        <v>341</v>
      </c>
      <c r="V21" s="81" t="s">
        <v>341</v>
      </c>
      <c r="W21" s="28" t="s">
        <v>403</v>
      </c>
      <c r="X21" s="81" t="s">
        <v>341</v>
      </c>
      <c r="Y21" s="81" t="s">
        <v>341</v>
      </c>
      <c r="Z21" s="81" t="s">
        <v>341</v>
      </c>
      <c r="AA21" s="81" t="s">
        <v>341</v>
      </c>
      <c r="AB21" s="29"/>
      <c r="AC21" s="81" t="s">
        <v>341</v>
      </c>
      <c r="AD21" s="29"/>
      <c r="AE21" s="105" t="s">
        <v>534</v>
      </c>
      <c r="AF21" s="81" t="s">
        <v>341</v>
      </c>
      <c r="AG21" s="81" t="s">
        <v>341</v>
      </c>
      <c r="AH21" s="81" t="s">
        <v>341</v>
      </c>
      <c r="AJ21" s="28" t="s">
        <v>403</v>
      </c>
      <c r="AK21" s="28" t="s">
        <v>403</v>
      </c>
      <c r="AL21" s="28" t="s">
        <v>403</v>
      </c>
      <c r="AM21" s="81" t="s">
        <v>341</v>
      </c>
      <c r="AN21" s="28" t="s">
        <v>403</v>
      </c>
      <c r="AO21" s="28" t="s">
        <v>403</v>
      </c>
      <c r="AP21" s="28" t="s">
        <v>403</v>
      </c>
      <c r="AQ21" s="28" t="s">
        <v>403</v>
      </c>
      <c r="AR21" s="28" t="s">
        <v>403</v>
      </c>
      <c r="AS21" s="28" t="s">
        <v>403</v>
      </c>
      <c r="AT21" s="28" t="s">
        <v>403</v>
      </c>
      <c r="AU21" s="28" t="s">
        <v>403</v>
      </c>
    </row>
    <row r="22" spans="1:47" x14ac:dyDescent="0.25">
      <c r="A22" s="131" t="s">
        <v>168</v>
      </c>
      <c r="B22" s="200"/>
      <c r="C22" s="198"/>
      <c r="D22" s="198"/>
      <c r="E22" s="198"/>
      <c r="F22" s="198"/>
      <c r="G22" s="198"/>
      <c r="H22" s="198"/>
      <c r="I22" s="198"/>
      <c r="J22" s="198"/>
      <c r="K22" s="198"/>
      <c r="L22" s="198"/>
      <c r="M22" s="198"/>
      <c r="N22" s="198"/>
      <c r="O22" s="198"/>
      <c r="P22" s="198"/>
      <c r="Q22" s="198"/>
      <c r="R22" s="157">
        <v>134</v>
      </c>
      <c r="S22" s="198"/>
      <c r="T22" s="198"/>
      <c r="U22" s="198"/>
      <c r="V22" s="198"/>
      <c r="W22" s="157">
        <v>97</v>
      </c>
      <c r="X22" s="198"/>
      <c r="Y22" s="198"/>
      <c r="Z22" s="198"/>
      <c r="AA22" s="198"/>
      <c r="AB22" s="157"/>
      <c r="AC22" s="198"/>
      <c r="AD22" s="157"/>
      <c r="AE22" s="157">
        <v>134</v>
      </c>
      <c r="AF22" s="198"/>
      <c r="AG22" s="198"/>
      <c r="AH22" s="198"/>
      <c r="AJ22" s="157">
        <v>97</v>
      </c>
      <c r="AK22" s="157">
        <v>97</v>
      </c>
      <c r="AL22" s="157">
        <v>97</v>
      </c>
      <c r="AM22" s="198"/>
      <c r="AN22" s="157">
        <v>97</v>
      </c>
      <c r="AO22" s="157">
        <v>97</v>
      </c>
      <c r="AP22" s="157">
        <v>97</v>
      </c>
      <c r="AQ22" s="157">
        <v>97</v>
      </c>
      <c r="AR22" s="157">
        <v>97</v>
      </c>
      <c r="AS22" s="157">
        <v>97</v>
      </c>
      <c r="AT22" s="157">
        <v>97</v>
      </c>
      <c r="AU22" s="157">
        <v>97</v>
      </c>
    </row>
    <row r="23" spans="1:47" x14ac:dyDescent="0.25">
      <c r="A23" s="26" t="s">
        <v>169</v>
      </c>
      <c r="B23" s="199"/>
      <c r="C23" s="80" t="s">
        <v>173</v>
      </c>
      <c r="D23" s="80" t="s">
        <v>173</v>
      </c>
      <c r="E23" s="80" t="s">
        <v>173</v>
      </c>
      <c r="F23" s="80" t="s">
        <v>173</v>
      </c>
      <c r="G23" s="80" t="s">
        <v>173</v>
      </c>
      <c r="H23" s="80" t="s">
        <v>173</v>
      </c>
      <c r="I23" s="80" t="s">
        <v>173</v>
      </c>
      <c r="J23" s="80" t="s">
        <v>173</v>
      </c>
      <c r="K23" s="80" t="s">
        <v>173</v>
      </c>
      <c r="L23" s="80" t="s">
        <v>173</v>
      </c>
      <c r="M23" s="80" t="s">
        <v>173</v>
      </c>
      <c r="N23" s="80" t="s">
        <v>173</v>
      </c>
      <c r="O23" s="80" t="s">
        <v>173</v>
      </c>
      <c r="P23" s="80" t="s">
        <v>173</v>
      </c>
      <c r="Q23" s="80" t="s">
        <v>173</v>
      </c>
      <c r="R23" s="28" t="s">
        <v>266</v>
      </c>
      <c r="S23" s="80" t="s">
        <v>173</v>
      </c>
      <c r="T23" s="80" t="s">
        <v>173</v>
      </c>
      <c r="U23" s="80" t="s">
        <v>173</v>
      </c>
      <c r="V23" s="80" t="s">
        <v>173</v>
      </c>
      <c r="W23" s="28" t="s">
        <v>170</v>
      </c>
      <c r="X23" s="80" t="s">
        <v>173</v>
      </c>
      <c r="Y23" s="80" t="s">
        <v>173</v>
      </c>
      <c r="Z23" s="80" t="s">
        <v>173</v>
      </c>
      <c r="AA23" s="80" t="s">
        <v>173</v>
      </c>
      <c r="AB23" s="28"/>
      <c r="AC23" s="80" t="s">
        <v>173</v>
      </c>
      <c r="AD23" s="28"/>
      <c r="AE23" s="28" t="s">
        <v>266</v>
      </c>
      <c r="AF23" s="80" t="s">
        <v>173</v>
      </c>
      <c r="AG23" s="80" t="s">
        <v>173</v>
      </c>
      <c r="AH23" s="80" t="s">
        <v>173</v>
      </c>
      <c r="AJ23" s="28" t="s">
        <v>170</v>
      </c>
      <c r="AK23" s="28" t="s">
        <v>170</v>
      </c>
      <c r="AL23" s="28" t="s">
        <v>170</v>
      </c>
      <c r="AM23" s="80" t="s">
        <v>173</v>
      </c>
      <c r="AN23" s="28" t="s">
        <v>170</v>
      </c>
      <c r="AO23" s="28" t="s">
        <v>170</v>
      </c>
      <c r="AP23" s="28" t="s">
        <v>170</v>
      </c>
      <c r="AQ23" s="28" t="s">
        <v>170</v>
      </c>
      <c r="AR23" s="28" t="s">
        <v>170</v>
      </c>
      <c r="AS23" s="28" t="s">
        <v>170</v>
      </c>
      <c r="AT23" s="28" t="s">
        <v>170</v>
      </c>
      <c r="AU23" s="28" t="s">
        <v>170</v>
      </c>
    </row>
    <row r="24" spans="1:47" x14ac:dyDescent="0.25">
      <c r="A24" s="26" t="s">
        <v>171</v>
      </c>
      <c r="B24" s="199"/>
      <c r="C24" s="80" t="s">
        <v>173</v>
      </c>
      <c r="D24" s="80" t="s">
        <v>173</v>
      </c>
      <c r="E24" s="80" t="s">
        <v>173</v>
      </c>
      <c r="F24" s="80" t="s">
        <v>173</v>
      </c>
      <c r="G24" s="80" t="s">
        <v>173</v>
      </c>
      <c r="H24" s="80" t="s">
        <v>173</v>
      </c>
      <c r="I24" s="80" t="s">
        <v>173</v>
      </c>
      <c r="J24" s="80" t="s">
        <v>173</v>
      </c>
      <c r="K24" s="80" t="s">
        <v>173</v>
      </c>
      <c r="L24" s="80" t="s">
        <v>173</v>
      </c>
      <c r="M24" s="80" t="s">
        <v>173</v>
      </c>
      <c r="N24" s="80" t="s">
        <v>173</v>
      </c>
      <c r="O24" s="80" t="s">
        <v>173</v>
      </c>
      <c r="P24" s="80" t="s">
        <v>173</v>
      </c>
      <c r="Q24" s="80" t="s">
        <v>173</v>
      </c>
      <c r="R24" s="28" t="s">
        <v>266</v>
      </c>
      <c r="S24" s="80" t="s">
        <v>173</v>
      </c>
      <c r="T24" s="80" t="s">
        <v>173</v>
      </c>
      <c r="U24" s="80" t="s">
        <v>173</v>
      </c>
      <c r="V24" s="80" t="s">
        <v>173</v>
      </c>
      <c r="W24" s="28" t="s">
        <v>170</v>
      </c>
      <c r="X24" s="80" t="s">
        <v>173</v>
      </c>
      <c r="Y24" s="80" t="s">
        <v>173</v>
      </c>
      <c r="Z24" s="80" t="s">
        <v>173</v>
      </c>
      <c r="AA24" s="80" t="s">
        <v>173</v>
      </c>
      <c r="AB24" s="28"/>
      <c r="AC24" s="80" t="s">
        <v>173</v>
      </c>
      <c r="AD24" s="28"/>
      <c r="AE24" s="28" t="s">
        <v>266</v>
      </c>
      <c r="AF24" s="80" t="s">
        <v>173</v>
      </c>
      <c r="AG24" s="80" t="s">
        <v>173</v>
      </c>
      <c r="AH24" s="80" t="s">
        <v>173</v>
      </c>
      <c r="AJ24" s="28" t="s">
        <v>170</v>
      </c>
      <c r="AK24" s="28" t="s">
        <v>170</v>
      </c>
      <c r="AL24" s="28" t="s">
        <v>170</v>
      </c>
      <c r="AM24" s="80" t="s">
        <v>173</v>
      </c>
      <c r="AN24" s="28" t="s">
        <v>170</v>
      </c>
      <c r="AO24" s="28" t="s">
        <v>170</v>
      </c>
      <c r="AP24" s="28" t="s">
        <v>170</v>
      </c>
      <c r="AQ24" s="28" t="s">
        <v>170</v>
      </c>
      <c r="AR24" s="28" t="s">
        <v>170</v>
      </c>
      <c r="AS24" s="28" t="s">
        <v>170</v>
      </c>
      <c r="AT24" s="28" t="s">
        <v>170</v>
      </c>
      <c r="AU24" s="28" t="s">
        <v>170</v>
      </c>
    </row>
    <row r="25" spans="1:47" x14ac:dyDescent="0.25">
      <c r="A25" s="26" t="s">
        <v>172</v>
      </c>
      <c r="B25" s="199"/>
      <c r="C25" s="80" t="s">
        <v>173</v>
      </c>
      <c r="D25" s="80" t="s">
        <v>173</v>
      </c>
      <c r="E25" s="80" t="s">
        <v>173</v>
      </c>
      <c r="F25" s="80" t="s">
        <v>173</v>
      </c>
      <c r="G25" s="80" t="s">
        <v>173</v>
      </c>
      <c r="H25" s="80" t="s">
        <v>173</v>
      </c>
      <c r="I25" s="80" t="s">
        <v>173</v>
      </c>
      <c r="J25" s="80" t="s">
        <v>173</v>
      </c>
      <c r="K25" s="80" t="s">
        <v>173</v>
      </c>
      <c r="L25" s="80" t="s">
        <v>173</v>
      </c>
      <c r="M25" s="80" t="s">
        <v>173</v>
      </c>
      <c r="N25" s="80" t="s">
        <v>173</v>
      </c>
      <c r="O25" s="80" t="s">
        <v>173</v>
      </c>
      <c r="P25" s="80" t="s">
        <v>173</v>
      </c>
      <c r="Q25" s="80" t="s">
        <v>173</v>
      </c>
      <c r="R25" s="28" t="s">
        <v>173</v>
      </c>
      <c r="S25" s="80" t="s">
        <v>173</v>
      </c>
      <c r="T25" s="80" t="s">
        <v>173</v>
      </c>
      <c r="U25" s="80" t="s">
        <v>173</v>
      </c>
      <c r="V25" s="80" t="s">
        <v>173</v>
      </c>
      <c r="W25" s="28" t="s">
        <v>173</v>
      </c>
      <c r="X25" s="80" t="s">
        <v>173</v>
      </c>
      <c r="Y25" s="80" t="s">
        <v>173</v>
      </c>
      <c r="Z25" s="80" t="s">
        <v>173</v>
      </c>
      <c r="AA25" s="80" t="s">
        <v>173</v>
      </c>
      <c r="AB25" s="28"/>
      <c r="AC25" s="80" t="s">
        <v>173</v>
      </c>
      <c r="AD25" s="28"/>
      <c r="AE25" s="28" t="s">
        <v>173</v>
      </c>
      <c r="AF25" s="80" t="s">
        <v>173</v>
      </c>
      <c r="AG25" s="80" t="s">
        <v>173</v>
      </c>
      <c r="AH25" s="80" t="s">
        <v>173</v>
      </c>
      <c r="AJ25" s="28" t="s">
        <v>173</v>
      </c>
      <c r="AK25" s="28" t="s">
        <v>173</v>
      </c>
      <c r="AL25" s="28" t="s">
        <v>173</v>
      </c>
      <c r="AM25" s="80" t="s">
        <v>173</v>
      </c>
      <c r="AN25" s="28" t="s">
        <v>173</v>
      </c>
      <c r="AO25" s="28" t="s">
        <v>173</v>
      </c>
      <c r="AP25" s="28" t="s">
        <v>173</v>
      </c>
      <c r="AQ25" s="28" t="s">
        <v>173</v>
      </c>
      <c r="AR25" s="28" t="s">
        <v>173</v>
      </c>
      <c r="AS25" s="28" t="s">
        <v>173</v>
      </c>
      <c r="AT25" s="28" t="s">
        <v>173</v>
      </c>
      <c r="AU25" s="28" t="s">
        <v>173</v>
      </c>
    </row>
    <row r="26" spans="1:47" x14ac:dyDescent="0.25">
      <c r="A26" s="26" t="s">
        <v>174</v>
      </c>
      <c r="B26" s="199"/>
      <c r="C26" s="80" t="s">
        <v>173</v>
      </c>
      <c r="D26" s="80" t="s">
        <v>173</v>
      </c>
      <c r="E26" s="80" t="s">
        <v>173</v>
      </c>
      <c r="F26" s="80" t="s">
        <v>173</v>
      </c>
      <c r="G26" s="80" t="s">
        <v>173</v>
      </c>
      <c r="H26" s="80" t="s">
        <v>173</v>
      </c>
      <c r="I26" s="80" t="s">
        <v>173</v>
      </c>
      <c r="J26" s="80" t="s">
        <v>173</v>
      </c>
      <c r="K26" s="80" t="s">
        <v>173</v>
      </c>
      <c r="L26" s="80" t="s">
        <v>173</v>
      </c>
      <c r="M26" s="80" t="s">
        <v>173</v>
      </c>
      <c r="N26" s="80" t="s">
        <v>173</v>
      </c>
      <c r="O26" s="80" t="s">
        <v>173</v>
      </c>
      <c r="P26" s="80" t="s">
        <v>173</v>
      </c>
      <c r="Q26" s="80" t="s">
        <v>173</v>
      </c>
      <c r="R26" s="28" t="s">
        <v>173</v>
      </c>
      <c r="S26" s="80" t="s">
        <v>173</v>
      </c>
      <c r="T26" s="80" t="s">
        <v>173</v>
      </c>
      <c r="U26" s="80" t="s">
        <v>173</v>
      </c>
      <c r="V26" s="80" t="s">
        <v>173</v>
      </c>
      <c r="W26" s="28" t="s">
        <v>173</v>
      </c>
      <c r="X26" s="80" t="s">
        <v>173</v>
      </c>
      <c r="Y26" s="80" t="s">
        <v>173</v>
      </c>
      <c r="Z26" s="80" t="s">
        <v>173</v>
      </c>
      <c r="AA26" s="80" t="s">
        <v>173</v>
      </c>
      <c r="AB26" s="28"/>
      <c r="AC26" s="80" t="s">
        <v>173</v>
      </c>
      <c r="AD26" s="28"/>
      <c r="AE26" s="28" t="s">
        <v>173</v>
      </c>
      <c r="AF26" s="80" t="s">
        <v>173</v>
      </c>
      <c r="AG26" s="80" t="s">
        <v>173</v>
      </c>
      <c r="AH26" s="80" t="s">
        <v>173</v>
      </c>
      <c r="AJ26" s="28" t="s">
        <v>173</v>
      </c>
      <c r="AK26" s="28" t="s">
        <v>173</v>
      </c>
      <c r="AL26" s="28" t="s">
        <v>173</v>
      </c>
      <c r="AM26" s="80" t="s">
        <v>173</v>
      </c>
      <c r="AN26" s="28" t="s">
        <v>173</v>
      </c>
      <c r="AO26" s="28" t="s">
        <v>173</v>
      </c>
      <c r="AP26" s="28" t="s">
        <v>173</v>
      </c>
      <c r="AQ26" s="28" t="s">
        <v>173</v>
      </c>
      <c r="AR26" s="28" t="s">
        <v>173</v>
      </c>
      <c r="AS26" s="28" t="s">
        <v>173</v>
      </c>
      <c r="AT26" s="28" t="s">
        <v>173</v>
      </c>
      <c r="AU26" s="28" t="s">
        <v>173</v>
      </c>
    </row>
    <row r="27" spans="1:47" x14ac:dyDescent="0.25">
      <c r="A27" s="26" t="s">
        <v>175</v>
      </c>
      <c r="B27" s="199"/>
      <c r="C27" s="80" t="s">
        <v>405</v>
      </c>
      <c r="D27" s="80" t="s">
        <v>405</v>
      </c>
      <c r="E27" s="80" t="s">
        <v>405</v>
      </c>
      <c r="F27" s="80" t="s">
        <v>405</v>
      </c>
      <c r="G27" s="80" t="s">
        <v>405</v>
      </c>
      <c r="H27" s="80" t="s">
        <v>405</v>
      </c>
      <c r="I27" s="80" t="s">
        <v>405</v>
      </c>
      <c r="J27" s="80" t="s">
        <v>405</v>
      </c>
      <c r="K27" s="80" t="s">
        <v>405</v>
      </c>
      <c r="L27" s="80" t="s">
        <v>405</v>
      </c>
      <c r="M27" s="80" t="s">
        <v>405</v>
      </c>
      <c r="N27" s="80" t="s">
        <v>405</v>
      </c>
      <c r="O27" s="80" t="s">
        <v>405</v>
      </c>
      <c r="P27" s="80" t="s">
        <v>405</v>
      </c>
      <c r="Q27" s="80" t="s">
        <v>405</v>
      </c>
      <c r="R27" s="28" t="s">
        <v>405</v>
      </c>
      <c r="S27" s="80" t="s">
        <v>405</v>
      </c>
      <c r="T27" s="80" t="s">
        <v>405</v>
      </c>
      <c r="U27" s="80" t="s">
        <v>405</v>
      </c>
      <c r="V27" s="80" t="s">
        <v>405</v>
      </c>
      <c r="W27" s="28" t="s">
        <v>405</v>
      </c>
      <c r="X27" s="80" t="s">
        <v>405</v>
      </c>
      <c r="Y27" s="80" t="s">
        <v>405</v>
      </c>
      <c r="Z27" s="80" t="s">
        <v>405</v>
      </c>
      <c r="AA27" s="80" t="s">
        <v>405</v>
      </c>
      <c r="AB27" s="28"/>
      <c r="AC27" s="80" t="s">
        <v>405</v>
      </c>
      <c r="AD27" s="28"/>
      <c r="AE27" s="28" t="s">
        <v>405</v>
      </c>
      <c r="AF27" s="80" t="s">
        <v>405</v>
      </c>
      <c r="AG27" s="80" t="s">
        <v>405</v>
      </c>
      <c r="AH27" s="80" t="s">
        <v>405</v>
      </c>
      <c r="AJ27" s="28" t="s">
        <v>405</v>
      </c>
      <c r="AK27" s="28" t="s">
        <v>405</v>
      </c>
      <c r="AL27" s="28" t="s">
        <v>405</v>
      </c>
      <c r="AM27" s="80" t="s">
        <v>405</v>
      </c>
      <c r="AN27" s="28" t="s">
        <v>405</v>
      </c>
      <c r="AO27" s="28" t="s">
        <v>405</v>
      </c>
      <c r="AP27" s="28" t="s">
        <v>405</v>
      </c>
      <c r="AQ27" s="28" t="s">
        <v>405</v>
      </c>
      <c r="AR27" s="28" t="s">
        <v>405</v>
      </c>
      <c r="AS27" s="28" t="s">
        <v>405</v>
      </c>
      <c r="AT27" s="28" t="s">
        <v>405</v>
      </c>
      <c r="AU27" s="28" t="s">
        <v>405</v>
      </c>
    </row>
    <row r="28" spans="1:47" x14ac:dyDescent="0.25">
      <c r="A28" s="26" t="s">
        <v>176</v>
      </c>
      <c r="B28" s="201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30">
        <v>0</v>
      </c>
      <c r="S28" s="82">
        <v>0</v>
      </c>
      <c r="T28" s="82">
        <v>0</v>
      </c>
      <c r="U28" s="82">
        <v>0</v>
      </c>
      <c r="V28" s="82">
        <v>0</v>
      </c>
      <c r="W28" s="30">
        <v>0</v>
      </c>
      <c r="X28" s="82">
        <v>0</v>
      </c>
      <c r="Y28" s="82">
        <v>0</v>
      </c>
      <c r="Z28" s="82">
        <v>0</v>
      </c>
      <c r="AA28" s="82">
        <v>0</v>
      </c>
      <c r="AB28" s="30"/>
      <c r="AC28" s="82">
        <v>0</v>
      </c>
      <c r="AD28" s="30"/>
      <c r="AE28" s="30">
        <v>0</v>
      </c>
      <c r="AF28" s="82">
        <v>0</v>
      </c>
      <c r="AG28" s="82">
        <v>0</v>
      </c>
      <c r="AH28" s="82">
        <v>0</v>
      </c>
      <c r="AJ28" s="30">
        <v>0</v>
      </c>
      <c r="AK28" s="30">
        <v>0</v>
      </c>
      <c r="AL28" s="30">
        <v>0</v>
      </c>
      <c r="AM28" s="82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</row>
    <row r="29" spans="1:47" x14ac:dyDescent="0.25">
      <c r="A29" s="26" t="s">
        <v>177</v>
      </c>
      <c r="B29" s="199"/>
      <c r="C29" s="80" t="s">
        <v>341</v>
      </c>
      <c r="D29" s="80" t="s">
        <v>341</v>
      </c>
      <c r="E29" s="80" t="s">
        <v>341</v>
      </c>
      <c r="F29" s="80" t="s">
        <v>341</v>
      </c>
      <c r="G29" s="80" t="s">
        <v>341</v>
      </c>
      <c r="H29" s="80" t="s">
        <v>341</v>
      </c>
      <c r="I29" s="80" t="s">
        <v>341</v>
      </c>
      <c r="J29" s="80" t="s">
        <v>341</v>
      </c>
      <c r="K29" s="80" t="s">
        <v>341</v>
      </c>
      <c r="L29" s="80" t="s">
        <v>341</v>
      </c>
      <c r="M29" s="80" t="s">
        <v>341</v>
      </c>
      <c r="N29" s="80" t="s">
        <v>341</v>
      </c>
      <c r="O29" s="80" t="s">
        <v>341</v>
      </c>
      <c r="P29" s="80" t="s">
        <v>341</v>
      </c>
      <c r="Q29" s="80" t="s">
        <v>341</v>
      </c>
      <c r="R29" s="103" t="s">
        <v>537</v>
      </c>
      <c r="S29" s="80" t="s">
        <v>341</v>
      </c>
      <c r="T29" s="80" t="s">
        <v>341</v>
      </c>
      <c r="U29" s="80" t="s">
        <v>341</v>
      </c>
      <c r="V29" s="80" t="s">
        <v>341</v>
      </c>
      <c r="W29" s="28" t="s">
        <v>334</v>
      </c>
      <c r="X29" s="80" t="s">
        <v>341</v>
      </c>
      <c r="Y29" s="80" t="s">
        <v>341</v>
      </c>
      <c r="Z29" s="80" t="s">
        <v>341</v>
      </c>
      <c r="AA29" s="80" t="s">
        <v>341</v>
      </c>
      <c r="AB29" s="28"/>
      <c r="AC29" s="80" t="s">
        <v>341</v>
      </c>
      <c r="AD29" s="28"/>
      <c r="AE29" s="103" t="s">
        <v>537</v>
      </c>
      <c r="AF29" s="80" t="s">
        <v>341</v>
      </c>
      <c r="AG29" s="80" t="s">
        <v>341</v>
      </c>
      <c r="AH29" s="80" t="s">
        <v>341</v>
      </c>
      <c r="AJ29" s="28" t="s">
        <v>334</v>
      </c>
      <c r="AK29" s="28" t="s">
        <v>334</v>
      </c>
      <c r="AL29" s="28" t="s">
        <v>334</v>
      </c>
      <c r="AM29" s="80" t="s">
        <v>341</v>
      </c>
      <c r="AN29" s="28" t="s">
        <v>334</v>
      </c>
      <c r="AO29" s="28" t="s">
        <v>334</v>
      </c>
      <c r="AP29" s="28" t="s">
        <v>334</v>
      </c>
      <c r="AQ29" s="28" t="s">
        <v>334</v>
      </c>
      <c r="AR29" s="28" t="s">
        <v>334</v>
      </c>
      <c r="AS29" s="28" t="s">
        <v>334</v>
      </c>
      <c r="AT29" s="28" t="s">
        <v>334</v>
      </c>
      <c r="AU29" s="28" t="s">
        <v>334</v>
      </c>
    </row>
    <row r="30" spans="1:47" x14ac:dyDescent="0.25">
      <c r="A30" s="26" t="s">
        <v>182</v>
      </c>
      <c r="B30" s="201"/>
      <c r="C30" s="82">
        <v>0</v>
      </c>
      <c r="D30" s="82">
        <v>0</v>
      </c>
      <c r="E30" s="82">
        <v>0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  <c r="N30" s="82">
        <v>0</v>
      </c>
      <c r="O30" s="82">
        <v>0</v>
      </c>
      <c r="P30" s="82">
        <v>0</v>
      </c>
      <c r="Q30" s="82">
        <v>0</v>
      </c>
      <c r="R30" s="30">
        <f>AVERAGE(1/3,0)</f>
        <v>0.16666666666666666</v>
      </c>
      <c r="S30" s="82">
        <v>0</v>
      </c>
      <c r="T30" s="82">
        <v>0</v>
      </c>
      <c r="U30" s="82">
        <v>0</v>
      </c>
      <c r="V30" s="82">
        <v>0</v>
      </c>
      <c r="W30" s="30">
        <f>1/3</f>
        <v>0.33333333333333331</v>
      </c>
      <c r="X30" s="82">
        <v>0</v>
      </c>
      <c r="Y30" s="82">
        <v>0</v>
      </c>
      <c r="Z30" s="82">
        <v>0</v>
      </c>
      <c r="AA30" s="82">
        <v>0</v>
      </c>
      <c r="AB30" s="30"/>
      <c r="AC30" s="82">
        <v>0</v>
      </c>
      <c r="AD30" s="30"/>
      <c r="AE30" s="30">
        <f>AVERAGE(1/3,0)</f>
        <v>0.16666666666666666</v>
      </c>
      <c r="AF30" s="82">
        <v>0</v>
      </c>
      <c r="AG30" s="82">
        <v>0</v>
      </c>
      <c r="AH30" s="82">
        <v>0</v>
      </c>
      <c r="AJ30" s="30">
        <f>1/3</f>
        <v>0.33333333333333331</v>
      </c>
      <c r="AK30" s="30">
        <f>1/3</f>
        <v>0.33333333333333331</v>
      </c>
      <c r="AL30" s="30">
        <f>1/3</f>
        <v>0.33333333333333331</v>
      </c>
      <c r="AM30" s="82">
        <v>0</v>
      </c>
      <c r="AN30" s="30">
        <f t="shared" ref="AN30:AU30" si="0">1/3</f>
        <v>0.33333333333333331</v>
      </c>
      <c r="AO30" s="30">
        <f t="shared" si="0"/>
        <v>0.33333333333333331</v>
      </c>
      <c r="AP30" s="30">
        <f t="shared" si="0"/>
        <v>0.33333333333333331</v>
      </c>
      <c r="AQ30" s="30">
        <f t="shared" si="0"/>
        <v>0.33333333333333331</v>
      </c>
      <c r="AR30" s="30">
        <f t="shared" si="0"/>
        <v>0.33333333333333331</v>
      </c>
      <c r="AS30" s="30">
        <f t="shared" si="0"/>
        <v>0.33333333333333331</v>
      </c>
      <c r="AT30" s="30">
        <f t="shared" si="0"/>
        <v>0.33333333333333331</v>
      </c>
      <c r="AU30" s="30">
        <f t="shared" si="0"/>
        <v>0.33333333333333331</v>
      </c>
    </row>
    <row r="31" spans="1:47" x14ac:dyDescent="0.25">
      <c r="X31" s="223" t="s">
        <v>656</v>
      </c>
      <c r="Y31" s="223"/>
      <c r="Z31" s="223"/>
      <c r="AA31" s="223"/>
      <c r="AB31" s="223"/>
      <c r="AC31" s="223"/>
      <c r="AD31" s="223"/>
      <c r="AE31" s="223"/>
      <c r="AF31" s="223"/>
      <c r="AJ31" s="223" t="s">
        <v>657</v>
      </c>
      <c r="AK31" s="223"/>
      <c r="AL31" s="223"/>
      <c r="AM31" s="223"/>
      <c r="AN31" s="223"/>
      <c r="AO31" s="223"/>
      <c r="AP31" s="223"/>
      <c r="AQ31" s="223"/>
      <c r="AR31" s="223"/>
      <c r="AS31" s="223"/>
      <c r="AT31" s="223"/>
      <c r="AU31" s="223"/>
    </row>
    <row r="32" spans="1:47" x14ac:dyDescent="0.25">
      <c r="A32" s="31" t="s">
        <v>183</v>
      </c>
    </row>
    <row r="33" spans="1:2" x14ac:dyDescent="0.25">
      <c r="A33" s="235" t="s">
        <v>658</v>
      </c>
      <c r="B33" s="56" t="s">
        <v>295</v>
      </c>
    </row>
    <row r="34" spans="1:2" x14ac:dyDescent="0.25">
      <c r="A34" s="235"/>
      <c r="B34" s="93" t="s">
        <v>659</v>
      </c>
    </row>
    <row r="35" spans="1:2" ht="30.75" customHeight="1" x14ac:dyDescent="0.25">
      <c r="A35" s="239" t="s">
        <v>660</v>
      </c>
      <c r="B35" s="93" t="s">
        <v>295</v>
      </c>
    </row>
    <row r="36" spans="1:2" x14ac:dyDescent="0.25">
      <c r="A36" s="239"/>
      <c r="B36" s="93" t="s">
        <v>647</v>
      </c>
    </row>
    <row r="37" spans="1:2" x14ac:dyDescent="0.25">
      <c r="A37" s="239"/>
      <c r="B37" s="93" t="s">
        <v>659</v>
      </c>
    </row>
  </sheetData>
  <mergeCells count="9">
    <mergeCell ref="A35:A37"/>
    <mergeCell ref="B3:D3"/>
    <mergeCell ref="B4:D4"/>
    <mergeCell ref="B5:D5"/>
    <mergeCell ref="AJ31:AU31"/>
    <mergeCell ref="X31:AF31"/>
    <mergeCell ref="F3:O3"/>
    <mergeCell ref="F4:O5"/>
    <mergeCell ref="A33:A34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DE24B-EA24-47A2-96EA-4512D9AB502A}">
  <dimension ref="A1:AO53"/>
  <sheetViews>
    <sheetView topLeftCell="A28" workbookViewId="0">
      <selection activeCell="AH23" sqref="AH23"/>
    </sheetView>
  </sheetViews>
  <sheetFormatPr defaultColWidth="9.140625" defaultRowHeight="15" x14ac:dyDescent="0.25"/>
  <cols>
    <col min="1" max="1" width="23.28515625" style="26" bestFit="1" customWidth="1"/>
    <col min="2" max="52" width="5.7109375" style="26" customWidth="1"/>
    <col min="53" max="16384" width="9.140625" style="26"/>
  </cols>
  <sheetData>
    <row r="1" spans="1:41" x14ac:dyDescent="0.25">
      <c r="A1" s="25" t="s">
        <v>116</v>
      </c>
      <c r="D1" s="25" t="s">
        <v>117</v>
      </c>
      <c r="I1" s="25" t="s">
        <v>549</v>
      </c>
    </row>
    <row r="3" spans="1:41" ht="18" x14ac:dyDescent="0.25">
      <c r="A3" s="25" t="s">
        <v>119</v>
      </c>
      <c r="B3" s="215">
        <v>43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41" ht="18" x14ac:dyDescent="0.25">
      <c r="A4" s="25" t="s">
        <v>121</v>
      </c>
      <c r="B4" s="215" t="s">
        <v>661</v>
      </c>
      <c r="C4" s="215"/>
      <c r="D4" s="215"/>
      <c r="F4" s="240" t="s">
        <v>662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41" ht="18" x14ac:dyDescent="0.25">
      <c r="A5" s="25" t="s">
        <v>124</v>
      </c>
      <c r="B5" s="215" t="s">
        <v>377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41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76" t="s">
        <v>158</v>
      </c>
      <c r="AJ7" s="67" t="s">
        <v>140</v>
      </c>
      <c r="AK7" s="42" t="s">
        <v>141</v>
      </c>
      <c r="AL7" s="47" t="s">
        <v>148</v>
      </c>
      <c r="AM7" s="47" t="s">
        <v>149</v>
      </c>
      <c r="AO7" s="43" t="s">
        <v>17</v>
      </c>
    </row>
    <row r="8" spans="1:41" x14ac:dyDescent="0.25">
      <c r="A8" s="26" t="s">
        <v>159</v>
      </c>
      <c r="B8" s="28" t="s">
        <v>315</v>
      </c>
      <c r="C8" s="80" t="s">
        <v>341</v>
      </c>
      <c r="D8" s="80" t="s">
        <v>341</v>
      </c>
      <c r="E8" s="80" t="s">
        <v>341</v>
      </c>
      <c r="F8" s="80" t="s">
        <v>341</v>
      </c>
      <c r="G8" s="80" t="s">
        <v>341</v>
      </c>
      <c r="H8" s="80" t="s">
        <v>341</v>
      </c>
      <c r="I8" s="80" t="s">
        <v>341</v>
      </c>
      <c r="J8" s="28" t="s">
        <v>302</v>
      </c>
      <c r="K8" s="28" t="s">
        <v>302</v>
      </c>
      <c r="L8" s="28" t="s">
        <v>302</v>
      </c>
      <c r="M8" s="28" t="s">
        <v>302</v>
      </c>
      <c r="N8" s="28" t="s">
        <v>302</v>
      </c>
      <c r="O8" s="28" t="s">
        <v>302</v>
      </c>
      <c r="P8" s="28" t="s">
        <v>302</v>
      </c>
      <c r="Q8" s="28" t="s">
        <v>302</v>
      </c>
      <c r="R8" s="28" t="s">
        <v>302</v>
      </c>
      <c r="S8" s="28" t="s">
        <v>302</v>
      </c>
      <c r="T8" s="28" t="s">
        <v>348</v>
      </c>
      <c r="U8" s="28" t="s">
        <v>348</v>
      </c>
      <c r="V8" s="28" t="s">
        <v>302</v>
      </c>
      <c r="W8" s="28" t="s">
        <v>302</v>
      </c>
      <c r="X8" s="28" t="s">
        <v>302</v>
      </c>
      <c r="Y8" s="28" t="s">
        <v>348</v>
      </c>
      <c r="Z8" s="28" t="s">
        <v>321</v>
      </c>
      <c r="AA8" s="28" t="s">
        <v>663</v>
      </c>
      <c r="AB8" s="80" t="s">
        <v>341</v>
      </c>
      <c r="AC8" s="80" t="s">
        <v>341</v>
      </c>
      <c r="AD8" s="28" t="s">
        <v>663</v>
      </c>
      <c r="AE8" s="103" t="s">
        <v>664</v>
      </c>
      <c r="AF8" s="28" t="s">
        <v>348</v>
      </c>
      <c r="AG8" s="28" t="s">
        <v>302</v>
      </c>
      <c r="AH8" s="28" t="s">
        <v>663</v>
      </c>
      <c r="AJ8" s="80" t="s">
        <v>341</v>
      </c>
      <c r="AK8" s="80" t="s">
        <v>341</v>
      </c>
      <c r="AL8" s="80" t="s">
        <v>341</v>
      </c>
      <c r="AM8" s="80" t="s">
        <v>341</v>
      </c>
      <c r="AO8" s="28" t="s">
        <v>315</v>
      </c>
    </row>
    <row r="9" spans="1:41" x14ac:dyDescent="0.25">
      <c r="A9" s="26" t="s">
        <v>165</v>
      </c>
      <c r="B9" s="28" t="s">
        <v>303</v>
      </c>
      <c r="C9" s="81" t="s">
        <v>341</v>
      </c>
      <c r="D9" s="81" t="s">
        <v>341</v>
      </c>
      <c r="E9" s="81" t="s">
        <v>341</v>
      </c>
      <c r="F9" s="81" t="s">
        <v>341</v>
      </c>
      <c r="G9" s="81" t="s">
        <v>341</v>
      </c>
      <c r="H9" s="81" t="s">
        <v>341</v>
      </c>
      <c r="I9" s="81" t="s">
        <v>341</v>
      </c>
      <c r="J9" s="28" t="s">
        <v>303</v>
      </c>
      <c r="K9" s="28" t="s">
        <v>303</v>
      </c>
      <c r="L9" s="28" t="s">
        <v>303</v>
      </c>
      <c r="M9" s="28" t="s">
        <v>303</v>
      </c>
      <c r="N9" s="28" t="s">
        <v>303</v>
      </c>
      <c r="O9" s="28" t="s">
        <v>303</v>
      </c>
      <c r="P9" s="28" t="s">
        <v>303</v>
      </c>
      <c r="Q9" s="28" t="s">
        <v>303</v>
      </c>
      <c r="R9" s="28" t="s">
        <v>303</v>
      </c>
      <c r="S9" s="28" t="s">
        <v>527</v>
      </c>
      <c r="T9" s="29" t="s">
        <v>227</v>
      </c>
      <c r="U9" s="176" t="s">
        <v>227</v>
      </c>
      <c r="V9" s="28" t="s">
        <v>303</v>
      </c>
      <c r="W9" s="28" t="s">
        <v>303</v>
      </c>
      <c r="X9" s="28" t="s">
        <v>303</v>
      </c>
      <c r="Y9" s="29" t="s">
        <v>227</v>
      </c>
      <c r="Z9" s="29" t="s">
        <v>331</v>
      </c>
      <c r="AA9" s="28" t="s">
        <v>303</v>
      </c>
      <c r="AB9" s="81" t="s">
        <v>341</v>
      </c>
      <c r="AC9" s="81" t="s">
        <v>341</v>
      </c>
      <c r="AD9" s="29" t="s">
        <v>331</v>
      </c>
      <c r="AE9" s="29" t="s">
        <v>665</v>
      </c>
      <c r="AF9" s="29" t="s">
        <v>227</v>
      </c>
      <c r="AG9" s="28" t="s">
        <v>303</v>
      </c>
      <c r="AH9" s="28" t="s">
        <v>666</v>
      </c>
      <c r="AJ9" s="81" t="s">
        <v>341</v>
      </c>
      <c r="AK9" s="81" t="s">
        <v>341</v>
      </c>
      <c r="AL9" s="81" t="s">
        <v>341</v>
      </c>
      <c r="AM9" s="81" t="s">
        <v>341</v>
      </c>
      <c r="AO9" s="28" t="s">
        <v>303</v>
      </c>
    </row>
    <row r="10" spans="1:41" x14ac:dyDescent="0.25">
      <c r="A10" s="131" t="s">
        <v>168</v>
      </c>
      <c r="B10" s="157">
        <v>20</v>
      </c>
      <c r="C10" s="198"/>
      <c r="D10" s="198"/>
      <c r="E10" s="198"/>
      <c r="F10" s="198"/>
      <c r="G10" s="198"/>
      <c r="H10" s="198"/>
      <c r="I10" s="198"/>
      <c r="J10" s="157">
        <v>20</v>
      </c>
      <c r="K10" s="157">
        <v>20</v>
      </c>
      <c r="L10" s="157">
        <v>20</v>
      </c>
      <c r="M10" s="157">
        <v>20</v>
      </c>
      <c r="N10" s="157">
        <v>20</v>
      </c>
      <c r="O10" s="157">
        <v>20</v>
      </c>
      <c r="P10" s="157">
        <v>20</v>
      </c>
      <c r="Q10" s="157">
        <v>20</v>
      </c>
      <c r="R10" s="157">
        <v>20</v>
      </c>
      <c r="S10" s="157">
        <v>136</v>
      </c>
      <c r="T10" s="157">
        <v>35</v>
      </c>
      <c r="U10" s="157">
        <v>35</v>
      </c>
      <c r="V10" s="157">
        <v>20</v>
      </c>
      <c r="W10" s="157">
        <v>20</v>
      </c>
      <c r="X10" s="157">
        <v>20</v>
      </c>
      <c r="Y10" s="157">
        <v>35</v>
      </c>
      <c r="Z10" s="157">
        <v>18</v>
      </c>
      <c r="AA10" s="157">
        <v>20</v>
      </c>
      <c r="AB10" s="198"/>
      <c r="AC10" s="198"/>
      <c r="AD10" s="157">
        <v>18</v>
      </c>
      <c r="AE10" s="157">
        <v>156</v>
      </c>
      <c r="AF10" s="157">
        <v>35</v>
      </c>
      <c r="AG10" s="157">
        <v>20</v>
      </c>
      <c r="AH10" s="157">
        <v>154</v>
      </c>
      <c r="AJ10" s="198"/>
      <c r="AK10" s="198"/>
      <c r="AL10" s="198"/>
      <c r="AM10" s="198"/>
      <c r="AO10" s="157">
        <v>20</v>
      </c>
    </row>
    <row r="11" spans="1:41" x14ac:dyDescent="0.25">
      <c r="A11" s="26" t="s">
        <v>169</v>
      </c>
      <c r="B11" s="29" t="s">
        <v>170</v>
      </c>
      <c r="C11" s="80" t="s">
        <v>173</v>
      </c>
      <c r="D11" s="80" t="s">
        <v>173</v>
      </c>
      <c r="E11" s="80" t="s">
        <v>173</v>
      </c>
      <c r="F11" s="80" t="s">
        <v>173</v>
      </c>
      <c r="G11" s="80" t="s">
        <v>173</v>
      </c>
      <c r="H11" s="80" t="s">
        <v>173</v>
      </c>
      <c r="I11" s="80" t="s">
        <v>173</v>
      </c>
      <c r="J11" s="29" t="s">
        <v>170</v>
      </c>
      <c r="K11" s="29" t="s">
        <v>170</v>
      </c>
      <c r="L11" s="29" t="s">
        <v>170</v>
      </c>
      <c r="M11" s="29" t="s">
        <v>170</v>
      </c>
      <c r="N11" s="29" t="s">
        <v>170</v>
      </c>
      <c r="O11" s="29" t="s">
        <v>170</v>
      </c>
      <c r="P11" s="29" t="s">
        <v>170</v>
      </c>
      <c r="Q11" s="29" t="s">
        <v>170</v>
      </c>
      <c r="R11" s="29" t="s">
        <v>170</v>
      </c>
      <c r="S11" s="28" t="s">
        <v>266</v>
      </c>
      <c r="T11" s="28" t="s">
        <v>170</v>
      </c>
      <c r="U11" s="28" t="s">
        <v>170</v>
      </c>
      <c r="V11" s="29" t="s">
        <v>170</v>
      </c>
      <c r="W11" s="29" t="s">
        <v>170</v>
      </c>
      <c r="X11" s="29" t="s">
        <v>170</v>
      </c>
      <c r="Y11" s="28" t="s">
        <v>170</v>
      </c>
      <c r="Z11" s="29" t="s">
        <v>170</v>
      </c>
      <c r="AA11" s="29" t="s">
        <v>170</v>
      </c>
      <c r="AB11" s="80" t="s">
        <v>173</v>
      </c>
      <c r="AC11" s="80" t="s">
        <v>173</v>
      </c>
      <c r="AD11" s="29" t="s">
        <v>170</v>
      </c>
      <c r="AE11" s="28" t="s">
        <v>266</v>
      </c>
      <c r="AF11" s="28" t="s">
        <v>170</v>
      </c>
      <c r="AG11" s="29" t="s">
        <v>170</v>
      </c>
      <c r="AH11" s="29" t="s">
        <v>170</v>
      </c>
      <c r="AJ11" s="80" t="s">
        <v>173</v>
      </c>
      <c r="AK11" s="80" t="s">
        <v>173</v>
      </c>
      <c r="AL11" s="80" t="s">
        <v>173</v>
      </c>
      <c r="AM11" s="80" t="s">
        <v>173</v>
      </c>
      <c r="AO11" s="29" t="s">
        <v>170</v>
      </c>
    </row>
    <row r="12" spans="1:41" x14ac:dyDescent="0.25">
      <c r="A12" s="26" t="s">
        <v>171</v>
      </c>
      <c r="B12" s="29" t="s">
        <v>170</v>
      </c>
      <c r="C12" s="80" t="s">
        <v>173</v>
      </c>
      <c r="D12" s="80" t="s">
        <v>173</v>
      </c>
      <c r="E12" s="80" t="s">
        <v>173</v>
      </c>
      <c r="F12" s="80" t="s">
        <v>173</v>
      </c>
      <c r="G12" s="80" t="s">
        <v>173</v>
      </c>
      <c r="H12" s="80" t="s">
        <v>173</v>
      </c>
      <c r="I12" s="80" t="s">
        <v>173</v>
      </c>
      <c r="J12" s="29" t="s">
        <v>170</v>
      </c>
      <c r="K12" s="29" t="s">
        <v>170</v>
      </c>
      <c r="L12" s="29" t="s">
        <v>170</v>
      </c>
      <c r="M12" s="29" t="s">
        <v>170</v>
      </c>
      <c r="N12" s="29" t="s">
        <v>170</v>
      </c>
      <c r="O12" s="29" t="s">
        <v>170</v>
      </c>
      <c r="P12" s="29" t="s">
        <v>170</v>
      </c>
      <c r="Q12" s="29" t="s">
        <v>170</v>
      </c>
      <c r="R12" s="29" t="s">
        <v>170</v>
      </c>
      <c r="S12" s="28" t="s">
        <v>266</v>
      </c>
      <c r="T12" s="28" t="s">
        <v>170</v>
      </c>
      <c r="U12" s="28" t="s">
        <v>170</v>
      </c>
      <c r="V12" s="29" t="s">
        <v>170</v>
      </c>
      <c r="W12" s="29" t="s">
        <v>170</v>
      </c>
      <c r="X12" s="29" t="s">
        <v>170</v>
      </c>
      <c r="Y12" s="28" t="s">
        <v>170</v>
      </c>
      <c r="Z12" s="29" t="s">
        <v>170</v>
      </c>
      <c r="AA12" s="29" t="s">
        <v>170</v>
      </c>
      <c r="AB12" s="80" t="s">
        <v>173</v>
      </c>
      <c r="AC12" s="80" t="s">
        <v>173</v>
      </c>
      <c r="AD12" s="29" t="s">
        <v>170</v>
      </c>
      <c r="AE12" s="28" t="s">
        <v>266</v>
      </c>
      <c r="AF12" s="28" t="s">
        <v>170</v>
      </c>
      <c r="AG12" s="29" t="s">
        <v>170</v>
      </c>
      <c r="AH12" s="28" t="s">
        <v>170</v>
      </c>
      <c r="AJ12" s="80" t="s">
        <v>173</v>
      </c>
      <c r="AK12" s="80" t="s">
        <v>173</v>
      </c>
      <c r="AL12" s="80" t="s">
        <v>173</v>
      </c>
      <c r="AM12" s="80" t="s">
        <v>173</v>
      </c>
      <c r="AO12" s="29" t="s">
        <v>170</v>
      </c>
    </row>
    <row r="13" spans="1:41" x14ac:dyDescent="0.25">
      <c r="A13" s="26" t="s">
        <v>172</v>
      </c>
      <c r="B13" s="28" t="s">
        <v>173</v>
      </c>
      <c r="C13" s="80" t="s">
        <v>173</v>
      </c>
      <c r="D13" s="80" t="s">
        <v>173</v>
      </c>
      <c r="E13" s="80" t="s">
        <v>173</v>
      </c>
      <c r="F13" s="80" t="s">
        <v>173</v>
      </c>
      <c r="G13" s="80" t="s">
        <v>173</v>
      </c>
      <c r="H13" s="80" t="s">
        <v>173</v>
      </c>
      <c r="I13" s="80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 t="s">
        <v>173</v>
      </c>
      <c r="S13" s="28" t="s">
        <v>173</v>
      </c>
      <c r="T13" s="28" t="s">
        <v>170</v>
      </c>
      <c r="U13" s="28" t="s">
        <v>170</v>
      </c>
      <c r="V13" s="28" t="s">
        <v>173</v>
      </c>
      <c r="W13" s="28" t="s">
        <v>173</v>
      </c>
      <c r="X13" s="28" t="s">
        <v>173</v>
      </c>
      <c r="Y13" s="28" t="s">
        <v>170</v>
      </c>
      <c r="Z13" s="28" t="s">
        <v>173</v>
      </c>
      <c r="AA13" s="28" t="s">
        <v>173</v>
      </c>
      <c r="AB13" s="80" t="s">
        <v>173</v>
      </c>
      <c r="AC13" s="80" t="s">
        <v>173</v>
      </c>
      <c r="AD13" s="28" t="s">
        <v>173</v>
      </c>
      <c r="AE13" s="28" t="s">
        <v>173</v>
      </c>
      <c r="AF13" s="28" t="s">
        <v>170</v>
      </c>
      <c r="AG13" s="28" t="s">
        <v>173</v>
      </c>
      <c r="AH13" s="28" t="s">
        <v>173</v>
      </c>
      <c r="AJ13" s="80" t="s">
        <v>173</v>
      </c>
      <c r="AK13" s="80" t="s">
        <v>173</v>
      </c>
      <c r="AL13" s="80" t="s">
        <v>173</v>
      </c>
      <c r="AM13" s="80" t="s">
        <v>173</v>
      </c>
      <c r="AO13" s="28" t="s">
        <v>173</v>
      </c>
    </row>
    <row r="14" spans="1:41" x14ac:dyDescent="0.25">
      <c r="A14" s="26" t="s">
        <v>174</v>
      </c>
      <c r="B14" s="28" t="s">
        <v>173</v>
      </c>
      <c r="C14" s="80" t="s">
        <v>173</v>
      </c>
      <c r="D14" s="80" t="s">
        <v>173</v>
      </c>
      <c r="E14" s="80" t="s">
        <v>173</v>
      </c>
      <c r="F14" s="80" t="s">
        <v>173</v>
      </c>
      <c r="G14" s="80" t="s">
        <v>173</v>
      </c>
      <c r="H14" s="80" t="s">
        <v>173</v>
      </c>
      <c r="I14" s="80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 t="s">
        <v>173</v>
      </c>
      <c r="V14" s="28" t="s">
        <v>173</v>
      </c>
      <c r="W14" s="28" t="s">
        <v>173</v>
      </c>
      <c r="X14" s="28" t="s">
        <v>173</v>
      </c>
      <c r="Y14" s="28" t="s">
        <v>173</v>
      </c>
      <c r="Z14" s="28" t="s">
        <v>173</v>
      </c>
      <c r="AA14" s="28" t="s">
        <v>173</v>
      </c>
      <c r="AB14" s="80" t="s">
        <v>173</v>
      </c>
      <c r="AC14" s="80" t="s">
        <v>173</v>
      </c>
      <c r="AD14" s="28" t="s">
        <v>173</v>
      </c>
      <c r="AE14" s="28" t="s">
        <v>173</v>
      </c>
      <c r="AF14" s="28" t="s">
        <v>173</v>
      </c>
      <c r="AG14" s="28" t="s">
        <v>173</v>
      </c>
      <c r="AH14" s="28" t="s">
        <v>173</v>
      </c>
      <c r="AJ14" s="80" t="s">
        <v>173</v>
      </c>
      <c r="AK14" s="80" t="s">
        <v>173</v>
      </c>
      <c r="AL14" s="80" t="s">
        <v>173</v>
      </c>
      <c r="AM14" s="80" t="s">
        <v>173</v>
      </c>
      <c r="AO14" s="28" t="s">
        <v>173</v>
      </c>
    </row>
    <row r="15" spans="1:41" x14ac:dyDescent="0.25">
      <c r="A15" s="26" t="s">
        <v>175</v>
      </c>
      <c r="B15" s="28" t="s">
        <v>267</v>
      </c>
      <c r="C15" s="80" t="s">
        <v>267</v>
      </c>
      <c r="D15" s="80" t="s">
        <v>267</v>
      </c>
      <c r="E15" s="80" t="s">
        <v>267</v>
      </c>
      <c r="F15" s="80" t="s">
        <v>267</v>
      </c>
      <c r="G15" s="80" t="s">
        <v>267</v>
      </c>
      <c r="H15" s="80" t="s">
        <v>267</v>
      </c>
      <c r="I15" s="80" t="s">
        <v>267</v>
      </c>
      <c r="J15" s="28" t="s">
        <v>267</v>
      </c>
      <c r="K15" s="28" t="s">
        <v>267</v>
      </c>
      <c r="L15" s="28" t="s">
        <v>267</v>
      </c>
      <c r="M15" s="28" t="s">
        <v>267</v>
      </c>
      <c r="N15" s="28" t="s">
        <v>267</v>
      </c>
      <c r="O15" s="28" t="s">
        <v>267</v>
      </c>
      <c r="P15" s="28" t="s">
        <v>267</v>
      </c>
      <c r="Q15" s="28" t="s">
        <v>267</v>
      </c>
      <c r="R15" s="28" t="s">
        <v>267</v>
      </c>
      <c r="S15" s="28" t="s">
        <v>267</v>
      </c>
      <c r="T15" s="28" t="s">
        <v>199</v>
      </c>
      <c r="U15" s="28" t="s">
        <v>199</v>
      </c>
      <c r="V15" s="28" t="s">
        <v>267</v>
      </c>
      <c r="W15" s="28" t="s">
        <v>267</v>
      </c>
      <c r="X15" s="28" t="s">
        <v>267</v>
      </c>
      <c r="Y15" s="28" t="s">
        <v>199</v>
      </c>
      <c r="Z15" s="28" t="s">
        <v>199</v>
      </c>
      <c r="AA15" s="28" t="s">
        <v>267</v>
      </c>
      <c r="AB15" s="80" t="s">
        <v>267</v>
      </c>
      <c r="AC15" s="80" t="s">
        <v>267</v>
      </c>
      <c r="AD15" s="28" t="s">
        <v>199</v>
      </c>
      <c r="AE15" s="28" t="s">
        <v>199</v>
      </c>
      <c r="AF15" s="28" t="s">
        <v>199</v>
      </c>
      <c r="AG15" s="28" t="s">
        <v>267</v>
      </c>
      <c r="AH15" s="28" t="s">
        <v>290</v>
      </c>
      <c r="AJ15" s="80" t="s">
        <v>267</v>
      </c>
      <c r="AK15" s="80" t="s">
        <v>267</v>
      </c>
      <c r="AL15" s="80" t="s">
        <v>267</v>
      </c>
      <c r="AM15" s="80" t="s">
        <v>267</v>
      </c>
      <c r="AO15" s="28" t="s">
        <v>267</v>
      </c>
    </row>
    <row r="16" spans="1:41" x14ac:dyDescent="0.25">
      <c r="A16" s="26" t="s">
        <v>176</v>
      </c>
      <c r="B16" s="30">
        <v>-3</v>
      </c>
      <c r="C16" s="82">
        <v>-3</v>
      </c>
      <c r="D16" s="82">
        <v>-3</v>
      </c>
      <c r="E16" s="82">
        <v>-3</v>
      </c>
      <c r="F16" s="82">
        <v>-3</v>
      </c>
      <c r="G16" s="82">
        <v>-3</v>
      </c>
      <c r="H16" s="82">
        <v>-3</v>
      </c>
      <c r="I16" s="82">
        <v>-3</v>
      </c>
      <c r="J16" s="30">
        <v>-3</v>
      </c>
      <c r="K16" s="30">
        <v>-3</v>
      </c>
      <c r="L16" s="30">
        <v>-3</v>
      </c>
      <c r="M16" s="30">
        <v>-3</v>
      </c>
      <c r="N16" s="30">
        <v>-3</v>
      </c>
      <c r="O16" s="30">
        <v>-3</v>
      </c>
      <c r="P16" s="30">
        <v>-3</v>
      </c>
      <c r="Q16" s="30">
        <v>-3</v>
      </c>
      <c r="R16" s="30">
        <v>-3</v>
      </c>
      <c r="S16" s="30">
        <v>-3</v>
      </c>
      <c r="T16" s="120">
        <v>-0.5</v>
      </c>
      <c r="U16" s="120">
        <v>-0.5</v>
      </c>
      <c r="V16" s="30">
        <v>-3</v>
      </c>
      <c r="W16" s="30">
        <v>-3</v>
      </c>
      <c r="X16" s="30">
        <v>-3</v>
      </c>
      <c r="Y16" s="120">
        <v>-0.5</v>
      </c>
      <c r="Z16" s="30">
        <v>-2</v>
      </c>
      <c r="AA16" s="30">
        <v>-3</v>
      </c>
      <c r="AB16" s="82">
        <v>-3</v>
      </c>
      <c r="AC16" s="82">
        <v>-3</v>
      </c>
      <c r="AD16" s="30">
        <v>-2</v>
      </c>
      <c r="AE16" s="30">
        <v>-2</v>
      </c>
      <c r="AF16" s="120">
        <v>-0.5</v>
      </c>
      <c r="AG16" s="30">
        <v>-3</v>
      </c>
      <c r="AH16" s="30">
        <v>-2.5</v>
      </c>
      <c r="AJ16" s="82">
        <v>-3</v>
      </c>
      <c r="AK16" s="82">
        <v>-3</v>
      </c>
      <c r="AL16" s="82">
        <v>-3</v>
      </c>
      <c r="AM16" s="82">
        <v>-3</v>
      </c>
      <c r="AO16" s="30">
        <v>-3</v>
      </c>
    </row>
    <row r="17" spans="1:41" x14ac:dyDescent="0.25">
      <c r="A17" s="26" t="s">
        <v>177</v>
      </c>
      <c r="B17" s="28" t="s">
        <v>178</v>
      </c>
      <c r="C17" s="80" t="s">
        <v>341</v>
      </c>
      <c r="D17" s="80" t="s">
        <v>341</v>
      </c>
      <c r="E17" s="80" t="s">
        <v>341</v>
      </c>
      <c r="F17" s="80" t="s">
        <v>341</v>
      </c>
      <c r="G17" s="80" t="s">
        <v>341</v>
      </c>
      <c r="H17" s="80" t="s">
        <v>341</v>
      </c>
      <c r="I17" s="80" t="s">
        <v>341</v>
      </c>
      <c r="J17" s="28" t="s">
        <v>178</v>
      </c>
      <c r="K17" s="28" t="s">
        <v>178</v>
      </c>
      <c r="L17" s="28" t="s">
        <v>178</v>
      </c>
      <c r="M17" s="28" t="s">
        <v>178</v>
      </c>
      <c r="N17" s="28" t="s">
        <v>178</v>
      </c>
      <c r="O17" s="28" t="s">
        <v>178</v>
      </c>
      <c r="P17" s="28" t="s">
        <v>178</v>
      </c>
      <c r="Q17" s="28" t="s">
        <v>178</v>
      </c>
      <c r="R17" s="28" t="s">
        <v>178</v>
      </c>
      <c r="S17" s="28" t="s">
        <v>528</v>
      </c>
      <c r="T17" s="28" t="s">
        <v>200</v>
      </c>
      <c r="U17" s="28" t="s">
        <v>200</v>
      </c>
      <c r="V17" s="28" t="s">
        <v>178</v>
      </c>
      <c r="W17" s="28" t="s">
        <v>178</v>
      </c>
      <c r="X17" s="28" t="s">
        <v>178</v>
      </c>
      <c r="Y17" s="28" t="s">
        <v>200</v>
      </c>
      <c r="Z17" s="28" t="s">
        <v>178</v>
      </c>
      <c r="AA17" s="28" t="s">
        <v>178</v>
      </c>
      <c r="AB17" s="80" t="s">
        <v>341</v>
      </c>
      <c r="AC17" s="80" t="s">
        <v>341</v>
      </c>
      <c r="AD17" s="28" t="s">
        <v>178</v>
      </c>
      <c r="AE17" s="28" t="s">
        <v>528</v>
      </c>
      <c r="AF17" s="28" t="s">
        <v>200</v>
      </c>
      <c r="AG17" s="28" t="s">
        <v>178</v>
      </c>
      <c r="AH17" s="28" t="s">
        <v>178</v>
      </c>
      <c r="AJ17" s="80" t="s">
        <v>341</v>
      </c>
      <c r="AK17" s="80" t="s">
        <v>341</v>
      </c>
      <c r="AL17" s="80" t="s">
        <v>341</v>
      </c>
      <c r="AM17" s="80" t="s">
        <v>341</v>
      </c>
      <c r="AO17" s="28" t="s">
        <v>178</v>
      </c>
    </row>
    <row r="18" spans="1:41" x14ac:dyDescent="0.25">
      <c r="A18" s="26" t="s">
        <v>182</v>
      </c>
      <c r="B18" s="30">
        <v>4</v>
      </c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30">
        <v>4</v>
      </c>
      <c r="S18" s="30">
        <f>AVERAGE(4,0)</f>
        <v>2</v>
      </c>
      <c r="T18" s="30">
        <v>3</v>
      </c>
      <c r="U18" s="30">
        <v>3</v>
      </c>
      <c r="V18" s="30">
        <v>4</v>
      </c>
      <c r="W18" s="30">
        <v>4</v>
      </c>
      <c r="X18" s="30">
        <v>4</v>
      </c>
      <c r="Y18" s="30">
        <v>3</v>
      </c>
      <c r="Z18" s="30">
        <v>4</v>
      </c>
      <c r="AA18" s="30">
        <v>4</v>
      </c>
      <c r="AB18" s="82">
        <v>0</v>
      </c>
      <c r="AC18" s="82">
        <v>0</v>
      </c>
      <c r="AD18" s="30">
        <v>4</v>
      </c>
      <c r="AE18" s="30">
        <f>AVERAGE(4,0)</f>
        <v>2</v>
      </c>
      <c r="AF18" s="30">
        <v>3</v>
      </c>
      <c r="AG18" s="30">
        <v>4</v>
      </c>
      <c r="AH18" s="30">
        <v>4</v>
      </c>
      <c r="AJ18" s="82">
        <v>0</v>
      </c>
      <c r="AK18" s="82">
        <v>0</v>
      </c>
      <c r="AL18" s="82">
        <v>0</v>
      </c>
      <c r="AM18" s="82">
        <v>0</v>
      </c>
      <c r="AO18" s="30">
        <v>4</v>
      </c>
    </row>
    <row r="20" spans="1:41" x14ac:dyDescent="0.25">
      <c r="A20" s="26" t="s">
        <v>159</v>
      </c>
      <c r="B20" s="86" t="s">
        <v>462</v>
      </c>
      <c r="C20" s="28" t="s">
        <v>473</v>
      </c>
      <c r="D20" s="28" t="s">
        <v>473</v>
      </c>
      <c r="E20" s="28" t="s">
        <v>473</v>
      </c>
      <c r="F20" s="113" t="s">
        <v>474</v>
      </c>
      <c r="G20" s="86" t="s">
        <v>473</v>
      </c>
      <c r="H20" s="28" t="s">
        <v>473</v>
      </c>
      <c r="I20" s="28" t="s">
        <v>473</v>
      </c>
      <c r="J20" s="113" t="s">
        <v>475</v>
      </c>
      <c r="K20" s="28" t="s">
        <v>473</v>
      </c>
      <c r="L20" s="28" t="s">
        <v>473</v>
      </c>
      <c r="M20" s="28" t="s">
        <v>473</v>
      </c>
      <c r="N20" s="28" t="s">
        <v>473</v>
      </c>
      <c r="O20" s="28" t="s">
        <v>473</v>
      </c>
      <c r="P20" s="86" t="s">
        <v>473</v>
      </c>
      <c r="Q20" s="86" t="s">
        <v>473</v>
      </c>
      <c r="R20" s="86" t="s">
        <v>473</v>
      </c>
      <c r="S20" s="28" t="s">
        <v>476</v>
      </c>
      <c r="T20" s="80" t="s">
        <v>341</v>
      </c>
      <c r="U20" s="80" t="s">
        <v>341</v>
      </c>
      <c r="V20" s="28" t="s">
        <v>473</v>
      </c>
      <c r="W20" s="28" t="s">
        <v>473</v>
      </c>
      <c r="X20" s="28" t="s">
        <v>448</v>
      </c>
      <c r="Y20" s="80" t="s">
        <v>341</v>
      </c>
      <c r="Z20" s="80" t="s">
        <v>341</v>
      </c>
      <c r="AA20" s="28" t="s">
        <v>556</v>
      </c>
      <c r="AB20" s="28" t="s">
        <v>667</v>
      </c>
      <c r="AC20" s="28" t="s">
        <v>667</v>
      </c>
      <c r="AD20" s="80" t="s">
        <v>341</v>
      </c>
      <c r="AE20" s="28" t="s">
        <v>668</v>
      </c>
      <c r="AF20" s="80" t="s">
        <v>341</v>
      </c>
      <c r="AG20" s="28" t="s">
        <v>611</v>
      </c>
      <c r="AH20" s="28" t="s">
        <v>556</v>
      </c>
      <c r="AJ20" s="28" t="s">
        <v>473</v>
      </c>
      <c r="AK20" s="28" t="s">
        <v>473</v>
      </c>
      <c r="AL20" s="28" t="s">
        <v>473</v>
      </c>
      <c r="AM20" s="28" t="s">
        <v>473</v>
      </c>
      <c r="AO20" s="28" t="s">
        <v>462</v>
      </c>
    </row>
    <row r="21" spans="1:41" x14ac:dyDescent="0.25">
      <c r="A21" s="26" t="s">
        <v>165</v>
      </c>
      <c r="B21" s="28" t="s">
        <v>479</v>
      </c>
      <c r="C21" s="28" t="s">
        <v>479</v>
      </c>
      <c r="D21" s="28" t="s">
        <v>473</v>
      </c>
      <c r="E21" s="28" t="s">
        <v>473</v>
      </c>
      <c r="F21" s="113" t="s">
        <v>480</v>
      </c>
      <c r="G21" s="29" t="s">
        <v>473</v>
      </c>
      <c r="H21" s="29" t="s">
        <v>473</v>
      </c>
      <c r="I21" s="29" t="s">
        <v>473</v>
      </c>
      <c r="J21" s="113" t="s">
        <v>481</v>
      </c>
      <c r="K21" s="29" t="s">
        <v>473</v>
      </c>
      <c r="L21" s="28" t="s">
        <v>558</v>
      </c>
      <c r="M21" s="28" t="s">
        <v>559</v>
      </c>
      <c r="N21" s="29" t="s">
        <v>473</v>
      </c>
      <c r="O21" s="29" t="s">
        <v>473</v>
      </c>
      <c r="P21" s="29" t="s">
        <v>473</v>
      </c>
      <c r="Q21" s="29" t="s">
        <v>473</v>
      </c>
      <c r="R21" s="29" t="s">
        <v>473</v>
      </c>
      <c r="S21" s="111" t="s">
        <v>613</v>
      </c>
      <c r="T21" s="81" t="s">
        <v>341</v>
      </c>
      <c r="U21" s="81" t="s">
        <v>341</v>
      </c>
      <c r="V21" s="29" t="s">
        <v>473</v>
      </c>
      <c r="W21" s="29" t="s">
        <v>473</v>
      </c>
      <c r="X21" s="29" t="s">
        <v>561</v>
      </c>
      <c r="Y21" s="81" t="s">
        <v>341</v>
      </c>
      <c r="Z21" s="81" t="s">
        <v>341</v>
      </c>
      <c r="AA21" s="28" t="s">
        <v>322</v>
      </c>
      <c r="AB21" s="112" t="s">
        <v>669</v>
      </c>
      <c r="AC21" s="112" t="s">
        <v>669</v>
      </c>
      <c r="AD21" s="81" t="s">
        <v>341</v>
      </c>
      <c r="AE21" s="112" t="s">
        <v>669</v>
      </c>
      <c r="AF21" s="81" t="s">
        <v>341</v>
      </c>
      <c r="AG21" s="28" t="s">
        <v>557</v>
      </c>
      <c r="AH21" s="28" t="s">
        <v>614</v>
      </c>
      <c r="AJ21" s="29" t="s">
        <v>473</v>
      </c>
      <c r="AK21" s="29" t="s">
        <v>473</v>
      </c>
      <c r="AL21" s="28" t="s">
        <v>473</v>
      </c>
      <c r="AM21" s="28" t="s">
        <v>473</v>
      </c>
      <c r="AO21" s="28" t="s">
        <v>484</v>
      </c>
    </row>
    <row r="22" spans="1:41" x14ac:dyDescent="0.25">
      <c r="A22" s="131" t="s">
        <v>168</v>
      </c>
      <c r="B22" s="157">
        <v>87</v>
      </c>
      <c r="C22" s="157">
        <v>87</v>
      </c>
      <c r="D22" s="157">
        <v>85</v>
      </c>
      <c r="E22" s="157">
        <v>85</v>
      </c>
      <c r="F22" s="157">
        <v>129</v>
      </c>
      <c r="G22" s="157">
        <v>85</v>
      </c>
      <c r="H22" s="157">
        <v>85</v>
      </c>
      <c r="I22" s="157">
        <v>85</v>
      </c>
      <c r="J22" s="157">
        <v>130</v>
      </c>
      <c r="K22" s="157">
        <v>85</v>
      </c>
      <c r="L22" s="157">
        <v>89</v>
      </c>
      <c r="M22" s="157">
        <v>140</v>
      </c>
      <c r="N22" s="157">
        <v>85</v>
      </c>
      <c r="O22" s="157">
        <v>85</v>
      </c>
      <c r="P22" s="157">
        <v>85</v>
      </c>
      <c r="Q22" s="157">
        <v>85</v>
      </c>
      <c r="R22" s="157">
        <v>85</v>
      </c>
      <c r="S22" s="157">
        <v>149</v>
      </c>
      <c r="T22" s="198"/>
      <c r="U22" s="198"/>
      <c r="V22" s="157">
        <v>85</v>
      </c>
      <c r="W22" s="157">
        <v>85</v>
      </c>
      <c r="X22" s="157">
        <v>83</v>
      </c>
      <c r="Y22" s="198"/>
      <c r="Z22" s="198"/>
      <c r="AA22" s="157">
        <v>98</v>
      </c>
      <c r="AB22" s="157">
        <v>155</v>
      </c>
      <c r="AC22" s="157">
        <v>155</v>
      </c>
      <c r="AD22" s="198"/>
      <c r="AE22" s="157">
        <v>155</v>
      </c>
      <c r="AF22" s="198"/>
      <c r="AG22" s="157">
        <v>90</v>
      </c>
      <c r="AH22" s="157">
        <v>151</v>
      </c>
      <c r="AJ22" s="157">
        <v>85</v>
      </c>
      <c r="AK22" s="157">
        <v>85</v>
      </c>
      <c r="AL22" s="157">
        <v>85</v>
      </c>
      <c r="AM22" s="157">
        <v>85</v>
      </c>
      <c r="AO22" s="157">
        <v>139</v>
      </c>
    </row>
    <row r="23" spans="1:41" x14ac:dyDescent="0.25">
      <c r="A23" s="26" t="s">
        <v>169</v>
      </c>
      <c r="B23" s="28" t="s">
        <v>170</v>
      </c>
      <c r="C23" s="28" t="s">
        <v>170</v>
      </c>
      <c r="D23" s="28" t="s">
        <v>170</v>
      </c>
      <c r="E23" s="28" t="s">
        <v>170</v>
      </c>
      <c r="F23" s="28" t="s">
        <v>170</v>
      </c>
      <c r="G23" s="28" t="s">
        <v>170</v>
      </c>
      <c r="H23" s="28" t="s">
        <v>170</v>
      </c>
      <c r="I23" s="28" t="s">
        <v>170</v>
      </c>
      <c r="J23" s="28" t="s">
        <v>170</v>
      </c>
      <c r="K23" s="28" t="s">
        <v>170</v>
      </c>
      <c r="L23" s="28" t="s">
        <v>170</v>
      </c>
      <c r="M23" s="28" t="s">
        <v>170</v>
      </c>
      <c r="N23" s="28" t="s">
        <v>170</v>
      </c>
      <c r="O23" s="28" t="s">
        <v>170</v>
      </c>
      <c r="P23" s="28" t="s">
        <v>170</v>
      </c>
      <c r="Q23" s="28" t="s">
        <v>170</v>
      </c>
      <c r="R23" s="28" t="s">
        <v>170</v>
      </c>
      <c r="S23" s="28" t="s">
        <v>170</v>
      </c>
      <c r="T23" s="80" t="s">
        <v>173</v>
      </c>
      <c r="U23" s="80" t="s">
        <v>173</v>
      </c>
      <c r="V23" s="28" t="s">
        <v>170</v>
      </c>
      <c r="W23" s="28" t="s">
        <v>170</v>
      </c>
      <c r="X23" s="28" t="s">
        <v>170</v>
      </c>
      <c r="Y23" s="80" t="s">
        <v>173</v>
      </c>
      <c r="Z23" s="80" t="s">
        <v>173</v>
      </c>
      <c r="AA23" s="28" t="s">
        <v>170</v>
      </c>
      <c r="AB23" s="28" t="s">
        <v>170</v>
      </c>
      <c r="AC23" s="28" t="s">
        <v>170</v>
      </c>
      <c r="AD23" s="80" t="s">
        <v>173</v>
      </c>
      <c r="AE23" s="28" t="s">
        <v>170</v>
      </c>
      <c r="AF23" s="80" t="s">
        <v>173</v>
      </c>
      <c r="AG23" s="28" t="s">
        <v>170</v>
      </c>
      <c r="AH23" s="28" t="s">
        <v>266</v>
      </c>
      <c r="AJ23" s="29" t="s">
        <v>170</v>
      </c>
      <c r="AK23" s="29" t="s">
        <v>170</v>
      </c>
      <c r="AL23" s="28" t="s">
        <v>170</v>
      </c>
      <c r="AM23" s="28" t="s">
        <v>170</v>
      </c>
      <c r="AO23" s="28" t="s">
        <v>170</v>
      </c>
    </row>
    <row r="24" spans="1:41" x14ac:dyDescent="0.25">
      <c r="A24" s="26" t="s">
        <v>171</v>
      </c>
      <c r="B24" s="28" t="s">
        <v>170</v>
      </c>
      <c r="C24" s="28" t="s">
        <v>170</v>
      </c>
      <c r="D24" s="28" t="s">
        <v>170</v>
      </c>
      <c r="E24" s="28" t="s">
        <v>170</v>
      </c>
      <c r="F24" s="116" t="s">
        <v>288</v>
      </c>
      <c r="G24" s="28" t="s">
        <v>170</v>
      </c>
      <c r="H24" s="28" t="s">
        <v>170</v>
      </c>
      <c r="I24" s="28" t="s">
        <v>170</v>
      </c>
      <c r="J24" s="28" t="s">
        <v>170</v>
      </c>
      <c r="K24" s="28" t="s">
        <v>170</v>
      </c>
      <c r="L24" s="28" t="s">
        <v>170</v>
      </c>
      <c r="M24" s="28" t="s">
        <v>170</v>
      </c>
      <c r="N24" s="28" t="s">
        <v>170</v>
      </c>
      <c r="O24" s="28" t="s">
        <v>170</v>
      </c>
      <c r="P24" s="28" t="s">
        <v>170</v>
      </c>
      <c r="Q24" s="28" t="s">
        <v>170</v>
      </c>
      <c r="R24" s="28" t="s">
        <v>170</v>
      </c>
      <c r="S24" s="87" t="s">
        <v>170</v>
      </c>
      <c r="T24" s="80" t="s">
        <v>173</v>
      </c>
      <c r="U24" s="80" t="s">
        <v>173</v>
      </c>
      <c r="V24" s="28" t="s">
        <v>170</v>
      </c>
      <c r="W24" s="28" t="s">
        <v>170</v>
      </c>
      <c r="X24" s="28" t="s">
        <v>170</v>
      </c>
      <c r="Y24" s="80" t="s">
        <v>173</v>
      </c>
      <c r="Z24" s="80" t="s">
        <v>173</v>
      </c>
      <c r="AA24" s="28" t="s">
        <v>170</v>
      </c>
      <c r="AB24" s="87" t="s">
        <v>170</v>
      </c>
      <c r="AC24" s="87" t="s">
        <v>170</v>
      </c>
      <c r="AD24" s="80" t="s">
        <v>173</v>
      </c>
      <c r="AE24" s="87" t="s">
        <v>170</v>
      </c>
      <c r="AF24" s="80" t="s">
        <v>173</v>
      </c>
      <c r="AG24" s="28" t="s">
        <v>170</v>
      </c>
      <c r="AH24" s="28" t="s">
        <v>266</v>
      </c>
      <c r="AJ24" s="28" t="s">
        <v>170</v>
      </c>
      <c r="AK24" s="28" t="s">
        <v>170</v>
      </c>
      <c r="AL24" s="28" t="s">
        <v>170</v>
      </c>
      <c r="AM24" s="28" t="s">
        <v>170</v>
      </c>
      <c r="AO24" s="28" t="s">
        <v>170</v>
      </c>
    </row>
    <row r="25" spans="1:41" x14ac:dyDescent="0.25">
      <c r="A25" s="26" t="s">
        <v>172</v>
      </c>
      <c r="B25" s="28" t="s">
        <v>173</v>
      </c>
      <c r="C25" s="28" t="s">
        <v>173</v>
      </c>
      <c r="D25" s="28" t="s">
        <v>173</v>
      </c>
      <c r="E25" s="28" t="s">
        <v>173</v>
      </c>
      <c r="F25" s="113" t="s">
        <v>485</v>
      </c>
      <c r="G25" s="28" t="s">
        <v>173</v>
      </c>
      <c r="H25" s="28" t="s">
        <v>173</v>
      </c>
      <c r="I25" s="28" t="s">
        <v>173</v>
      </c>
      <c r="J25" s="28" t="s">
        <v>173</v>
      </c>
      <c r="K25" s="28" t="s">
        <v>173</v>
      </c>
      <c r="L25" s="28" t="s">
        <v>173</v>
      </c>
      <c r="M25" s="28" t="s">
        <v>173</v>
      </c>
      <c r="N25" s="28" t="s">
        <v>173</v>
      </c>
      <c r="O25" s="28" t="s">
        <v>173</v>
      </c>
      <c r="P25" s="28" t="s">
        <v>173</v>
      </c>
      <c r="Q25" s="28" t="s">
        <v>173</v>
      </c>
      <c r="R25" s="28" t="s">
        <v>173</v>
      </c>
      <c r="S25" s="28" t="s">
        <v>173</v>
      </c>
      <c r="T25" s="80" t="s">
        <v>173</v>
      </c>
      <c r="U25" s="80" t="s">
        <v>173</v>
      </c>
      <c r="V25" s="28" t="s">
        <v>173</v>
      </c>
      <c r="W25" s="28" t="s">
        <v>173</v>
      </c>
      <c r="X25" s="28" t="s">
        <v>173</v>
      </c>
      <c r="Y25" s="80" t="s">
        <v>173</v>
      </c>
      <c r="Z25" s="80" t="s">
        <v>173</v>
      </c>
      <c r="AA25" s="28" t="s">
        <v>173</v>
      </c>
      <c r="AB25" s="28" t="s">
        <v>173</v>
      </c>
      <c r="AC25" s="28" t="s">
        <v>173</v>
      </c>
      <c r="AD25" s="80" t="s">
        <v>173</v>
      </c>
      <c r="AE25" s="28" t="s">
        <v>173</v>
      </c>
      <c r="AF25" s="80" t="s">
        <v>173</v>
      </c>
      <c r="AG25" s="28" t="s">
        <v>173</v>
      </c>
      <c r="AH25" s="28" t="s">
        <v>173</v>
      </c>
      <c r="AJ25" s="28" t="s">
        <v>173</v>
      </c>
      <c r="AK25" s="28" t="s">
        <v>173</v>
      </c>
      <c r="AL25" s="29" t="s">
        <v>173</v>
      </c>
      <c r="AM25" s="29" t="s">
        <v>173</v>
      </c>
      <c r="AO25" s="28" t="s">
        <v>173</v>
      </c>
    </row>
    <row r="26" spans="1:41" x14ac:dyDescent="0.25">
      <c r="A26" s="26" t="s">
        <v>174</v>
      </c>
      <c r="B26" s="28" t="s">
        <v>170</v>
      </c>
      <c r="C26" s="28" t="s">
        <v>170</v>
      </c>
      <c r="D26" s="28" t="s">
        <v>170</v>
      </c>
      <c r="E26" s="28" t="s">
        <v>170</v>
      </c>
      <c r="F26" s="116" t="s">
        <v>288</v>
      </c>
      <c r="G26" s="28" t="s">
        <v>170</v>
      </c>
      <c r="H26" s="28" t="s">
        <v>170</v>
      </c>
      <c r="I26" s="28" t="s">
        <v>170</v>
      </c>
      <c r="J26" s="28" t="s">
        <v>170</v>
      </c>
      <c r="K26" s="28" t="s">
        <v>170</v>
      </c>
      <c r="L26" s="28" t="s">
        <v>170</v>
      </c>
      <c r="M26" s="28" t="s">
        <v>170</v>
      </c>
      <c r="N26" s="28" t="s">
        <v>170</v>
      </c>
      <c r="O26" s="28" t="s">
        <v>170</v>
      </c>
      <c r="P26" s="28" t="s">
        <v>170</v>
      </c>
      <c r="Q26" s="28" t="s">
        <v>170</v>
      </c>
      <c r="R26" s="28" t="s">
        <v>170</v>
      </c>
      <c r="S26" s="116" t="s">
        <v>266</v>
      </c>
      <c r="T26" s="80" t="s">
        <v>173</v>
      </c>
      <c r="U26" s="80" t="s">
        <v>173</v>
      </c>
      <c r="V26" s="28" t="s">
        <v>170</v>
      </c>
      <c r="W26" s="28" t="s">
        <v>170</v>
      </c>
      <c r="X26" s="28" t="s">
        <v>173</v>
      </c>
      <c r="Y26" s="80" t="s">
        <v>173</v>
      </c>
      <c r="Z26" s="80" t="s">
        <v>173</v>
      </c>
      <c r="AA26" s="28" t="s">
        <v>173</v>
      </c>
      <c r="AB26" s="116" t="s">
        <v>266</v>
      </c>
      <c r="AC26" s="116" t="s">
        <v>266</v>
      </c>
      <c r="AD26" s="80" t="s">
        <v>173</v>
      </c>
      <c r="AE26" s="116" t="s">
        <v>266</v>
      </c>
      <c r="AF26" s="80" t="s">
        <v>173</v>
      </c>
      <c r="AG26" s="28" t="s">
        <v>170</v>
      </c>
      <c r="AH26" s="28" t="s">
        <v>173</v>
      </c>
      <c r="AJ26" s="28" t="s">
        <v>170</v>
      </c>
      <c r="AK26" s="28" t="s">
        <v>170</v>
      </c>
      <c r="AL26" s="28" t="s">
        <v>170</v>
      </c>
      <c r="AM26" s="28" t="s">
        <v>170</v>
      </c>
      <c r="AO26" s="28" t="s">
        <v>170</v>
      </c>
    </row>
    <row r="27" spans="1:41" x14ac:dyDescent="0.25">
      <c r="A27" s="26" t="s">
        <v>175</v>
      </c>
      <c r="B27" s="28" t="s">
        <v>486</v>
      </c>
      <c r="C27" s="28" t="s">
        <v>486</v>
      </c>
      <c r="D27" s="28" t="s">
        <v>198</v>
      </c>
      <c r="E27" s="28" t="s">
        <v>198</v>
      </c>
      <c r="F27" s="28" t="s">
        <v>199</v>
      </c>
      <c r="G27" s="28" t="s">
        <v>198</v>
      </c>
      <c r="H27" s="28" t="s">
        <v>198</v>
      </c>
      <c r="I27" s="28" t="s">
        <v>198</v>
      </c>
      <c r="J27" s="111" t="s">
        <v>487</v>
      </c>
      <c r="K27" s="28" t="s">
        <v>198</v>
      </c>
      <c r="L27" s="28" t="s">
        <v>486</v>
      </c>
      <c r="M27" s="28" t="s">
        <v>199</v>
      </c>
      <c r="N27" s="28" t="s">
        <v>198</v>
      </c>
      <c r="O27" s="28" t="s">
        <v>198</v>
      </c>
      <c r="P27" s="28" t="s">
        <v>198</v>
      </c>
      <c r="Q27" s="28" t="s">
        <v>198</v>
      </c>
      <c r="R27" s="28" t="s">
        <v>198</v>
      </c>
      <c r="S27" s="111" t="s">
        <v>370</v>
      </c>
      <c r="T27" s="80" t="s">
        <v>199</v>
      </c>
      <c r="U27" s="80" t="s">
        <v>199</v>
      </c>
      <c r="V27" s="28" t="s">
        <v>198</v>
      </c>
      <c r="W27" s="28" t="s">
        <v>198</v>
      </c>
      <c r="X27" s="28" t="s">
        <v>198</v>
      </c>
      <c r="Y27" s="80" t="s">
        <v>199</v>
      </c>
      <c r="Z27" s="80" t="s">
        <v>199</v>
      </c>
      <c r="AA27" s="28" t="s">
        <v>199</v>
      </c>
      <c r="AB27" s="28" t="s">
        <v>199</v>
      </c>
      <c r="AC27" s="28" t="s">
        <v>199</v>
      </c>
      <c r="AD27" s="80" t="s">
        <v>199</v>
      </c>
      <c r="AE27" s="28" t="s">
        <v>199</v>
      </c>
      <c r="AF27" s="80" t="s">
        <v>199</v>
      </c>
      <c r="AG27" s="28" t="s">
        <v>199</v>
      </c>
      <c r="AH27" s="28" t="s">
        <v>199</v>
      </c>
      <c r="AJ27" s="28" t="s">
        <v>198</v>
      </c>
      <c r="AK27" s="28" t="s">
        <v>198</v>
      </c>
      <c r="AL27" s="28" t="s">
        <v>198</v>
      </c>
      <c r="AM27" s="28" t="s">
        <v>198</v>
      </c>
      <c r="AO27" s="28" t="s">
        <v>199</v>
      </c>
    </row>
    <row r="28" spans="1:41" x14ac:dyDescent="0.25">
      <c r="A28" s="26" t="s">
        <v>176</v>
      </c>
      <c r="B28" s="30">
        <f>-7/6</f>
        <v>-1.1666666666666667</v>
      </c>
      <c r="C28" s="30">
        <f>-7/6</f>
        <v>-1.1666666666666667</v>
      </c>
      <c r="D28" s="30">
        <v>0.75</v>
      </c>
      <c r="E28" s="30">
        <v>0.75</v>
      </c>
      <c r="F28" s="120">
        <f>AVERAGE(0,0,-1.25)</f>
        <v>-0.41666666666666669</v>
      </c>
      <c r="G28" s="30">
        <v>0.75</v>
      </c>
      <c r="H28" s="30">
        <v>0.75</v>
      </c>
      <c r="I28" s="30">
        <v>0.75</v>
      </c>
      <c r="J28" s="30">
        <f>AVERAGE(0.75,0.75,0.75,0)</f>
        <v>0.5625</v>
      </c>
      <c r="K28" s="30">
        <v>0.75</v>
      </c>
      <c r="L28" s="30">
        <v>-1.625</v>
      </c>
      <c r="M28" s="30">
        <v>-3</v>
      </c>
      <c r="N28" s="30">
        <v>0.75</v>
      </c>
      <c r="O28" s="30">
        <v>0.75</v>
      </c>
      <c r="P28" s="30">
        <v>0.75</v>
      </c>
      <c r="Q28" s="30">
        <v>0.75</v>
      </c>
      <c r="R28" s="30">
        <v>0.75</v>
      </c>
      <c r="S28" s="30">
        <f>AVERAGE(0.75,-2)</f>
        <v>-0.625</v>
      </c>
      <c r="T28" s="82">
        <v>-2</v>
      </c>
      <c r="U28" s="82">
        <v>-2</v>
      </c>
      <c r="V28" s="30">
        <v>0.75</v>
      </c>
      <c r="W28" s="30">
        <v>0.75</v>
      </c>
      <c r="X28" s="30">
        <v>0.75</v>
      </c>
      <c r="Y28" s="82">
        <v>-2</v>
      </c>
      <c r="Z28" s="82">
        <v>-2</v>
      </c>
      <c r="AA28" s="30">
        <v>-2</v>
      </c>
      <c r="AB28" s="30">
        <f>AVERAGE(0,-2)</f>
        <v>-1</v>
      </c>
      <c r="AC28" s="30">
        <f>AVERAGE(0,-2)</f>
        <v>-1</v>
      </c>
      <c r="AD28" s="82">
        <v>-2</v>
      </c>
      <c r="AE28" s="30">
        <f>AVERAGE(0,-2)</f>
        <v>-1</v>
      </c>
      <c r="AF28" s="82">
        <v>-2</v>
      </c>
      <c r="AG28" s="30">
        <v>-2</v>
      </c>
      <c r="AH28" s="30">
        <v>-2</v>
      </c>
      <c r="AJ28" s="30">
        <v>0.75</v>
      </c>
      <c r="AK28" s="30">
        <v>0.75</v>
      </c>
      <c r="AL28" s="30">
        <v>0.75</v>
      </c>
      <c r="AM28" s="30">
        <v>0.75</v>
      </c>
      <c r="AO28" s="30">
        <f>-1/6</f>
        <v>-0.16666666666666666</v>
      </c>
    </row>
    <row r="29" spans="1:41" x14ac:dyDescent="0.25">
      <c r="A29" s="26" t="s">
        <v>177</v>
      </c>
      <c r="B29" s="28" t="s">
        <v>489</v>
      </c>
      <c r="C29" s="29" t="s">
        <v>489</v>
      </c>
      <c r="D29" s="29" t="s">
        <v>489</v>
      </c>
      <c r="E29" s="29" t="s">
        <v>489</v>
      </c>
      <c r="F29" s="77" t="s">
        <v>490</v>
      </c>
      <c r="G29" s="28" t="s">
        <v>489</v>
      </c>
      <c r="H29" s="28" t="s">
        <v>489</v>
      </c>
      <c r="I29" s="28" t="s">
        <v>489</v>
      </c>
      <c r="J29" s="28" t="s">
        <v>489</v>
      </c>
      <c r="K29" s="28" t="s">
        <v>489</v>
      </c>
      <c r="L29" s="28" t="s">
        <v>489</v>
      </c>
      <c r="M29" s="28" t="s">
        <v>489</v>
      </c>
      <c r="N29" s="28" t="s">
        <v>489</v>
      </c>
      <c r="O29" s="28" t="s">
        <v>489</v>
      </c>
      <c r="P29" s="28" t="s">
        <v>489</v>
      </c>
      <c r="Q29" s="28" t="s">
        <v>489</v>
      </c>
      <c r="R29" s="28" t="s">
        <v>489</v>
      </c>
      <c r="S29" s="170" t="s">
        <v>615</v>
      </c>
      <c r="T29" s="80" t="s">
        <v>341</v>
      </c>
      <c r="U29" s="80" t="s">
        <v>341</v>
      </c>
      <c r="V29" s="28" t="s">
        <v>489</v>
      </c>
      <c r="W29" s="28" t="s">
        <v>489</v>
      </c>
      <c r="X29" s="28" t="s">
        <v>462</v>
      </c>
      <c r="Y29" s="80" t="s">
        <v>341</v>
      </c>
      <c r="Z29" s="80" t="s">
        <v>341</v>
      </c>
      <c r="AA29" s="28" t="s">
        <v>334</v>
      </c>
      <c r="AB29" s="170" t="s">
        <v>615</v>
      </c>
      <c r="AC29" s="170" t="s">
        <v>615</v>
      </c>
      <c r="AD29" s="80" t="s">
        <v>341</v>
      </c>
      <c r="AE29" s="170" t="s">
        <v>615</v>
      </c>
      <c r="AF29" s="80" t="s">
        <v>341</v>
      </c>
      <c r="AG29" s="28" t="s">
        <v>462</v>
      </c>
      <c r="AH29" s="28" t="s">
        <v>537</v>
      </c>
      <c r="AJ29" s="28" t="s">
        <v>489</v>
      </c>
      <c r="AK29" s="28" t="s">
        <v>489</v>
      </c>
      <c r="AL29" s="28" t="s">
        <v>489</v>
      </c>
      <c r="AM29" s="28" t="s">
        <v>489</v>
      </c>
      <c r="AO29" s="28" t="s">
        <v>489</v>
      </c>
    </row>
    <row r="30" spans="1:41" x14ac:dyDescent="0.25">
      <c r="A30" s="26" t="s">
        <v>182</v>
      </c>
      <c r="B30" s="30">
        <v>0.75</v>
      </c>
      <c r="C30" s="30">
        <v>0.75</v>
      </c>
      <c r="D30" s="30">
        <v>0.75</v>
      </c>
      <c r="E30" s="30">
        <v>0.75</v>
      </c>
      <c r="F30" s="30">
        <f>AVERAGE(0.75,0.75,3)</f>
        <v>1.5</v>
      </c>
      <c r="G30" s="30">
        <v>0.75</v>
      </c>
      <c r="H30" s="30">
        <v>0.75</v>
      </c>
      <c r="I30" s="30">
        <v>0.75</v>
      </c>
      <c r="J30" s="30">
        <v>0.75</v>
      </c>
      <c r="K30" s="30">
        <v>0.75</v>
      </c>
      <c r="L30" s="30">
        <v>0.75</v>
      </c>
      <c r="M30" s="30">
        <v>0.75</v>
      </c>
      <c r="N30" s="30">
        <v>0.75</v>
      </c>
      <c r="O30" s="30">
        <v>0.75</v>
      </c>
      <c r="P30" s="30">
        <v>0.75</v>
      </c>
      <c r="Q30" s="30">
        <v>0.75</v>
      </c>
      <c r="R30" s="30">
        <v>0.75</v>
      </c>
      <c r="S30" s="30">
        <f>AVERAGE(0.75,1/3)</f>
        <v>0.54166666666666663</v>
      </c>
      <c r="T30" s="82">
        <v>0</v>
      </c>
      <c r="U30" s="82">
        <v>0</v>
      </c>
      <c r="V30" s="30">
        <v>0.75</v>
      </c>
      <c r="W30" s="30">
        <v>0.75</v>
      </c>
      <c r="X30" s="30">
        <v>1</v>
      </c>
      <c r="Y30" s="82">
        <v>0</v>
      </c>
      <c r="Z30" s="82">
        <v>0</v>
      </c>
      <c r="AA30" s="30">
        <f>1/3</f>
        <v>0.33333333333333331</v>
      </c>
      <c r="AB30" s="30">
        <f>AVERAGE(0.75,1/3)</f>
        <v>0.54166666666666663</v>
      </c>
      <c r="AC30" s="30">
        <f>AVERAGE(0.75,1/3)</f>
        <v>0.54166666666666663</v>
      </c>
      <c r="AD30" s="82">
        <v>0</v>
      </c>
      <c r="AE30" s="30">
        <f>AVERAGE(0.75,1/3)</f>
        <v>0.54166666666666663</v>
      </c>
      <c r="AF30" s="82">
        <v>0</v>
      </c>
      <c r="AG30" s="30">
        <v>0.75</v>
      </c>
      <c r="AH30" s="30">
        <f>AVERAGE(1/3,0)</f>
        <v>0.16666666666666666</v>
      </c>
      <c r="AJ30" s="30">
        <v>0.75</v>
      </c>
      <c r="AK30" s="30">
        <v>0.75</v>
      </c>
      <c r="AL30" s="30">
        <v>0.75</v>
      </c>
      <c r="AM30" s="30">
        <v>0.75</v>
      </c>
      <c r="AO30" s="30">
        <v>0.75</v>
      </c>
    </row>
    <row r="31" spans="1:41" x14ac:dyDescent="0.25">
      <c r="P31" s="26" t="s">
        <v>670</v>
      </c>
      <c r="AJ31" s="26" t="s">
        <v>671</v>
      </c>
      <c r="AO31" s="26" t="s">
        <v>672</v>
      </c>
    </row>
    <row r="32" spans="1:41" x14ac:dyDescent="0.25">
      <c r="A32" s="31" t="s">
        <v>183</v>
      </c>
    </row>
    <row r="33" spans="1:34" x14ac:dyDescent="0.25">
      <c r="A33" s="239" t="s">
        <v>673</v>
      </c>
      <c r="B33" s="96" t="s">
        <v>674</v>
      </c>
    </row>
    <row r="34" spans="1:34" x14ac:dyDescent="0.25">
      <c r="A34" s="235"/>
      <c r="B34" s="96" t="s">
        <v>675</v>
      </c>
    </row>
    <row r="35" spans="1:34" x14ac:dyDescent="0.25">
      <c r="A35" s="235"/>
      <c r="B35" s="96" t="s">
        <v>676</v>
      </c>
      <c r="J35" s="173"/>
    </row>
    <row r="36" spans="1:34" x14ac:dyDescent="0.25">
      <c r="A36" s="239" t="s">
        <v>677</v>
      </c>
      <c r="B36" s="98" t="s">
        <v>678</v>
      </c>
    </row>
    <row r="37" spans="1:34" x14ac:dyDescent="0.25">
      <c r="A37" s="235"/>
      <c r="B37" s="95" t="s">
        <v>679</v>
      </c>
      <c r="P37" s="174"/>
    </row>
    <row r="38" spans="1:34" x14ac:dyDescent="0.25">
      <c r="A38" s="235"/>
      <c r="B38" s="96" t="s">
        <v>675</v>
      </c>
    </row>
    <row r="39" spans="1:34" x14ac:dyDescent="0.25">
      <c r="A39" s="26" t="s">
        <v>680</v>
      </c>
      <c r="B39" s="96"/>
    </row>
    <row r="40" spans="1:34" x14ac:dyDescent="0.25">
      <c r="P40" s="174"/>
    </row>
    <row r="41" spans="1:34" x14ac:dyDescent="0.25">
      <c r="A41" s="26" t="s">
        <v>681</v>
      </c>
      <c r="B41" s="79" t="s">
        <v>682</v>
      </c>
    </row>
    <row r="42" spans="1:34" x14ac:dyDescent="0.25">
      <c r="A42" s="26" t="s">
        <v>683</v>
      </c>
      <c r="AA42" s="26" t="s">
        <v>303</v>
      </c>
      <c r="AH42" s="26" t="s">
        <v>684</v>
      </c>
    </row>
    <row r="43" spans="1:34" x14ac:dyDescent="0.25">
      <c r="A43" s="26" t="s">
        <v>685</v>
      </c>
      <c r="E43" s="26" t="s">
        <v>473</v>
      </c>
      <c r="N43" s="26" t="s">
        <v>686</v>
      </c>
      <c r="O43" s="26" t="s">
        <v>686</v>
      </c>
      <c r="P43" s="26" t="s">
        <v>686</v>
      </c>
      <c r="Q43" s="26" t="s">
        <v>686</v>
      </c>
      <c r="R43" s="26" t="s">
        <v>686</v>
      </c>
      <c r="S43" s="26" t="s">
        <v>687</v>
      </c>
      <c r="U43" s="174" t="s">
        <v>227</v>
      </c>
      <c r="V43" s="26" t="s">
        <v>686</v>
      </c>
      <c r="W43" s="26" t="s">
        <v>686</v>
      </c>
      <c r="AA43" s="172" t="s">
        <v>688</v>
      </c>
      <c r="AB43" s="26" t="s">
        <v>322</v>
      </c>
      <c r="AC43" s="26" t="s">
        <v>322</v>
      </c>
      <c r="AE43" s="26" t="s">
        <v>322</v>
      </c>
      <c r="AH43" s="26" t="s">
        <v>689</v>
      </c>
    </row>
    <row r="44" spans="1:34" x14ac:dyDescent="0.25">
      <c r="A44" s="174" t="s">
        <v>690</v>
      </c>
      <c r="K44" s="26" t="s">
        <v>686</v>
      </c>
      <c r="L44" s="172" t="s">
        <v>691</v>
      </c>
      <c r="M44" s="26" t="s">
        <v>686</v>
      </c>
      <c r="N44" s="172" t="s">
        <v>692</v>
      </c>
      <c r="O44" s="26" t="s">
        <v>686</v>
      </c>
      <c r="P44" s="26" t="s">
        <v>686</v>
      </c>
      <c r="Q44" s="26" t="s">
        <v>686</v>
      </c>
      <c r="AA44" s="172" t="s">
        <v>693</v>
      </c>
      <c r="AC44" s="26" t="s">
        <v>322</v>
      </c>
    </row>
    <row r="45" spans="1:34" x14ac:dyDescent="0.25">
      <c r="A45" s="175" t="s">
        <v>694</v>
      </c>
      <c r="C45" s="174" t="s">
        <v>473</v>
      </c>
      <c r="D45" s="174" t="s">
        <v>473</v>
      </c>
      <c r="F45" s="174" t="s">
        <v>473</v>
      </c>
      <c r="G45" s="174" t="s">
        <v>473</v>
      </c>
      <c r="H45" s="174" t="s">
        <v>473</v>
      </c>
      <c r="I45" s="174" t="s">
        <v>473</v>
      </c>
      <c r="K45" s="26" t="s">
        <v>686</v>
      </c>
      <c r="L45" s="172" t="s">
        <v>691</v>
      </c>
      <c r="M45" s="26" t="s">
        <v>686</v>
      </c>
      <c r="N45" s="26" t="s">
        <v>686</v>
      </c>
      <c r="O45" s="26" t="s">
        <v>686</v>
      </c>
      <c r="P45" s="26" t="s">
        <v>686</v>
      </c>
      <c r="Q45" s="26" t="s">
        <v>686</v>
      </c>
      <c r="R45" s="26" t="s">
        <v>686</v>
      </c>
      <c r="U45" s="26" t="s">
        <v>303</v>
      </c>
      <c r="W45" s="26" t="s">
        <v>686</v>
      </c>
      <c r="X45" s="174" t="s">
        <v>695</v>
      </c>
      <c r="Y45" s="26" t="s">
        <v>473</v>
      </c>
      <c r="AA45" s="174" t="s">
        <v>696</v>
      </c>
      <c r="AB45" s="1" t="s">
        <v>697</v>
      </c>
      <c r="AC45" s="26" t="s">
        <v>698</v>
      </c>
      <c r="AD45" s="26" t="s">
        <v>331</v>
      </c>
      <c r="AE45" s="26" t="s">
        <v>699</v>
      </c>
      <c r="AH45" s="26" t="s">
        <v>689</v>
      </c>
    </row>
    <row r="46" spans="1:34" x14ac:dyDescent="0.25">
      <c r="A46" s="174" t="s">
        <v>700</v>
      </c>
      <c r="C46" s="174" t="s">
        <v>473</v>
      </c>
      <c r="D46" s="174" t="s">
        <v>473</v>
      </c>
      <c r="J46" s="26" t="s">
        <v>686</v>
      </c>
      <c r="N46" s="26" t="s">
        <v>686</v>
      </c>
      <c r="T46" s="174" t="s">
        <v>227</v>
      </c>
      <c r="U46" s="174" t="s">
        <v>701</v>
      </c>
      <c r="V46" s="174" t="s">
        <v>303</v>
      </c>
      <c r="W46" s="26" t="s">
        <v>686</v>
      </c>
      <c r="X46" s="1" t="s">
        <v>702</v>
      </c>
      <c r="Y46" s="174" t="s">
        <v>227</v>
      </c>
      <c r="AA46" s="26" t="s">
        <v>689</v>
      </c>
      <c r="AE46" s="26" t="s">
        <v>331</v>
      </c>
      <c r="AF46" s="174" t="s">
        <v>227</v>
      </c>
    </row>
    <row r="47" spans="1:34" x14ac:dyDescent="0.25">
      <c r="A47" s="174" t="s">
        <v>703</v>
      </c>
      <c r="C47" s="174" t="s">
        <v>473</v>
      </c>
      <c r="D47" s="174" t="s">
        <v>473</v>
      </c>
      <c r="G47" s="174" t="s">
        <v>473</v>
      </c>
      <c r="H47" s="174" t="s">
        <v>473</v>
      </c>
      <c r="I47" s="174" t="s">
        <v>473</v>
      </c>
      <c r="P47" s="26" t="s">
        <v>686</v>
      </c>
      <c r="Q47" s="26" t="s">
        <v>686</v>
      </c>
      <c r="AA47" s="26" t="s">
        <v>689</v>
      </c>
    </row>
    <row r="48" spans="1:34" x14ac:dyDescent="0.25">
      <c r="A48" s="174" t="s">
        <v>704</v>
      </c>
      <c r="C48" s="26" t="s">
        <v>705</v>
      </c>
      <c r="D48" s="26" t="s">
        <v>705</v>
      </c>
      <c r="G48" s="26" t="s">
        <v>705</v>
      </c>
      <c r="H48" s="26" t="s">
        <v>705</v>
      </c>
      <c r="I48" s="26" t="s">
        <v>705</v>
      </c>
      <c r="AE48" s="26" t="s">
        <v>705</v>
      </c>
    </row>
    <row r="49" spans="1:34" x14ac:dyDescent="0.25">
      <c r="A49" s="174" t="s">
        <v>706</v>
      </c>
      <c r="C49" s="174" t="s">
        <v>473</v>
      </c>
      <c r="D49" s="174" t="s">
        <v>473</v>
      </c>
      <c r="E49" s="26" t="s">
        <v>473</v>
      </c>
      <c r="F49" s="174"/>
      <c r="G49" s="174" t="s">
        <v>473</v>
      </c>
      <c r="H49" s="174" t="s">
        <v>473</v>
      </c>
      <c r="I49" s="174" t="s">
        <v>473</v>
      </c>
      <c r="K49" s="26" t="s">
        <v>686</v>
      </c>
      <c r="L49" s="26" t="s">
        <v>686</v>
      </c>
      <c r="M49" s="26" t="s">
        <v>686</v>
      </c>
      <c r="N49" s="26" t="s">
        <v>686</v>
      </c>
      <c r="O49" s="26" t="s">
        <v>686</v>
      </c>
      <c r="X49" s="26" t="s">
        <v>707</v>
      </c>
      <c r="Y49" s="26" t="s">
        <v>473</v>
      </c>
      <c r="Z49" s="26" t="s">
        <v>331</v>
      </c>
      <c r="AA49" s="26" t="s">
        <v>689</v>
      </c>
      <c r="AC49" s="26" t="s">
        <v>698</v>
      </c>
      <c r="AD49" s="26" t="s">
        <v>248</v>
      </c>
    </row>
    <row r="50" spans="1:34" x14ac:dyDescent="0.25">
      <c r="A50" s="26" t="s">
        <v>708</v>
      </c>
      <c r="C50" s="174" t="s">
        <v>473</v>
      </c>
      <c r="D50" s="174" t="s">
        <v>473</v>
      </c>
      <c r="E50" s="26" t="s">
        <v>473</v>
      </c>
      <c r="F50" s="134" t="s">
        <v>709</v>
      </c>
      <c r="G50" s="174" t="s">
        <v>473</v>
      </c>
      <c r="H50" s="174" t="s">
        <v>473</v>
      </c>
      <c r="I50" s="174" t="s">
        <v>473</v>
      </c>
      <c r="N50" s="26" t="s">
        <v>686</v>
      </c>
      <c r="O50" s="26" t="s">
        <v>686</v>
      </c>
      <c r="P50" s="174" t="s">
        <v>473</v>
      </c>
      <c r="Q50" s="174" t="s">
        <v>473</v>
      </c>
      <c r="S50" s="26" t="s">
        <v>710</v>
      </c>
      <c r="U50" s="174" t="s">
        <v>227</v>
      </c>
      <c r="Z50" s="26" t="s">
        <v>331</v>
      </c>
      <c r="AA50" s="26" t="s">
        <v>684</v>
      </c>
      <c r="AB50" s="26" t="s">
        <v>473</v>
      </c>
      <c r="AC50" s="26" t="s">
        <v>711</v>
      </c>
      <c r="AD50" s="26" t="s">
        <v>331</v>
      </c>
      <c r="AE50" s="26" t="s">
        <v>712</v>
      </c>
    </row>
    <row r="51" spans="1:34" x14ac:dyDescent="0.25">
      <c r="A51" s="26" t="s">
        <v>713</v>
      </c>
      <c r="F51" s="134" t="s">
        <v>709</v>
      </c>
      <c r="G51" s="26" t="s">
        <v>714</v>
      </c>
      <c r="H51" s="26" t="s">
        <v>714</v>
      </c>
      <c r="I51" s="26" t="s">
        <v>714</v>
      </c>
      <c r="N51" s="26" t="s">
        <v>715</v>
      </c>
      <c r="W51" s="26" t="s">
        <v>686</v>
      </c>
      <c r="AA51" s="26" t="s">
        <v>715</v>
      </c>
    </row>
    <row r="52" spans="1:34" x14ac:dyDescent="0.25">
      <c r="A52" s="26" t="s">
        <v>716</v>
      </c>
      <c r="N52" s="26" t="s">
        <v>686</v>
      </c>
      <c r="O52" s="26" t="s">
        <v>303</v>
      </c>
      <c r="T52" s="174" t="s">
        <v>717</v>
      </c>
      <c r="U52" s="174" t="s">
        <v>718</v>
      </c>
      <c r="W52" s="26" t="s">
        <v>719</v>
      </c>
      <c r="X52" s="26" t="s">
        <v>707</v>
      </c>
      <c r="Y52" s="26" t="s">
        <v>473</v>
      </c>
      <c r="AA52" s="26" t="s">
        <v>689</v>
      </c>
      <c r="AB52" s="1" t="s">
        <v>697</v>
      </c>
      <c r="AC52" s="26" t="s">
        <v>698</v>
      </c>
      <c r="AD52" s="26" t="s">
        <v>331</v>
      </c>
      <c r="AE52" s="26" t="s">
        <v>699</v>
      </c>
      <c r="AF52" s="174" t="s">
        <v>227</v>
      </c>
      <c r="AH52" s="26" t="s">
        <v>684</v>
      </c>
    </row>
    <row r="53" spans="1:34" x14ac:dyDescent="0.25">
      <c r="A53" s="174" t="s">
        <v>720</v>
      </c>
      <c r="N53" s="26" t="s">
        <v>686</v>
      </c>
      <c r="P53" s="26" t="s">
        <v>686</v>
      </c>
      <c r="Q53" s="26" t="s">
        <v>686</v>
      </c>
      <c r="R53" s="26" t="s">
        <v>686</v>
      </c>
      <c r="U53" s="174" t="s">
        <v>227</v>
      </c>
      <c r="W53" s="26" t="s">
        <v>686</v>
      </c>
      <c r="AA53" s="26" t="s">
        <v>689</v>
      </c>
      <c r="AC53" s="26" t="s">
        <v>698</v>
      </c>
      <c r="AF53" s="174" t="s">
        <v>227</v>
      </c>
    </row>
  </sheetData>
  <mergeCells count="7">
    <mergeCell ref="F3:O3"/>
    <mergeCell ref="F4:O5"/>
    <mergeCell ref="A33:A35"/>
    <mergeCell ref="A36:A38"/>
    <mergeCell ref="B3:D3"/>
    <mergeCell ref="B4:D4"/>
    <mergeCell ref="B5:D5"/>
  </mergeCells>
  <hyperlinks>
    <hyperlink ref="B41" r:id="rId1" xr:uid="{AA57E0AF-DEE2-48D6-923A-19115BA038E6}"/>
  </hyperlinks>
  <pageMargins left="0.7" right="0.7" top="0.75" bottom="0.75" header="0.3" footer="0.3"/>
  <pageSetup orientation="portrait"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6E174-30E5-49E0-B388-F8E93F42317D}">
  <dimension ref="A1:AH33"/>
  <sheetViews>
    <sheetView topLeftCell="F1" workbookViewId="0">
      <selection activeCell="P21" sqref="P21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117</v>
      </c>
      <c r="I1" s="25" t="s">
        <v>549</v>
      </c>
    </row>
    <row r="3" spans="1:34" ht="18" x14ac:dyDescent="0.25">
      <c r="A3" s="25" t="s">
        <v>119</v>
      </c>
      <c r="B3" s="215">
        <v>44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721</v>
      </c>
      <c r="C4" s="215"/>
      <c r="D4" s="215"/>
      <c r="F4" s="216" t="s">
        <v>722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377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86" t="s">
        <v>181</v>
      </c>
      <c r="C8" s="28" t="s">
        <v>385</v>
      </c>
      <c r="D8" s="28" t="s">
        <v>385</v>
      </c>
      <c r="E8" s="28" t="s">
        <v>385</v>
      </c>
      <c r="F8" s="28" t="s">
        <v>385</v>
      </c>
      <c r="G8" s="28" t="s">
        <v>385</v>
      </c>
      <c r="H8" s="28" t="s">
        <v>385</v>
      </c>
      <c r="I8" s="28" t="s">
        <v>385</v>
      </c>
      <c r="J8" s="28" t="s">
        <v>385</v>
      </c>
      <c r="K8" s="28" t="s">
        <v>385</v>
      </c>
      <c r="L8" s="28" t="s">
        <v>385</v>
      </c>
      <c r="M8" s="28" t="s">
        <v>385</v>
      </c>
      <c r="N8" s="28" t="s">
        <v>385</v>
      </c>
      <c r="O8" s="28" t="s">
        <v>385</v>
      </c>
      <c r="P8" s="28" t="s">
        <v>385</v>
      </c>
      <c r="Q8" s="28" t="s">
        <v>385</v>
      </c>
      <c r="R8" s="28" t="s">
        <v>385</v>
      </c>
      <c r="S8" s="28" t="s">
        <v>385</v>
      </c>
      <c r="T8" s="28" t="s">
        <v>385</v>
      </c>
      <c r="U8" s="28" t="s">
        <v>385</v>
      </c>
      <c r="V8" s="28" t="s">
        <v>385</v>
      </c>
      <c r="W8" s="28" t="s">
        <v>385</v>
      </c>
      <c r="X8" s="28" t="s">
        <v>385</v>
      </c>
      <c r="Y8" s="28" t="s">
        <v>385</v>
      </c>
      <c r="Z8" s="28" t="s">
        <v>385</v>
      </c>
      <c r="AA8" s="28" t="s">
        <v>385</v>
      </c>
      <c r="AB8" s="28" t="s">
        <v>385</v>
      </c>
      <c r="AC8" s="28" t="s">
        <v>385</v>
      </c>
      <c r="AD8" s="28" t="s">
        <v>385</v>
      </c>
      <c r="AE8" s="28" t="s">
        <v>385</v>
      </c>
      <c r="AF8" s="28" t="s">
        <v>385</v>
      </c>
      <c r="AG8" s="28" t="s">
        <v>385</v>
      </c>
      <c r="AH8" s="28" t="s">
        <v>385</v>
      </c>
    </row>
    <row r="9" spans="1:34" x14ac:dyDescent="0.25">
      <c r="A9" s="26" t="s">
        <v>165</v>
      </c>
      <c r="B9" s="29" t="s">
        <v>387</v>
      </c>
      <c r="C9" s="29" t="s">
        <v>385</v>
      </c>
      <c r="D9" s="29" t="s">
        <v>385</v>
      </c>
      <c r="E9" s="29" t="s">
        <v>385</v>
      </c>
      <c r="F9" s="29" t="s">
        <v>385</v>
      </c>
      <c r="G9" s="29" t="s">
        <v>385</v>
      </c>
      <c r="H9" s="29" t="s">
        <v>385</v>
      </c>
      <c r="I9" s="29" t="s">
        <v>385</v>
      </c>
      <c r="J9" s="29" t="s">
        <v>385</v>
      </c>
      <c r="K9" s="29" t="s">
        <v>385</v>
      </c>
      <c r="L9" s="29" t="s">
        <v>385</v>
      </c>
      <c r="M9" s="29" t="s">
        <v>385</v>
      </c>
      <c r="N9" s="29" t="s">
        <v>385</v>
      </c>
      <c r="O9" s="29" t="s">
        <v>385</v>
      </c>
      <c r="P9" s="29" t="s">
        <v>385</v>
      </c>
      <c r="Q9" s="29" t="s">
        <v>385</v>
      </c>
      <c r="R9" s="29" t="s">
        <v>385</v>
      </c>
      <c r="S9" s="29" t="s">
        <v>385</v>
      </c>
      <c r="T9" s="29" t="s">
        <v>385</v>
      </c>
      <c r="U9" s="29" t="s">
        <v>385</v>
      </c>
      <c r="V9" s="29" t="s">
        <v>385</v>
      </c>
      <c r="W9" s="29" t="s">
        <v>385</v>
      </c>
      <c r="X9" s="29" t="s">
        <v>385</v>
      </c>
      <c r="Y9" s="29" t="s">
        <v>385</v>
      </c>
      <c r="Z9" s="29" t="s">
        <v>385</v>
      </c>
      <c r="AA9" s="29" t="s">
        <v>385</v>
      </c>
      <c r="AB9" s="29" t="s">
        <v>385</v>
      </c>
      <c r="AC9" s="29" t="s">
        <v>385</v>
      </c>
      <c r="AD9" s="29" t="s">
        <v>385</v>
      </c>
      <c r="AE9" s="29" t="s">
        <v>385</v>
      </c>
      <c r="AF9" s="29" t="s">
        <v>385</v>
      </c>
      <c r="AG9" s="29" t="s">
        <v>385</v>
      </c>
      <c r="AH9" s="29" t="s">
        <v>385</v>
      </c>
    </row>
    <row r="10" spans="1:34" x14ac:dyDescent="0.25">
      <c r="A10" s="131" t="s">
        <v>168</v>
      </c>
      <c r="B10" s="157">
        <v>114</v>
      </c>
      <c r="C10" s="157">
        <v>42</v>
      </c>
      <c r="D10" s="157">
        <v>42</v>
      </c>
      <c r="E10" s="157">
        <v>42</v>
      </c>
      <c r="F10" s="157">
        <v>42</v>
      </c>
      <c r="G10" s="157">
        <v>42</v>
      </c>
      <c r="H10" s="157">
        <v>42</v>
      </c>
      <c r="I10" s="157">
        <v>42</v>
      </c>
      <c r="J10" s="157">
        <v>42</v>
      </c>
      <c r="K10" s="157">
        <v>42</v>
      </c>
      <c r="L10" s="157">
        <v>42</v>
      </c>
      <c r="M10" s="157">
        <v>42</v>
      </c>
      <c r="N10" s="157">
        <v>42</v>
      </c>
      <c r="O10" s="157">
        <v>42</v>
      </c>
      <c r="P10" s="157">
        <v>42</v>
      </c>
      <c r="Q10" s="157">
        <v>42</v>
      </c>
      <c r="R10" s="157">
        <v>42</v>
      </c>
      <c r="S10" s="157">
        <v>42</v>
      </c>
      <c r="T10" s="157">
        <v>42</v>
      </c>
      <c r="U10" s="157">
        <v>42</v>
      </c>
      <c r="V10" s="157">
        <v>42</v>
      </c>
      <c r="W10" s="157">
        <v>42</v>
      </c>
      <c r="X10" s="157">
        <v>42</v>
      </c>
      <c r="Y10" s="157">
        <v>42</v>
      </c>
      <c r="Z10" s="157">
        <v>42</v>
      </c>
      <c r="AA10" s="157">
        <v>42</v>
      </c>
      <c r="AB10" s="157">
        <v>42</v>
      </c>
      <c r="AC10" s="157">
        <v>42</v>
      </c>
      <c r="AD10" s="157">
        <v>42</v>
      </c>
      <c r="AE10" s="157">
        <v>42</v>
      </c>
      <c r="AF10" s="157">
        <v>42</v>
      </c>
      <c r="AG10" s="157">
        <v>42</v>
      </c>
      <c r="AH10" s="157">
        <v>42</v>
      </c>
    </row>
    <row r="11" spans="1:34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28" t="s">
        <v>170</v>
      </c>
      <c r="O11" s="28" t="s">
        <v>170</v>
      </c>
      <c r="P11" s="28" t="s">
        <v>170</v>
      </c>
      <c r="Q11" s="28" t="s">
        <v>170</v>
      </c>
      <c r="R11" s="28" t="s">
        <v>170</v>
      </c>
      <c r="S11" s="28" t="s">
        <v>170</v>
      </c>
      <c r="T11" s="28" t="s">
        <v>170</v>
      </c>
      <c r="U11" s="28" t="s">
        <v>170</v>
      </c>
      <c r="V11" s="28" t="s">
        <v>170</v>
      </c>
      <c r="W11" s="28" t="s">
        <v>170</v>
      </c>
      <c r="X11" s="28" t="s">
        <v>170</v>
      </c>
      <c r="Y11" s="28" t="s">
        <v>170</v>
      </c>
      <c r="Z11" s="28" t="s">
        <v>170</v>
      </c>
      <c r="AA11" s="28" t="s">
        <v>170</v>
      </c>
      <c r="AB11" s="28" t="s">
        <v>170</v>
      </c>
      <c r="AC11" s="28" t="s">
        <v>170</v>
      </c>
      <c r="AD11" s="28" t="s">
        <v>170</v>
      </c>
      <c r="AE11" s="28" t="s">
        <v>170</v>
      </c>
      <c r="AF11" s="28" t="s">
        <v>170</v>
      </c>
      <c r="AG11" s="28" t="s">
        <v>170</v>
      </c>
      <c r="AH11" s="28" t="s">
        <v>170</v>
      </c>
    </row>
    <row r="12" spans="1:34" x14ac:dyDescent="0.25">
      <c r="A12" s="26" t="s">
        <v>171</v>
      </c>
      <c r="B12" s="28" t="s">
        <v>173</v>
      </c>
      <c r="C12" s="28" t="s">
        <v>173</v>
      </c>
      <c r="D12" s="28" t="s">
        <v>173</v>
      </c>
      <c r="E12" s="28" t="s">
        <v>173</v>
      </c>
      <c r="F12" s="28" t="s">
        <v>173</v>
      </c>
      <c r="G12" s="28" t="s">
        <v>173</v>
      </c>
      <c r="H12" s="28" t="s">
        <v>173</v>
      </c>
      <c r="I12" s="28" t="s">
        <v>173</v>
      </c>
      <c r="J12" s="28" t="s">
        <v>173</v>
      </c>
      <c r="K12" s="28" t="s">
        <v>173</v>
      </c>
      <c r="L12" s="28" t="s">
        <v>173</v>
      </c>
      <c r="M12" s="28" t="s">
        <v>173</v>
      </c>
      <c r="N12" s="28" t="s">
        <v>173</v>
      </c>
      <c r="O12" s="28" t="s">
        <v>173</v>
      </c>
      <c r="P12" s="28" t="s">
        <v>173</v>
      </c>
      <c r="Q12" s="28" t="s">
        <v>173</v>
      </c>
      <c r="R12" s="28" t="s">
        <v>173</v>
      </c>
      <c r="S12" s="28" t="s">
        <v>173</v>
      </c>
      <c r="T12" s="28" t="s">
        <v>173</v>
      </c>
      <c r="U12" s="28" t="s">
        <v>173</v>
      </c>
      <c r="V12" s="28" t="s">
        <v>173</v>
      </c>
      <c r="W12" s="28" t="s">
        <v>173</v>
      </c>
      <c r="X12" s="28" t="s">
        <v>173</v>
      </c>
      <c r="Y12" s="28" t="s">
        <v>173</v>
      </c>
      <c r="Z12" s="28" t="s">
        <v>173</v>
      </c>
      <c r="AA12" s="28" t="s">
        <v>173</v>
      </c>
      <c r="AB12" s="28" t="s">
        <v>173</v>
      </c>
      <c r="AC12" s="28" t="s">
        <v>173</v>
      </c>
      <c r="AD12" s="28" t="s">
        <v>173</v>
      </c>
      <c r="AE12" s="28" t="s">
        <v>173</v>
      </c>
      <c r="AF12" s="28" t="s">
        <v>173</v>
      </c>
      <c r="AG12" s="28" t="s">
        <v>173</v>
      </c>
      <c r="AH12" s="28" t="s">
        <v>173</v>
      </c>
    </row>
    <row r="13" spans="1:34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 t="s">
        <v>173</v>
      </c>
      <c r="S13" s="28" t="s">
        <v>173</v>
      </c>
      <c r="T13" s="28" t="s">
        <v>173</v>
      </c>
      <c r="U13" s="28" t="s">
        <v>173</v>
      </c>
      <c r="V13" s="28" t="s">
        <v>173</v>
      </c>
      <c r="W13" s="28" t="s">
        <v>173</v>
      </c>
      <c r="X13" s="28" t="s">
        <v>173</v>
      </c>
      <c r="Y13" s="28" t="s">
        <v>173</v>
      </c>
      <c r="Z13" s="28" t="s">
        <v>173</v>
      </c>
      <c r="AA13" s="28" t="s">
        <v>173</v>
      </c>
      <c r="AB13" s="28" t="s">
        <v>173</v>
      </c>
      <c r="AC13" s="28" t="s">
        <v>173</v>
      </c>
      <c r="AD13" s="28" t="s">
        <v>173</v>
      </c>
      <c r="AE13" s="28" t="s">
        <v>173</v>
      </c>
      <c r="AF13" s="28" t="s">
        <v>173</v>
      </c>
      <c r="AG13" s="28" t="s">
        <v>173</v>
      </c>
      <c r="AH13" s="28" t="s">
        <v>173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 t="s">
        <v>173</v>
      </c>
      <c r="V14" s="28" t="s">
        <v>173</v>
      </c>
      <c r="W14" s="28" t="s">
        <v>173</v>
      </c>
      <c r="X14" s="28" t="s">
        <v>173</v>
      </c>
      <c r="Y14" s="28" t="s">
        <v>173</v>
      </c>
      <c r="Z14" s="28" t="s">
        <v>173</v>
      </c>
      <c r="AA14" s="28" t="s">
        <v>173</v>
      </c>
      <c r="AB14" s="28" t="s">
        <v>173</v>
      </c>
      <c r="AC14" s="28" t="s">
        <v>173</v>
      </c>
      <c r="AD14" s="28" t="s">
        <v>173</v>
      </c>
      <c r="AE14" s="28" t="s">
        <v>173</v>
      </c>
      <c r="AF14" s="28" t="s">
        <v>173</v>
      </c>
      <c r="AG14" s="28" t="s">
        <v>173</v>
      </c>
      <c r="AH14" s="28" t="s">
        <v>173</v>
      </c>
    </row>
    <row r="15" spans="1:34" x14ac:dyDescent="0.25">
      <c r="A15" s="26" t="s">
        <v>175</v>
      </c>
      <c r="B15" s="28" t="s">
        <v>160</v>
      </c>
      <c r="C15" s="28" t="s">
        <v>160</v>
      </c>
      <c r="D15" s="28" t="s">
        <v>160</v>
      </c>
      <c r="E15" s="28" t="s">
        <v>160</v>
      </c>
      <c r="F15" s="28" t="s">
        <v>160</v>
      </c>
      <c r="G15" s="28" t="s">
        <v>160</v>
      </c>
      <c r="H15" s="28" t="s">
        <v>160</v>
      </c>
      <c r="I15" s="28" t="s">
        <v>160</v>
      </c>
      <c r="J15" s="28" t="s">
        <v>160</v>
      </c>
      <c r="K15" s="28" t="s">
        <v>160</v>
      </c>
      <c r="L15" s="28" t="s">
        <v>160</v>
      </c>
      <c r="M15" s="28" t="s">
        <v>160</v>
      </c>
      <c r="N15" s="28" t="s">
        <v>160</v>
      </c>
      <c r="O15" s="28" t="s">
        <v>160</v>
      </c>
      <c r="P15" s="28" t="s">
        <v>160</v>
      </c>
      <c r="Q15" s="28" t="s">
        <v>160</v>
      </c>
      <c r="R15" s="28" t="s">
        <v>160</v>
      </c>
      <c r="S15" s="28" t="s">
        <v>160</v>
      </c>
      <c r="T15" s="28" t="s">
        <v>160</v>
      </c>
      <c r="U15" s="28" t="s">
        <v>160</v>
      </c>
      <c r="V15" s="28" t="s">
        <v>160</v>
      </c>
      <c r="W15" s="28" t="s">
        <v>160</v>
      </c>
      <c r="X15" s="28" t="s">
        <v>160</v>
      </c>
      <c r="Y15" s="28" t="s">
        <v>160</v>
      </c>
      <c r="Z15" s="28" t="s">
        <v>160</v>
      </c>
      <c r="AA15" s="28" t="s">
        <v>160</v>
      </c>
      <c r="AB15" s="28" t="s">
        <v>160</v>
      </c>
      <c r="AC15" s="28" t="s">
        <v>160</v>
      </c>
      <c r="AD15" s="28" t="s">
        <v>160</v>
      </c>
      <c r="AE15" s="28" t="s">
        <v>160</v>
      </c>
      <c r="AF15" s="28" t="s">
        <v>160</v>
      </c>
      <c r="AG15" s="28" t="s">
        <v>160</v>
      </c>
      <c r="AH15" s="28" t="s">
        <v>160</v>
      </c>
    </row>
    <row r="16" spans="1:34" x14ac:dyDescent="0.25">
      <c r="A16" s="26" t="s">
        <v>176</v>
      </c>
      <c r="B16" s="30">
        <v>2.75</v>
      </c>
      <c r="C16" s="30">
        <v>2.5</v>
      </c>
      <c r="D16" s="30">
        <v>2.5</v>
      </c>
      <c r="E16" s="30">
        <v>2.5</v>
      </c>
      <c r="F16" s="30">
        <v>2.5</v>
      </c>
      <c r="G16" s="30">
        <v>2.5</v>
      </c>
      <c r="H16" s="30">
        <v>2.5</v>
      </c>
      <c r="I16" s="30">
        <v>2.5</v>
      </c>
      <c r="J16" s="30">
        <v>2.5</v>
      </c>
      <c r="K16" s="30">
        <v>2.5</v>
      </c>
      <c r="L16" s="30">
        <v>2.5</v>
      </c>
      <c r="M16" s="30">
        <v>2.5</v>
      </c>
      <c r="N16" s="30">
        <v>2.5</v>
      </c>
      <c r="O16" s="30">
        <v>2.5</v>
      </c>
      <c r="P16" s="30">
        <v>2.5</v>
      </c>
      <c r="Q16" s="30">
        <v>2.5</v>
      </c>
      <c r="R16" s="30">
        <v>2.5</v>
      </c>
      <c r="S16" s="30">
        <v>2.5</v>
      </c>
      <c r="T16" s="30">
        <v>2.5</v>
      </c>
      <c r="U16" s="30">
        <v>2.5</v>
      </c>
      <c r="V16" s="30">
        <v>2.5</v>
      </c>
      <c r="W16" s="30">
        <v>2.5</v>
      </c>
      <c r="X16" s="30">
        <v>2.5</v>
      </c>
      <c r="Y16" s="30">
        <v>2.5</v>
      </c>
      <c r="Z16" s="30">
        <v>2.5</v>
      </c>
      <c r="AA16" s="30">
        <v>2.5</v>
      </c>
      <c r="AB16" s="30">
        <v>2.5</v>
      </c>
      <c r="AC16" s="30">
        <v>2.5</v>
      </c>
      <c r="AD16" s="30">
        <v>2.5</v>
      </c>
      <c r="AE16" s="30">
        <v>2.5</v>
      </c>
      <c r="AF16" s="30">
        <v>2.5</v>
      </c>
      <c r="AG16" s="30">
        <v>2.5</v>
      </c>
      <c r="AH16" s="30">
        <v>2.5</v>
      </c>
    </row>
    <row r="17" spans="1:34" x14ac:dyDescent="0.25">
      <c r="A17" s="26" t="s">
        <v>177</v>
      </c>
      <c r="B17" s="28" t="s">
        <v>181</v>
      </c>
      <c r="C17" s="28" t="s">
        <v>181</v>
      </c>
      <c r="D17" s="28" t="s">
        <v>181</v>
      </c>
      <c r="E17" s="28" t="s">
        <v>181</v>
      </c>
      <c r="F17" s="28" t="s">
        <v>181</v>
      </c>
      <c r="G17" s="28" t="s">
        <v>181</v>
      </c>
      <c r="H17" s="28" t="s">
        <v>181</v>
      </c>
      <c r="I17" s="28" t="s">
        <v>181</v>
      </c>
      <c r="J17" s="28" t="s">
        <v>181</v>
      </c>
      <c r="K17" s="28" t="s">
        <v>181</v>
      </c>
      <c r="L17" s="28" t="s">
        <v>181</v>
      </c>
      <c r="M17" s="28" t="s">
        <v>181</v>
      </c>
      <c r="N17" s="28" t="s">
        <v>181</v>
      </c>
      <c r="O17" s="28" t="s">
        <v>181</v>
      </c>
      <c r="P17" s="28" t="s">
        <v>181</v>
      </c>
      <c r="Q17" s="28" t="s">
        <v>181</v>
      </c>
      <c r="R17" s="28" t="s">
        <v>181</v>
      </c>
      <c r="S17" s="28" t="s">
        <v>181</v>
      </c>
      <c r="T17" s="28" t="s">
        <v>181</v>
      </c>
      <c r="U17" s="28" t="s">
        <v>181</v>
      </c>
      <c r="V17" s="28" t="s">
        <v>181</v>
      </c>
      <c r="W17" s="28" t="s">
        <v>181</v>
      </c>
      <c r="X17" s="28" t="s">
        <v>181</v>
      </c>
      <c r="Y17" s="28" t="s">
        <v>181</v>
      </c>
      <c r="Z17" s="28" t="s">
        <v>181</v>
      </c>
      <c r="AA17" s="28" t="s">
        <v>181</v>
      </c>
      <c r="AB17" s="28" t="s">
        <v>181</v>
      </c>
      <c r="AC17" s="28" t="s">
        <v>181</v>
      </c>
      <c r="AD17" s="28" t="s">
        <v>181</v>
      </c>
      <c r="AE17" s="28" t="s">
        <v>181</v>
      </c>
      <c r="AF17" s="28" t="s">
        <v>181</v>
      </c>
      <c r="AG17" s="28" t="s">
        <v>181</v>
      </c>
      <c r="AH17" s="28" t="s">
        <v>181</v>
      </c>
    </row>
    <row r="18" spans="1:34" x14ac:dyDescent="0.25">
      <c r="A18" s="26" t="s">
        <v>182</v>
      </c>
      <c r="B18" s="30">
        <v>2</v>
      </c>
      <c r="C18" s="30">
        <v>2</v>
      </c>
      <c r="D18" s="30">
        <v>2</v>
      </c>
      <c r="E18" s="30">
        <v>2</v>
      </c>
      <c r="F18" s="30">
        <v>2</v>
      </c>
      <c r="G18" s="30">
        <v>2</v>
      </c>
      <c r="H18" s="30">
        <v>2</v>
      </c>
      <c r="I18" s="30">
        <v>2</v>
      </c>
      <c r="J18" s="30">
        <v>2</v>
      </c>
      <c r="K18" s="30">
        <v>2</v>
      </c>
      <c r="L18" s="30">
        <v>2</v>
      </c>
      <c r="M18" s="30">
        <v>2</v>
      </c>
      <c r="N18" s="30">
        <v>2</v>
      </c>
      <c r="O18" s="30">
        <v>2</v>
      </c>
      <c r="P18" s="30">
        <v>2</v>
      </c>
      <c r="Q18" s="30">
        <v>2</v>
      </c>
      <c r="R18" s="30">
        <v>2</v>
      </c>
      <c r="S18" s="30">
        <v>2</v>
      </c>
      <c r="T18" s="30">
        <v>2</v>
      </c>
      <c r="U18" s="30">
        <v>2</v>
      </c>
      <c r="V18" s="30">
        <v>2</v>
      </c>
      <c r="W18" s="30">
        <v>2</v>
      </c>
      <c r="X18" s="30">
        <v>2</v>
      </c>
      <c r="Y18" s="30">
        <v>2</v>
      </c>
      <c r="Z18" s="30">
        <v>2</v>
      </c>
      <c r="AA18" s="30">
        <v>2</v>
      </c>
      <c r="AB18" s="30">
        <v>2</v>
      </c>
      <c r="AC18" s="30">
        <v>2</v>
      </c>
      <c r="AD18" s="30">
        <v>2</v>
      </c>
      <c r="AE18" s="30">
        <v>2</v>
      </c>
      <c r="AF18" s="30">
        <v>2</v>
      </c>
      <c r="AG18" s="30">
        <v>2</v>
      </c>
      <c r="AH18" s="30">
        <v>2</v>
      </c>
    </row>
    <row r="20" spans="1:34" x14ac:dyDescent="0.25">
      <c r="A20" s="26" t="s">
        <v>159</v>
      </c>
      <c r="B20" s="28" t="s">
        <v>447</v>
      </c>
      <c r="C20" s="28" t="s">
        <v>448</v>
      </c>
      <c r="D20" s="28" t="s">
        <v>448</v>
      </c>
      <c r="E20" s="28" t="s">
        <v>448</v>
      </c>
      <c r="F20" s="28" t="s">
        <v>448</v>
      </c>
      <c r="G20" s="28" t="s">
        <v>448</v>
      </c>
      <c r="H20" s="28" t="s">
        <v>448</v>
      </c>
      <c r="I20" s="28" t="s">
        <v>448</v>
      </c>
      <c r="J20" s="28" t="s">
        <v>448</v>
      </c>
      <c r="K20" s="28" t="s">
        <v>448</v>
      </c>
      <c r="L20" s="28" t="s">
        <v>448</v>
      </c>
      <c r="M20" s="28" t="s">
        <v>448</v>
      </c>
      <c r="N20" s="28" t="s">
        <v>448</v>
      </c>
      <c r="O20" s="28" t="s">
        <v>448</v>
      </c>
      <c r="P20" s="28" t="s">
        <v>448</v>
      </c>
      <c r="Q20" s="28" t="s">
        <v>448</v>
      </c>
      <c r="R20" s="28" t="s">
        <v>448</v>
      </c>
      <c r="S20" s="28" t="s">
        <v>448</v>
      </c>
      <c r="T20" s="28" t="s">
        <v>448</v>
      </c>
      <c r="U20" s="28" t="s">
        <v>448</v>
      </c>
      <c r="V20" s="28" t="s">
        <v>448</v>
      </c>
      <c r="W20" s="28" t="s">
        <v>448</v>
      </c>
      <c r="X20" s="28" t="s">
        <v>448</v>
      </c>
      <c r="Y20" s="28" t="s">
        <v>448</v>
      </c>
      <c r="Z20" s="28" t="s">
        <v>448</v>
      </c>
      <c r="AA20" s="28" t="s">
        <v>448</v>
      </c>
      <c r="AB20" s="28" t="s">
        <v>448</v>
      </c>
      <c r="AC20" s="28" t="s">
        <v>448</v>
      </c>
      <c r="AD20" s="28" t="s">
        <v>448</v>
      </c>
      <c r="AE20" s="28" t="s">
        <v>448</v>
      </c>
      <c r="AF20" s="28" t="s">
        <v>448</v>
      </c>
      <c r="AG20" s="28" t="s">
        <v>448</v>
      </c>
      <c r="AH20" s="28" t="s">
        <v>448</v>
      </c>
    </row>
    <row r="21" spans="1:34" x14ac:dyDescent="0.25">
      <c r="A21" s="26" t="s">
        <v>165</v>
      </c>
      <c r="B21" s="29" t="s">
        <v>561</v>
      </c>
      <c r="C21" s="29" t="s">
        <v>561</v>
      </c>
      <c r="D21" s="29" t="s">
        <v>561</v>
      </c>
      <c r="E21" s="29" t="s">
        <v>561</v>
      </c>
      <c r="F21" s="29" t="s">
        <v>561</v>
      </c>
      <c r="G21" s="29" t="s">
        <v>561</v>
      </c>
      <c r="H21" s="29" t="s">
        <v>561</v>
      </c>
      <c r="I21" s="29" t="s">
        <v>561</v>
      </c>
      <c r="J21" s="29" t="s">
        <v>561</v>
      </c>
      <c r="K21" s="29" t="s">
        <v>561</v>
      </c>
      <c r="L21" s="29" t="s">
        <v>561</v>
      </c>
      <c r="M21" s="29" t="s">
        <v>561</v>
      </c>
      <c r="N21" s="113" t="s">
        <v>572</v>
      </c>
      <c r="O21" s="29" t="s">
        <v>561</v>
      </c>
      <c r="P21" s="113" t="s">
        <v>453</v>
      </c>
      <c r="Q21" s="113" t="s">
        <v>453</v>
      </c>
      <c r="R21" s="29" t="s">
        <v>454</v>
      </c>
      <c r="S21" s="113" t="s">
        <v>572</v>
      </c>
      <c r="T21" s="29" t="s">
        <v>561</v>
      </c>
      <c r="U21" s="29" t="s">
        <v>561</v>
      </c>
      <c r="V21" s="29" t="s">
        <v>561</v>
      </c>
      <c r="W21" s="29" t="s">
        <v>561</v>
      </c>
      <c r="X21" s="29" t="s">
        <v>561</v>
      </c>
      <c r="Y21" s="29" t="s">
        <v>561</v>
      </c>
      <c r="Z21" s="29" t="s">
        <v>561</v>
      </c>
      <c r="AA21" s="29" t="s">
        <v>561</v>
      </c>
      <c r="AB21" s="29" t="s">
        <v>561</v>
      </c>
      <c r="AC21" s="29" t="s">
        <v>561</v>
      </c>
      <c r="AD21" s="29" t="s">
        <v>561</v>
      </c>
      <c r="AE21" s="29" t="s">
        <v>561</v>
      </c>
      <c r="AF21" s="29" t="s">
        <v>561</v>
      </c>
      <c r="AG21" s="28" t="s">
        <v>457</v>
      </c>
      <c r="AH21" s="28" t="s">
        <v>457</v>
      </c>
    </row>
    <row r="22" spans="1:34" x14ac:dyDescent="0.25">
      <c r="A22" s="131" t="s">
        <v>168</v>
      </c>
      <c r="B22" s="157">
        <v>83</v>
      </c>
      <c r="C22" s="157">
        <v>83</v>
      </c>
      <c r="D22" s="157">
        <v>83</v>
      </c>
      <c r="E22" s="157">
        <v>83</v>
      </c>
      <c r="F22" s="157">
        <v>83</v>
      </c>
      <c r="G22" s="157">
        <v>83</v>
      </c>
      <c r="H22" s="157">
        <v>83</v>
      </c>
      <c r="I22" s="157">
        <v>83</v>
      </c>
      <c r="J22" s="157">
        <v>83</v>
      </c>
      <c r="K22" s="157">
        <v>83</v>
      </c>
      <c r="L22" s="157">
        <v>83</v>
      </c>
      <c r="M22" s="157">
        <v>83</v>
      </c>
      <c r="N22" s="157">
        <v>143</v>
      </c>
      <c r="O22" s="157">
        <v>83</v>
      </c>
      <c r="P22" s="157">
        <v>142</v>
      </c>
      <c r="Q22" s="157">
        <v>142</v>
      </c>
      <c r="R22" s="157">
        <v>81</v>
      </c>
      <c r="S22" s="157">
        <v>143</v>
      </c>
      <c r="T22" s="157">
        <v>83</v>
      </c>
      <c r="U22" s="157">
        <v>83</v>
      </c>
      <c r="V22" s="157">
        <v>83</v>
      </c>
      <c r="W22" s="157">
        <v>83</v>
      </c>
      <c r="X22" s="157">
        <v>83</v>
      </c>
      <c r="Y22" s="157">
        <v>83</v>
      </c>
      <c r="Z22" s="157">
        <v>83</v>
      </c>
      <c r="AA22" s="157">
        <v>83</v>
      </c>
      <c r="AB22" s="157">
        <v>83</v>
      </c>
      <c r="AC22" s="157">
        <v>83</v>
      </c>
      <c r="AD22" s="157">
        <v>83</v>
      </c>
      <c r="AE22" s="157">
        <v>83</v>
      </c>
      <c r="AF22" s="157">
        <v>83</v>
      </c>
      <c r="AG22" s="157">
        <v>82</v>
      </c>
      <c r="AH22" s="157">
        <v>82</v>
      </c>
    </row>
    <row r="23" spans="1:34" x14ac:dyDescent="0.25">
      <c r="A23" s="26" t="s">
        <v>169</v>
      </c>
      <c r="B23" s="28" t="s">
        <v>170</v>
      </c>
      <c r="C23" s="28" t="s">
        <v>170</v>
      </c>
      <c r="D23" s="28" t="s">
        <v>170</v>
      </c>
      <c r="E23" s="28" t="s">
        <v>170</v>
      </c>
      <c r="F23" s="28" t="s">
        <v>170</v>
      </c>
      <c r="G23" s="28" t="s">
        <v>170</v>
      </c>
      <c r="H23" s="28" t="s">
        <v>170</v>
      </c>
      <c r="I23" s="28" t="s">
        <v>170</v>
      </c>
      <c r="J23" s="28" t="s">
        <v>170</v>
      </c>
      <c r="K23" s="28" t="s">
        <v>170</v>
      </c>
      <c r="L23" s="28" t="s">
        <v>170</v>
      </c>
      <c r="M23" s="28" t="s">
        <v>170</v>
      </c>
      <c r="N23" s="28" t="s">
        <v>170</v>
      </c>
      <c r="O23" s="28" t="s">
        <v>170</v>
      </c>
      <c r="P23" s="28" t="s">
        <v>170</v>
      </c>
      <c r="Q23" s="28" t="s">
        <v>170</v>
      </c>
      <c r="R23" s="28" t="s">
        <v>170</v>
      </c>
      <c r="S23" s="28" t="s">
        <v>170</v>
      </c>
      <c r="T23" s="28" t="s">
        <v>170</v>
      </c>
      <c r="U23" s="28" t="s">
        <v>170</v>
      </c>
      <c r="V23" s="28" t="s">
        <v>170</v>
      </c>
      <c r="W23" s="28" t="s">
        <v>170</v>
      </c>
      <c r="X23" s="28" t="s">
        <v>170</v>
      </c>
      <c r="Y23" s="28" t="s">
        <v>170</v>
      </c>
      <c r="Z23" s="28" t="s">
        <v>170</v>
      </c>
      <c r="AA23" s="28" t="s">
        <v>170</v>
      </c>
      <c r="AB23" s="28" t="s">
        <v>170</v>
      </c>
      <c r="AC23" s="28" t="s">
        <v>170</v>
      </c>
      <c r="AD23" s="28" t="s">
        <v>170</v>
      </c>
      <c r="AE23" s="28" t="s">
        <v>170</v>
      </c>
      <c r="AF23" s="28" t="s">
        <v>170</v>
      </c>
      <c r="AG23" s="28" t="s">
        <v>170</v>
      </c>
      <c r="AH23" s="28" t="s">
        <v>170</v>
      </c>
    </row>
    <row r="24" spans="1:34" x14ac:dyDescent="0.25">
      <c r="A24" s="26" t="s">
        <v>171</v>
      </c>
      <c r="B24" s="28" t="s">
        <v>170</v>
      </c>
      <c r="C24" s="28" t="s">
        <v>170</v>
      </c>
      <c r="D24" s="28" t="s">
        <v>170</v>
      </c>
      <c r="E24" s="28" t="s">
        <v>170</v>
      </c>
      <c r="F24" s="28" t="s">
        <v>170</v>
      </c>
      <c r="G24" s="28" t="s">
        <v>170</v>
      </c>
      <c r="H24" s="28" t="s">
        <v>170</v>
      </c>
      <c r="I24" s="28" t="s">
        <v>170</v>
      </c>
      <c r="J24" s="28" t="s">
        <v>170</v>
      </c>
      <c r="K24" s="28" t="s">
        <v>170</v>
      </c>
      <c r="L24" s="28" t="s">
        <v>170</v>
      </c>
      <c r="M24" s="28" t="s">
        <v>170</v>
      </c>
      <c r="N24" s="28" t="s">
        <v>170</v>
      </c>
      <c r="O24" s="28" t="s">
        <v>170</v>
      </c>
      <c r="P24" s="28" t="s">
        <v>170</v>
      </c>
      <c r="Q24" s="28" t="s">
        <v>170</v>
      </c>
      <c r="R24" s="28" t="s">
        <v>170</v>
      </c>
      <c r="S24" s="28" t="s">
        <v>170</v>
      </c>
      <c r="T24" s="28" t="s">
        <v>170</v>
      </c>
      <c r="U24" s="28" t="s">
        <v>170</v>
      </c>
      <c r="V24" s="28" t="s">
        <v>170</v>
      </c>
      <c r="W24" s="28" t="s">
        <v>170</v>
      </c>
      <c r="X24" s="28" t="s">
        <v>170</v>
      </c>
      <c r="Y24" s="28" t="s">
        <v>170</v>
      </c>
      <c r="Z24" s="28" t="s">
        <v>170</v>
      </c>
      <c r="AA24" s="28" t="s">
        <v>170</v>
      </c>
      <c r="AB24" s="28" t="s">
        <v>170</v>
      </c>
      <c r="AC24" s="28" t="s">
        <v>170</v>
      </c>
      <c r="AD24" s="28" t="s">
        <v>170</v>
      </c>
      <c r="AE24" s="28" t="s">
        <v>170</v>
      </c>
      <c r="AF24" s="28" t="s">
        <v>170</v>
      </c>
      <c r="AG24" s="28" t="s">
        <v>170</v>
      </c>
      <c r="AH24" s="28" t="s">
        <v>170</v>
      </c>
    </row>
    <row r="25" spans="1:34" x14ac:dyDescent="0.25">
      <c r="A25" s="26" t="s">
        <v>172</v>
      </c>
      <c r="B25" s="28" t="s">
        <v>173</v>
      </c>
      <c r="C25" s="28" t="s">
        <v>173</v>
      </c>
      <c r="D25" s="28" t="s">
        <v>173</v>
      </c>
      <c r="E25" s="28" t="s">
        <v>173</v>
      </c>
      <c r="F25" s="28" t="s">
        <v>173</v>
      </c>
      <c r="G25" s="28" t="s">
        <v>173</v>
      </c>
      <c r="H25" s="28" t="s">
        <v>173</v>
      </c>
      <c r="I25" s="28" t="s">
        <v>173</v>
      </c>
      <c r="J25" s="28" t="s">
        <v>173</v>
      </c>
      <c r="K25" s="28" t="s">
        <v>173</v>
      </c>
      <c r="L25" s="28" t="s">
        <v>173</v>
      </c>
      <c r="M25" s="28" t="s">
        <v>173</v>
      </c>
      <c r="N25" s="28" t="s">
        <v>173</v>
      </c>
      <c r="O25" s="28" t="s">
        <v>173</v>
      </c>
      <c r="P25" s="28" t="s">
        <v>173</v>
      </c>
      <c r="Q25" s="28" t="s">
        <v>173</v>
      </c>
      <c r="R25" s="28" t="s">
        <v>173</v>
      </c>
      <c r="S25" s="28" t="s">
        <v>173</v>
      </c>
      <c r="T25" s="28" t="s">
        <v>173</v>
      </c>
      <c r="U25" s="28" t="s">
        <v>173</v>
      </c>
      <c r="V25" s="28" t="s">
        <v>173</v>
      </c>
      <c r="W25" s="28" t="s">
        <v>173</v>
      </c>
      <c r="X25" s="28" t="s">
        <v>173</v>
      </c>
      <c r="Y25" s="28" t="s">
        <v>173</v>
      </c>
      <c r="Z25" s="28" t="s">
        <v>173</v>
      </c>
      <c r="AA25" s="28" t="s">
        <v>173</v>
      </c>
      <c r="AB25" s="28" t="s">
        <v>173</v>
      </c>
      <c r="AC25" s="28" t="s">
        <v>173</v>
      </c>
      <c r="AD25" s="28" t="s">
        <v>173</v>
      </c>
      <c r="AE25" s="28" t="s">
        <v>173</v>
      </c>
      <c r="AF25" s="28" t="s">
        <v>173</v>
      </c>
      <c r="AG25" s="28" t="s">
        <v>173</v>
      </c>
      <c r="AH25" s="28" t="s">
        <v>173</v>
      </c>
    </row>
    <row r="26" spans="1:34" x14ac:dyDescent="0.25">
      <c r="A26" s="26" t="s">
        <v>174</v>
      </c>
      <c r="B26" s="28" t="s">
        <v>173</v>
      </c>
      <c r="C26" s="28" t="s">
        <v>173</v>
      </c>
      <c r="D26" s="28" t="s">
        <v>173</v>
      </c>
      <c r="E26" s="28" t="s">
        <v>173</v>
      </c>
      <c r="F26" s="28" t="s">
        <v>173</v>
      </c>
      <c r="G26" s="28" t="s">
        <v>173</v>
      </c>
      <c r="H26" s="28" t="s">
        <v>173</v>
      </c>
      <c r="I26" s="28" t="s">
        <v>173</v>
      </c>
      <c r="J26" s="28" t="s">
        <v>173</v>
      </c>
      <c r="K26" s="28" t="s">
        <v>173</v>
      </c>
      <c r="L26" s="28" t="s">
        <v>173</v>
      </c>
      <c r="M26" s="28" t="s">
        <v>173</v>
      </c>
      <c r="N26" s="28" t="s">
        <v>173</v>
      </c>
      <c r="O26" s="28" t="s">
        <v>173</v>
      </c>
      <c r="P26" s="28" t="s">
        <v>173</v>
      </c>
      <c r="Q26" s="28" t="s">
        <v>173</v>
      </c>
      <c r="R26" s="28" t="s">
        <v>173</v>
      </c>
      <c r="S26" s="28" t="s">
        <v>173</v>
      </c>
      <c r="T26" s="28" t="s">
        <v>173</v>
      </c>
      <c r="U26" s="28" t="s">
        <v>173</v>
      </c>
      <c r="V26" s="28" t="s">
        <v>173</v>
      </c>
      <c r="W26" s="28" t="s">
        <v>173</v>
      </c>
      <c r="X26" s="28" t="s">
        <v>173</v>
      </c>
      <c r="Y26" s="28" t="s">
        <v>173</v>
      </c>
      <c r="Z26" s="28" t="s">
        <v>173</v>
      </c>
      <c r="AA26" s="28" t="s">
        <v>173</v>
      </c>
      <c r="AB26" s="28" t="s">
        <v>173</v>
      </c>
      <c r="AC26" s="28" t="s">
        <v>173</v>
      </c>
      <c r="AD26" s="28" t="s">
        <v>173</v>
      </c>
      <c r="AE26" s="28" t="s">
        <v>173</v>
      </c>
      <c r="AF26" s="28" t="s">
        <v>173</v>
      </c>
      <c r="AG26" s="28" t="s">
        <v>173</v>
      </c>
      <c r="AH26" s="28" t="s">
        <v>173</v>
      </c>
    </row>
    <row r="27" spans="1:34" x14ac:dyDescent="0.25">
      <c r="A27" s="26" t="s">
        <v>175</v>
      </c>
      <c r="B27" s="28" t="s">
        <v>198</v>
      </c>
      <c r="C27" s="28" t="s">
        <v>198</v>
      </c>
      <c r="D27" s="28" t="s">
        <v>198</v>
      </c>
      <c r="E27" s="28" t="s">
        <v>198</v>
      </c>
      <c r="F27" s="28" t="s">
        <v>198</v>
      </c>
      <c r="G27" s="28" t="s">
        <v>198</v>
      </c>
      <c r="H27" s="28" t="s">
        <v>198</v>
      </c>
      <c r="I27" s="28" t="s">
        <v>198</v>
      </c>
      <c r="J27" s="28" t="s">
        <v>198</v>
      </c>
      <c r="K27" s="28" t="s">
        <v>198</v>
      </c>
      <c r="L27" s="28" t="s">
        <v>198</v>
      </c>
      <c r="M27" s="28" t="s">
        <v>198</v>
      </c>
      <c r="N27" s="113" t="s">
        <v>460</v>
      </c>
      <c r="O27" s="28" t="s">
        <v>198</v>
      </c>
      <c r="P27" s="28" t="s">
        <v>461</v>
      </c>
      <c r="Q27" s="28" t="s">
        <v>461</v>
      </c>
      <c r="R27" s="28" t="s">
        <v>461</v>
      </c>
      <c r="S27" s="113" t="s">
        <v>460</v>
      </c>
      <c r="T27" s="28" t="s">
        <v>198</v>
      </c>
      <c r="U27" s="28" t="s">
        <v>198</v>
      </c>
      <c r="V27" s="28" t="s">
        <v>198</v>
      </c>
      <c r="W27" s="28" t="s">
        <v>198</v>
      </c>
      <c r="X27" s="28" t="s">
        <v>198</v>
      </c>
      <c r="Y27" s="28" t="s">
        <v>198</v>
      </c>
      <c r="Z27" s="28" t="s">
        <v>198</v>
      </c>
      <c r="AA27" s="28" t="s">
        <v>198</v>
      </c>
      <c r="AB27" s="28" t="s">
        <v>198</v>
      </c>
      <c r="AC27" s="28" t="s">
        <v>198</v>
      </c>
      <c r="AD27" s="28" t="s">
        <v>198</v>
      </c>
      <c r="AE27" s="28" t="s">
        <v>198</v>
      </c>
      <c r="AF27" s="28" t="s">
        <v>198</v>
      </c>
      <c r="AG27" s="28" t="s">
        <v>198</v>
      </c>
      <c r="AH27" s="28" t="s">
        <v>198</v>
      </c>
    </row>
    <row r="28" spans="1:34" x14ac:dyDescent="0.25">
      <c r="A28" s="26" t="s">
        <v>176</v>
      </c>
      <c r="B28" s="30">
        <v>0.75</v>
      </c>
      <c r="C28" s="30">
        <v>0.75</v>
      </c>
      <c r="D28" s="30">
        <v>0.75</v>
      </c>
      <c r="E28" s="30">
        <v>0.75</v>
      </c>
      <c r="F28" s="30">
        <v>0.75</v>
      </c>
      <c r="G28" s="30">
        <v>0.75</v>
      </c>
      <c r="H28" s="30">
        <v>0.75</v>
      </c>
      <c r="I28" s="30">
        <v>0.75</v>
      </c>
      <c r="J28" s="30">
        <v>0.75</v>
      </c>
      <c r="K28" s="30">
        <v>0.75</v>
      </c>
      <c r="L28" s="30">
        <v>0.75</v>
      </c>
      <c r="M28" s="30">
        <v>0.75</v>
      </c>
      <c r="N28" s="30">
        <f>AVERAGE(0.75,0.75,-4)</f>
        <v>-0.83333333333333337</v>
      </c>
      <c r="O28" s="30">
        <v>0.75</v>
      </c>
      <c r="P28" s="30">
        <v>-4</v>
      </c>
      <c r="Q28" s="30">
        <v>-4</v>
      </c>
      <c r="R28" s="30">
        <v>-4</v>
      </c>
      <c r="S28" s="30">
        <f>AVERAGE(0.75,0.75,-4)</f>
        <v>-0.83333333333333337</v>
      </c>
      <c r="T28" s="30">
        <v>0.75</v>
      </c>
      <c r="U28" s="30">
        <v>0.75</v>
      </c>
      <c r="V28" s="30">
        <v>0.75</v>
      </c>
      <c r="W28" s="30">
        <v>0.75</v>
      </c>
      <c r="X28" s="30">
        <v>0.75</v>
      </c>
      <c r="Y28" s="30">
        <v>0.75</v>
      </c>
      <c r="Z28" s="30">
        <v>0.75</v>
      </c>
      <c r="AA28" s="30">
        <v>0.75</v>
      </c>
      <c r="AB28" s="30">
        <v>0.75</v>
      </c>
      <c r="AC28" s="30">
        <v>0.75</v>
      </c>
      <c r="AD28" s="30">
        <v>0.75</v>
      </c>
      <c r="AE28" s="30">
        <v>0.75</v>
      </c>
      <c r="AF28" s="30">
        <v>0.75</v>
      </c>
      <c r="AG28" s="30">
        <f>5/3</f>
        <v>1.6666666666666667</v>
      </c>
      <c r="AH28" s="30">
        <f>5/3</f>
        <v>1.6666666666666667</v>
      </c>
    </row>
    <row r="29" spans="1:34" x14ac:dyDescent="0.25">
      <c r="A29" s="26" t="s">
        <v>177</v>
      </c>
      <c r="B29" s="28" t="s">
        <v>462</v>
      </c>
      <c r="C29" s="28" t="s">
        <v>462</v>
      </c>
      <c r="D29" s="28" t="s">
        <v>462</v>
      </c>
      <c r="E29" s="28" t="s">
        <v>462</v>
      </c>
      <c r="F29" s="28" t="s">
        <v>462</v>
      </c>
      <c r="G29" s="28" t="s">
        <v>462</v>
      </c>
      <c r="H29" s="28" t="s">
        <v>462</v>
      </c>
      <c r="I29" s="28" t="s">
        <v>462</v>
      </c>
      <c r="J29" s="28" t="s">
        <v>462</v>
      </c>
      <c r="K29" s="28" t="s">
        <v>462</v>
      </c>
      <c r="L29" s="28" t="s">
        <v>462</v>
      </c>
      <c r="M29" s="28" t="s">
        <v>462</v>
      </c>
      <c r="N29" s="28" t="s">
        <v>462</v>
      </c>
      <c r="O29" s="28" t="s">
        <v>462</v>
      </c>
      <c r="P29" s="113" t="s">
        <v>464</v>
      </c>
      <c r="Q29" s="113" t="s">
        <v>464</v>
      </c>
      <c r="R29" s="28" t="s">
        <v>462</v>
      </c>
      <c r="S29" s="28" t="s">
        <v>462</v>
      </c>
      <c r="T29" s="28" t="s">
        <v>462</v>
      </c>
      <c r="U29" s="28" t="s">
        <v>462</v>
      </c>
      <c r="V29" s="28" t="s">
        <v>462</v>
      </c>
      <c r="W29" s="28" t="s">
        <v>462</v>
      </c>
      <c r="X29" s="28" t="s">
        <v>462</v>
      </c>
      <c r="Y29" s="28" t="s">
        <v>462</v>
      </c>
      <c r="Z29" s="28" t="s">
        <v>462</v>
      </c>
      <c r="AA29" s="28" t="s">
        <v>462</v>
      </c>
      <c r="AB29" s="28" t="s">
        <v>462</v>
      </c>
      <c r="AC29" s="28" t="s">
        <v>462</v>
      </c>
      <c r="AD29" s="28" t="s">
        <v>462</v>
      </c>
      <c r="AE29" s="28" t="s">
        <v>462</v>
      </c>
      <c r="AF29" s="28" t="s">
        <v>462</v>
      </c>
      <c r="AG29" s="28" t="s">
        <v>462</v>
      </c>
      <c r="AH29" s="28" t="s">
        <v>462</v>
      </c>
    </row>
    <row r="30" spans="1:34" x14ac:dyDescent="0.25">
      <c r="A30" s="26" t="s">
        <v>182</v>
      </c>
      <c r="B30" s="30">
        <v>1</v>
      </c>
      <c r="C30" s="30">
        <v>1</v>
      </c>
      <c r="D30" s="30">
        <v>1</v>
      </c>
      <c r="E30" s="30">
        <v>1</v>
      </c>
      <c r="F30" s="30">
        <v>1</v>
      </c>
      <c r="G30" s="30">
        <v>1</v>
      </c>
      <c r="H30" s="30">
        <v>1</v>
      </c>
      <c r="I30" s="30">
        <v>1</v>
      </c>
      <c r="J30" s="30">
        <v>1</v>
      </c>
      <c r="K30" s="30">
        <v>1</v>
      </c>
      <c r="L30" s="30">
        <v>1</v>
      </c>
      <c r="M30" s="30">
        <v>1</v>
      </c>
      <c r="N30" s="30">
        <f>AVERAGE(1,1,1.25)</f>
        <v>1.0833333333333333</v>
      </c>
      <c r="O30" s="30">
        <v>1</v>
      </c>
      <c r="P30" s="30">
        <f>AVERAGE(2,2,1.25)</f>
        <v>1.75</v>
      </c>
      <c r="Q30" s="30">
        <f>AVERAGE(2,2,1.25)</f>
        <v>1.75</v>
      </c>
      <c r="R30" s="30">
        <v>1.25</v>
      </c>
      <c r="S30" s="30">
        <f>AVERAGE(1,1,1.25)</f>
        <v>1.0833333333333333</v>
      </c>
      <c r="T30" s="30">
        <v>1</v>
      </c>
      <c r="U30" s="30">
        <v>1</v>
      </c>
      <c r="V30" s="30">
        <v>1</v>
      </c>
      <c r="W30" s="30">
        <v>1</v>
      </c>
      <c r="X30" s="30">
        <v>1</v>
      </c>
      <c r="Y30" s="30">
        <v>1</v>
      </c>
      <c r="Z30" s="30">
        <v>1</v>
      </c>
      <c r="AA30" s="30">
        <v>1</v>
      </c>
      <c r="AB30" s="30">
        <v>1</v>
      </c>
      <c r="AC30" s="30">
        <v>1</v>
      </c>
      <c r="AD30" s="30">
        <v>1</v>
      </c>
      <c r="AE30" s="30">
        <v>1</v>
      </c>
      <c r="AF30" s="30">
        <v>1</v>
      </c>
      <c r="AG30" s="30">
        <v>1</v>
      </c>
      <c r="AH30" s="30">
        <v>1</v>
      </c>
    </row>
    <row r="32" spans="1:34" x14ac:dyDescent="0.25">
      <c r="A32" s="31" t="s">
        <v>183</v>
      </c>
    </row>
    <row r="33" spans="1:2" x14ac:dyDescent="0.25">
      <c r="A33" s="26" t="s">
        <v>723</v>
      </c>
      <c r="B33" s="56" t="s">
        <v>724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DD29B-4B87-408C-8702-9257B5636799}">
  <dimension ref="A1:AQ40"/>
  <sheetViews>
    <sheetView workbookViewId="0">
      <selection activeCell="E9" sqref="E9"/>
    </sheetView>
  </sheetViews>
  <sheetFormatPr defaultColWidth="9.140625" defaultRowHeight="15" x14ac:dyDescent="0.25"/>
  <cols>
    <col min="1" max="1" width="23.28515625" style="26" bestFit="1" customWidth="1"/>
    <col min="2" max="60" width="5.7109375" style="26" customWidth="1"/>
    <col min="61" max="16384" width="9.140625" style="26"/>
  </cols>
  <sheetData>
    <row r="1" spans="1:43" x14ac:dyDescent="0.25">
      <c r="A1" s="25" t="s">
        <v>116</v>
      </c>
      <c r="D1" s="25" t="s">
        <v>117</v>
      </c>
      <c r="I1" s="25" t="s">
        <v>549</v>
      </c>
    </row>
    <row r="3" spans="1:43" ht="18" x14ac:dyDescent="0.25">
      <c r="A3" s="25" t="s">
        <v>119</v>
      </c>
      <c r="B3" s="215">
        <v>45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43" ht="18" x14ac:dyDescent="0.25">
      <c r="A4" s="25" t="s">
        <v>121</v>
      </c>
      <c r="B4" s="215" t="s">
        <v>725</v>
      </c>
      <c r="C4" s="215"/>
      <c r="D4" s="215"/>
      <c r="F4" s="216" t="s">
        <v>726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43" ht="18" x14ac:dyDescent="0.25">
      <c r="A5" s="25" t="s">
        <v>124</v>
      </c>
      <c r="B5" s="215" t="s">
        <v>377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43" ht="45" x14ac:dyDescent="0.25">
      <c r="A7" s="27" t="s">
        <v>126</v>
      </c>
      <c r="B7" s="57" t="s">
        <v>17</v>
      </c>
      <c r="C7" s="58" t="s">
        <v>127</v>
      </c>
      <c r="D7" s="58" t="s">
        <v>128</v>
      </c>
      <c r="E7" s="59" t="s">
        <v>129</v>
      </c>
      <c r="F7" s="60" t="s">
        <v>130</v>
      </c>
      <c r="G7" s="61" t="s">
        <v>131</v>
      </c>
      <c r="H7" s="61" t="s">
        <v>132</v>
      </c>
      <c r="I7" s="62" t="s">
        <v>133</v>
      </c>
      <c r="J7" s="63" t="s">
        <v>134</v>
      </c>
      <c r="K7" s="64" t="s">
        <v>135</v>
      </c>
      <c r="L7" s="64" t="s">
        <v>136</v>
      </c>
      <c r="M7" s="64" t="s">
        <v>137</v>
      </c>
      <c r="N7" s="65" t="s">
        <v>138</v>
      </c>
      <c r="O7" s="65" t="s">
        <v>139</v>
      </c>
      <c r="P7" s="67" t="s">
        <v>140</v>
      </c>
      <c r="Q7" s="67" t="s">
        <v>141</v>
      </c>
      <c r="R7" s="66" t="s">
        <v>142</v>
      </c>
      <c r="S7" s="68" t="s">
        <v>143</v>
      </c>
      <c r="T7" s="69" t="s">
        <v>144</v>
      </c>
      <c r="U7" s="69" t="s">
        <v>145</v>
      </c>
      <c r="V7" s="70" t="s">
        <v>146</v>
      </c>
      <c r="W7" s="70" t="s">
        <v>147</v>
      </c>
      <c r="X7" s="71" t="s">
        <v>148</v>
      </c>
      <c r="Y7" s="71" t="s">
        <v>149</v>
      </c>
      <c r="Z7" s="72" t="s">
        <v>150</v>
      </c>
      <c r="AA7" s="72" t="s">
        <v>151</v>
      </c>
      <c r="AB7" s="73" t="s">
        <v>152</v>
      </c>
      <c r="AC7" s="73" t="s">
        <v>153</v>
      </c>
      <c r="AD7" s="73" t="s">
        <v>154</v>
      </c>
      <c r="AE7" s="74" t="s">
        <v>155</v>
      </c>
      <c r="AF7" s="75" t="s">
        <v>156</v>
      </c>
      <c r="AG7" s="76" t="s">
        <v>157</v>
      </c>
      <c r="AH7" s="76" t="s">
        <v>158</v>
      </c>
      <c r="AJ7" s="57" t="s">
        <v>17</v>
      </c>
      <c r="AL7" s="58" t="s">
        <v>127</v>
      </c>
      <c r="AM7" s="58" t="s">
        <v>128</v>
      </c>
      <c r="AN7" s="33" t="s">
        <v>129</v>
      </c>
      <c r="AO7" s="61" t="s">
        <v>131</v>
      </c>
      <c r="AP7" s="61" t="s">
        <v>132</v>
      </c>
      <c r="AQ7" s="62" t="s">
        <v>133</v>
      </c>
    </row>
    <row r="8" spans="1:43" x14ac:dyDescent="0.25">
      <c r="A8" s="26" t="s">
        <v>159</v>
      </c>
      <c r="B8" s="28" t="s">
        <v>181</v>
      </c>
      <c r="C8" s="28" t="s">
        <v>252</v>
      </c>
      <c r="D8" s="28" t="s">
        <v>252</v>
      </c>
      <c r="E8" s="28" t="s">
        <v>252</v>
      </c>
      <c r="F8" s="80" t="s">
        <v>341</v>
      </c>
      <c r="G8" s="80" t="s">
        <v>341</v>
      </c>
      <c r="H8" s="80" t="s">
        <v>341</v>
      </c>
      <c r="I8" s="80" t="s">
        <v>341</v>
      </c>
      <c r="J8" s="28" t="s">
        <v>385</v>
      </c>
      <c r="K8" s="28" t="s">
        <v>385</v>
      </c>
      <c r="L8" s="28" t="s">
        <v>385</v>
      </c>
      <c r="M8" s="28" t="s">
        <v>385</v>
      </c>
      <c r="N8" s="28" t="s">
        <v>385</v>
      </c>
      <c r="O8" s="28" t="s">
        <v>385</v>
      </c>
      <c r="P8" s="28" t="s">
        <v>385</v>
      </c>
      <c r="Q8" s="28" t="s">
        <v>385</v>
      </c>
      <c r="R8" s="28" t="s">
        <v>385</v>
      </c>
      <c r="S8" s="28" t="s">
        <v>385</v>
      </c>
      <c r="T8" s="28" t="s">
        <v>727</v>
      </c>
      <c r="U8" s="28" t="s">
        <v>385</v>
      </c>
      <c r="V8" s="28" t="s">
        <v>385</v>
      </c>
      <c r="W8" s="28" t="s">
        <v>385</v>
      </c>
      <c r="X8" s="28" t="s">
        <v>385</v>
      </c>
      <c r="Y8" s="28" t="s">
        <v>385</v>
      </c>
      <c r="Z8" s="28" t="s">
        <v>385</v>
      </c>
      <c r="AA8" s="28" t="s">
        <v>385</v>
      </c>
      <c r="AB8" s="28" t="s">
        <v>385</v>
      </c>
      <c r="AC8" s="28" t="s">
        <v>727</v>
      </c>
      <c r="AD8" s="28" t="s">
        <v>385</v>
      </c>
      <c r="AE8" s="129" t="s">
        <v>728</v>
      </c>
      <c r="AF8" s="28" t="s">
        <v>385</v>
      </c>
      <c r="AG8" s="28" t="s">
        <v>385</v>
      </c>
      <c r="AH8" s="28" t="s">
        <v>385</v>
      </c>
      <c r="AJ8" s="28" t="s">
        <v>181</v>
      </c>
      <c r="AL8" s="28" t="s">
        <v>385</v>
      </c>
      <c r="AM8" s="28" t="s">
        <v>385</v>
      </c>
      <c r="AN8" s="28" t="s">
        <v>385</v>
      </c>
      <c r="AO8" s="28" t="s">
        <v>385</v>
      </c>
      <c r="AP8" s="28" t="s">
        <v>385</v>
      </c>
      <c r="AQ8" s="28" t="s">
        <v>385</v>
      </c>
    </row>
    <row r="9" spans="1:43" ht="15.75" customHeight="1" x14ac:dyDescent="0.25">
      <c r="A9" s="26" t="s">
        <v>165</v>
      </c>
      <c r="B9" s="28" t="s">
        <v>387</v>
      </c>
      <c r="C9" s="28" t="s">
        <v>283</v>
      </c>
      <c r="D9" s="28" t="s">
        <v>283</v>
      </c>
      <c r="E9" s="28" t="s">
        <v>197</v>
      </c>
      <c r="F9" s="80" t="s">
        <v>341</v>
      </c>
      <c r="G9" s="80" t="s">
        <v>341</v>
      </c>
      <c r="H9" s="80" t="s">
        <v>341</v>
      </c>
      <c r="I9" s="80" t="s">
        <v>341</v>
      </c>
      <c r="J9" s="28" t="s">
        <v>385</v>
      </c>
      <c r="K9" s="28" t="s">
        <v>385</v>
      </c>
      <c r="L9" s="28" t="s">
        <v>385</v>
      </c>
      <c r="M9" s="28" t="s">
        <v>385</v>
      </c>
      <c r="N9" s="28" t="s">
        <v>385</v>
      </c>
      <c r="O9" s="28" t="s">
        <v>385</v>
      </c>
      <c r="P9" s="28" t="s">
        <v>385</v>
      </c>
      <c r="Q9" s="28" t="s">
        <v>385</v>
      </c>
      <c r="R9" s="28" t="s">
        <v>385</v>
      </c>
      <c r="S9" s="28" t="s">
        <v>729</v>
      </c>
      <c r="T9" s="28" t="s">
        <v>283</v>
      </c>
      <c r="U9" s="28" t="s">
        <v>385</v>
      </c>
      <c r="V9" s="28" t="s">
        <v>385</v>
      </c>
      <c r="W9" s="28" t="s">
        <v>385</v>
      </c>
      <c r="X9" s="28" t="s">
        <v>385</v>
      </c>
      <c r="Y9" s="28" t="s">
        <v>385</v>
      </c>
      <c r="Z9" s="28" t="s">
        <v>385</v>
      </c>
      <c r="AA9" s="28" t="s">
        <v>385</v>
      </c>
      <c r="AB9" s="28" t="s">
        <v>385</v>
      </c>
      <c r="AC9" s="28" t="s">
        <v>283</v>
      </c>
      <c r="AD9" s="28" t="s">
        <v>385</v>
      </c>
      <c r="AE9" s="28" t="s">
        <v>730</v>
      </c>
      <c r="AF9" s="28" t="s">
        <v>385</v>
      </c>
      <c r="AG9" s="28" t="s">
        <v>385</v>
      </c>
      <c r="AH9" s="28" t="s">
        <v>385</v>
      </c>
      <c r="AJ9" s="28" t="s">
        <v>387</v>
      </c>
      <c r="AL9" s="29" t="s">
        <v>385</v>
      </c>
      <c r="AM9" s="29" t="s">
        <v>385</v>
      </c>
      <c r="AN9" s="29" t="s">
        <v>385</v>
      </c>
      <c r="AO9" s="29" t="s">
        <v>385</v>
      </c>
      <c r="AP9" s="29" t="s">
        <v>385</v>
      </c>
      <c r="AQ9" s="29" t="s">
        <v>385</v>
      </c>
    </row>
    <row r="10" spans="1:43" x14ac:dyDescent="0.25">
      <c r="A10" s="131" t="s">
        <v>168</v>
      </c>
      <c r="B10" s="157">
        <v>114</v>
      </c>
      <c r="C10" s="157">
        <v>56</v>
      </c>
      <c r="D10" s="157">
        <v>56</v>
      </c>
      <c r="E10" s="157">
        <v>34</v>
      </c>
      <c r="F10" s="198"/>
      <c r="G10" s="198"/>
      <c r="H10" s="198"/>
      <c r="I10" s="198"/>
      <c r="J10" s="157">
        <v>42</v>
      </c>
      <c r="K10" s="157">
        <v>42</v>
      </c>
      <c r="L10" s="157">
        <v>42</v>
      </c>
      <c r="M10" s="157">
        <v>42</v>
      </c>
      <c r="N10" s="157">
        <v>42</v>
      </c>
      <c r="O10" s="157">
        <v>42</v>
      </c>
      <c r="P10" s="157">
        <v>42</v>
      </c>
      <c r="Q10" s="157">
        <v>42</v>
      </c>
      <c r="R10" s="157">
        <v>42</v>
      </c>
      <c r="S10" s="157">
        <v>157</v>
      </c>
      <c r="T10" s="157">
        <v>56</v>
      </c>
      <c r="U10" s="157">
        <v>42</v>
      </c>
      <c r="V10" s="157">
        <v>42</v>
      </c>
      <c r="W10" s="157">
        <v>42</v>
      </c>
      <c r="X10" s="157">
        <v>42</v>
      </c>
      <c r="Y10" s="157">
        <v>42</v>
      </c>
      <c r="Z10" s="157">
        <v>42</v>
      </c>
      <c r="AA10" s="157">
        <v>42</v>
      </c>
      <c r="AB10" s="157">
        <v>42</v>
      </c>
      <c r="AC10" s="157">
        <v>56</v>
      </c>
      <c r="AD10" s="157">
        <v>42</v>
      </c>
      <c r="AE10" s="157">
        <v>158</v>
      </c>
      <c r="AF10" s="157">
        <v>42</v>
      </c>
      <c r="AG10" s="157">
        <v>42</v>
      </c>
      <c r="AH10" s="157">
        <v>42</v>
      </c>
      <c r="AJ10" s="157">
        <v>114</v>
      </c>
      <c r="AL10" s="157">
        <v>42</v>
      </c>
      <c r="AM10" s="157">
        <v>42</v>
      </c>
      <c r="AN10" s="157">
        <v>42</v>
      </c>
      <c r="AO10" s="157">
        <v>42</v>
      </c>
      <c r="AP10" s="157">
        <v>42</v>
      </c>
      <c r="AQ10" s="157">
        <v>42</v>
      </c>
    </row>
    <row r="11" spans="1:43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80" t="s">
        <v>173</v>
      </c>
      <c r="G11" s="80" t="s">
        <v>173</v>
      </c>
      <c r="H11" s="80" t="s">
        <v>173</v>
      </c>
      <c r="I11" s="80" t="s">
        <v>173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28" t="s">
        <v>170</v>
      </c>
      <c r="O11" s="28" t="s">
        <v>170</v>
      </c>
      <c r="P11" s="28" t="s">
        <v>170</v>
      </c>
      <c r="Q11" s="28" t="s">
        <v>170</v>
      </c>
      <c r="R11" s="28" t="s">
        <v>170</v>
      </c>
      <c r="S11" s="28" t="s">
        <v>170</v>
      </c>
      <c r="T11" s="28" t="s">
        <v>170</v>
      </c>
      <c r="U11" s="28" t="s">
        <v>170</v>
      </c>
      <c r="V11" s="28" t="s">
        <v>170</v>
      </c>
      <c r="W11" s="28" t="s">
        <v>170</v>
      </c>
      <c r="X11" s="28" t="s">
        <v>170</v>
      </c>
      <c r="Y11" s="28" t="s">
        <v>170</v>
      </c>
      <c r="Z11" s="28" t="s">
        <v>170</v>
      </c>
      <c r="AA11" s="28" t="s">
        <v>170</v>
      </c>
      <c r="AB11" s="28" t="s">
        <v>170</v>
      </c>
      <c r="AC11" s="28" t="s">
        <v>170</v>
      </c>
      <c r="AD11" s="28" t="s">
        <v>170</v>
      </c>
      <c r="AE11" s="28" t="s">
        <v>170</v>
      </c>
      <c r="AF11" s="28" t="s">
        <v>170</v>
      </c>
      <c r="AG11" s="28" t="s">
        <v>170</v>
      </c>
      <c r="AH11" s="28" t="s">
        <v>170</v>
      </c>
      <c r="AJ11" s="28" t="s">
        <v>170</v>
      </c>
      <c r="AL11" s="28" t="s">
        <v>170</v>
      </c>
      <c r="AM11" s="28" t="s">
        <v>170</v>
      </c>
      <c r="AN11" s="28" t="s">
        <v>170</v>
      </c>
      <c r="AO11" s="28" t="s">
        <v>170</v>
      </c>
      <c r="AP11" s="28" t="s">
        <v>170</v>
      </c>
      <c r="AQ11" s="28" t="s">
        <v>170</v>
      </c>
    </row>
    <row r="12" spans="1:43" x14ac:dyDescent="0.25">
      <c r="A12" s="26" t="s">
        <v>171</v>
      </c>
      <c r="B12" s="28" t="s">
        <v>173</v>
      </c>
      <c r="C12" s="28" t="s">
        <v>173</v>
      </c>
      <c r="D12" s="28" t="s">
        <v>173</v>
      </c>
      <c r="E12" s="28" t="s">
        <v>173</v>
      </c>
      <c r="F12" s="80" t="s">
        <v>173</v>
      </c>
      <c r="G12" s="80" t="s">
        <v>173</v>
      </c>
      <c r="H12" s="80" t="s">
        <v>173</v>
      </c>
      <c r="I12" s="80" t="s">
        <v>173</v>
      </c>
      <c r="J12" s="28" t="s">
        <v>173</v>
      </c>
      <c r="K12" s="28" t="s">
        <v>173</v>
      </c>
      <c r="L12" s="28" t="s">
        <v>173</v>
      </c>
      <c r="M12" s="28" t="s">
        <v>173</v>
      </c>
      <c r="N12" s="28" t="s">
        <v>173</v>
      </c>
      <c r="O12" s="28" t="s">
        <v>173</v>
      </c>
      <c r="P12" s="28" t="s">
        <v>173</v>
      </c>
      <c r="Q12" s="28" t="s">
        <v>173</v>
      </c>
      <c r="R12" s="28" t="s">
        <v>173</v>
      </c>
      <c r="S12" s="28" t="s">
        <v>173</v>
      </c>
      <c r="T12" s="28" t="s">
        <v>173</v>
      </c>
      <c r="U12" s="28" t="s">
        <v>173</v>
      </c>
      <c r="V12" s="28" t="s">
        <v>173</v>
      </c>
      <c r="W12" s="28" t="s">
        <v>173</v>
      </c>
      <c r="X12" s="28" t="s">
        <v>173</v>
      </c>
      <c r="Y12" s="28" t="s">
        <v>173</v>
      </c>
      <c r="Z12" s="28" t="s">
        <v>173</v>
      </c>
      <c r="AA12" s="28" t="s">
        <v>173</v>
      </c>
      <c r="AB12" s="28" t="s">
        <v>173</v>
      </c>
      <c r="AC12" s="28" t="s">
        <v>173</v>
      </c>
      <c r="AD12" s="28" t="s">
        <v>173</v>
      </c>
      <c r="AE12" s="28" t="s">
        <v>173</v>
      </c>
      <c r="AF12" s="28" t="s">
        <v>173</v>
      </c>
      <c r="AG12" s="28" t="s">
        <v>173</v>
      </c>
      <c r="AH12" s="28" t="s">
        <v>173</v>
      </c>
      <c r="AJ12" s="29" t="s">
        <v>173</v>
      </c>
      <c r="AL12" s="28" t="s">
        <v>173</v>
      </c>
      <c r="AM12" s="28" t="s">
        <v>173</v>
      </c>
      <c r="AN12" s="28" t="s">
        <v>173</v>
      </c>
      <c r="AO12" s="28" t="s">
        <v>173</v>
      </c>
      <c r="AP12" s="28" t="s">
        <v>173</v>
      </c>
      <c r="AQ12" s="28" t="s">
        <v>173</v>
      </c>
    </row>
    <row r="13" spans="1:43" x14ac:dyDescent="0.25">
      <c r="A13" s="26" t="s">
        <v>172</v>
      </c>
      <c r="B13" s="28" t="s">
        <v>173</v>
      </c>
      <c r="C13" s="28" t="s">
        <v>170</v>
      </c>
      <c r="D13" s="28" t="s">
        <v>170</v>
      </c>
      <c r="E13" s="28" t="s">
        <v>170</v>
      </c>
      <c r="F13" s="80" t="s">
        <v>173</v>
      </c>
      <c r="G13" s="80" t="s">
        <v>173</v>
      </c>
      <c r="H13" s="80" t="s">
        <v>173</v>
      </c>
      <c r="I13" s="80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 t="s">
        <v>173</v>
      </c>
      <c r="S13" s="28" t="s">
        <v>173</v>
      </c>
      <c r="T13" s="28" t="s">
        <v>170</v>
      </c>
      <c r="U13" s="28" t="s">
        <v>173</v>
      </c>
      <c r="V13" s="28" t="s">
        <v>173</v>
      </c>
      <c r="W13" s="28" t="s">
        <v>173</v>
      </c>
      <c r="X13" s="28" t="s">
        <v>173</v>
      </c>
      <c r="Y13" s="28" t="s">
        <v>173</v>
      </c>
      <c r="Z13" s="28" t="s">
        <v>173</v>
      </c>
      <c r="AA13" s="28" t="s">
        <v>173</v>
      </c>
      <c r="AB13" s="28" t="s">
        <v>173</v>
      </c>
      <c r="AC13" s="28" t="s">
        <v>170</v>
      </c>
      <c r="AD13" s="28" t="s">
        <v>173</v>
      </c>
      <c r="AE13" s="28" t="s">
        <v>287</v>
      </c>
      <c r="AF13" s="28" t="s">
        <v>173</v>
      </c>
      <c r="AG13" s="28" t="s">
        <v>173</v>
      </c>
      <c r="AH13" s="28" t="s">
        <v>173</v>
      </c>
      <c r="AJ13" s="28" t="s">
        <v>173</v>
      </c>
      <c r="AL13" s="28" t="s">
        <v>173</v>
      </c>
      <c r="AM13" s="28" t="s">
        <v>173</v>
      </c>
      <c r="AN13" s="28" t="s">
        <v>173</v>
      </c>
      <c r="AO13" s="28" t="s">
        <v>173</v>
      </c>
      <c r="AP13" s="28" t="s">
        <v>173</v>
      </c>
      <c r="AQ13" s="28" t="s">
        <v>173</v>
      </c>
    </row>
    <row r="14" spans="1:43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80" t="s">
        <v>173</v>
      </c>
      <c r="G14" s="80" t="s">
        <v>173</v>
      </c>
      <c r="H14" s="80" t="s">
        <v>173</v>
      </c>
      <c r="I14" s="80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 t="s">
        <v>173</v>
      </c>
      <c r="V14" s="28" t="s">
        <v>173</v>
      </c>
      <c r="W14" s="28" t="s">
        <v>173</v>
      </c>
      <c r="X14" s="28" t="s">
        <v>173</v>
      </c>
      <c r="Y14" s="28" t="s">
        <v>173</v>
      </c>
      <c r="Z14" s="28" t="s">
        <v>173</v>
      </c>
      <c r="AA14" s="28" t="s">
        <v>173</v>
      </c>
      <c r="AB14" s="28" t="s">
        <v>173</v>
      </c>
      <c r="AC14" s="28" t="s">
        <v>173</v>
      </c>
      <c r="AD14" s="28" t="s">
        <v>173</v>
      </c>
      <c r="AE14" s="28" t="s">
        <v>173</v>
      </c>
      <c r="AF14" s="28" t="s">
        <v>173</v>
      </c>
      <c r="AG14" s="28" t="s">
        <v>173</v>
      </c>
      <c r="AH14" s="28" t="s">
        <v>173</v>
      </c>
      <c r="AJ14" s="28" t="s">
        <v>173</v>
      </c>
      <c r="AL14" s="28" t="s">
        <v>173</v>
      </c>
      <c r="AM14" s="28" t="s">
        <v>173</v>
      </c>
      <c r="AN14" s="28" t="s">
        <v>173</v>
      </c>
      <c r="AO14" s="28" t="s">
        <v>173</v>
      </c>
      <c r="AP14" s="28" t="s">
        <v>173</v>
      </c>
      <c r="AQ14" s="28" t="s">
        <v>173</v>
      </c>
    </row>
    <row r="15" spans="1:43" x14ac:dyDescent="0.25">
      <c r="A15" s="26" t="s">
        <v>175</v>
      </c>
      <c r="B15" s="28" t="s">
        <v>160</v>
      </c>
      <c r="C15" s="28" t="s">
        <v>199</v>
      </c>
      <c r="D15" s="28" t="s">
        <v>199</v>
      </c>
      <c r="E15" s="28" t="s">
        <v>199</v>
      </c>
      <c r="F15" s="80" t="s">
        <v>160</v>
      </c>
      <c r="G15" s="80" t="s">
        <v>160</v>
      </c>
      <c r="H15" s="80" t="s">
        <v>160</v>
      </c>
      <c r="I15" s="80" t="s">
        <v>160</v>
      </c>
      <c r="J15" s="28" t="s">
        <v>160</v>
      </c>
      <c r="K15" s="28" t="s">
        <v>160</v>
      </c>
      <c r="L15" s="28" t="s">
        <v>160</v>
      </c>
      <c r="M15" s="28" t="s">
        <v>160</v>
      </c>
      <c r="N15" s="28" t="s">
        <v>160</v>
      </c>
      <c r="O15" s="28" t="s">
        <v>160</v>
      </c>
      <c r="P15" s="28" t="s">
        <v>160</v>
      </c>
      <c r="Q15" s="28" t="s">
        <v>160</v>
      </c>
      <c r="R15" s="28" t="s">
        <v>160</v>
      </c>
      <c r="S15" s="28" t="s">
        <v>731</v>
      </c>
      <c r="T15" s="28" t="s">
        <v>199</v>
      </c>
      <c r="U15" s="28" t="s">
        <v>160</v>
      </c>
      <c r="V15" s="28" t="s">
        <v>160</v>
      </c>
      <c r="W15" s="28" t="s">
        <v>160</v>
      </c>
      <c r="X15" s="28" t="s">
        <v>160</v>
      </c>
      <c r="Y15" s="28" t="s">
        <v>160</v>
      </c>
      <c r="Z15" s="28" t="s">
        <v>160</v>
      </c>
      <c r="AA15" s="28" t="s">
        <v>160</v>
      </c>
      <c r="AB15" s="28" t="s">
        <v>160</v>
      </c>
      <c r="AC15" s="28" t="s">
        <v>199</v>
      </c>
      <c r="AD15" s="28" t="s">
        <v>160</v>
      </c>
      <c r="AE15" s="28" t="s">
        <v>199</v>
      </c>
      <c r="AF15" s="28" t="s">
        <v>160</v>
      </c>
      <c r="AG15" s="28" t="s">
        <v>160</v>
      </c>
      <c r="AH15" s="28" t="s">
        <v>160</v>
      </c>
      <c r="AJ15" s="28" t="s">
        <v>160</v>
      </c>
      <c r="AL15" s="28" t="s">
        <v>160</v>
      </c>
      <c r="AM15" s="28" t="s">
        <v>160</v>
      </c>
      <c r="AN15" s="28" t="s">
        <v>160</v>
      </c>
      <c r="AO15" s="28" t="s">
        <v>160</v>
      </c>
      <c r="AP15" s="28" t="s">
        <v>160</v>
      </c>
      <c r="AQ15" s="28" t="s">
        <v>160</v>
      </c>
    </row>
    <row r="16" spans="1:43" x14ac:dyDescent="0.25">
      <c r="A16" s="26" t="s">
        <v>176</v>
      </c>
      <c r="B16" s="120">
        <v>2.75</v>
      </c>
      <c r="C16" s="120">
        <v>-0.5</v>
      </c>
      <c r="D16" s="120">
        <v>-0.5</v>
      </c>
      <c r="E16" s="120">
        <v>-0.5</v>
      </c>
      <c r="F16" s="166">
        <v>2.5</v>
      </c>
      <c r="G16" s="166">
        <v>2.5</v>
      </c>
      <c r="H16" s="166">
        <v>2.5</v>
      </c>
      <c r="I16" s="166">
        <v>2.5</v>
      </c>
      <c r="J16" s="120">
        <v>2.5</v>
      </c>
      <c r="K16" s="120">
        <v>2.5</v>
      </c>
      <c r="L16" s="120">
        <v>2.5</v>
      </c>
      <c r="M16" s="120">
        <v>2.5</v>
      </c>
      <c r="N16" s="120">
        <v>2.5</v>
      </c>
      <c r="O16" s="120">
        <v>2.5</v>
      </c>
      <c r="P16" s="120">
        <v>2.5</v>
      </c>
      <c r="Q16" s="120">
        <v>2.5</v>
      </c>
      <c r="R16" s="120">
        <v>2.5</v>
      </c>
      <c r="S16" s="120">
        <f>AVERAGE(2.5,-2)</f>
        <v>0.25</v>
      </c>
      <c r="T16" s="120">
        <v>-0.5</v>
      </c>
      <c r="U16" s="120">
        <v>2.5</v>
      </c>
      <c r="V16" s="120">
        <v>2.5</v>
      </c>
      <c r="W16" s="120">
        <v>2.5</v>
      </c>
      <c r="X16" s="120">
        <v>2.5</v>
      </c>
      <c r="Y16" s="120">
        <v>2.5</v>
      </c>
      <c r="Z16" s="120">
        <v>2.5</v>
      </c>
      <c r="AA16" s="120">
        <v>2.5</v>
      </c>
      <c r="AB16" s="120">
        <v>2.5</v>
      </c>
      <c r="AC16" s="120">
        <v>-0.5</v>
      </c>
      <c r="AD16" s="120">
        <v>2.5</v>
      </c>
      <c r="AE16" s="120">
        <f>AVERAGE(-2,0)</f>
        <v>-1</v>
      </c>
      <c r="AF16" s="120">
        <v>2.5</v>
      </c>
      <c r="AG16" s="120">
        <v>2.5</v>
      </c>
      <c r="AH16" s="120">
        <v>2.5</v>
      </c>
      <c r="AJ16" s="30">
        <v>2.75</v>
      </c>
      <c r="AL16" s="30">
        <v>2.5</v>
      </c>
      <c r="AM16" s="30">
        <v>2.5</v>
      </c>
      <c r="AN16" s="30">
        <v>2.5</v>
      </c>
      <c r="AO16" s="30">
        <v>2.5</v>
      </c>
      <c r="AP16" s="30">
        <v>2.5</v>
      </c>
      <c r="AQ16" s="30">
        <v>2.5</v>
      </c>
    </row>
    <row r="17" spans="1:43" x14ac:dyDescent="0.25">
      <c r="A17" s="26" t="s">
        <v>177</v>
      </c>
      <c r="B17" s="28" t="s">
        <v>181</v>
      </c>
      <c r="C17" s="28" t="s">
        <v>181</v>
      </c>
      <c r="D17" s="28" t="s">
        <v>181</v>
      </c>
      <c r="E17" s="28" t="s">
        <v>200</v>
      </c>
      <c r="F17" s="80" t="s">
        <v>341</v>
      </c>
      <c r="G17" s="80" t="s">
        <v>341</v>
      </c>
      <c r="H17" s="80" t="s">
        <v>341</v>
      </c>
      <c r="I17" s="80" t="s">
        <v>341</v>
      </c>
      <c r="J17" s="28" t="s">
        <v>181</v>
      </c>
      <c r="K17" s="28" t="s">
        <v>181</v>
      </c>
      <c r="L17" s="28" t="s">
        <v>181</v>
      </c>
      <c r="M17" s="28" t="s">
        <v>181</v>
      </c>
      <c r="N17" s="28" t="s">
        <v>181</v>
      </c>
      <c r="O17" s="28" t="s">
        <v>181</v>
      </c>
      <c r="P17" s="28" t="s">
        <v>181</v>
      </c>
      <c r="Q17" s="28" t="s">
        <v>181</v>
      </c>
      <c r="R17" s="28" t="s">
        <v>181</v>
      </c>
      <c r="S17" s="28" t="s">
        <v>181</v>
      </c>
      <c r="T17" s="28" t="s">
        <v>181</v>
      </c>
      <c r="U17" s="28" t="s">
        <v>181</v>
      </c>
      <c r="V17" s="28" t="s">
        <v>181</v>
      </c>
      <c r="W17" s="28" t="s">
        <v>181</v>
      </c>
      <c r="X17" s="28" t="s">
        <v>181</v>
      </c>
      <c r="Y17" s="28" t="s">
        <v>181</v>
      </c>
      <c r="Z17" s="28" t="s">
        <v>181</v>
      </c>
      <c r="AA17" s="28" t="s">
        <v>181</v>
      </c>
      <c r="AB17" s="28" t="s">
        <v>181</v>
      </c>
      <c r="AC17" s="28" t="s">
        <v>181</v>
      </c>
      <c r="AD17" s="28" t="s">
        <v>181</v>
      </c>
      <c r="AE17" s="28" t="s">
        <v>181</v>
      </c>
      <c r="AF17" s="28" t="s">
        <v>181</v>
      </c>
      <c r="AG17" s="28" t="s">
        <v>181</v>
      </c>
      <c r="AH17" s="28" t="s">
        <v>181</v>
      </c>
      <c r="AJ17" s="28" t="s">
        <v>181</v>
      </c>
      <c r="AL17" s="28" t="s">
        <v>181</v>
      </c>
      <c r="AM17" s="28" t="s">
        <v>181</v>
      </c>
      <c r="AN17" s="28" t="s">
        <v>181</v>
      </c>
      <c r="AO17" s="28" t="s">
        <v>181</v>
      </c>
      <c r="AP17" s="28" t="s">
        <v>181</v>
      </c>
      <c r="AQ17" s="28" t="s">
        <v>181</v>
      </c>
    </row>
    <row r="18" spans="1:43" x14ac:dyDescent="0.25">
      <c r="A18" s="26" t="s">
        <v>182</v>
      </c>
      <c r="B18" s="30">
        <v>2</v>
      </c>
      <c r="C18" s="30">
        <v>2</v>
      </c>
      <c r="D18" s="30">
        <v>2</v>
      </c>
      <c r="E18" s="30">
        <v>3</v>
      </c>
      <c r="F18" s="82">
        <v>0</v>
      </c>
      <c r="G18" s="82">
        <v>0</v>
      </c>
      <c r="H18" s="82">
        <v>0</v>
      </c>
      <c r="I18" s="82">
        <v>0</v>
      </c>
      <c r="J18" s="30">
        <v>2</v>
      </c>
      <c r="K18" s="30">
        <v>2</v>
      </c>
      <c r="L18" s="30">
        <v>2</v>
      </c>
      <c r="M18" s="30">
        <v>2</v>
      </c>
      <c r="N18" s="30">
        <v>2</v>
      </c>
      <c r="O18" s="30">
        <v>2</v>
      </c>
      <c r="P18" s="30">
        <v>2</v>
      </c>
      <c r="Q18" s="30">
        <v>2</v>
      </c>
      <c r="R18" s="30">
        <v>2</v>
      </c>
      <c r="S18" s="30">
        <v>2</v>
      </c>
      <c r="T18" s="30">
        <v>2</v>
      </c>
      <c r="U18" s="30">
        <v>2</v>
      </c>
      <c r="V18" s="30">
        <v>2</v>
      </c>
      <c r="W18" s="30">
        <v>2</v>
      </c>
      <c r="X18" s="30">
        <v>2</v>
      </c>
      <c r="Y18" s="30">
        <v>2</v>
      </c>
      <c r="Z18" s="30">
        <v>2</v>
      </c>
      <c r="AA18" s="30">
        <v>2</v>
      </c>
      <c r="AB18" s="30">
        <v>2</v>
      </c>
      <c r="AC18" s="30">
        <v>2</v>
      </c>
      <c r="AD18" s="30">
        <v>2</v>
      </c>
      <c r="AE18" s="30">
        <v>2</v>
      </c>
      <c r="AF18" s="30">
        <v>2</v>
      </c>
      <c r="AG18" s="30">
        <v>2</v>
      </c>
      <c r="AH18" s="30">
        <v>2</v>
      </c>
      <c r="AJ18" s="30">
        <v>2</v>
      </c>
      <c r="AL18" s="30">
        <v>2</v>
      </c>
      <c r="AM18" s="30">
        <v>2</v>
      </c>
      <c r="AN18" s="30">
        <v>2</v>
      </c>
      <c r="AO18" s="30">
        <v>2</v>
      </c>
      <c r="AP18" s="30">
        <v>2</v>
      </c>
      <c r="AQ18" s="30">
        <v>2</v>
      </c>
    </row>
    <row r="20" spans="1:43" x14ac:dyDescent="0.25">
      <c r="A20" s="26" t="s">
        <v>159</v>
      </c>
      <c r="B20" s="86" t="s">
        <v>462</v>
      </c>
      <c r="C20" s="80" t="s">
        <v>341</v>
      </c>
      <c r="D20" s="80" t="s">
        <v>341</v>
      </c>
      <c r="E20" s="80" t="s">
        <v>341</v>
      </c>
      <c r="F20" s="113" t="s">
        <v>474</v>
      </c>
      <c r="G20" s="28" t="s">
        <v>476</v>
      </c>
      <c r="H20" s="28" t="s">
        <v>476</v>
      </c>
      <c r="I20" s="28" t="s">
        <v>476</v>
      </c>
      <c r="J20" s="113" t="s">
        <v>475</v>
      </c>
      <c r="K20" s="28" t="s">
        <v>473</v>
      </c>
      <c r="L20" s="28" t="s">
        <v>473</v>
      </c>
      <c r="M20" s="28" t="s">
        <v>473</v>
      </c>
      <c r="N20" s="28" t="s">
        <v>473</v>
      </c>
      <c r="O20" s="28" t="s">
        <v>473</v>
      </c>
      <c r="P20" s="28" t="s">
        <v>473</v>
      </c>
      <c r="Q20" s="28" t="s">
        <v>473</v>
      </c>
      <c r="R20" s="28" t="s">
        <v>473</v>
      </c>
      <c r="S20" s="28" t="s">
        <v>555</v>
      </c>
      <c r="T20" s="80" t="s">
        <v>341</v>
      </c>
      <c r="U20" s="28" t="s">
        <v>556</v>
      </c>
      <c r="V20" s="28" t="s">
        <v>473</v>
      </c>
      <c r="W20" s="28" t="s">
        <v>473</v>
      </c>
      <c r="X20" s="28" t="s">
        <v>448</v>
      </c>
      <c r="Y20" s="28" t="s">
        <v>448</v>
      </c>
      <c r="Z20" s="28" t="s">
        <v>556</v>
      </c>
      <c r="AA20" s="28" t="s">
        <v>556</v>
      </c>
      <c r="AB20" s="28" t="s">
        <v>556</v>
      </c>
      <c r="AC20" s="80" t="s">
        <v>341</v>
      </c>
      <c r="AD20" s="28" t="s">
        <v>556</v>
      </c>
      <c r="AE20" s="80" t="s">
        <v>341</v>
      </c>
      <c r="AF20" s="28" t="s">
        <v>556</v>
      </c>
      <c r="AG20" s="28" t="s">
        <v>473</v>
      </c>
      <c r="AH20" s="28" t="s">
        <v>473</v>
      </c>
      <c r="AJ20" s="28" t="s">
        <v>462</v>
      </c>
      <c r="AL20" s="28" t="s">
        <v>448</v>
      </c>
      <c r="AM20" s="28" t="s">
        <v>448</v>
      </c>
      <c r="AN20" s="28" t="s">
        <v>448</v>
      </c>
      <c r="AO20" s="86" t="s">
        <v>473</v>
      </c>
      <c r="AP20" s="28" t="s">
        <v>473</v>
      </c>
      <c r="AQ20" s="28" t="s">
        <v>473</v>
      </c>
    </row>
    <row r="21" spans="1:43" ht="15.75" customHeight="1" x14ac:dyDescent="0.25">
      <c r="A21" s="26" t="s">
        <v>165</v>
      </c>
      <c r="B21" s="28" t="s">
        <v>479</v>
      </c>
      <c r="C21" s="81" t="s">
        <v>341</v>
      </c>
      <c r="D21" s="81" t="s">
        <v>341</v>
      </c>
      <c r="E21" s="81" t="s">
        <v>341</v>
      </c>
      <c r="F21" s="113" t="s">
        <v>480</v>
      </c>
      <c r="G21" s="28" t="s">
        <v>557</v>
      </c>
      <c r="H21" s="28" t="s">
        <v>325</v>
      </c>
      <c r="I21" s="28" t="s">
        <v>325</v>
      </c>
      <c r="J21" s="113" t="s">
        <v>481</v>
      </c>
      <c r="K21" s="29" t="s">
        <v>473</v>
      </c>
      <c r="L21" s="28" t="s">
        <v>558</v>
      </c>
      <c r="M21" s="28" t="s">
        <v>559</v>
      </c>
      <c r="N21" s="29" t="s">
        <v>473</v>
      </c>
      <c r="O21" s="29" t="s">
        <v>473</v>
      </c>
      <c r="P21" s="29" t="s">
        <v>473</v>
      </c>
      <c r="Q21" s="29" t="s">
        <v>473</v>
      </c>
      <c r="R21" s="29" t="s">
        <v>473</v>
      </c>
      <c r="S21" s="111" t="s">
        <v>560</v>
      </c>
      <c r="T21" s="81" t="s">
        <v>341</v>
      </c>
      <c r="U21" s="28" t="s">
        <v>322</v>
      </c>
      <c r="V21" s="29" t="s">
        <v>473</v>
      </c>
      <c r="W21" s="29" t="s">
        <v>473</v>
      </c>
      <c r="X21" s="28" t="s">
        <v>561</v>
      </c>
      <c r="Y21" s="28" t="s">
        <v>561</v>
      </c>
      <c r="Z21" s="28" t="s">
        <v>322</v>
      </c>
      <c r="AA21" s="28" t="s">
        <v>322</v>
      </c>
      <c r="AB21" s="28" t="s">
        <v>322</v>
      </c>
      <c r="AC21" s="81" t="s">
        <v>341</v>
      </c>
      <c r="AD21" s="28" t="s">
        <v>322</v>
      </c>
      <c r="AE21" s="81" t="s">
        <v>341</v>
      </c>
      <c r="AF21" s="28" t="s">
        <v>322</v>
      </c>
      <c r="AG21" s="29" t="s">
        <v>473</v>
      </c>
      <c r="AH21" s="29" t="s">
        <v>473</v>
      </c>
      <c r="AJ21" s="28" t="s">
        <v>484</v>
      </c>
      <c r="AL21" s="29" t="s">
        <v>561</v>
      </c>
      <c r="AM21" s="29" t="s">
        <v>561</v>
      </c>
      <c r="AN21" s="29" t="s">
        <v>561</v>
      </c>
      <c r="AO21" s="29" t="s">
        <v>473</v>
      </c>
      <c r="AP21" s="29" t="s">
        <v>473</v>
      </c>
      <c r="AQ21" s="29" t="s">
        <v>473</v>
      </c>
    </row>
    <row r="22" spans="1:43" x14ac:dyDescent="0.25">
      <c r="A22" s="131" t="s">
        <v>168</v>
      </c>
      <c r="B22" s="157">
        <v>87</v>
      </c>
      <c r="C22" s="198"/>
      <c r="D22" s="198"/>
      <c r="E22" s="198"/>
      <c r="F22" s="157">
        <v>129</v>
      </c>
      <c r="G22" s="157">
        <v>90</v>
      </c>
      <c r="H22" s="157">
        <v>39</v>
      </c>
      <c r="I22" s="157">
        <v>39</v>
      </c>
      <c r="J22" s="157">
        <v>130</v>
      </c>
      <c r="K22" s="157">
        <v>85</v>
      </c>
      <c r="L22" s="157">
        <v>89</v>
      </c>
      <c r="M22" s="157">
        <v>140</v>
      </c>
      <c r="N22" s="157">
        <v>85</v>
      </c>
      <c r="O22" s="157">
        <v>85</v>
      </c>
      <c r="P22" s="157">
        <v>85</v>
      </c>
      <c r="Q22" s="157">
        <v>85</v>
      </c>
      <c r="R22" s="157">
        <v>85</v>
      </c>
      <c r="S22" s="157">
        <v>133</v>
      </c>
      <c r="T22" s="198"/>
      <c r="U22" s="157">
        <v>98</v>
      </c>
      <c r="V22" s="157">
        <v>85</v>
      </c>
      <c r="W22" s="157">
        <v>85</v>
      </c>
      <c r="X22" s="157">
        <v>83</v>
      </c>
      <c r="Y22" s="157">
        <v>83</v>
      </c>
      <c r="Z22" s="157">
        <v>98</v>
      </c>
      <c r="AA22" s="157">
        <v>98</v>
      </c>
      <c r="AB22" s="157">
        <v>98</v>
      </c>
      <c r="AC22" s="198"/>
      <c r="AD22" s="157">
        <v>98</v>
      </c>
      <c r="AE22" s="198"/>
      <c r="AF22" s="157">
        <v>98</v>
      </c>
      <c r="AG22" s="157">
        <v>85</v>
      </c>
      <c r="AH22" s="157">
        <v>85</v>
      </c>
      <c r="AJ22" s="157">
        <v>139</v>
      </c>
      <c r="AL22" s="157">
        <v>83</v>
      </c>
      <c r="AM22" s="157">
        <v>83</v>
      </c>
      <c r="AN22" s="157">
        <v>83</v>
      </c>
      <c r="AO22" s="157">
        <v>85</v>
      </c>
      <c r="AP22" s="157">
        <v>85</v>
      </c>
      <c r="AQ22" s="157">
        <v>85</v>
      </c>
    </row>
    <row r="23" spans="1:43" x14ac:dyDescent="0.25">
      <c r="A23" s="26" t="s">
        <v>169</v>
      </c>
      <c r="B23" s="28" t="s">
        <v>170</v>
      </c>
      <c r="C23" s="80" t="s">
        <v>173</v>
      </c>
      <c r="D23" s="80" t="s">
        <v>173</v>
      </c>
      <c r="E23" s="80" t="s">
        <v>173</v>
      </c>
      <c r="F23" s="28" t="s">
        <v>170</v>
      </c>
      <c r="G23" s="28" t="s">
        <v>170</v>
      </c>
      <c r="H23" s="28" t="s">
        <v>170</v>
      </c>
      <c r="I23" s="28" t="s">
        <v>170</v>
      </c>
      <c r="J23" s="28" t="s">
        <v>170</v>
      </c>
      <c r="K23" s="28" t="s">
        <v>170</v>
      </c>
      <c r="L23" s="28" t="s">
        <v>170</v>
      </c>
      <c r="M23" s="28" t="s">
        <v>170</v>
      </c>
      <c r="N23" s="28" t="s">
        <v>170</v>
      </c>
      <c r="O23" s="28" t="s">
        <v>170</v>
      </c>
      <c r="P23" s="28" t="s">
        <v>170</v>
      </c>
      <c r="Q23" s="28" t="s">
        <v>170</v>
      </c>
      <c r="R23" s="28" t="s">
        <v>170</v>
      </c>
      <c r="S23" s="28" t="s">
        <v>170</v>
      </c>
      <c r="T23" s="80" t="s">
        <v>173</v>
      </c>
      <c r="U23" s="28" t="s">
        <v>170</v>
      </c>
      <c r="V23" s="28" t="s">
        <v>170</v>
      </c>
      <c r="W23" s="28" t="s">
        <v>170</v>
      </c>
      <c r="X23" s="28" t="s">
        <v>170</v>
      </c>
      <c r="Y23" s="28" t="s">
        <v>170</v>
      </c>
      <c r="Z23" s="28" t="s">
        <v>170</v>
      </c>
      <c r="AA23" s="28" t="s">
        <v>170</v>
      </c>
      <c r="AB23" s="28" t="s">
        <v>170</v>
      </c>
      <c r="AC23" s="80" t="s">
        <v>173</v>
      </c>
      <c r="AD23" s="28" t="s">
        <v>170</v>
      </c>
      <c r="AE23" s="80" t="s">
        <v>173</v>
      </c>
      <c r="AF23" s="28" t="s">
        <v>170</v>
      </c>
      <c r="AG23" s="28" t="s">
        <v>170</v>
      </c>
      <c r="AH23" s="28" t="s">
        <v>170</v>
      </c>
      <c r="AJ23" s="28" t="s">
        <v>170</v>
      </c>
      <c r="AL23" s="28" t="s">
        <v>170</v>
      </c>
      <c r="AM23" s="28" t="s">
        <v>170</v>
      </c>
      <c r="AN23" s="28" t="s">
        <v>170</v>
      </c>
      <c r="AO23" s="28" t="s">
        <v>170</v>
      </c>
      <c r="AP23" s="28" t="s">
        <v>170</v>
      </c>
      <c r="AQ23" s="28" t="s">
        <v>170</v>
      </c>
    </row>
    <row r="24" spans="1:43" x14ac:dyDescent="0.25">
      <c r="A24" s="26" t="s">
        <v>171</v>
      </c>
      <c r="B24" s="28" t="s">
        <v>170</v>
      </c>
      <c r="C24" s="80" t="s">
        <v>173</v>
      </c>
      <c r="D24" s="80" t="s">
        <v>173</v>
      </c>
      <c r="E24" s="80" t="s">
        <v>173</v>
      </c>
      <c r="F24" s="116" t="s">
        <v>288</v>
      </c>
      <c r="G24" s="28" t="s">
        <v>170</v>
      </c>
      <c r="H24" s="28" t="s">
        <v>170</v>
      </c>
      <c r="I24" s="28" t="s">
        <v>170</v>
      </c>
      <c r="J24" s="28" t="s">
        <v>170</v>
      </c>
      <c r="K24" s="28" t="s">
        <v>170</v>
      </c>
      <c r="L24" s="28" t="s">
        <v>170</v>
      </c>
      <c r="M24" s="28" t="s">
        <v>170</v>
      </c>
      <c r="N24" s="28" t="s">
        <v>170</v>
      </c>
      <c r="O24" s="28" t="s">
        <v>170</v>
      </c>
      <c r="P24" s="28" t="s">
        <v>170</v>
      </c>
      <c r="Q24" s="28" t="s">
        <v>170</v>
      </c>
      <c r="R24" s="87" t="s">
        <v>170</v>
      </c>
      <c r="S24" s="87" t="s">
        <v>170</v>
      </c>
      <c r="T24" s="80" t="s">
        <v>173</v>
      </c>
      <c r="U24" s="28" t="s">
        <v>170</v>
      </c>
      <c r="V24" s="87" t="s">
        <v>170</v>
      </c>
      <c r="W24" s="87" t="s">
        <v>170</v>
      </c>
      <c r="X24" s="28" t="s">
        <v>170</v>
      </c>
      <c r="Y24" s="28" t="s">
        <v>170</v>
      </c>
      <c r="Z24" s="28" t="s">
        <v>170</v>
      </c>
      <c r="AA24" s="28" t="s">
        <v>170</v>
      </c>
      <c r="AB24" s="28" t="s">
        <v>170</v>
      </c>
      <c r="AC24" s="80" t="s">
        <v>173</v>
      </c>
      <c r="AD24" s="28" t="s">
        <v>170</v>
      </c>
      <c r="AE24" s="80" t="s">
        <v>173</v>
      </c>
      <c r="AF24" s="28" t="s">
        <v>170</v>
      </c>
      <c r="AG24" s="28" t="s">
        <v>170</v>
      </c>
      <c r="AH24" s="28" t="s">
        <v>170</v>
      </c>
      <c r="AJ24" s="28" t="s">
        <v>170</v>
      </c>
      <c r="AL24" s="28" t="s">
        <v>170</v>
      </c>
      <c r="AM24" s="28" t="s">
        <v>170</v>
      </c>
      <c r="AN24" s="28" t="s">
        <v>170</v>
      </c>
      <c r="AO24" s="28" t="s">
        <v>170</v>
      </c>
      <c r="AP24" s="28" t="s">
        <v>170</v>
      </c>
      <c r="AQ24" s="28" t="s">
        <v>170</v>
      </c>
    </row>
    <row r="25" spans="1:43" x14ac:dyDescent="0.25">
      <c r="A25" s="26" t="s">
        <v>172</v>
      </c>
      <c r="B25" s="28" t="s">
        <v>173</v>
      </c>
      <c r="C25" s="80" t="s">
        <v>173</v>
      </c>
      <c r="D25" s="80" t="s">
        <v>173</v>
      </c>
      <c r="E25" s="80" t="s">
        <v>173</v>
      </c>
      <c r="F25" s="113" t="s">
        <v>485</v>
      </c>
      <c r="G25" s="28" t="s">
        <v>173</v>
      </c>
      <c r="H25" s="28" t="s">
        <v>173</v>
      </c>
      <c r="I25" s="28" t="s">
        <v>173</v>
      </c>
      <c r="J25" s="28" t="s">
        <v>173</v>
      </c>
      <c r="K25" s="28" t="s">
        <v>173</v>
      </c>
      <c r="L25" s="28" t="s">
        <v>173</v>
      </c>
      <c r="M25" s="28" t="s">
        <v>173</v>
      </c>
      <c r="N25" s="28" t="s">
        <v>173</v>
      </c>
      <c r="O25" s="28" t="s">
        <v>173</v>
      </c>
      <c r="P25" s="28" t="s">
        <v>173</v>
      </c>
      <c r="Q25" s="86" t="s">
        <v>173</v>
      </c>
      <c r="R25" s="28" t="s">
        <v>173</v>
      </c>
      <c r="S25" s="28" t="s">
        <v>173</v>
      </c>
      <c r="T25" s="80" t="s">
        <v>173</v>
      </c>
      <c r="U25" s="28" t="s">
        <v>173</v>
      </c>
      <c r="V25" s="28" t="s">
        <v>173</v>
      </c>
      <c r="W25" s="28" t="s">
        <v>173</v>
      </c>
      <c r="X25" s="28" t="s">
        <v>173</v>
      </c>
      <c r="Y25" s="28" t="s">
        <v>173</v>
      </c>
      <c r="Z25" s="28" t="s">
        <v>173</v>
      </c>
      <c r="AA25" s="28" t="s">
        <v>173</v>
      </c>
      <c r="AB25" s="28" t="s">
        <v>173</v>
      </c>
      <c r="AC25" s="80" t="s">
        <v>173</v>
      </c>
      <c r="AD25" s="28" t="s">
        <v>173</v>
      </c>
      <c r="AE25" s="80" t="s">
        <v>173</v>
      </c>
      <c r="AF25" s="28" t="s">
        <v>173</v>
      </c>
      <c r="AG25" s="28" t="s">
        <v>173</v>
      </c>
      <c r="AH25" s="28" t="s">
        <v>173</v>
      </c>
      <c r="AJ25" s="28" t="s">
        <v>173</v>
      </c>
      <c r="AL25" s="28" t="s">
        <v>173</v>
      </c>
      <c r="AM25" s="28" t="s">
        <v>173</v>
      </c>
      <c r="AN25" s="28" t="s">
        <v>173</v>
      </c>
      <c r="AO25" s="28" t="s">
        <v>173</v>
      </c>
      <c r="AP25" s="28" t="s">
        <v>173</v>
      </c>
      <c r="AQ25" s="28" t="s">
        <v>173</v>
      </c>
    </row>
    <row r="26" spans="1:43" x14ac:dyDescent="0.25">
      <c r="A26" s="26" t="s">
        <v>174</v>
      </c>
      <c r="B26" s="28" t="s">
        <v>170</v>
      </c>
      <c r="C26" s="80" t="s">
        <v>173</v>
      </c>
      <c r="D26" s="80" t="s">
        <v>173</v>
      </c>
      <c r="E26" s="80" t="s">
        <v>173</v>
      </c>
      <c r="F26" s="116" t="s">
        <v>288</v>
      </c>
      <c r="G26" s="28" t="s">
        <v>170</v>
      </c>
      <c r="H26" s="28" t="s">
        <v>173</v>
      </c>
      <c r="I26" s="28" t="s">
        <v>173</v>
      </c>
      <c r="J26" s="28" t="s">
        <v>170</v>
      </c>
      <c r="K26" s="28" t="s">
        <v>170</v>
      </c>
      <c r="L26" s="28" t="s">
        <v>170</v>
      </c>
      <c r="M26" s="28" t="s">
        <v>170</v>
      </c>
      <c r="N26" s="28" t="s">
        <v>170</v>
      </c>
      <c r="O26" s="28" t="s">
        <v>170</v>
      </c>
      <c r="P26" s="28" t="s">
        <v>170</v>
      </c>
      <c r="Q26" s="86" t="s">
        <v>170</v>
      </c>
      <c r="R26" s="28" t="s">
        <v>170</v>
      </c>
      <c r="S26" s="116" t="s">
        <v>288</v>
      </c>
      <c r="T26" s="80" t="s">
        <v>173</v>
      </c>
      <c r="U26" s="28" t="s">
        <v>173</v>
      </c>
      <c r="V26" s="28" t="s">
        <v>170</v>
      </c>
      <c r="W26" s="28" t="s">
        <v>170</v>
      </c>
      <c r="X26" s="28" t="s">
        <v>173</v>
      </c>
      <c r="Y26" s="28" t="s">
        <v>173</v>
      </c>
      <c r="Z26" s="28" t="s">
        <v>173</v>
      </c>
      <c r="AA26" s="28" t="s">
        <v>173</v>
      </c>
      <c r="AB26" s="28" t="s">
        <v>173</v>
      </c>
      <c r="AC26" s="80" t="s">
        <v>173</v>
      </c>
      <c r="AD26" s="28" t="s">
        <v>173</v>
      </c>
      <c r="AE26" s="80" t="s">
        <v>173</v>
      </c>
      <c r="AF26" s="28" t="s">
        <v>173</v>
      </c>
      <c r="AG26" s="28" t="s">
        <v>170</v>
      </c>
      <c r="AH26" s="28" t="s">
        <v>170</v>
      </c>
      <c r="AJ26" s="28" t="s">
        <v>170</v>
      </c>
      <c r="AL26" s="28" t="s">
        <v>173</v>
      </c>
      <c r="AM26" s="28" t="s">
        <v>173</v>
      </c>
      <c r="AN26" s="28" t="s">
        <v>173</v>
      </c>
      <c r="AO26" s="28" t="s">
        <v>170</v>
      </c>
      <c r="AP26" s="28" t="s">
        <v>170</v>
      </c>
      <c r="AQ26" s="28" t="s">
        <v>170</v>
      </c>
    </row>
    <row r="27" spans="1:43" x14ac:dyDescent="0.25">
      <c r="A27" s="26" t="s">
        <v>175</v>
      </c>
      <c r="B27" s="28" t="s">
        <v>486</v>
      </c>
      <c r="C27" s="80" t="s">
        <v>199</v>
      </c>
      <c r="D27" s="80" t="s">
        <v>199</v>
      </c>
      <c r="E27" s="80" t="s">
        <v>199</v>
      </c>
      <c r="F27" s="28" t="s">
        <v>199</v>
      </c>
      <c r="G27" s="28" t="s">
        <v>199</v>
      </c>
      <c r="H27" s="28" t="s">
        <v>199</v>
      </c>
      <c r="I27" s="28" t="s">
        <v>199</v>
      </c>
      <c r="J27" s="111" t="s">
        <v>487</v>
      </c>
      <c r="K27" s="28" t="s">
        <v>198</v>
      </c>
      <c r="L27" s="28" t="s">
        <v>486</v>
      </c>
      <c r="M27" s="28" t="s">
        <v>267</v>
      </c>
      <c r="N27" s="28" t="s">
        <v>198</v>
      </c>
      <c r="O27" s="28" t="s">
        <v>198</v>
      </c>
      <c r="P27" s="28" t="s">
        <v>198</v>
      </c>
      <c r="Q27" s="86" t="s">
        <v>198</v>
      </c>
      <c r="R27" s="28" t="s">
        <v>198</v>
      </c>
      <c r="S27" s="111" t="s">
        <v>487</v>
      </c>
      <c r="T27" s="80" t="s">
        <v>199</v>
      </c>
      <c r="U27" s="28" t="s">
        <v>199</v>
      </c>
      <c r="V27" s="28" t="s">
        <v>198</v>
      </c>
      <c r="W27" s="28" t="s">
        <v>198</v>
      </c>
      <c r="X27" s="28" t="s">
        <v>198</v>
      </c>
      <c r="Y27" s="28" t="s">
        <v>198</v>
      </c>
      <c r="Z27" s="28" t="s">
        <v>199</v>
      </c>
      <c r="AA27" s="28" t="s">
        <v>199</v>
      </c>
      <c r="AB27" s="28" t="s">
        <v>199</v>
      </c>
      <c r="AC27" s="80" t="s">
        <v>199</v>
      </c>
      <c r="AD27" s="28" t="s">
        <v>199</v>
      </c>
      <c r="AE27" s="80" t="s">
        <v>199</v>
      </c>
      <c r="AF27" s="28" t="s">
        <v>199</v>
      </c>
      <c r="AG27" s="28" t="s">
        <v>198</v>
      </c>
      <c r="AH27" s="28" t="s">
        <v>198</v>
      </c>
      <c r="AJ27" s="28" t="s">
        <v>199</v>
      </c>
      <c r="AL27" s="28" t="s">
        <v>198</v>
      </c>
      <c r="AM27" s="28" t="s">
        <v>198</v>
      </c>
      <c r="AN27" s="28" t="s">
        <v>198</v>
      </c>
      <c r="AO27" s="28" t="s">
        <v>198</v>
      </c>
      <c r="AP27" s="28" t="s">
        <v>198</v>
      </c>
      <c r="AQ27" s="28" t="s">
        <v>198</v>
      </c>
    </row>
    <row r="28" spans="1:43" x14ac:dyDescent="0.25">
      <c r="A28" s="26" t="s">
        <v>176</v>
      </c>
      <c r="B28" s="30">
        <f>-7/6</f>
        <v>-1.1666666666666667</v>
      </c>
      <c r="C28" s="82">
        <v>-2</v>
      </c>
      <c r="D28" s="82">
        <v>-2</v>
      </c>
      <c r="E28" s="82">
        <v>-2</v>
      </c>
      <c r="F28" s="120">
        <f>AVERAGE(0,0,-1.25)</f>
        <v>-0.41666666666666669</v>
      </c>
      <c r="G28" s="30">
        <v>-2</v>
      </c>
      <c r="H28" s="30">
        <v>-2</v>
      </c>
      <c r="I28" s="30">
        <v>-2</v>
      </c>
      <c r="J28" s="30">
        <f>AVERAGE(0.75,0.75,0.75,0)</f>
        <v>0.5625</v>
      </c>
      <c r="K28" s="30">
        <v>0.75</v>
      </c>
      <c r="L28" s="30">
        <v>-1.625</v>
      </c>
      <c r="M28" s="30">
        <v>-3</v>
      </c>
      <c r="N28" s="30">
        <v>0.75</v>
      </c>
      <c r="O28" s="30">
        <v>0.75</v>
      </c>
      <c r="P28" s="30">
        <v>0.75</v>
      </c>
      <c r="Q28" s="30">
        <v>0.75</v>
      </c>
      <c r="R28" s="120">
        <v>0.75</v>
      </c>
      <c r="S28" s="30">
        <f>AVERAGE(0.75,0.75,(AVERAGE(0,-2)))</f>
        <v>0.16666666666666666</v>
      </c>
      <c r="T28" s="82">
        <v>-2</v>
      </c>
      <c r="U28" s="30">
        <v>-2</v>
      </c>
      <c r="V28" s="120">
        <v>0.75</v>
      </c>
      <c r="W28" s="120">
        <v>0.75</v>
      </c>
      <c r="X28" s="30">
        <v>0.75</v>
      </c>
      <c r="Y28" s="30">
        <v>0.75</v>
      </c>
      <c r="Z28" s="30">
        <v>-2</v>
      </c>
      <c r="AA28" s="30">
        <v>-2</v>
      </c>
      <c r="AB28" s="30">
        <v>-2</v>
      </c>
      <c r="AC28" s="82">
        <v>-2</v>
      </c>
      <c r="AD28" s="30">
        <v>-2</v>
      </c>
      <c r="AE28" s="82">
        <v>-2</v>
      </c>
      <c r="AF28" s="30">
        <v>-2</v>
      </c>
      <c r="AG28" s="30">
        <v>0.75</v>
      </c>
      <c r="AH28" s="30">
        <v>0.75</v>
      </c>
      <c r="AJ28" s="30">
        <f>-1/6</f>
        <v>-0.16666666666666666</v>
      </c>
      <c r="AL28" s="30">
        <v>0.75</v>
      </c>
      <c r="AM28" s="30">
        <v>0.75</v>
      </c>
      <c r="AN28" s="30">
        <v>0.75</v>
      </c>
      <c r="AO28" s="30">
        <v>0.75</v>
      </c>
      <c r="AP28" s="30">
        <v>0.75</v>
      </c>
      <c r="AQ28" s="30">
        <v>0.75</v>
      </c>
    </row>
    <row r="29" spans="1:43" x14ac:dyDescent="0.25">
      <c r="A29" s="26" t="s">
        <v>177</v>
      </c>
      <c r="B29" s="28" t="s">
        <v>489</v>
      </c>
      <c r="C29" s="80" t="s">
        <v>341</v>
      </c>
      <c r="D29" s="80" t="s">
        <v>341</v>
      </c>
      <c r="E29" s="80" t="s">
        <v>341</v>
      </c>
      <c r="F29" s="77" t="s">
        <v>490</v>
      </c>
      <c r="G29" s="28" t="s">
        <v>462</v>
      </c>
      <c r="H29" s="28" t="s">
        <v>200</v>
      </c>
      <c r="I29" s="28" t="s">
        <v>200</v>
      </c>
      <c r="J29" s="28" t="s">
        <v>489</v>
      </c>
      <c r="K29" s="28" t="s">
        <v>489</v>
      </c>
      <c r="L29" s="28" t="s">
        <v>489</v>
      </c>
      <c r="M29" s="28" t="s">
        <v>489</v>
      </c>
      <c r="N29" s="28" t="s">
        <v>489</v>
      </c>
      <c r="O29" s="28" t="s">
        <v>489</v>
      </c>
      <c r="P29" s="28" t="s">
        <v>489</v>
      </c>
      <c r="Q29" s="28" t="s">
        <v>489</v>
      </c>
      <c r="R29" s="28" t="s">
        <v>489</v>
      </c>
      <c r="S29" s="113" t="s">
        <v>562</v>
      </c>
      <c r="T29" s="80" t="s">
        <v>341</v>
      </c>
      <c r="U29" s="28" t="s">
        <v>334</v>
      </c>
      <c r="V29" s="28" t="s">
        <v>489</v>
      </c>
      <c r="W29" s="28" t="s">
        <v>489</v>
      </c>
      <c r="X29" s="28" t="s">
        <v>462</v>
      </c>
      <c r="Y29" s="28" t="s">
        <v>462</v>
      </c>
      <c r="Z29" s="28" t="s">
        <v>334</v>
      </c>
      <c r="AA29" s="28" t="s">
        <v>334</v>
      </c>
      <c r="AB29" s="28" t="s">
        <v>334</v>
      </c>
      <c r="AC29" s="80" t="s">
        <v>341</v>
      </c>
      <c r="AD29" s="28" t="s">
        <v>334</v>
      </c>
      <c r="AE29" s="80" t="s">
        <v>341</v>
      </c>
      <c r="AF29" s="28" t="s">
        <v>334</v>
      </c>
      <c r="AG29" s="28" t="s">
        <v>489</v>
      </c>
      <c r="AH29" s="28" t="s">
        <v>489</v>
      </c>
      <c r="AJ29" s="28" t="s">
        <v>489</v>
      </c>
      <c r="AL29" s="28" t="s">
        <v>462</v>
      </c>
      <c r="AM29" s="28" t="s">
        <v>462</v>
      </c>
      <c r="AN29" s="28" t="s">
        <v>462</v>
      </c>
      <c r="AO29" s="28" t="s">
        <v>489</v>
      </c>
      <c r="AP29" s="28" t="s">
        <v>489</v>
      </c>
      <c r="AQ29" s="28" t="s">
        <v>489</v>
      </c>
    </row>
    <row r="30" spans="1:43" x14ac:dyDescent="0.25">
      <c r="A30" s="26" t="s">
        <v>182</v>
      </c>
      <c r="B30" s="30">
        <v>0.75</v>
      </c>
      <c r="C30" s="82">
        <v>0</v>
      </c>
      <c r="D30" s="82">
        <v>0</v>
      </c>
      <c r="E30" s="82">
        <v>0</v>
      </c>
      <c r="F30" s="30">
        <f>AVERAGE(0.75,0.75,3)</f>
        <v>1.5</v>
      </c>
      <c r="G30" s="30">
        <v>0.75</v>
      </c>
      <c r="H30" s="30">
        <v>3</v>
      </c>
      <c r="I30" s="30">
        <v>3</v>
      </c>
      <c r="J30" s="30">
        <v>0.75</v>
      </c>
      <c r="K30" s="30">
        <v>0.75</v>
      </c>
      <c r="L30" s="30">
        <v>0.75</v>
      </c>
      <c r="M30" s="30">
        <v>0.75</v>
      </c>
      <c r="N30" s="30">
        <v>0.75</v>
      </c>
      <c r="O30" s="30">
        <v>0.75</v>
      </c>
      <c r="P30" s="30">
        <v>0.75</v>
      </c>
      <c r="Q30" s="30">
        <v>0.75</v>
      </c>
      <c r="R30" s="30">
        <v>0.75</v>
      </c>
      <c r="S30" s="30">
        <f>2/3</f>
        <v>0.66666666666666663</v>
      </c>
      <c r="T30" s="82">
        <v>0</v>
      </c>
      <c r="U30" s="30">
        <f>1/3</f>
        <v>0.33333333333333331</v>
      </c>
      <c r="V30" s="30">
        <v>0.75</v>
      </c>
      <c r="W30" s="30">
        <v>0.75</v>
      </c>
      <c r="X30" s="30">
        <v>1</v>
      </c>
      <c r="Y30" s="30">
        <v>1</v>
      </c>
      <c r="Z30" s="30">
        <f>1/3</f>
        <v>0.33333333333333331</v>
      </c>
      <c r="AA30" s="30">
        <f>1/3</f>
        <v>0.33333333333333331</v>
      </c>
      <c r="AB30" s="30">
        <f>1/3</f>
        <v>0.33333333333333331</v>
      </c>
      <c r="AC30" s="82">
        <v>0</v>
      </c>
      <c r="AD30" s="30">
        <f>1/3</f>
        <v>0.33333333333333331</v>
      </c>
      <c r="AE30" s="82">
        <v>0</v>
      </c>
      <c r="AF30" s="30">
        <f>1/3</f>
        <v>0.33333333333333331</v>
      </c>
      <c r="AG30" s="30">
        <v>0.75</v>
      </c>
      <c r="AH30" s="30">
        <v>0.75</v>
      </c>
      <c r="AJ30" s="30">
        <v>0.75</v>
      </c>
      <c r="AL30" s="30">
        <v>1</v>
      </c>
      <c r="AM30" s="30">
        <v>1</v>
      </c>
      <c r="AN30" s="30">
        <v>1</v>
      </c>
      <c r="AO30" s="30">
        <v>0.75</v>
      </c>
      <c r="AP30" s="30">
        <v>0.75</v>
      </c>
      <c r="AQ30" s="30">
        <v>0.75</v>
      </c>
    </row>
    <row r="31" spans="1:43" ht="15.75" customHeight="1" x14ac:dyDescent="0.25">
      <c r="B31" s="223" t="s">
        <v>732</v>
      </c>
      <c r="C31" s="223"/>
      <c r="D31" s="223"/>
      <c r="G31" s="227" t="s">
        <v>732</v>
      </c>
      <c r="H31" s="227"/>
      <c r="I31" s="227"/>
      <c r="AJ31" s="78" t="s">
        <v>733</v>
      </c>
      <c r="AL31" s="125" t="s">
        <v>734</v>
      </c>
      <c r="AM31" s="125"/>
      <c r="AO31" s="125"/>
      <c r="AP31" s="125"/>
      <c r="AQ31" s="125"/>
    </row>
    <row r="32" spans="1:43" x14ac:dyDescent="0.25">
      <c r="A32" s="31" t="s">
        <v>183</v>
      </c>
    </row>
    <row r="33" spans="1:2" x14ac:dyDescent="0.25">
      <c r="A33" s="236" t="s">
        <v>735</v>
      </c>
      <c r="B33" s="56" t="s">
        <v>736</v>
      </c>
    </row>
    <row r="34" spans="1:2" x14ac:dyDescent="0.25">
      <c r="A34" s="235"/>
      <c r="B34" s="56" t="s">
        <v>737</v>
      </c>
    </row>
    <row r="35" spans="1:2" x14ac:dyDescent="0.25">
      <c r="A35" s="235"/>
      <c r="B35" s="56" t="s">
        <v>569</v>
      </c>
    </row>
    <row r="36" spans="1:2" x14ac:dyDescent="0.25">
      <c r="A36" s="235"/>
      <c r="B36" s="56" t="s">
        <v>567</v>
      </c>
    </row>
    <row r="37" spans="1:2" x14ac:dyDescent="0.25">
      <c r="A37" s="26" t="s">
        <v>738</v>
      </c>
    </row>
    <row r="38" spans="1:2" x14ac:dyDescent="0.25">
      <c r="A38" s="239" t="s">
        <v>739</v>
      </c>
      <c r="B38" s="56" t="s">
        <v>740</v>
      </c>
    </row>
    <row r="39" spans="1:2" x14ac:dyDescent="0.25">
      <c r="A39" s="239"/>
      <c r="B39" s="56" t="s">
        <v>737</v>
      </c>
    </row>
    <row r="40" spans="1:2" x14ac:dyDescent="0.25">
      <c r="A40" s="239"/>
      <c r="B40" s="93" t="s">
        <v>741</v>
      </c>
    </row>
  </sheetData>
  <mergeCells count="9">
    <mergeCell ref="A33:A36"/>
    <mergeCell ref="A38:A40"/>
    <mergeCell ref="G31:I31"/>
    <mergeCell ref="F3:O3"/>
    <mergeCell ref="F4:O5"/>
    <mergeCell ref="B3:D3"/>
    <mergeCell ref="B4:D4"/>
    <mergeCell ref="B5:D5"/>
    <mergeCell ref="B31:D31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8E324-FA11-4C02-A99B-929E0A264223}">
  <dimension ref="A1:AH50"/>
  <sheetViews>
    <sheetView tabSelected="1" workbookViewId="0">
      <selection activeCell="E25" sqref="E25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117</v>
      </c>
      <c r="I1" s="25" t="s">
        <v>549</v>
      </c>
    </row>
    <row r="3" spans="1:34" ht="18" x14ac:dyDescent="0.25">
      <c r="A3" s="25" t="s">
        <v>119</v>
      </c>
      <c r="B3" s="215">
        <v>46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742</v>
      </c>
      <c r="C4" s="215"/>
      <c r="D4" s="215"/>
      <c r="F4" s="216" t="s">
        <v>743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377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62" t="s">
        <v>133</v>
      </c>
      <c r="J7" s="63" t="s">
        <v>134</v>
      </c>
      <c r="K7" s="64" t="s">
        <v>135</v>
      </c>
      <c r="L7" s="64" t="s">
        <v>136</v>
      </c>
      <c r="M7" s="64" t="s">
        <v>137</v>
      </c>
      <c r="N7" s="65" t="s">
        <v>138</v>
      </c>
      <c r="O7" s="65" t="s">
        <v>139</v>
      </c>
      <c r="P7" s="67" t="s">
        <v>140</v>
      </c>
      <c r="Q7" s="67" t="s">
        <v>141</v>
      </c>
      <c r="R7" s="66" t="s">
        <v>142</v>
      </c>
      <c r="S7" s="68" t="s">
        <v>143</v>
      </c>
      <c r="T7" s="69" t="s">
        <v>144</v>
      </c>
      <c r="U7" s="69" t="s">
        <v>145</v>
      </c>
      <c r="V7" s="70" t="s">
        <v>146</v>
      </c>
      <c r="W7" s="70" t="s">
        <v>147</v>
      </c>
      <c r="X7" s="71" t="s">
        <v>148</v>
      </c>
      <c r="Y7" s="71" t="s">
        <v>149</v>
      </c>
      <c r="Z7" s="72" t="s">
        <v>150</v>
      </c>
      <c r="AA7" s="72" t="s">
        <v>151</v>
      </c>
      <c r="AB7" s="73" t="s">
        <v>152</v>
      </c>
      <c r="AC7" s="73" t="s">
        <v>153</v>
      </c>
      <c r="AD7" s="73" t="s">
        <v>154</v>
      </c>
      <c r="AE7" s="74" t="s">
        <v>155</v>
      </c>
      <c r="AF7" s="75" t="s">
        <v>156</v>
      </c>
      <c r="AG7" s="76" t="s">
        <v>157</v>
      </c>
      <c r="AH7" s="76" t="s">
        <v>158</v>
      </c>
    </row>
    <row r="8" spans="1:34" ht="15.75" customHeight="1" x14ac:dyDescent="0.25">
      <c r="A8" s="26" t="s">
        <v>159</v>
      </c>
      <c r="B8" s="199"/>
      <c r="C8" s="83" t="s">
        <v>744</v>
      </c>
      <c r="D8" s="28" t="s">
        <v>744</v>
      </c>
      <c r="E8" s="28" t="s">
        <v>744</v>
      </c>
      <c r="F8" s="28" t="s">
        <v>744</v>
      </c>
      <c r="G8" s="28" t="s">
        <v>744</v>
      </c>
      <c r="H8" s="86" t="s">
        <v>744</v>
      </c>
      <c r="I8" s="28" t="s">
        <v>744</v>
      </c>
      <c r="J8" s="28" t="s">
        <v>744</v>
      </c>
      <c r="K8" s="28" t="s">
        <v>744</v>
      </c>
      <c r="L8" s="28" t="s">
        <v>744</v>
      </c>
      <c r="M8" s="86" t="s">
        <v>744</v>
      </c>
      <c r="N8" s="28" t="s">
        <v>744</v>
      </c>
      <c r="O8" s="28" t="s">
        <v>744</v>
      </c>
      <c r="P8" s="28" t="s">
        <v>745</v>
      </c>
      <c r="Q8" s="28" t="s">
        <v>745</v>
      </c>
      <c r="R8" s="80" t="s">
        <v>341</v>
      </c>
      <c r="S8" s="28" t="s">
        <v>746</v>
      </c>
      <c r="T8" s="80" t="s">
        <v>341</v>
      </c>
      <c r="U8" s="80" t="s">
        <v>341</v>
      </c>
      <c r="V8" s="80" t="s">
        <v>341</v>
      </c>
      <c r="W8" s="80" t="s">
        <v>341</v>
      </c>
      <c r="X8" s="28" t="s">
        <v>556</v>
      </c>
      <c r="Y8" s="80" t="s">
        <v>341</v>
      </c>
      <c r="Z8" s="80" t="s">
        <v>341</v>
      </c>
      <c r="AA8" s="80" t="s">
        <v>341</v>
      </c>
      <c r="AB8" s="80" t="s">
        <v>341</v>
      </c>
      <c r="AC8" s="80" t="s">
        <v>341</v>
      </c>
      <c r="AD8" s="80" t="s">
        <v>341</v>
      </c>
      <c r="AE8" s="80" t="s">
        <v>341</v>
      </c>
      <c r="AF8" s="80" t="s">
        <v>341</v>
      </c>
      <c r="AG8" s="80" t="s">
        <v>341</v>
      </c>
      <c r="AH8" s="80" t="s">
        <v>341</v>
      </c>
    </row>
    <row r="9" spans="1:34" ht="15.75" customHeight="1" x14ac:dyDescent="0.25">
      <c r="A9" s="26" t="s">
        <v>165</v>
      </c>
      <c r="B9" s="200"/>
      <c r="C9" s="29" t="s">
        <v>556</v>
      </c>
      <c r="D9" s="28" t="s">
        <v>747</v>
      </c>
      <c r="E9" s="28" t="s">
        <v>748</v>
      </c>
      <c r="F9" s="28" t="s">
        <v>748</v>
      </c>
      <c r="G9" s="29" t="s">
        <v>749</v>
      </c>
      <c r="H9" s="91" t="s">
        <v>750</v>
      </c>
      <c r="I9" s="28" t="s">
        <v>749</v>
      </c>
      <c r="J9" s="28" t="s">
        <v>749</v>
      </c>
      <c r="K9" s="28" t="s">
        <v>751</v>
      </c>
      <c r="L9" s="28" t="s">
        <v>749</v>
      </c>
      <c r="M9" s="86" t="s">
        <v>752</v>
      </c>
      <c r="N9" s="28" t="s">
        <v>744</v>
      </c>
      <c r="O9" s="28" t="s">
        <v>744</v>
      </c>
      <c r="P9" s="28" t="s">
        <v>744</v>
      </c>
      <c r="Q9" s="28" t="s">
        <v>744</v>
      </c>
      <c r="R9" s="80" t="s">
        <v>341</v>
      </c>
      <c r="S9" s="28" t="s">
        <v>749</v>
      </c>
      <c r="T9" s="80" t="s">
        <v>341</v>
      </c>
      <c r="U9" s="80" t="s">
        <v>341</v>
      </c>
      <c r="V9" s="80" t="s">
        <v>341</v>
      </c>
      <c r="W9" s="80" t="s">
        <v>341</v>
      </c>
      <c r="X9" s="28" t="s">
        <v>556</v>
      </c>
      <c r="Y9" s="80" t="s">
        <v>341</v>
      </c>
      <c r="Z9" s="80" t="s">
        <v>341</v>
      </c>
      <c r="AA9" s="80" t="s">
        <v>341</v>
      </c>
      <c r="AB9" s="80" t="s">
        <v>341</v>
      </c>
      <c r="AC9" s="80" t="s">
        <v>341</v>
      </c>
      <c r="AD9" s="80" t="s">
        <v>341</v>
      </c>
      <c r="AE9" s="80" t="s">
        <v>341</v>
      </c>
      <c r="AF9" s="80" t="s">
        <v>341</v>
      </c>
      <c r="AG9" s="80" t="s">
        <v>341</v>
      </c>
      <c r="AH9" s="80" t="s">
        <v>341</v>
      </c>
    </row>
    <row r="10" spans="1:34" ht="15.75" customHeight="1" x14ac:dyDescent="0.25">
      <c r="A10" s="131" t="s">
        <v>168</v>
      </c>
      <c r="B10" s="198"/>
      <c r="C10" s="157">
        <v>501</v>
      </c>
      <c r="D10" s="157">
        <v>502</v>
      </c>
      <c r="E10" s="157">
        <v>508</v>
      </c>
      <c r="F10" s="157">
        <v>508</v>
      </c>
      <c r="G10" s="157">
        <v>504</v>
      </c>
      <c r="H10" s="161">
        <v>550</v>
      </c>
      <c r="I10" s="157">
        <v>504</v>
      </c>
      <c r="J10" s="157">
        <v>504</v>
      </c>
      <c r="K10" s="157">
        <v>515</v>
      </c>
      <c r="L10" s="157">
        <v>504</v>
      </c>
      <c r="M10" s="161">
        <v>514</v>
      </c>
      <c r="N10" s="157">
        <v>503</v>
      </c>
      <c r="O10" s="157">
        <v>503</v>
      </c>
      <c r="P10" s="157">
        <v>503</v>
      </c>
      <c r="Q10" s="157">
        <v>503</v>
      </c>
      <c r="R10" s="198"/>
      <c r="S10" s="157">
        <v>504</v>
      </c>
      <c r="T10" s="198"/>
      <c r="U10" s="198"/>
      <c r="V10" s="198"/>
      <c r="W10" s="198"/>
      <c r="X10" s="157">
        <v>501</v>
      </c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</row>
    <row r="11" spans="1:34" ht="15.75" customHeight="1" x14ac:dyDescent="0.25">
      <c r="A11" s="26" t="s">
        <v>753</v>
      </c>
      <c r="B11" s="199"/>
      <c r="C11" s="28" t="s">
        <v>173</v>
      </c>
      <c r="D11" s="28" t="s">
        <v>173</v>
      </c>
      <c r="E11" s="28" t="s">
        <v>173</v>
      </c>
      <c r="F11" s="28" t="s">
        <v>173</v>
      </c>
      <c r="G11" s="28" t="s">
        <v>173</v>
      </c>
      <c r="H11" s="86" t="s">
        <v>173</v>
      </c>
      <c r="I11" s="28" t="s">
        <v>173</v>
      </c>
      <c r="J11" s="28" t="s">
        <v>173</v>
      </c>
      <c r="K11" s="28" t="s">
        <v>173</v>
      </c>
      <c r="L11" s="28" t="s">
        <v>173</v>
      </c>
      <c r="M11" s="86" t="s">
        <v>173</v>
      </c>
      <c r="N11" s="28" t="s">
        <v>173</v>
      </c>
      <c r="O11" s="28" t="s">
        <v>173</v>
      </c>
      <c r="P11" s="28" t="s">
        <v>173</v>
      </c>
      <c r="Q11" s="28" t="s">
        <v>173</v>
      </c>
      <c r="R11" s="80" t="s">
        <v>173</v>
      </c>
      <c r="S11" s="28" t="s">
        <v>173</v>
      </c>
      <c r="T11" s="80" t="s">
        <v>173</v>
      </c>
      <c r="U11" s="80" t="s">
        <v>173</v>
      </c>
      <c r="V11" s="80" t="s">
        <v>173</v>
      </c>
      <c r="W11" s="80" t="s">
        <v>173</v>
      </c>
      <c r="X11" s="28" t="s">
        <v>173</v>
      </c>
      <c r="Y11" s="80" t="s">
        <v>173</v>
      </c>
      <c r="Z11" s="80" t="s">
        <v>173</v>
      </c>
      <c r="AA11" s="80" t="s">
        <v>173</v>
      </c>
      <c r="AB11" s="80" t="s">
        <v>173</v>
      </c>
      <c r="AC11" s="80" t="s">
        <v>173</v>
      </c>
      <c r="AD11" s="80" t="s">
        <v>173</v>
      </c>
      <c r="AE11" s="80" t="s">
        <v>173</v>
      </c>
      <c r="AF11" s="80" t="s">
        <v>173</v>
      </c>
      <c r="AG11" s="80" t="s">
        <v>173</v>
      </c>
      <c r="AH11" s="80" t="s">
        <v>173</v>
      </c>
    </row>
    <row r="12" spans="1:34" ht="15.75" customHeight="1" x14ac:dyDescent="0.25">
      <c r="A12" s="26" t="s">
        <v>754</v>
      </c>
      <c r="B12" s="199"/>
      <c r="C12" s="28" t="s">
        <v>173</v>
      </c>
      <c r="D12" s="28" t="s">
        <v>173</v>
      </c>
      <c r="E12" s="28" t="s">
        <v>173</v>
      </c>
      <c r="F12" s="28" t="s">
        <v>173</v>
      </c>
      <c r="G12" s="28" t="s">
        <v>173</v>
      </c>
      <c r="H12" s="86" t="s">
        <v>173</v>
      </c>
      <c r="I12" s="28" t="s">
        <v>173</v>
      </c>
      <c r="J12" s="28" t="s">
        <v>173</v>
      </c>
      <c r="K12" s="28" t="s">
        <v>173</v>
      </c>
      <c r="L12" s="28" t="s">
        <v>173</v>
      </c>
      <c r="M12" s="86" t="s">
        <v>173</v>
      </c>
      <c r="N12" s="28" t="s">
        <v>173</v>
      </c>
      <c r="O12" s="28" t="s">
        <v>173</v>
      </c>
      <c r="P12" s="28" t="s">
        <v>173</v>
      </c>
      <c r="Q12" s="28" t="s">
        <v>173</v>
      </c>
      <c r="R12" s="80" t="s">
        <v>173</v>
      </c>
      <c r="S12" s="28" t="s">
        <v>173</v>
      </c>
      <c r="T12" s="80" t="s">
        <v>173</v>
      </c>
      <c r="U12" s="80" t="s">
        <v>173</v>
      </c>
      <c r="V12" s="80" t="s">
        <v>173</v>
      </c>
      <c r="W12" s="80" t="s">
        <v>173</v>
      </c>
      <c r="X12" s="28" t="s">
        <v>173</v>
      </c>
      <c r="Y12" s="80" t="s">
        <v>173</v>
      </c>
      <c r="Z12" s="80" t="s">
        <v>173</v>
      </c>
      <c r="AA12" s="80" t="s">
        <v>173</v>
      </c>
      <c r="AB12" s="80" t="s">
        <v>173</v>
      </c>
      <c r="AC12" s="80" t="s">
        <v>173</v>
      </c>
      <c r="AD12" s="80" t="s">
        <v>173</v>
      </c>
      <c r="AE12" s="80" t="s">
        <v>173</v>
      </c>
      <c r="AF12" s="80" t="s">
        <v>173</v>
      </c>
      <c r="AG12" s="80" t="s">
        <v>173</v>
      </c>
      <c r="AH12" s="80" t="s">
        <v>173</v>
      </c>
    </row>
    <row r="13" spans="1:34" ht="15.75" customHeight="1" x14ac:dyDescent="0.25">
      <c r="A13" s="26" t="s">
        <v>755</v>
      </c>
      <c r="B13" s="199"/>
      <c r="C13" s="28" t="s">
        <v>170</v>
      </c>
      <c r="D13" s="28" t="s">
        <v>170</v>
      </c>
      <c r="E13" s="28" t="s">
        <v>170</v>
      </c>
      <c r="F13" s="28" t="s">
        <v>170</v>
      </c>
      <c r="G13" s="28" t="s">
        <v>170</v>
      </c>
      <c r="H13" s="86" t="s">
        <v>170</v>
      </c>
      <c r="I13" s="28" t="s">
        <v>170</v>
      </c>
      <c r="J13" s="28" t="s">
        <v>170</v>
      </c>
      <c r="K13" s="28" t="s">
        <v>170</v>
      </c>
      <c r="L13" s="28" t="s">
        <v>170</v>
      </c>
      <c r="M13" s="86" t="s">
        <v>170</v>
      </c>
      <c r="N13" s="28" t="s">
        <v>170</v>
      </c>
      <c r="O13" s="28" t="s">
        <v>170</v>
      </c>
      <c r="P13" s="28" t="s">
        <v>170</v>
      </c>
      <c r="Q13" s="28" t="s">
        <v>170</v>
      </c>
      <c r="R13" s="80" t="s">
        <v>173</v>
      </c>
      <c r="S13" s="28" t="s">
        <v>170</v>
      </c>
      <c r="T13" s="80" t="s">
        <v>173</v>
      </c>
      <c r="U13" s="80" t="s">
        <v>173</v>
      </c>
      <c r="V13" s="80" t="s">
        <v>173</v>
      </c>
      <c r="W13" s="80" t="s">
        <v>173</v>
      </c>
      <c r="X13" s="28" t="s">
        <v>170</v>
      </c>
      <c r="Y13" s="80" t="s">
        <v>173</v>
      </c>
      <c r="Z13" s="80" t="s">
        <v>173</v>
      </c>
      <c r="AA13" s="80" t="s">
        <v>173</v>
      </c>
      <c r="AB13" s="80" t="s">
        <v>173</v>
      </c>
      <c r="AC13" s="80" t="s">
        <v>173</v>
      </c>
      <c r="AD13" s="80" t="s">
        <v>173</v>
      </c>
      <c r="AE13" s="80" t="s">
        <v>173</v>
      </c>
      <c r="AF13" s="80" t="s">
        <v>173</v>
      </c>
      <c r="AG13" s="80" t="s">
        <v>173</v>
      </c>
      <c r="AH13" s="80" t="s">
        <v>173</v>
      </c>
    </row>
    <row r="14" spans="1:34" ht="15.75" customHeight="1" x14ac:dyDescent="0.25">
      <c r="A14" s="26" t="s">
        <v>756</v>
      </c>
      <c r="B14" s="199"/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86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86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80" t="s">
        <v>173</v>
      </c>
      <c r="S14" s="28" t="s">
        <v>173</v>
      </c>
      <c r="T14" s="80" t="s">
        <v>173</v>
      </c>
      <c r="U14" s="80" t="s">
        <v>173</v>
      </c>
      <c r="V14" s="80" t="s">
        <v>173</v>
      </c>
      <c r="W14" s="80" t="s">
        <v>173</v>
      </c>
      <c r="X14" s="28" t="s">
        <v>173</v>
      </c>
      <c r="Y14" s="80" t="s">
        <v>173</v>
      </c>
      <c r="Z14" s="80" t="s">
        <v>173</v>
      </c>
      <c r="AA14" s="80" t="s">
        <v>173</v>
      </c>
      <c r="AB14" s="80" t="s">
        <v>173</v>
      </c>
      <c r="AC14" s="80" t="s">
        <v>173</v>
      </c>
      <c r="AD14" s="80" t="s">
        <v>173</v>
      </c>
      <c r="AE14" s="80" t="s">
        <v>173</v>
      </c>
      <c r="AF14" s="80" t="s">
        <v>173</v>
      </c>
      <c r="AG14" s="80" t="s">
        <v>173</v>
      </c>
      <c r="AH14" s="80" t="s">
        <v>173</v>
      </c>
    </row>
    <row r="15" spans="1:34" ht="15.75" customHeight="1" x14ac:dyDescent="0.25">
      <c r="A15" s="26" t="s">
        <v>757</v>
      </c>
      <c r="B15" s="199"/>
      <c r="C15" s="28" t="s">
        <v>173</v>
      </c>
      <c r="D15" s="28" t="s">
        <v>173</v>
      </c>
      <c r="E15" s="28" t="s">
        <v>173</v>
      </c>
      <c r="F15" s="28" t="s">
        <v>173</v>
      </c>
      <c r="G15" s="28" t="s">
        <v>173</v>
      </c>
      <c r="H15" s="86" t="s">
        <v>173</v>
      </c>
      <c r="I15" s="28" t="s">
        <v>173</v>
      </c>
      <c r="J15" s="28" t="s">
        <v>173</v>
      </c>
      <c r="K15" s="28" t="s">
        <v>173</v>
      </c>
      <c r="L15" s="28" t="s">
        <v>173</v>
      </c>
      <c r="M15" s="86" t="s">
        <v>173</v>
      </c>
      <c r="N15" s="28" t="s">
        <v>173</v>
      </c>
      <c r="O15" s="28" t="s">
        <v>173</v>
      </c>
      <c r="P15" s="28" t="s">
        <v>173</v>
      </c>
      <c r="Q15" s="28" t="s">
        <v>173</v>
      </c>
      <c r="R15" s="80" t="s">
        <v>173</v>
      </c>
      <c r="S15" s="28" t="s">
        <v>173</v>
      </c>
      <c r="T15" s="80" t="s">
        <v>173</v>
      </c>
      <c r="U15" s="80" t="s">
        <v>173</v>
      </c>
      <c r="V15" s="80" t="s">
        <v>173</v>
      </c>
      <c r="W15" s="80" t="s">
        <v>173</v>
      </c>
      <c r="X15" s="28" t="s">
        <v>173</v>
      </c>
      <c r="Y15" s="80" t="s">
        <v>173</v>
      </c>
      <c r="Z15" s="80" t="s">
        <v>173</v>
      </c>
      <c r="AA15" s="80" t="s">
        <v>173</v>
      </c>
      <c r="AB15" s="80" t="s">
        <v>173</v>
      </c>
      <c r="AC15" s="80" t="s">
        <v>173</v>
      </c>
      <c r="AD15" s="80" t="s">
        <v>173</v>
      </c>
      <c r="AE15" s="80" t="s">
        <v>173</v>
      </c>
      <c r="AF15" s="80" t="s">
        <v>173</v>
      </c>
      <c r="AG15" s="80" t="s">
        <v>173</v>
      </c>
      <c r="AH15" s="80" t="s">
        <v>173</v>
      </c>
    </row>
    <row r="16" spans="1:34" ht="15.75" customHeight="1" x14ac:dyDescent="0.25">
      <c r="A16" s="26" t="s">
        <v>758</v>
      </c>
      <c r="B16" s="199"/>
      <c r="C16" s="28" t="s">
        <v>173</v>
      </c>
      <c r="D16" s="28" t="s">
        <v>173</v>
      </c>
      <c r="E16" s="28" t="s">
        <v>173</v>
      </c>
      <c r="F16" s="28" t="s">
        <v>173</v>
      </c>
      <c r="G16" s="28" t="s">
        <v>173</v>
      </c>
      <c r="H16" s="28" t="s">
        <v>173</v>
      </c>
      <c r="I16" s="28" t="s">
        <v>173</v>
      </c>
      <c r="J16" s="28" t="s">
        <v>173</v>
      </c>
      <c r="K16" s="28" t="s">
        <v>173</v>
      </c>
      <c r="L16" s="28" t="s">
        <v>173</v>
      </c>
      <c r="M16" s="86" t="s">
        <v>173</v>
      </c>
      <c r="N16" s="28" t="s">
        <v>173</v>
      </c>
      <c r="O16" s="28" t="s">
        <v>173</v>
      </c>
      <c r="P16" s="28" t="s">
        <v>173</v>
      </c>
      <c r="Q16" s="28" t="s">
        <v>173</v>
      </c>
      <c r="R16" s="80" t="s">
        <v>173</v>
      </c>
      <c r="S16" s="28" t="s">
        <v>173</v>
      </c>
      <c r="T16" s="80" t="s">
        <v>173</v>
      </c>
      <c r="U16" s="80" t="s">
        <v>173</v>
      </c>
      <c r="V16" s="80" t="s">
        <v>173</v>
      </c>
      <c r="W16" s="80" t="s">
        <v>173</v>
      </c>
      <c r="X16" s="28" t="s">
        <v>173</v>
      </c>
      <c r="Y16" s="80" t="s">
        <v>173</v>
      </c>
      <c r="Z16" s="80" t="s">
        <v>173</v>
      </c>
      <c r="AA16" s="80" t="s">
        <v>173</v>
      </c>
      <c r="AB16" s="80" t="s">
        <v>173</v>
      </c>
      <c r="AC16" s="80" t="s">
        <v>173</v>
      </c>
      <c r="AD16" s="80" t="s">
        <v>173</v>
      </c>
      <c r="AE16" s="80" t="s">
        <v>173</v>
      </c>
      <c r="AF16" s="80" t="s">
        <v>173</v>
      </c>
      <c r="AG16" s="80" t="s">
        <v>173</v>
      </c>
      <c r="AH16" s="80" t="s">
        <v>173</v>
      </c>
    </row>
    <row r="17" spans="1:34" ht="15.75" customHeight="1" x14ac:dyDescent="0.25">
      <c r="A17" s="26" t="s">
        <v>759</v>
      </c>
      <c r="B17" s="201"/>
      <c r="C17" s="30" t="s">
        <v>760</v>
      </c>
      <c r="D17" s="30" t="s">
        <v>760</v>
      </c>
      <c r="E17" s="28" t="s">
        <v>760</v>
      </c>
      <c r="F17" s="28" t="s">
        <v>760</v>
      </c>
      <c r="G17" s="30" t="s">
        <v>760</v>
      </c>
      <c r="H17" s="92" t="s">
        <v>760</v>
      </c>
      <c r="I17" s="30" t="s">
        <v>760</v>
      </c>
      <c r="J17" s="30" t="s">
        <v>760</v>
      </c>
      <c r="K17" s="30" t="s">
        <v>760</v>
      </c>
      <c r="L17" s="30" t="s">
        <v>760</v>
      </c>
      <c r="M17" s="92" t="s">
        <v>760</v>
      </c>
      <c r="N17" s="30" t="s">
        <v>760</v>
      </c>
      <c r="O17" s="30" t="s">
        <v>760</v>
      </c>
      <c r="P17" s="30" t="s">
        <v>761</v>
      </c>
      <c r="Q17" s="30" t="s">
        <v>761</v>
      </c>
      <c r="R17" s="80" t="s">
        <v>341</v>
      </c>
      <c r="S17" s="30" t="s">
        <v>760</v>
      </c>
      <c r="T17" s="80" t="s">
        <v>341</v>
      </c>
      <c r="U17" s="80" t="s">
        <v>341</v>
      </c>
      <c r="V17" s="80" t="s">
        <v>341</v>
      </c>
      <c r="W17" s="80" t="s">
        <v>341</v>
      </c>
      <c r="X17" s="28" t="s">
        <v>760</v>
      </c>
      <c r="Y17" s="80" t="s">
        <v>341</v>
      </c>
      <c r="Z17" s="80" t="s">
        <v>341</v>
      </c>
      <c r="AA17" s="80" t="s">
        <v>341</v>
      </c>
      <c r="AB17" s="80" t="s">
        <v>341</v>
      </c>
      <c r="AC17" s="80" t="s">
        <v>341</v>
      </c>
      <c r="AD17" s="80" t="s">
        <v>341</v>
      </c>
      <c r="AE17" s="80" t="s">
        <v>341</v>
      </c>
      <c r="AF17" s="80" t="s">
        <v>341</v>
      </c>
      <c r="AG17" s="80" t="s">
        <v>341</v>
      </c>
      <c r="AH17" s="80" t="s">
        <v>341</v>
      </c>
    </row>
    <row r="18" spans="1:34" ht="15.75" customHeight="1" x14ac:dyDescent="0.25">
      <c r="A18" s="26" t="s">
        <v>762</v>
      </c>
      <c r="B18" s="199"/>
      <c r="C18" s="28" t="s">
        <v>763</v>
      </c>
      <c r="D18" s="28" t="s">
        <v>763</v>
      </c>
      <c r="E18" s="28" t="s">
        <v>763</v>
      </c>
      <c r="F18" s="28" t="s">
        <v>763</v>
      </c>
      <c r="G18" s="30" t="s">
        <v>764</v>
      </c>
      <c r="H18" s="92" t="s">
        <v>764</v>
      </c>
      <c r="I18" s="30" t="s">
        <v>764</v>
      </c>
      <c r="J18" s="30" t="s">
        <v>764</v>
      </c>
      <c r="K18" s="30" t="s">
        <v>764</v>
      </c>
      <c r="L18" s="30" t="s">
        <v>764</v>
      </c>
      <c r="M18" s="92" t="s">
        <v>764</v>
      </c>
      <c r="N18" s="28" t="s">
        <v>764</v>
      </c>
      <c r="O18" s="28" t="s">
        <v>764</v>
      </c>
      <c r="P18" s="28" t="s">
        <v>764</v>
      </c>
      <c r="Q18" s="28" t="s">
        <v>764</v>
      </c>
      <c r="R18" s="82" t="s">
        <v>764</v>
      </c>
      <c r="S18" s="30" t="s">
        <v>764</v>
      </c>
      <c r="T18" s="82" t="s">
        <v>764</v>
      </c>
      <c r="U18" s="82" t="s">
        <v>764</v>
      </c>
      <c r="V18" s="82" t="s">
        <v>764</v>
      </c>
      <c r="W18" s="82" t="s">
        <v>764</v>
      </c>
      <c r="X18" s="28" t="s">
        <v>763</v>
      </c>
      <c r="Y18" s="82" t="s">
        <v>764</v>
      </c>
      <c r="Z18" s="82" t="s">
        <v>764</v>
      </c>
      <c r="AA18" s="82" t="s">
        <v>764</v>
      </c>
      <c r="AB18" s="82" t="s">
        <v>764</v>
      </c>
      <c r="AC18" s="82" t="s">
        <v>764</v>
      </c>
      <c r="AD18" s="82" t="s">
        <v>764</v>
      </c>
      <c r="AE18" s="82" t="s">
        <v>764</v>
      </c>
      <c r="AF18" s="82" t="s">
        <v>764</v>
      </c>
      <c r="AG18" s="82" t="s">
        <v>764</v>
      </c>
      <c r="AH18" s="82" t="s">
        <v>764</v>
      </c>
    </row>
    <row r="19" spans="1:34" ht="15.75" customHeight="1" x14ac:dyDescent="0.25">
      <c r="A19" s="26" t="s">
        <v>765</v>
      </c>
      <c r="B19" s="201"/>
      <c r="C19" s="30">
        <v>6</v>
      </c>
      <c r="D19" s="30">
        <v>5</v>
      </c>
      <c r="E19" s="30">
        <v>5</v>
      </c>
      <c r="F19" s="30">
        <v>5</v>
      </c>
      <c r="G19" s="30">
        <v>3</v>
      </c>
      <c r="H19" s="30">
        <f>AVERAGE(3,2)</f>
        <v>2.5</v>
      </c>
      <c r="I19" s="120">
        <v>3</v>
      </c>
      <c r="J19" s="120">
        <v>3</v>
      </c>
      <c r="K19" s="120">
        <v>2</v>
      </c>
      <c r="L19" s="120">
        <v>3</v>
      </c>
      <c r="M19" s="205">
        <v>3</v>
      </c>
      <c r="N19" s="30">
        <v>4</v>
      </c>
      <c r="O19" s="30">
        <v>4</v>
      </c>
      <c r="P19" s="30">
        <v>4</v>
      </c>
      <c r="Q19" s="30">
        <v>4</v>
      </c>
      <c r="R19" s="80">
        <v>3</v>
      </c>
      <c r="S19" s="30">
        <v>3</v>
      </c>
      <c r="T19" s="80">
        <v>3</v>
      </c>
      <c r="U19" s="80">
        <v>3</v>
      </c>
      <c r="V19" s="80">
        <v>3</v>
      </c>
      <c r="W19" s="80">
        <v>3</v>
      </c>
      <c r="X19" s="30">
        <v>6</v>
      </c>
      <c r="Y19" s="80">
        <v>3</v>
      </c>
      <c r="Z19" s="80">
        <v>3</v>
      </c>
      <c r="AA19" s="80">
        <v>3</v>
      </c>
      <c r="AB19" s="80">
        <v>3</v>
      </c>
      <c r="AC19" s="80">
        <v>3</v>
      </c>
      <c r="AD19" s="80">
        <v>3</v>
      </c>
      <c r="AE19" s="80">
        <v>3</v>
      </c>
      <c r="AF19" s="80">
        <v>3</v>
      </c>
      <c r="AG19" s="80">
        <v>3</v>
      </c>
      <c r="AH19" s="80">
        <v>3</v>
      </c>
    </row>
    <row r="20" spans="1:34" ht="15.75" customHeight="1" x14ac:dyDescent="0.25">
      <c r="A20" s="26" t="s">
        <v>766</v>
      </c>
      <c r="B20" s="199"/>
      <c r="C20" s="28" t="s">
        <v>767</v>
      </c>
      <c r="D20" s="28" t="s">
        <v>767</v>
      </c>
      <c r="E20" s="28" t="s">
        <v>767</v>
      </c>
      <c r="F20" s="28" t="s">
        <v>767</v>
      </c>
      <c r="G20" s="28" t="s">
        <v>767</v>
      </c>
      <c r="H20" s="28" t="s">
        <v>767</v>
      </c>
      <c r="I20" s="28" t="s">
        <v>767</v>
      </c>
      <c r="J20" s="28" t="s">
        <v>767</v>
      </c>
      <c r="K20" s="28" t="s">
        <v>768</v>
      </c>
      <c r="L20" s="28" t="s">
        <v>767</v>
      </c>
      <c r="M20" s="86" t="s">
        <v>768</v>
      </c>
      <c r="N20" s="28" t="s">
        <v>767</v>
      </c>
      <c r="O20" s="28" t="s">
        <v>767</v>
      </c>
      <c r="P20" s="28" t="s">
        <v>767</v>
      </c>
      <c r="Q20" s="28" t="s">
        <v>767</v>
      </c>
      <c r="R20" s="80" t="s">
        <v>768</v>
      </c>
      <c r="S20" s="28" t="s">
        <v>767</v>
      </c>
      <c r="T20" s="80" t="s">
        <v>768</v>
      </c>
      <c r="U20" s="80" t="s">
        <v>768</v>
      </c>
      <c r="V20" s="80" t="s">
        <v>768</v>
      </c>
      <c r="W20" s="80" t="s">
        <v>768</v>
      </c>
      <c r="X20" s="28" t="s">
        <v>767</v>
      </c>
      <c r="Y20" s="80" t="s">
        <v>768</v>
      </c>
      <c r="Z20" s="80" t="s">
        <v>768</v>
      </c>
      <c r="AA20" s="80" t="s">
        <v>768</v>
      </c>
      <c r="AB20" s="80" t="s">
        <v>768</v>
      </c>
      <c r="AC20" s="80" t="s">
        <v>768</v>
      </c>
      <c r="AD20" s="80" t="s">
        <v>768</v>
      </c>
      <c r="AE20" s="80" t="s">
        <v>768</v>
      </c>
      <c r="AF20" s="80" t="s">
        <v>768</v>
      </c>
      <c r="AG20" s="80" t="s">
        <v>768</v>
      </c>
      <c r="AH20" s="80" t="s">
        <v>768</v>
      </c>
    </row>
    <row r="21" spans="1:34" ht="15.75" customHeight="1" x14ac:dyDescent="0.25">
      <c r="A21" s="26" t="s">
        <v>769</v>
      </c>
      <c r="B21" s="201"/>
      <c r="C21" s="30">
        <v>1</v>
      </c>
      <c r="D21" s="30">
        <v>1</v>
      </c>
      <c r="E21" s="30">
        <v>0.5</v>
      </c>
      <c r="F21" s="30">
        <v>0.5</v>
      </c>
      <c r="G21" s="30">
        <v>1</v>
      </c>
      <c r="H21" s="30">
        <v>1</v>
      </c>
      <c r="I21" s="30">
        <v>1</v>
      </c>
      <c r="J21" s="30">
        <v>1</v>
      </c>
      <c r="K21" s="30">
        <v>0</v>
      </c>
      <c r="L21" s="30">
        <v>1</v>
      </c>
      <c r="M21" s="30">
        <v>0</v>
      </c>
      <c r="N21" s="120">
        <v>1</v>
      </c>
      <c r="O21" s="120">
        <v>1</v>
      </c>
      <c r="P21" s="120">
        <v>1</v>
      </c>
      <c r="Q21" s="120">
        <v>1</v>
      </c>
      <c r="R21" s="166">
        <v>0</v>
      </c>
      <c r="S21" s="120">
        <v>1</v>
      </c>
      <c r="T21" s="166">
        <v>0</v>
      </c>
      <c r="U21" s="166">
        <v>0</v>
      </c>
      <c r="V21" s="166">
        <v>0</v>
      </c>
      <c r="W21" s="166">
        <v>0</v>
      </c>
      <c r="X21" s="120">
        <v>1</v>
      </c>
      <c r="Y21" s="166">
        <v>0</v>
      </c>
      <c r="Z21" s="166">
        <v>0</v>
      </c>
      <c r="AA21" s="166">
        <v>0</v>
      </c>
      <c r="AB21" s="166">
        <v>0</v>
      </c>
      <c r="AC21" s="166">
        <v>0</v>
      </c>
      <c r="AD21" s="166">
        <v>0</v>
      </c>
      <c r="AE21" s="166">
        <v>0</v>
      </c>
      <c r="AF21" s="166">
        <v>0</v>
      </c>
      <c r="AG21" s="166">
        <v>0</v>
      </c>
      <c r="AH21" s="166">
        <v>0</v>
      </c>
    </row>
    <row r="22" spans="1:34" ht="15.75" customHeight="1" x14ac:dyDescent="0.25"/>
    <row r="23" spans="1:34" ht="15.75" customHeight="1" x14ac:dyDescent="0.25">
      <c r="A23" s="26" t="s">
        <v>159</v>
      </c>
      <c r="B23" s="28" t="s">
        <v>414</v>
      </c>
      <c r="C23" s="28" t="s">
        <v>256</v>
      </c>
      <c r="D23" s="28" t="s">
        <v>256</v>
      </c>
      <c r="E23" s="28" t="s">
        <v>256</v>
      </c>
      <c r="F23" s="28" t="s">
        <v>256</v>
      </c>
      <c r="G23" s="28" t="s">
        <v>256</v>
      </c>
      <c r="H23" s="28" t="s">
        <v>256</v>
      </c>
      <c r="I23" s="28" t="s">
        <v>256</v>
      </c>
      <c r="J23" s="28" t="s">
        <v>256</v>
      </c>
      <c r="K23" s="28" t="s">
        <v>256</v>
      </c>
      <c r="L23" s="28" t="s">
        <v>256</v>
      </c>
      <c r="M23" s="86" t="s">
        <v>256</v>
      </c>
      <c r="N23" s="28" t="s">
        <v>256</v>
      </c>
      <c r="O23" s="28" t="s">
        <v>256</v>
      </c>
      <c r="P23" s="80" t="s">
        <v>341</v>
      </c>
      <c r="Q23" s="80" t="s">
        <v>341</v>
      </c>
      <c r="R23" s="28" t="s">
        <v>256</v>
      </c>
      <c r="S23" s="80" t="s">
        <v>341</v>
      </c>
      <c r="T23" s="28" t="s">
        <v>256</v>
      </c>
      <c r="U23" s="28" t="s">
        <v>256</v>
      </c>
      <c r="V23" s="83" t="s">
        <v>256</v>
      </c>
      <c r="W23" s="28" t="s">
        <v>256</v>
      </c>
      <c r="X23" s="83" t="s">
        <v>256</v>
      </c>
      <c r="Y23" s="28" t="s">
        <v>256</v>
      </c>
      <c r="Z23" s="28" t="s">
        <v>256</v>
      </c>
      <c r="AA23" s="28" t="s">
        <v>256</v>
      </c>
      <c r="AB23" s="28" t="s">
        <v>256</v>
      </c>
      <c r="AC23" s="28" t="s">
        <v>256</v>
      </c>
      <c r="AD23" s="28" t="s">
        <v>256</v>
      </c>
      <c r="AE23" s="28" t="s">
        <v>256</v>
      </c>
      <c r="AF23" s="28" t="s">
        <v>256</v>
      </c>
      <c r="AG23" s="28" t="s">
        <v>256</v>
      </c>
      <c r="AH23" s="83" t="s">
        <v>256</v>
      </c>
    </row>
    <row r="24" spans="1:34" ht="15.75" customHeight="1" x14ac:dyDescent="0.25">
      <c r="A24" s="26" t="s">
        <v>165</v>
      </c>
      <c r="B24" s="29" t="s">
        <v>260</v>
      </c>
      <c r="C24" s="28" t="s">
        <v>283</v>
      </c>
      <c r="D24" s="29" t="s">
        <v>256</v>
      </c>
      <c r="E24" s="113" t="s">
        <v>417</v>
      </c>
      <c r="F24" s="28" t="s">
        <v>260</v>
      </c>
      <c r="G24" s="28" t="s">
        <v>260</v>
      </c>
      <c r="H24" s="28" t="s">
        <v>395</v>
      </c>
      <c r="I24" s="29" t="s">
        <v>256</v>
      </c>
      <c r="J24" s="28" t="s">
        <v>260</v>
      </c>
      <c r="K24" s="28" t="s">
        <v>260</v>
      </c>
      <c r="L24" s="28" t="s">
        <v>260</v>
      </c>
      <c r="M24" s="86" t="s">
        <v>260</v>
      </c>
      <c r="N24" s="28" t="s">
        <v>260</v>
      </c>
      <c r="O24" s="28" t="s">
        <v>260</v>
      </c>
      <c r="P24" s="80" t="s">
        <v>341</v>
      </c>
      <c r="Q24" s="80" t="s">
        <v>341</v>
      </c>
      <c r="R24" s="28" t="s">
        <v>261</v>
      </c>
      <c r="S24" s="80" t="s">
        <v>341</v>
      </c>
      <c r="T24" s="28" t="s">
        <v>770</v>
      </c>
      <c r="U24" s="28" t="s">
        <v>260</v>
      </c>
      <c r="V24" s="83" t="s">
        <v>283</v>
      </c>
      <c r="W24" s="28" t="s">
        <v>771</v>
      </c>
      <c r="X24" s="83" t="s">
        <v>260</v>
      </c>
      <c r="Y24" s="113" t="s">
        <v>416</v>
      </c>
      <c r="Z24" s="28" t="s">
        <v>256</v>
      </c>
      <c r="AA24" s="28" t="s">
        <v>256</v>
      </c>
      <c r="AB24" s="28" t="s">
        <v>256</v>
      </c>
      <c r="AC24" s="28" t="s">
        <v>283</v>
      </c>
      <c r="AD24" s="28" t="s">
        <v>256</v>
      </c>
      <c r="AE24" s="28" t="s">
        <v>772</v>
      </c>
      <c r="AF24" s="28" t="s">
        <v>260</v>
      </c>
      <c r="AG24" s="28" t="s">
        <v>261</v>
      </c>
      <c r="AH24" s="85" t="s">
        <v>261</v>
      </c>
    </row>
    <row r="25" spans="1:34" ht="15.75" customHeight="1" x14ac:dyDescent="0.25">
      <c r="A25" s="131" t="s">
        <v>168</v>
      </c>
      <c r="B25" s="157">
        <v>52</v>
      </c>
      <c r="C25" s="157">
        <v>56</v>
      </c>
      <c r="D25" s="157">
        <v>50</v>
      </c>
      <c r="E25" s="157">
        <v>122</v>
      </c>
      <c r="F25" s="157">
        <v>52</v>
      </c>
      <c r="G25" s="157">
        <v>52</v>
      </c>
      <c r="H25" s="157">
        <v>68</v>
      </c>
      <c r="I25" s="157">
        <v>50</v>
      </c>
      <c r="J25" s="157">
        <v>52</v>
      </c>
      <c r="K25" s="157">
        <v>52</v>
      </c>
      <c r="L25" s="157">
        <v>52</v>
      </c>
      <c r="M25" s="161">
        <v>52</v>
      </c>
      <c r="N25" s="157">
        <v>52</v>
      </c>
      <c r="O25" s="157">
        <v>52</v>
      </c>
      <c r="P25" s="198"/>
      <c r="Q25" s="198"/>
      <c r="R25" s="157">
        <v>48</v>
      </c>
      <c r="S25" s="198"/>
      <c r="T25" s="157">
        <v>159</v>
      </c>
      <c r="U25" s="157">
        <v>52</v>
      </c>
      <c r="V25" s="158">
        <v>56</v>
      </c>
      <c r="W25" s="157">
        <v>103</v>
      </c>
      <c r="X25" s="158">
        <v>52</v>
      </c>
      <c r="Y25" s="157">
        <v>118</v>
      </c>
      <c r="Z25" s="157">
        <v>50</v>
      </c>
      <c r="AA25" s="157">
        <v>50</v>
      </c>
      <c r="AB25" s="157">
        <v>50</v>
      </c>
      <c r="AC25" s="157">
        <v>56</v>
      </c>
      <c r="AD25" s="157">
        <v>50</v>
      </c>
      <c r="AE25" s="157">
        <v>160</v>
      </c>
      <c r="AF25" s="157">
        <v>52</v>
      </c>
      <c r="AG25" s="157">
        <v>48</v>
      </c>
      <c r="AH25" s="158">
        <v>48</v>
      </c>
    </row>
    <row r="26" spans="1:34" ht="15.75" customHeight="1" x14ac:dyDescent="0.25">
      <c r="A26" s="26" t="s">
        <v>169</v>
      </c>
      <c r="B26" s="29" t="s">
        <v>170</v>
      </c>
      <c r="C26" s="28" t="s">
        <v>170</v>
      </c>
      <c r="D26" s="28" t="s">
        <v>170</v>
      </c>
      <c r="E26" s="28" t="s">
        <v>170</v>
      </c>
      <c r="F26" s="28" t="s">
        <v>170</v>
      </c>
      <c r="G26" s="29" t="s">
        <v>170</v>
      </c>
      <c r="H26" s="29" t="s">
        <v>170</v>
      </c>
      <c r="I26" s="29" t="s">
        <v>170</v>
      </c>
      <c r="J26" s="28" t="s">
        <v>170</v>
      </c>
      <c r="K26" s="29" t="s">
        <v>170</v>
      </c>
      <c r="L26" s="29" t="s">
        <v>170</v>
      </c>
      <c r="M26" s="91" t="s">
        <v>170</v>
      </c>
      <c r="N26" s="28" t="s">
        <v>170</v>
      </c>
      <c r="O26" s="28" t="s">
        <v>170</v>
      </c>
      <c r="P26" s="80" t="s">
        <v>173</v>
      </c>
      <c r="Q26" s="80" t="s">
        <v>173</v>
      </c>
      <c r="R26" s="28" t="s">
        <v>170</v>
      </c>
      <c r="S26" s="80" t="s">
        <v>173</v>
      </c>
      <c r="T26" s="28" t="s">
        <v>170</v>
      </c>
      <c r="U26" s="28" t="s">
        <v>170</v>
      </c>
      <c r="V26" s="83" t="s">
        <v>170</v>
      </c>
      <c r="W26" s="28" t="s">
        <v>170</v>
      </c>
      <c r="X26" s="28" t="s">
        <v>170</v>
      </c>
      <c r="Y26" s="28" t="s">
        <v>170</v>
      </c>
      <c r="Z26" s="28" t="s">
        <v>170</v>
      </c>
      <c r="AA26" s="28" t="s">
        <v>170</v>
      </c>
      <c r="AB26" s="28" t="s">
        <v>170</v>
      </c>
      <c r="AC26" s="28" t="s">
        <v>170</v>
      </c>
      <c r="AD26" s="28" t="s">
        <v>170</v>
      </c>
      <c r="AE26" s="28" t="s">
        <v>170</v>
      </c>
      <c r="AF26" s="28" t="s">
        <v>170</v>
      </c>
      <c r="AG26" s="28" t="s">
        <v>170</v>
      </c>
      <c r="AH26" s="85" t="s">
        <v>170</v>
      </c>
    </row>
    <row r="27" spans="1:34" ht="15.75" customHeight="1" x14ac:dyDescent="0.25">
      <c r="A27" s="26" t="s">
        <v>171</v>
      </c>
      <c r="B27" s="28" t="s">
        <v>173</v>
      </c>
      <c r="C27" s="28" t="s">
        <v>173</v>
      </c>
      <c r="D27" s="28" t="s">
        <v>173</v>
      </c>
      <c r="E27" s="28" t="s">
        <v>173</v>
      </c>
      <c r="F27" s="28" t="s">
        <v>173</v>
      </c>
      <c r="G27" s="28" t="s">
        <v>173</v>
      </c>
      <c r="H27" s="29" t="s">
        <v>170</v>
      </c>
      <c r="I27" s="28" t="s">
        <v>173</v>
      </c>
      <c r="J27" s="28" t="s">
        <v>173</v>
      </c>
      <c r="K27" s="28" t="s">
        <v>173</v>
      </c>
      <c r="L27" s="28" t="s">
        <v>173</v>
      </c>
      <c r="M27" s="86" t="s">
        <v>173</v>
      </c>
      <c r="N27" s="28" t="s">
        <v>173</v>
      </c>
      <c r="O27" s="28" t="s">
        <v>173</v>
      </c>
      <c r="P27" s="80" t="s">
        <v>173</v>
      </c>
      <c r="Q27" s="80" t="s">
        <v>173</v>
      </c>
      <c r="R27" s="28" t="s">
        <v>173</v>
      </c>
      <c r="S27" s="80" t="s">
        <v>173</v>
      </c>
      <c r="T27" s="28" t="s">
        <v>173</v>
      </c>
      <c r="U27" s="28" t="s">
        <v>173</v>
      </c>
      <c r="V27" s="83" t="s">
        <v>173</v>
      </c>
      <c r="W27" s="28" t="s">
        <v>173</v>
      </c>
      <c r="X27" s="29" t="s">
        <v>173</v>
      </c>
      <c r="Y27" s="29" t="s">
        <v>173</v>
      </c>
      <c r="Z27" s="28" t="s">
        <v>173</v>
      </c>
      <c r="AA27" s="28" t="s">
        <v>173</v>
      </c>
      <c r="AB27" s="28" t="s">
        <v>173</v>
      </c>
      <c r="AC27" s="28" t="s">
        <v>173</v>
      </c>
      <c r="AD27" s="28" t="s">
        <v>173</v>
      </c>
      <c r="AE27" s="28" t="s">
        <v>173</v>
      </c>
      <c r="AF27" s="28" t="s">
        <v>173</v>
      </c>
      <c r="AG27" s="28" t="s">
        <v>173</v>
      </c>
      <c r="AH27" s="83" t="s">
        <v>173</v>
      </c>
    </row>
    <row r="28" spans="1:34" ht="15.75" customHeight="1" x14ac:dyDescent="0.25">
      <c r="A28" s="26" t="s">
        <v>172</v>
      </c>
      <c r="B28" s="28" t="s">
        <v>170</v>
      </c>
      <c r="C28" s="28" t="s">
        <v>170</v>
      </c>
      <c r="D28" s="28" t="s">
        <v>170</v>
      </c>
      <c r="E28" s="28" t="s">
        <v>170</v>
      </c>
      <c r="F28" s="28" t="s">
        <v>170</v>
      </c>
      <c r="G28" s="28" t="s">
        <v>170</v>
      </c>
      <c r="H28" s="28" t="s">
        <v>173</v>
      </c>
      <c r="I28" s="28" t="s">
        <v>170</v>
      </c>
      <c r="J28" s="28" t="s">
        <v>170</v>
      </c>
      <c r="K28" s="28" t="s">
        <v>170</v>
      </c>
      <c r="L28" s="28" t="s">
        <v>170</v>
      </c>
      <c r="M28" s="86" t="s">
        <v>170</v>
      </c>
      <c r="N28" s="28" t="s">
        <v>170</v>
      </c>
      <c r="O28" s="28" t="s">
        <v>170</v>
      </c>
      <c r="P28" s="80" t="s">
        <v>173</v>
      </c>
      <c r="Q28" s="80" t="s">
        <v>173</v>
      </c>
      <c r="R28" s="28" t="s">
        <v>170</v>
      </c>
      <c r="S28" s="80" t="s">
        <v>173</v>
      </c>
      <c r="T28" s="28" t="s">
        <v>170</v>
      </c>
      <c r="U28" s="28" t="s">
        <v>170</v>
      </c>
      <c r="V28" s="83" t="s">
        <v>170</v>
      </c>
      <c r="W28" s="28" t="s">
        <v>170</v>
      </c>
      <c r="X28" s="28" t="s">
        <v>170</v>
      </c>
      <c r="Y28" s="28" t="s">
        <v>170</v>
      </c>
      <c r="Z28" s="28" t="s">
        <v>170</v>
      </c>
      <c r="AA28" s="28" t="s">
        <v>170</v>
      </c>
      <c r="AB28" s="28" t="s">
        <v>170</v>
      </c>
      <c r="AC28" s="28" t="s">
        <v>170</v>
      </c>
      <c r="AD28" s="28" t="s">
        <v>170</v>
      </c>
      <c r="AE28" s="28" t="s">
        <v>170</v>
      </c>
      <c r="AF28" s="28" t="s">
        <v>170</v>
      </c>
      <c r="AG28" s="28" t="s">
        <v>170</v>
      </c>
      <c r="AH28" s="83" t="s">
        <v>170</v>
      </c>
    </row>
    <row r="29" spans="1:34" ht="15.75" customHeight="1" x14ac:dyDescent="0.25">
      <c r="A29" s="26" t="s">
        <v>174</v>
      </c>
      <c r="B29" s="28" t="s">
        <v>173</v>
      </c>
      <c r="C29" s="28" t="s">
        <v>173</v>
      </c>
      <c r="D29" s="28" t="s">
        <v>173</v>
      </c>
      <c r="E29" s="28" t="s">
        <v>173</v>
      </c>
      <c r="F29" s="28" t="s">
        <v>173</v>
      </c>
      <c r="G29" s="28" t="s">
        <v>173</v>
      </c>
      <c r="H29" s="28" t="s">
        <v>173</v>
      </c>
      <c r="I29" s="28" t="s">
        <v>173</v>
      </c>
      <c r="J29" s="28" t="s">
        <v>173</v>
      </c>
      <c r="K29" s="28" t="s">
        <v>173</v>
      </c>
      <c r="L29" s="28" t="s">
        <v>173</v>
      </c>
      <c r="M29" s="86" t="s">
        <v>173</v>
      </c>
      <c r="N29" s="28" t="s">
        <v>173</v>
      </c>
      <c r="O29" s="28" t="s">
        <v>173</v>
      </c>
      <c r="P29" s="80" t="s">
        <v>173</v>
      </c>
      <c r="Q29" s="80" t="s">
        <v>173</v>
      </c>
      <c r="R29" s="28" t="s">
        <v>173</v>
      </c>
      <c r="S29" s="80" t="s">
        <v>173</v>
      </c>
      <c r="T29" s="28" t="s">
        <v>173</v>
      </c>
      <c r="U29" s="28" t="s">
        <v>173</v>
      </c>
      <c r="V29" s="83" t="s">
        <v>173</v>
      </c>
      <c r="W29" s="28" t="s">
        <v>173</v>
      </c>
      <c r="X29" s="28" t="s">
        <v>173</v>
      </c>
      <c r="Y29" s="28" t="s">
        <v>173</v>
      </c>
      <c r="Z29" s="28" t="s">
        <v>173</v>
      </c>
      <c r="AA29" s="28" t="s">
        <v>173</v>
      </c>
      <c r="AB29" s="28" t="s">
        <v>173</v>
      </c>
      <c r="AC29" s="28" t="s">
        <v>173</v>
      </c>
      <c r="AD29" s="28" t="s">
        <v>173</v>
      </c>
      <c r="AE29" s="28" t="s">
        <v>173</v>
      </c>
      <c r="AF29" s="28" t="s">
        <v>173</v>
      </c>
      <c r="AG29" s="28" t="s">
        <v>173</v>
      </c>
      <c r="AH29" s="83" t="s">
        <v>173</v>
      </c>
    </row>
    <row r="30" spans="1:34" ht="15.75" customHeight="1" x14ac:dyDescent="0.25">
      <c r="A30" s="26" t="s">
        <v>175</v>
      </c>
      <c r="B30" s="28" t="s">
        <v>198</v>
      </c>
      <c r="C30" s="28" t="s">
        <v>199</v>
      </c>
      <c r="D30" s="28" t="s">
        <v>198</v>
      </c>
      <c r="E30" s="28" t="s">
        <v>198</v>
      </c>
      <c r="F30" s="28" t="s">
        <v>198</v>
      </c>
      <c r="G30" s="28" t="s">
        <v>198</v>
      </c>
      <c r="H30" s="28" t="s">
        <v>397</v>
      </c>
      <c r="I30" s="28" t="s">
        <v>198</v>
      </c>
      <c r="J30" s="28" t="s">
        <v>198</v>
      </c>
      <c r="K30" s="28" t="s">
        <v>198</v>
      </c>
      <c r="L30" s="28" t="s">
        <v>198</v>
      </c>
      <c r="M30" s="86" t="s">
        <v>198</v>
      </c>
      <c r="N30" s="28" t="s">
        <v>198</v>
      </c>
      <c r="O30" s="28" t="s">
        <v>198</v>
      </c>
      <c r="P30" s="80" t="s">
        <v>198</v>
      </c>
      <c r="Q30" s="80" t="s">
        <v>198</v>
      </c>
      <c r="R30" s="28" t="s">
        <v>198</v>
      </c>
      <c r="S30" s="80" t="s">
        <v>198</v>
      </c>
      <c r="T30" s="28" t="s">
        <v>198</v>
      </c>
      <c r="U30" s="28" t="s">
        <v>198</v>
      </c>
      <c r="V30" s="83" t="s">
        <v>199</v>
      </c>
      <c r="W30" s="28" t="s">
        <v>370</v>
      </c>
      <c r="X30" s="28" t="s">
        <v>198</v>
      </c>
      <c r="Y30" s="28" t="s">
        <v>198</v>
      </c>
      <c r="Z30" s="28" t="s">
        <v>198</v>
      </c>
      <c r="AA30" s="28" t="s">
        <v>198</v>
      </c>
      <c r="AB30" s="28" t="s">
        <v>198</v>
      </c>
      <c r="AC30" s="28" t="s">
        <v>199</v>
      </c>
      <c r="AD30" s="28" t="s">
        <v>198</v>
      </c>
      <c r="AE30" s="28" t="s">
        <v>370</v>
      </c>
      <c r="AF30" s="28" t="s">
        <v>198</v>
      </c>
      <c r="AG30" s="28" t="s">
        <v>198</v>
      </c>
      <c r="AH30" s="83" t="s">
        <v>198</v>
      </c>
    </row>
    <row r="31" spans="1:34" ht="15.75" customHeight="1" x14ac:dyDescent="0.25">
      <c r="A31" s="26" t="s">
        <v>176</v>
      </c>
      <c r="B31" s="30">
        <v>0.5</v>
      </c>
      <c r="C31" s="30">
        <v>-0.5</v>
      </c>
      <c r="D31" s="30">
        <v>1</v>
      </c>
      <c r="E31" s="30">
        <f>AVERAGE(0.5,0.5,0.5,1)</f>
        <v>0.625</v>
      </c>
      <c r="F31" s="30">
        <v>0.5</v>
      </c>
      <c r="G31" s="30">
        <v>0.5</v>
      </c>
      <c r="H31" s="30">
        <v>-6</v>
      </c>
      <c r="I31" s="30">
        <v>1</v>
      </c>
      <c r="J31" s="30">
        <v>0.5</v>
      </c>
      <c r="K31" s="30">
        <v>0.5</v>
      </c>
      <c r="L31" s="30">
        <v>0.5</v>
      </c>
      <c r="M31" s="92">
        <v>0.5</v>
      </c>
      <c r="N31" s="30">
        <v>0.5</v>
      </c>
      <c r="O31" s="30">
        <v>0.5</v>
      </c>
      <c r="P31" s="82">
        <v>0</v>
      </c>
      <c r="Q31" s="82">
        <v>0</v>
      </c>
      <c r="R31" s="30">
        <f>4/3</f>
        <v>1.3333333333333333</v>
      </c>
      <c r="S31" s="82">
        <v>0</v>
      </c>
      <c r="T31" s="30">
        <f>AVERAGE(1,1,-0.5)</f>
        <v>0.5</v>
      </c>
      <c r="U31" s="30">
        <v>0.5</v>
      </c>
      <c r="V31" s="88">
        <v>-0.5</v>
      </c>
      <c r="W31" s="30">
        <f>AVERAGE(0.5,-0.5)</f>
        <v>0</v>
      </c>
      <c r="X31" s="30">
        <v>0.5</v>
      </c>
      <c r="Y31" s="30">
        <f>AVERAGE(1,1,1,0.5)</f>
        <v>0.875</v>
      </c>
      <c r="Z31" s="30">
        <v>1</v>
      </c>
      <c r="AA31" s="30">
        <v>1</v>
      </c>
      <c r="AB31" s="30">
        <v>1</v>
      </c>
      <c r="AC31" s="30">
        <v>-0.5</v>
      </c>
      <c r="AD31" s="30">
        <v>1</v>
      </c>
      <c r="AE31" s="30">
        <f>AVERAGE(1,-0.5)</f>
        <v>0.25</v>
      </c>
      <c r="AF31" s="30">
        <v>0.5</v>
      </c>
      <c r="AG31" s="30">
        <f>4/3</f>
        <v>1.3333333333333333</v>
      </c>
      <c r="AH31" s="88">
        <f>4/3</f>
        <v>1.3333333333333333</v>
      </c>
    </row>
    <row r="32" spans="1:34" ht="15.75" customHeight="1" x14ac:dyDescent="0.25">
      <c r="A32" s="26" t="s">
        <v>177</v>
      </c>
      <c r="B32" s="28" t="s">
        <v>181</v>
      </c>
      <c r="C32" s="28" t="s">
        <v>181</v>
      </c>
      <c r="D32" s="28" t="s">
        <v>181</v>
      </c>
      <c r="E32" s="28" t="s">
        <v>181</v>
      </c>
      <c r="F32" s="28" t="s">
        <v>181</v>
      </c>
      <c r="G32" s="28" t="s">
        <v>181</v>
      </c>
      <c r="H32" s="28" t="s">
        <v>181</v>
      </c>
      <c r="I32" s="28" t="s">
        <v>181</v>
      </c>
      <c r="J32" s="28" t="s">
        <v>181</v>
      </c>
      <c r="K32" s="28" t="s">
        <v>181</v>
      </c>
      <c r="L32" s="28" t="s">
        <v>181</v>
      </c>
      <c r="M32" s="86" t="s">
        <v>181</v>
      </c>
      <c r="N32" s="28" t="s">
        <v>181</v>
      </c>
      <c r="O32" s="28" t="s">
        <v>181</v>
      </c>
      <c r="P32" s="80" t="s">
        <v>341</v>
      </c>
      <c r="Q32" s="80" t="s">
        <v>341</v>
      </c>
      <c r="R32" s="28" t="s">
        <v>181</v>
      </c>
      <c r="S32" s="80" t="s">
        <v>341</v>
      </c>
      <c r="T32" s="28" t="s">
        <v>181</v>
      </c>
      <c r="U32" s="28" t="s">
        <v>181</v>
      </c>
      <c r="V32" s="83" t="s">
        <v>181</v>
      </c>
      <c r="W32" s="28" t="s">
        <v>181</v>
      </c>
      <c r="X32" s="28" t="s">
        <v>181</v>
      </c>
      <c r="Y32" s="28" t="s">
        <v>181</v>
      </c>
      <c r="Z32" s="28" t="s">
        <v>181</v>
      </c>
      <c r="AA32" s="28" t="s">
        <v>181</v>
      </c>
      <c r="AB32" s="28" t="s">
        <v>181</v>
      </c>
      <c r="AC32" s="28" t="s">
        <v>181</v>
      </c>
      <c r="AD32" s="28" t="s">
        <v>181</v>
      </c>
      <c r="AE32" s="28" t="s">
        <v>181</v>
      </c>
      <c r="AF32" s="28" t="s">
        <v>181</v>
      </c>
      <c r="AG32" s="28" t="s">
        <v>181</v>
      </c>
      <c r="AH32" s="83" t="s">
        <v>181</v>
      </c>
    </row>
    <row r="33" spans="1:34" ht="15.75" customHeight="1" x14ac:dyDescent="0.25">
      <c r="A33" s="26" t="s">
        <v>182</v>
      </c>
      <c r="B33" s="30">
        <v>2</v>
      </c>
      <c r="C33" s="30">
        <v>2</v>
      </c>
      <c r="D33" s="30">
        <v>2</v>
      </c>
      <c r="E33" s="30">
        <v>2</v>
      </c>
      <c r="F33" s="30">
        <v>2</v>
      </c>
      <c r="G33" s="30">
        <v>2</v>
      </c>
      <c r="H33" s="30">
        <v>2</v>
      </c>
      <c r="I33" s="30">
        <v>2</v>
      </c>
      <c r="J33" s="30">
        <v>2</v>
      </c>
      <c r="K33" s="30">
        <v>2</v>
      </c>
      <c r="L33" s="30">
        <v>2</v>
      </c>
      <c r="M33" s="30">
        <v>2</v>
      </c>
      <c r="N33" s="120">
        <v>2</v>
      </c>
      <c r="O33" s="120">
        <v>2</v>
      </c>
      <c r="P33" s="166">
        <v>0</v>
      </c>
      <c r="Q33" s="166">
        <v>0</v>
      </c>
      <c r="R33" s="120">
        <v>2</v>
      </c>
      <c r="S33" s="166">
        <v>0</v>
      </c>
      <c r="T33" s="120">
        <v>2</v>
      </c>
      <c r="U33" s="120">
        <v>2</v>
      </c>
      <c r="V33" s="30">
        <v>2</v>
      </c>
      <c r="W33" s="30">
        <v>2</v>
      </c>
      <c r="X33" s="30">
        <v>2</v>
      </c>
      <c r="Y33" s="30">
        <v>2</v>
      </c>
      <c r="Z33" s="30">
        <v>2</v>
      </c>
      <c r="AA33" s="30">
        <v>2</v>
      </c>
      <c r="AB33" s="30">
        <v>2</v>
      </c>
      <c r="AC33" s="30">
        <v>2</v>
      </c>
      <c r="AD33" s="30">
        <v>2</v>
      </c>
      <c r="AE33" s="30">
        <v>2</v>
      </c>
      <c r="AF33" s="30">
        <v>2</v>
      </c>
      <c r="AG33" s="30">
        <v>2</v>
      </c>
      <c r="AH33" s="88">
        <v>2</v>
      </c>
    </row>
    <row r="34" spans="1:34" ht="15.75" customHeight="1" x14ac:dyDescent="0.25">
      <c r="B34" s="56"/>
    </row>
    <row r="35" spans="1:34" ht="15.75" customHeight="1" x14ac:dyDescent="0.25">
      <c r="A35" s="26" t="s">
        <v>159</v>
      </c>
      <c r="B35" s="28" t="s">
        <v>178</v>
      </c>
      <c r="C35" s="28" t="s">
        <v>552</v>
      </c>
      <c r="D35" s="28" t="s">
        <v>552</v>
      </c>
      <c r="E35" s="28" t="s">
        <v>552</v>
      </c>
      <c r="F35" s="28" t="s">
        <v>552</v>
      </c>
      <c r="G35" s="28" t="s">
        <v>552</v>
      </c>
      <c r="H35" s="28" t="s">
        <v>552</v>
      </c>
      <c r="I35" s="28" t="s">
        <v>552</v>
      </c>
      <c r="J35" s="28" t="s">
        <v>552</v>
      </c>
      <c r="K35" s="28" t="s">
        <v>552</v>
      </c>
      <c r="L35" s="28" t="s">
        <v>552</v>
      </c>
      <c r="M35" s="28" t="s">
        <v>552</v>
      </c>
      <c r="N35" s="28" t="s">
        <v>552</v>
      </c>
      <c r="O35" s="28" t="s">
        <v>552</v>
      </c>
      <c r="P35" s="28" t="s">
        <v>552</v>
      </c>
      <c r="Q35" s="28" t="s">
        <v>552</v>
      </c>
      <c r="R35" s="28" t="s">
        <v>552</v>
      </c>
      <c r="S35" s="28" t="s">
        <v>552</v>
      </c>
      <c r="T35" s="28" t="s">
        <v>552</v>
      </c>
      <c r="U35" s="28" t="s">
        <v>552</v>
      </c>
      <c r="V35" s="28" t="s">
        <v>552</v>
      </c>
      <c r="W35" s="28" t="s">
        <v>552</v>
      </c>
      <c r="X35" s="28" t="s">
        <v>552</v>
      </c>
      <c r="Y35" s="28" t="s">
        <v>552</v>
      </c>
      <c r="Z35" s="28" t="s">
        <v>552</v>
      </c>
      <c r="AA35" s="28" t="s">
        <v>552</v>
      </c>
      <c r="AB35" s="28" t="s">
        <v>552</v>
      </c>
      <c r="AC35" s="28" t="s">
        <v>552</v>
      </c>
      <c r="AD35" s="28" t="s">
        <v>552</v>
      </c>
      <c r="AE35" s="28" t="s">
        <v>552</v>
      </c>
      <c r="AF35" s="28" t="s">
        <v>552</v>
      </c>
      <c r="AG35" s="28" t="s">
        <v>552</v>
      </c>
      <c r="AH35" s="28" t="s">
        <v>552</v>
      </c>
    </row>
    <row r="36" spans="1:34" ht="15.75" customHeight="1" x14ac:dyDescent="0.25">
      <c r="A36" s="26" t="s">
        <v>165</v>
      </c>
      <c r="B36" s="28" t="s">
        <v>552</v>
      </c>
      <c r="C36" s="28" t="s">
        <v>552</v>
      </c>
      <c r="D36" s="28" t="s">
        <v>552</v>
      </c>
      <c r="E36" s="28" t="s">
        <v>552</v>
      </c>
      <c r="F36" s="28" t="s">
        <v>552</v>
      </c>
      <c r="G36" s="28" t="s">
        <v>552</v>
      </c>
      <c r="H36" s="28" t="s">
        <v>552</v>
      </c>
      <c r="I36" s="28" t="s">
        <v>552</v>
      </c>
      <c r="J36" s="28" t="s">
        <v>552</v>
      </c>
      <c r="K36" s="28" t="s">
        <v>552</v>
      </c>
      <c r="L36" s="28" t="s">
        <v>552</v>
      </c>
      <c r="M36" s="28" t="s">
        <v>552</v>
      </c>
      <c r="N36" s="28" t="s">
        <v>552</v>
      </c>
      <c r="O36" s="28" t="s">
        <v>552</v>
      </c>
      <c r="P36" s="28" t="s">
        <v>552</v>
      </c>
      <c r="Q36" s="28" t="s">
        <v>552</v>
      </c>
      <c r="R36" s="28" t="s">
        <v>552</v>
      </c>
      <c r="S36" s="28" t="s">
        <v>552</v>
      </c>
      <c r="T36" s="28" t="s">
        <v>552</v>
      </c>
      <c r="U36" s="28" t="s">
        <v>552</v>
      </c>
      <c r="V36" s="28" t="s">
        <v>552</v>
      </c>
      <c r="W36" s="28" t="s">
        <v>552</v>
      </c>
      <c r="X36" s="28" t="s">
        <v>552</v>
      </c>
      <c r="Y36" s="28" t="s">
        <v>552</v>
      </c>
      <c r="Z36" s="28" t="s">
        <v>552</v>
      </c>
      <c r="AA36" s="28" t="s">
        <v>552</v>
      </c>
      <c r="AB36" s="28" t="s">
        <v>552</v>
      </c>
      <c r="AC36" s="28" t="s">
        <v>552</v>
      </c>
      <c r="AD36" s="28" t="s">
        <v>552</v>
      </c>
      <c r="AE36" s="28" t="s">
        <v>552</v>
      </c>
      <c r="AF36" s="28" t="s">
        <v>552</v>
      </c>
      <c r="AG36" s="28" t="s">
        <v>552</v>
      </c>
      <c r="AH36" s="28" t="s">
        <v>552</v>
      </c>
    </row>
    <row r="37" spans="1:34" ht="15.75" customHeight="1" x14ac:dyDescent="0.25">
      <c r="A37" s="131" t="s">
        <v>168</v>
      </c>
      <c r="B37" s="157">
        <v>1</v>
      </c>
      <c r="C37" s="157">
        <v>1</v>
      </c>
      <c r="D37" s="157">
        <v>1</v>
      </c>
      <c r="E37" s="157">
        <v>1</v>
      </c>
      <c r="F37" s="157">
        <v>1</v>
      </c>
      <c r="G37" s="157">
        <v>1</v>
      </c>
      <c r="H37" s="157">
        <v>1</v>
      </c>
      <c r="I37" s="157">
        <v>1</v>
      </c>
      <c r="J37" s="157">
        <v>1</v>
      </c>
      <c r="K37" s="157">
        <v>1</v>
      </c>
      <c r="L37" s="157">
        <v>1</v>
      </c>
      <c r="M37" s="157">
        <v>1</v>
      </c>
      <c r="N37" s="157">
        <v>1</v>
      </c>
      <c r="O37" s="157">
        <v>1</v>
      </c>
      <c r="P37" s="157">
        <v>1</v>
      </c>
      <c r="Q37" s="157">
        <v>1</v>
      </c>
      <c r="R37" s="157">
        <v>1</v>
      </c>
      <c r="S37" s="157">
        <v>1</v>
      </c>
      <c r="T37" s="157">
        <v>1</v>
      </c>
      <c r="U37" s="157">
        <v>1</v>
      </c>
      <c r="V37" s="157">
        <v>1</v>
      </c>
      <c r="W37" s="157">
        <v>1</v>
      </c>
      <c r="X37" s="157">
        <v>1</v>
      </c>
      <c r="Y37" s="157">
        <v>1</v>
      </c>
      <c r="Z37" s="157">
        <v>1</v>
      </c>
      <c r="AA37" s="157">
        <v>1</v>
      </c>
      <c r="AB37" s="157">
        <v>1</v>
      </c>
      <c r="AC37" s="157">
        <v>1</v>
      </c>
      <c r="AD37" s="157">
        <v>1</v>
      </c>
      <c r="AE37" s="157">
        <v>1</v>
      </c>
      <c r="AF37" s="157">
        <v>1</v>
      </c>
      <c r="AG37" s="157">
        <v>1</v>
      </c>
      <c r="AH37" s="157">
        <v>1</v>
      </c>
    </row>
    <row r="38" spans="1:34" ht="15.75" customHeight="1" x14ac:dyDescent="0.25">
      <c r="A38" s="26" t="s">
        <v>169</v>
      </c>
      <c r="B38" s="29" t="s">
        <v>170</v>
      </c>
      <c r="C38" s="29" t="s">
        <v>170</v>
      </c>
      <c r="D38" s="29" t="s">
        <v>170</v>
      </c>
      <c r="E38" s="29" t="s">
        <v>170</v>
      </c>
      <c r="F38" s="29" t="s">
        <v>170</v>
      </c>
      <c r="G38" s="29" t="s">
        <v>170</v>
      </c>
      <c r="H38" s="29" t="s">
        <v>170</v>
      </c>
      <c r="I38" s="29" t="s">
        <v>170</v>
      </c>
      <c r="J38" s="29" t="s">
        <v>170</v>
      </c>
      <c r="K38" s="29" t="s">
        <v>170</v>
      </c>
      <c r="L38" s="29" t="s">
        <v>170</v>
      </c>
      <c r="M38" s="29" t="s">
        <v>170</v>
      </c>
      <c r="N38" s="29" t="s">
        <v>170</v>
      </c>
      <c r="O38" s="29" t="s">
        <v>170</v>
      </c>
      <c r="P38" s="29" t="s">
        <v>170</v>
      </c>
      <c r="Q38" s="29" t="s">
        <v>170</v>
      </c>
      <c r="R38" s="29" t="s">
        <v>170</v>
      </c>
      <c r="S38" s="29" t="s">
        <v>170</v>
      </c>
      <c r="T38" s="29" t="s">
        <v>170</v>
      </c>
      <c r="U38" s="29" t="s">
        <v>170</v>
      </c>
      <c r="V38" s="29" t="s">
        <v>170</v>
      </c>
      <c r="W38" s="29" t="s">
        <v>170</v>
      </c>
      <c r="X38" s="29" t="s">
        <v>170</v>
      </c>
      <c r="Y38" s="29" t="s">
        <v>170</v>
      </c>
      <c r="Z38" s="29" t="s">
        <v>170</v>
      </c>
      <c r="AA38" s="29" t="s">
        <v>170</v>
      </c>
      <c r="AB38" s="29" t="s">
        <v>170</v>
      </c>
      <c r="AC38" s="29" t="s">
        <v>170</v>
      </c>
      <c r="AD38" s="29" t="s">
        <v>170</v>
      </c>
      <c r="AE38" s="29" t="s">
        <v>170</v>
      </c>
      <c r="AF38" s="29" t="s">
        <v>170</v>
      </c>
      <c r="AG38" s="29" t="s">
        <v>170</v>
      </c>
      <c r="AH38" s="29" t="s">
        <v>170</v>
      </c>
    </row>
    <row r="39" spans="1:34" ht="15.75" customHeight="1" x14ac:dyDescent="0.25">
      <c r="A39" s="26" t="s">
        <v>171</v>
      </c>
      <c r="B39" s="28" t="s">
        <v>173</v>
      </c>
      <c r="C39" s="28" t="s">
        <v>173</v>
      </c>
      <c r="D39" s="28" t="s">
        <v>173</v>
      </c>
      <c r="E39" s="28" t="s">
        <v>173</v>
      </c>
      <c r="F39" s="28" t="s">
        <v>173</v>
      </c>
      <c r="G39" s="28" t="s">
        <v>173</v>
      </c>
      <c r="H39" s="28" t="s">
        <v>173</v>
      </c>
      <c r="I39" s="28" t="s">
        <v>173</v>
      </c>
      <c r="J39" s="28" t="s">
        <v>173</v>
      </c>
      <c r="K39" s="28" t="s">
        <v>173</v>
      </c>
      <c r="L39" s="28" t="s">
        <v>173</v>
      </c>
      <c r="M39" s="28" t="s">
        <v>173</v>
      </c>
      <c r="N39" s="28" t="s">
        <v>173</v>
      </c>
      <c r="O39" s="28" t="s">
        <v>173</v>
      </c>
      <c r="P39" s="28" t="s">
        <v>173</v>
      </c>
      <c r="Q39" s="28" t="s">
        <v>173</v>
      </c>
      <c r="R39" s="28" t="s">
        <v>173</v>
      </c>
      <c r="S39" s="28" t="s">
        <v>173</v>
      </c>
      <c r="T39" s="28" t="s">
        <v>173</v>
      </c>
      <c r="U39" s="28" t="s">
        <v>173</v>
      </c>
      <c r="V39" s="28" t="s">
        <v>173</v>
      </c>
      <c r="W39" s="28" t="s">
        <v>173</v>
      </c>
      <c r="X39" s="28" t="s">
        <v>173</v>
      </c>
      <c r="Y39" s="28" t="s">
        <v>173</v>
      </c>
      <c r="Z39" s="28" t="s">
        <v>173</v>
      </c>
      <c r="AA39" s="28" t="s">
        <v>173</v>
      </c>
      <c r="AB39" s="28" t="s">
        <v>173</v>
      </c>
      <c r="AC39" s="28" t="s">
        <v>173</v>
      </c>
      <c r="AD39" s="28" t="s">
        <v>173</v>
      </c>
      <c r="AE39" s="28" t="s">
        <v>173</v>
      </c>
      <c r="AF39" s="28" t="s">
        <v>173</v>
      </c>
      <c r="AG39" s="28" t="s">
        <v>173</v>
      </c>
      <c r="AH39" s="28" t="s">
        <v>173</v>
      </c>
    </row>
    <row r="40" spans="1:34" ht="15.75" customHeight="1" x14ac:dyDescent="0.25">
      <c r="A40" s="26" t="s">
        <v>172</v>
      </c>
      <c r="B40" s="28" t="s">
        <v>173</v>
      </c>
      <c r="C40" s="28" t="s">
        <v>173</v>
      </c>
      <c r="D40" s="28" t="s">
        <v>173</v>
      </c>
      <c r="E40" s="28" t="s">
        <v>173</v>
      </c>
      <c r="F40" s="28" t="s">
        <v>173</v>
      </c>
      <c r="G40" s="28" t="s">
        <v>173</v>
      </c>
      <c r="H40" s="28" t="s">
        <v>173</v>
      </c>
      <c r="I40" s="28" t="s">
        <v>173</v>
      </c>
      <c r="J40" s="28" t="s">
        <v>173</v>
      </c>
      <c r="K40" s="28" t="s">
        <v>173</v>
      </c>
      <c r="L40" s="28" t="s">
        <v>173</v>
      </c>
      <c r="M40" s="28" t="s">
        <v>173</v>
      </c>
      <c r="N40" s="28" t="s">
        <v>173</v>
      </c>
      <c r="O40" s="28" t="s">
        <v>173</v>
      </c>
      <c r="P40" s="28" t="s">
        <v>173</v>
      </c>
      <c r="Q40" s="28" t="s">
        <v>173</v>
      </c>
      <c r="R40" s="28" t="s">
        <v>173</v>
      </c>
      <c r="S40" s="28" t="s">
        <v>173</v>
      </c>
      <c r="T40" s="28" t="s">
        <v>173</v>
      </c>
      <c r="U40" s="28" t="s">
        <v>173</v>
      </c>
      <c r="V40" s="28" t="s">
        <v>173</v>
      </c>
      <c r="W40" s="28" t="s">
        <v>173</v>
      </c>
      <c r="X40" s="28" t="s">
        <v>173</v>
      </c>
      <c r="Y40" s="28" t="s">
        <v>173</v>
      </c>
      <c r="Z40" s="28" t="s">
        <v>173</v>
      </c>
      <c r="AA40" s="28" t="s">
        <v>173</v>
      </c>
      <c r="AB40" s="28" t="s">
        <v>173</v>
      </c>
      <c r="AC40" s="28" t="s">
        <v>173</v>
      </c>
      <c r="AD40" s="28" t="s">
        <v>173</v>
      </c>
      <c r="AE40" s="28" t="s">
        <v>173</v>
      </c>
      <c r="AF40" s="28" t="s">
        <v>173</v>
      </c>
      <c r="AG40" s="28" t="s">
        <v>173</v>
      </c>
      <c r="AH40" s="28" t="s">
        <v>173</v>
      </c>
    </row>
    <row r="41" spans="1:34" ht="15.75" customHeight="1" x14ac:dyDescent="0.25">
      <c r="A41" s="26" t="s">
        <v>174</v>
      </c>
      <c r="B41" s="28" t="s">
        <v>173</v>
      </c>
      <c r="C41" s="28" t="s">
        <v>173</v>
      </c>
      <c r="D41" s="28" t="s">
        <v>173</v>
      </c>
      <c r="E41" s="28" t="s">
        <v>173</v>
      </c>
      <c r="F41" s="28" t="s">
        <v>173</v>
      </c>
      <c r="G41" s="28" t="s">
        <v>173</v>
      </c>
      <c r="H41" s="28" t="s">
        <v>173</v>
      </c>
      <c r="I41" s="28" t="s">
        <v>173</v>
      </c>
      <c r="J41" s="28" t="s">
        <v>173</v>
      </c>
      <c r="K41" s="28" t="s">
        <v>173</v>
      </c>
      <c r="L41" s="28" t="s">
        <v>173</v>
      </c>
      <c r="M41" s="28" t="s">
        <v>173</v>
      </c>
      <c r="N41" s="28" t="s">
        <v>173</v>
      </c>
      <c r="O41" s="28" t="s">
        <v>173</v>
      </c>
      <c r="P41" s="28" t="s">
        <v>173</v>
      </c>
      <c r="Q41" s="28" t="s">
        <v>173</v>
      </c>
      <c r="R41" s="28" t="s">
        <v>173</v>
      </c>
      <c r="S41" s="28" t="s">
        <v>173</v>
      </c>
      <c r="T41" s="28" t="s">
        <v>173</v>
      </c>
      <c r="U41" s="28" t="s">
        <v>173</v>
      </c>
      <c r="V41" s="28" t="s">
        <v>173</v>
      </c>
      <c r="W41" s="28" t="s">
        <v>173</v>
      </c>
      <c r="X41" s="28" t="s">
        <v>173</v>
      </c>
      <c r="Y41" s="28" t="s">
        <v>173</v>
      </c>
      <c r="Z41" s="28" t="s">
        <v>173</v>
      </c>
      <c r="AA41" s="28" t="s">
        <v>173</v>
      </c>
      <c r="AB41" s="28" t="s">
        <v>173</v>
      </c>
      <c r="AC41" s="28" t="s">
        <v>173</v>
      </c>
      <c r="AD41" s="28" t="s">
        <v>173</v>
      </c>
      <c r="AE41" s="28" t="s">
        <v>173</v>
      </c>
      <c r="AF41" s="28" t="s">
        <v>173</v>
      </c>
      <c r="AG41" s="28" t="s">
        <v>173</v>
      </c>
      <c r="AH41" s="28" t="s">
        <v>173</v>
      </c>
    </row>
    <row r="42" spans="1:34" ht="15.75" customHeight="1" x14ac:dyDescent="0.25">
      <c r="A42" s="26" t="s">
        <v>175</v>
      </c>
      <c r="B42" s="28" t="s">
        <v>160</v>
      </c>
      <c r="C42" s="28" t="s">
        <v>160</v>
      </c>
      <c r="D42" s="28" t="s">
        <v>160</v>
      </c>
      <c r="E42" s="28" t="s">
        <v>160</v>
      </c>
      <c r="F42" s="28" t="s">
        <v>160</v>
      </c>
      <c r="G42" s="28" t="s">
        <v>160</v>
      </c>
      <c r="H42" s="28" t="s">
        <v>160</v>
      </c>
      <c r="I42" s="28" t="s">
        <v>160</v>
      </c>
      <c r="J42" s="28" t="s">
        <v>160</v>
      </c>
      <c r="K42" s="28" t="s">
        <v>160</v>
      </c>
      <c r="L42" s="28" t="s">
        <v>160</v>
      </c>
      <c r="M42" s="28" t="s">
        <v>160</v>
      </c>
      <c r="N42" s="28" t="s">
        <v>160</v>
      </c>
      <c r="O42" s="28" t="s">
        <v>160</v>
      </c>
      <c r="P42" s="28" t="s">
        <v>160</v>
      </c>
      <c r="Q42" s="28" t="s">
        <v>160</v>
      </c>
      <c r="R42" s="28" t="s">
        <v>160</v>
      </c>
      <c r="S42" s="28" t="s">
        <v>160</v>
      </c>
      <c r="T42" s="28" t="s">
        <v>160</v>
      </c>
      <c r="U42" s="28" t="s">
        <v>160</v>
      </c>
      <c r="V42" s="28" t="s">
        <v>160</v>
      </c>
      <c r="W42" s="28" t="s">
        <v>160</v>
      </c>
      <c r="X42" s="28" t="s">
        <v>160</v>
      </c>
      <c r="Y42" s="28" t="s">
        <v>160</v>
      </c>
      <c r="Z42" s="28" t="s">
        <v>160</v>
      </c>
      <c r="AA42" s="28" t="s">
        <v>160</v>
      </c>
      <c r="AB42" s="28" t="s">
        <v>160</v>
      </c>
      <c r="AC42" s="28" t="s">
        <v>160</v>
      </c>
      <c r="AD42" s="28" t="s">
        <v>160</v>
      </c>
      <c r="AE42" s="28" t="s">
        <v>160</v>
      </c>
      <c r="AF42" s="28" t="s">
        <v>160</v>
      </c>
      <c r="AG42" s="28" t="s">
        <v>160</v>
      </c>
      <c r="AH42" s="28" t="s">
        <v>160</v>
      </c>
    </row>
    <row r="43" spans="1:34" ht="15.75" customHeight="1" x14ac:dyDescent="0.25">
      <c r="A43" s="26" t="s">
        <v>176</v>
      </c>
      <c r="B43" s="30">
        <v>3</v>
      </c>
      <c r="C43" s="30">
        <v>3</v>
      </c>
      <c r="D43" s="30">
        <v>3</v>
      </c>
      <c r="E43" s="30">
        <v>3</v>
      </c>
      <c r="F43" s="30">
        <v>3</v>
      </c>
      <c r="G43" s="30">
        <v>3</v>
      </c>
      <c r="H43" s="30">
        <v>3</v>
      </c>
      <c r="I43" s="30">
        <v>3</v>
      </c>
      <c r="J43" s="30">
        <v>3</v>
      </c>
      <c r="K43" s="30">
        <v>3</v>
      </c>
      <c r="L43" s="30">
        <v>3</v>
      </c>
      <c r="M43" s="30">
        <v>3</v>
      </c>
      <c r="N43" s="30">
        <v>3</v>
      </c>
      <c r="O43" s="30">
        <v>3</v>
      </c>
      <c r="P43" s="30">
        <v>3</v>
      </c>
      <c r="Q43" s="30">
        <v>3</v>
      </c>
      <c r="R43" s="30">
        <v>3</v>
      </c>
      <c r="S43" s="30">
        <v>3</v>
      </c>
      <c r="T43" s="30">
        <v>3</v>
      </c>
      <c r="U43" s="30">
        <v>3</v>
      </c>
      <c r="V43" s="30">
        <v>3</v>
      </c>
      <c r="W43" s="30">
        <v>3</v>
      </c>
      <c r="X43" s="30">
        <v>3</v>
      </c>
      <c r="Y43" s="30">
        <v>3</v>
      </c>
      <c r="Z43" s="30">
        <v>3</v>
      </c>
      <c r="AA43" s="30">
        <v>3</v>
      </c>
      <c r="AB43" s="30">
        <v>3</v>
      </c>
      <c r="AC43" s="30">
        <v>3</v>
      </c>
      <c r="AD43" s="30">
        <v>3</v>
      </c>
      <c r="AE43" s="30">
        <v>3</v>
      </c>
      <c r="AF43" s="30">
        <v>3</v>
      </c>
      <c r="AG43" s="30">
        <v>3</v>
      </c>
      <c r="AH43" s="30">
        <v>3</v>
      </c>
    </row>
    <row r="44" spans="1:34" ht="15.75" customHeight="1" x14ac:dyDescent="0.25">
      <c r="A44" s="26" t="s">
        <v>177</v>
      </c>
      <c r="B44" s="28" t="s">
        <v>178</v>
      </c>
      <c r="C44" s="28" t="s">
        <v>178</v>
      </c>
      <c r="D44" s="28" t="s">
        <v>178</v>
      </c>
      <c r="E44" s="28" t="s">
        <v>178</v>
      </c>
      <c r="F44" s="28" t="s">
        <v>178</v>
      </c>
      <c r="G44" s="28" t="s">
        <v>178</v>
      </c>
      <c r="H44" s="28" t="s">
        <v>178</v>
      </c>
      <c r="I44" s="28" t="s">
        <v>178</v>
      </c>
      <c r="J44" s="28" t="s">
        <v>178</v>
      </c>
      <c r="K44" s="28" t="s">
        <v>178</v>
      </c>
      <c r="L44" s="28" t="s">
        <v>178</v>
      </c>
      <c r="M44" s="28" t="s">
        <v>178</v>
      </c>
      <c r="N44" s="28" t="s">
        <v>178</v>
      </c>
      <c r="O44" s="28" t="s">
        <v>178</v>
      </c>
      <c r="P44" s="28" t="s">
        <v>178</v>
      </c>
      <c r="Q44" s="28" t="s">
        <v>178</v>
      </c>
      <c r="R44" s="28" t="s">
        <v>178</v>
      </c>
      <c r="S44" s="28" t="s">
        <v>178</v>
      </c>
      <c r="T44" s="28" t="s">
        <v>178</v>
      </c>
      <c r="U44" s="28" t="s">
        <v>178</v>
      </c>
      <c r="V44" s="28" t="s">
        <v>178</v>
      </c>
      <c r="W44" s="28" t="s">
        <v>178</v>
      </c>
      <c r="X44" s="28" t="s">
        <v>178</v>
      </c>
      <c r="Y44" s="28" t="s">
        <v>178</v>
      </c>
      <c r="Z44" s="28" t="s">
        <v>178</v>
      </c>
      <c r="AA44" s="28" t="s">
        <v>178</v>
      </c>
      <c r="AB44" s="28" t="s">
        <v>178</v>
      </c>
      <c r="AC44" s="28" t="s">
        <v>178</v>
      </c>
      <c r="AD44" s="28" t="s">
        <v>178</v>
      </c>
      <c r="AE44" s="28" t="s">
        <v>178</v>
      </c>
      <c r="AF44" s="28" t="s">
        <v>178</v>
      </c>
      <c r="AG44" s="28" t="s">
        <v>178</v>
      </c>
      <c r="AH44" s="28" t="s">
        <v>178</v>
      </c>
    </row>
    <row r="45" spans="1:34" ht="15.75" customHeight="1" x14ac:dyDescent="0.25">
      <c r="A45" s="26" t="s">
        <v>182</v>
      </c>
      <c r="B45" s="30">
        <v>4</v>
      </c>
      <c r="C45" s="30">
        <v>4</v>
      </c>
      <c r="D45" s="30">
        <v>4</v>
      </c>
      <c r="E45" s="30">
        <v>4</v>
      </c>
      <c r="F45" s="30">
        <v>4</v>
      </c>
      <c r="G45" s="30">
        <v>4</v>
      </c>
      <c r="H45" s="30">
        <v>4</v>
      </c>
      <c r="I45" s="30">
        <v>4</v>
      </c>
      <c r="J45" s="30">
        <v>4</v>
      </c>
      <c r="K45" s="30">
        <v>4</v>
      </c>
      <c r="L45" s="30">
        <v>4</v>
      </c>
      <c r="M45" s="30">
        <v>4</v>
      </c>
      <c r="N45" s="30">
        <v>4</v>
      </c>
      <c r="O45" s="30">
        <v>4</v>
      </c>
      <c r="P45" s="30">
        <v>4</v>
      </c>
      <c r="Q45" s="30">
        <v>4</v>
      </c>
      <c r="R45" s="30">
        <v>4</v>
      </c>
      <c r="S45" s="30">
        <v>4</v>
      </c>
      <c r="T45" s="30">
        <v>4</v>
      </c>
      <c r="U45" s="30">
        <v>4</v>
      </c>
      <c r="V45" s="30">
        <v>4</v>
      </c>
      <c r="W45" s="30">
        <v>4</v>
      </c>
      <c r="X45" s="30">
        <v>4</v>
      </c>
      <c r="Y45" s="30">
        <v>4</v>
      </c>
      <c r="Z45" s="30">
        <v>4</v>
      </c>
      <c r="AA45" s="30">
        <v>4</v>
      </c>
      <c r="AB45" s="30">
        <v>4</v>
      </c>
      <c r="AC45" s="30">
        <v>4</v>
      </c>
      <c r="AD45" s="30">
        <v>4</v>
      </c>
      <c r="AE45" s="30">
        <v>4</v>
      </c>
      <c r="AF45" s="30">
        <v>4</v>
      </c>
      <c r="AG45" s="30">
        <v>4</v>
      </c>
      <c r="AH45" s="30">
        <v>4</v>
      </c>
    </row>
    <row r="47" spans="1:34" x14ac:dyDescent="0.25">
      <c r="A47" s="31" t="s">
        <v>183</v>
      </c>
    </row>
    <row r="48" spans="1:34" x14ac:dyDescent="0.25">
      <c r="A48" s="235" t="s">
        <v>773</v>
      </c>
      <c r="B48" s="56" t="s">
        <v>774</v>
      </c>
    </row>
    <row r="49" spans="1:2" x14ac:dyDescent="0.25">
      <c r="A49" s="235"/>
      <c r="B49" s="93" t="s">
        <v>775</v>
      </c>
    </row>
    <row r="50" spans="1:2" x14ac:dyDescent="0.25">
      <c r="A50" s="235"/>
      <c r="B50" s="93" t="s">
        <v>776</v>
      </c>
    </row>
  </sheetData>
  <mergeCells count="6">
    <mergeCell ref="F3:O3"/>
    <mergeCell ref="F4:O5"/>
    <mergeCell ref="A48:A50"/>
    <mergeCell ref="B3:D3"/>
    <mergeCell ref="B4:D4"/>
    <mergeCell ref="B5:D5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DEC87-983B-4E88-A983-93B717D51694}">
  <dimension ref="A1:AK54"/>
  <sheetViews>
    <sheetView topLeftCell="A7" workbookViewId="0">
      <selection activeCell="E25" sqref="E25"/>
    </sheetView>
  </sheetViews>
  <sheetFormatPr defaultColWidth="9.140625" defaultRowHeight="15" x14ac:dyDescent="0.25"/>
  <cols>
    <col min="1" max="1" width="23.28515625" style="26" bestFit="1" customWidth="1"/>
    <col min="2" max="51" width="5.7109375" style="26" customWidth="1"/>
    <col min="52" max="16384" width="9.140625" style="26"/>
  </cols>
  <sheetData>
    <row r="1" spans="1:37" x14ac:dyDescent="0.25">
      <c r="A1" s="25" t="s">
        <v>116</v>
      </c>
      <c r="D1" s="25" t="s">
        <v>117</v>
      </c>
      <c r="I1" s="25" t="s">
        <v>549</v>
      </c>
    </row>
    <row r="3" spans="1:37" ht="18" x14ac:dyDescent="0.25">
      <c r="A3" s="25" t="s">
        <v>119</v>
      </c>
      <c r="B3" s="215">
        <v>47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7" ht="18" x14ac:dyDescent="0.25">
      <c r="A4" s="25" t="s">
        <v>121</v>
      </c>
      <c r="B4" s="215" t="s">
        <v>777</v>
      </c>
      <c r="C4" s="215"/>
      <c r="D4" s="215"/>
      <c r="F4" s="216" t="s">
        <v>778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7" ht="18" x14ac:dyDescent="0.25">
      <c r="A5" s="25" t="s">
        <v>124</v>
      </c>
      <c r="B5" s="215" t="s">
        <v>187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7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70" t="s">
        <v>146</v>
      </c>
      <c r="W7" s="70" t="s">
        <v>147</v>
      </c>
      <c r="X7" s="71" t="s">
        <v>148</v>
      </c>
      <c r="Y7" s="71" t="s">
        <v>149</v>
      </c>
      <c r="Z7" s="72" t="s">
        <v>150</v>
      </c>
      <c r="AA7" s="72" t="s">
        <v>151</v>
      </c>
      <c r="AB7" s="73" t="s">
        <v>152</v>
      </c>
      <c r="AC7" s="73" t="s">
        <v>153</v>
      </c>
      <c r="AD7" s="73" t="s">
        <v>154</v>
      </c>
      <c r="AE7" s="74" t="s">
        <v>155</v>
      </c>
      <c r="AF7" s="75" t="s">
        <v>156</v>
      </c>
      <c r="AG7" s="76" t="s">
        <v>157</v>
      </c>
      <c r="AH7" s="76" t="s">
        <v>158</v>
      </c>
      <c r="AJ7" s="76" t="s">
        <v>157</v>
      </c>
      <c r="AK7" s="76" t="s">
        <v>158</v>
      </c>
    </row>
    <row r="8" spans="1:37" x14ac:dyDescent="0.25">
      <c r="A8" s="26" t="s">
        <v>159</v>
      </c>
      <c r="B8" s="199"/>
      <c r="C8" s="83" t="s">
        <v>744</v>
      </c>
      <c r="D8" s="28" t="s">
        <v>744</v>
      </c>
      <c r="E8" s="28" t="s">
        <v>744</v>
      </c>
      <c r="F8" s="28" t="s">
        <v>744</v>
      </c>
      <c r="G8" s="28" t="s">
        <v>744</v>
      </c>
      <c r="H8" s="86" t="s">
        <v>744</v>
      </c>
      <c r="I8" s="28" t="s">
        <v>744</v>
      </c>
      <c r="J8" s="28" t="s">
        <v>744</v>
      </c>
      <c r="K8" s="28" t="s">
        <v>744</v>
      </c>
      <c r="L8" s="28" t="s">
        <v>744</v>
      </c>
      <c r="M8" s="28" t="s">
        <v>744</v>
      </c>
      <c r="N8" s="28" t="s">
        <v>744</v>
      </c>
      <c r="O8" s="28" t="s">
        <v>744</v>
      </c>
      <c r="P8" s="28" t="s">
        <v>745</v>
      </c>
      <c r="Q8" s="28" t="s">
        <v>745</v>
      </c>
      <c r="R8" s="177" t="s">
        <v>341</v>
      </c>
      <c r="S8" s="28" t="s">
        <v>746</v>
      </c>
      <c r="T8" s="177" t="s">
        <v>341</v>
      </c>
      <c r="U8" s="177" t="s">
        <v>341</v>
      </c>
      <c r="V8" s="80" t="s">
        <v>341</v>
      </c>
      <c r="W8" s="80" t="s">
        <v>341</v>
      </c>
      <c r="X8" s="28" t="s">
        <v>556</v>
      </c>
      <c r="Y8" s="80" t="s">
        <v>341</v>
      </c>
      <c r="Z8" s="80" t="s">
        <v>341</v>
      </c>
      <c r="AA8" s="80" t="s">
        <v>341</v>
      </c>
      <c r="AB8" s="80" t="s">
        <v>341</v>
      </c>
      <c r="AC8" s="80" t="s">
        <v>341</v>
      </c>
      <c r="AD8" s="80" t="s">
        <v>341</v>
      </c>
      <c r="AE8" s="80" t="s">
        <v>341</v>
      </c>
      <c r="AF8" s="80" t="s">
        <v>341</v>
      </c>
      <c r="AG8" s="80" t="s">
        <v>341</v>
      </c>
      <c r="AH8" s="80" t="s">
        <v>341</v>
      </c>
      <c r="AJ8" s="80" t="s">
        <v>341</v>
      </c>
      <c r="AK8" s="80" t="s">
        <v>341</v>
      </c>
    </row>
    <row r="9" spans="1:37" ht="15.75" customHeight="1" x14ac:dyDescent="0.25">
      <c r="A9" s="26" t="s">
        <v>165</v>
      </c>
      <c r="B9" s="200"/>
      <c r="C9" s="29" t="s">
        <v>556</v>
      </c>
      <c r="D9" s="28" t="s">
        <v>747</v>
      </c>
      <c r="E9" s="28" t="s">
        <v>748</v>
      </c>
      <c r="F9" s="28" t="s">
        <v>748</v>
      </c>
      <c r="G9" s="29" t="s">
        <v>749</v>
      </c>
      <c r="H9" s="91" t="s">
        <v>750</v>
      </c>
      <c r="I9" s="28" t="s">
        <v>749</v>
      </c>
      <c r="J9" s="28" t="s">
        <v>749</v>
      </c>
      <c r="K9" s="28" t="s">
        <v>751</v>
      </c>
      <c r="L9" s="28" t="s">
        <v>749</v>
      </c>
      <c r="M9" s="28" t="s">
        <v>752</v>
      </c>
      <c r="N9" s="28" t="s">
        <v>744</v>
      </c>
      <c r="O9" s="28" t="s">
        <v>744</v>
      </c>
      <c r="P9" s="28" t="s">
        <v>744</v>
      </c>
      <c r="Q9" s="28" t="s">
        <v>744</v>
      </c>
      <c r="R9" s="178" t="s">
        <v>341</v>
      </c>
      <c r="S9" s="28" t="s">
        <v>749</v>
      </c>
      <c r="T9" s="178" t="s">
        <v>341</v>
      </c>
      <c r="U9" s="178" t="s">
        <v>341</v>
      </c>
      <c r="V9" s="80" t="s">
        <v>341</v>
      </c>
      <c r="W9" s="80" t="s">
        <v>341</v>
      </c>
      <c r="X9" s="28" t="s">
        <v>556</v>
      </c>
      <c r="Y9" s="80" t="s">
        <v>341</v>
      </c>
      <c r="Z9" s="80" t="s">
        <v>341</v>
      </c>
      <c r="AA9" s="80" t="s">
        <v>341</v>
      </c>
      <c r="AB9" s="80" t="s">
        <v>341</v>
      </c>
      <c r="AC9" s="80" t="s">
        <v>341</v>
      </c>
      <c r="AD9" s="80" t="s">
        <v>341</v>
      </c>
      <c r="AE9" s="80" t="s">
        <v>341</v>
      </c>
      <c r="AF9" s="80" t="s">
        <v>341</v>
      </c>
      <c r="AG9" s="80" t="s">
        <v>341</v>
      </c>
      <c r="AH9" s="80" t="s">
        <v>341</v>
      </c>
      <c r="AJ9" s="80" t="s">
        <v>341</v>
      </c>
      <c r="AK9" s="80" t="s">
        <v>341</v>
      </c>
    </row>
    <row r="10" spans="1:37" x14ac:dyDescent="0.25">
      <c r="A10" s="131" t="s">
        <v>168</v>
      </c>
      <c r="B10" s="198"/>
      <c r="C10" s="157">
        <v>501</v>
      </c>
      <c r="D10" s="157">
        <v>502</v>
      </c>
      <c r="E10" s="157">
        <v>508</v>
      </c>
      <c r="F10" s="157">
        <v>508</v>
      </c>
      <c r="G10" s="157">
        <v>504</v>
      </c>
      <c r="H10" s="161">
        <v>550</v>
      </c>
      <c r="I10" s="157">
        <v>504</v>
      </c>
      <c r="J10" s="157">
        <v>504</v>
      </c>
      <c r="K10" s="157">
        <v>515</v>
      </c>
      <c r="L10" s="157">
        <v>504</v>
      </c>
      <c r="M10" s="157">
        <v>514</v>
      </c>
      <c r="N10" s="157">
        <v>503</v>
      </c>
      <c r="O10" s="157">
        <v>503</v>
      </c>
      <c r="P10" s="157">
        <v>503</v>
      </c>
      <c r="Q10" s="157">
        <v>503</v>
      </c>
      <c r="R10" s="198"/>
      <c r="S10" s="157">
        <v>504</v>
      </c>
      <c r="T10" s="198"/>
      <c r="U10" s="204"/>
      <c r="V10" s="198"/>
      <c r="W10" s="198"/>
      <c r="X10" s="157">
        <v>501</v>
      </c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J10" s="198"/>
      <c r="AK10" s="198"/>
    </row>
    <row r="11" spans="1:37" x14ac:dyDescent="0.25">
      <c r="A11" s="26" t="s">
        <v>753</v>
      </c>
      <c r="B11" s="199"/>
      <c r="C11" s="28" t="s">
        <v>173</v>
      </c>
      <c r="D11" s="28" t="s">
        <v>173</v>
      </c>
      <c r="E11" s="28" t="s">
        <v>173</v>
      </c>
      <c r="F11" s="28" t="s">
        <v>173</v>
      </c>
      <c r="G11" s="28" t="s">
        <v>173</v>
      </c>
      <c r="H11" s="86" t="s">
        <v>173</v>
      </c>
      <c r="I11" s="28" t="s">
        <v>173</v>
      </c>
      <c r="J11" s="28" t="s">
        <v>173</v>
      </c>
      <c r="K11" s="28" t="s">
        <v>173</v>
      </c>
      <c r="L11" s="28" t="s">
        <v>173</v>
      </c>
      <c r="M11" s="28" t="s">
        <v>173</v>
      </c>
      <c r="N11" s="28" t="s">
        <v>173</v>
      </c>
      <c r="O11" s="28" t="s">
        <v>173</v>
      </c>
      <c r="P11" s="28" t="s">
        <v>173</v>
      </c>
      <c r="Q11" s="28" t="s">
        <v>173</v>
      </c>
      <c r="R11" s="80" t="s">
        <v>173</v>
      </c>
      <c r="S11" s="28" t="s">
        <v>173</v>
      </c>
      <c r="T11" s="80" t="s">
        <v>173</v>
      </c>
      <c r="U11" s="177" t="s">
        <v>173</v>
      </c>
      <c r="V11" s="80" t="s">
        <v>173</v>
      </c>
      <c r="W11" s="80" t="s">
        <v>173</v>
      </c>
      <c r="X11" s="28" t="s">
        <v>173</v>
      </c>
      <c r="Y11" s="80" t="s">
        <v>173</v>
      </c>
      <c r="Z11" s="80" t="s">
        <v>173</v>
      </c>
      <c r="AA11" s="80" t="s">
        <v>173</v>
      </c>
      <c r="AB11" s="80" t="s">
        <v>173</v>
      </c>
      <c r="AC11" s="80" t="s">
        <v>173</v>
      </c>
      <c r="AD11" s="80" t="s">
        <v>173</v>
      </c>
      <c r="AE11" s="80" t="s">
        <v>173</v>
      </c>
      <c r="AF11" s="80" t="s">
        <v>173</v>
      </c>
      <c r="AG11" s="80" t="s">
        <v>173</v>
      </c>
      <c r="AH11" s="80" t="s">
        <v>173</v>
      </c>
      <c r="AJ11" s="80" t="s">
        <v>173</v>
      </c>
      <c r="AK11" s="80" t="s">
        <v>173</v>
      </c>
    </row>
    <row r="12" spans="1:37" x14ac:dyDescent="0.25">
      <c r="A12" s="26" t="s">
        <v>754</v>
      </c>
      <c r="B12" s="199"/>
      <c r="C12" s="28" t="s">
        <v>173</v>
      </c>
      <c r="D12" s="28" t="s">
        <v>173</v>
      </c>
      <c r="E12" s="28" t="s">
        <v>173</v>
      </c>
      <c r="F12" s="28" t="s">
        <v>173</v>
      </c>
      <c r="G12" s="28" t="s">
        <v>173</v>
      </c>
      <c r="H12" s="86" t="s">
        <v>173</v>
      </c>
      <c r="I12" s="28" t="s">
        <v>173</v>
      </c>
      <c r="J12" s="28" t="s">
        <v>173</v>
      </c>
      <c r="K12" s="28" t="s">
        <v>173</v>
      </c>
      <c r="L12" s="28" t="s">
        <v>173</v>
      </c>
      <c r="M12" s="28" t="s">
        <v>173</v>
      </c>
      <c r="N12" s="28" t="s">
        <v>173</v>
      </c>
      <c r="O12" s="28" t="s">
        <v>173</v>
      </c>
      <c r="P12" s="28" t="s">
        <v>173</v>
      </c>
      <c r="Q12" s="28" t="s">
        <v>173</v>
      </c>
      <c r="R12" s="80" t="s">
        <v>173</v>
      </c>
      <c r="S12" s="28" t="s">
        <v>173</v>
      </c>
      <c r="T12" s="80" t="s">
        <v>173</v>
      </c>
      <c r="U12" s="177" t="s">
        <v>173</v>
      </c>
      <c r="V12" s="80" t="s">
        <v>173</v>
      </c>
      <c r="W12" s="80" t="s">
        <v>173</v>
      </c>
      <c r="X12" s="28" t="s">
        <v>173</v>
      </c>
      <c r="Y12" s="80" t="s">
        <v>173</v>
      </c>
      <c r="Z12" s="80" t="s">
        <v>173</v>
      </c>
      <c r="AA12" s="80" t="s">
        <v>173</v>
      </c>
      <c r="AB12" s="80" t="s">
        <v>173</v>
      </c>
      <c r="AC12" s="80" t="s">
        <v>173</v>
      </c>
      <c r="AD12" s="80" t="s">
        <v>173</v>
      </c>
      <c r="AE12" s="80" t="s">
        <v>173</v>
      </c>
      <c r="AF12" s="80" t="s">
        <v>173</v>
      </c>
      <c r="AG12" s="80" t="s">
        <v>173</v>
      </c>
      <c r="AH12" s="80" t="s">
        <v>173</v>
      </c>
      <c r="AJ12" s="80" t="s">
        <v>173</v>
      </c>
      <c r="AK12" s="80" t="s">
        <v>173</v>
      </c>
    </row>
    <row r="13" spans="1:37" x14ac:dyDescent="0.25">
      <c r="A13" s="26" t="s">
        <v>755</v>
      </c>
      <c r="B13" s="199"/>
      <c r="C13" s="28" t="s">
        <v>170</v>
      </c>
      <c r="D13" s="28" t="s">
        <v>170</v>
      </c>
      <c r="E13" s="28" t="s">
        <v>170</v>
      </c>
      <c r="F13" s="28" t="s">
        <v>170</v>
      </c>
      <c r="G13" s="28" t="s">
        <v>170</v>
      </c>
      <c r="H13" s="86" t="s">
        <v>170</v>
      </c>
      <c r="I13" s="28" t="s">
        <v>170</v>
      </c>
      <c r="J13" s="28" t="s">
        <v>170</v>
      </c>
      <c r="K13" s="28" t="s">
        <v>170</v>
      </c>
      <c r="L13" s="28" t="s">
        <v>170</v>
      </c>
      <c r="M13" s="28" t="s">
        <v>170</v>
      </c>
      <c r="N13" s="28" t="s">
        <v>170</v>
      </c>
      <c r="O13" s="28" t="s">
        <v>170</v>
      </c>
      <c r="P13" s="28" t="s">
        <v>170</v>
      </c>
      <c r="Q13" s="28" t="s">
        <v>170</v>
      </c>
      <c r="R13" s="80" t="s">
        <v>173</v>
      </c>
      <c r="S13" s="28" t="s">
        <v>170</v>
      </c>
      <c r="T13" s="80" t="s">
        <v>173</v>
      </c>
      <c r="U13" s="177" t="s">
        <v>173</v>
      </c>
      <c r="V13" s="80" t="s">
        <v>173</v>
      </c>
      <c r="W13" s="80" t="s">
        <v>173</v>
      </c>
      <c r="X13" s="28" t="s">
        <v>170</v>
      </c>
      <c r="Y13" s="80" t="s">
        <v>173</v>
      </c>
      <c r="Z13" s="80" t="s">
        <v>173</v>
      </c>
      <c r="AA13" s="80" t="s">
        <v>173</v>
      </c>
      <c r="AB13" s="80" t="s">
        <v>173</v>
      </c>
      <c r="AC13" s="80" t="s">
        <v>173</v>
      </c>
      <c r="AD13" s="80" t="s">
        <v>173</v>
      </c>
      <c r="AE13" s="80" t="s">
        <v>173</v>
      </c>
      <c r="AF13" s="80" t="s">
        <v>173</v>
      </c>
      <c r="AG13" s="80" t="s">
        <v>173</v>
      </c>
      <c r="AH13" s="80" t="s">
        <v>173</v>
      </c>
      <c r="AJ13" s="80" t="s">
        <v>173</v>
      </c>
      <c r="AK13" s="80" t="s">
        <v>173</v>
      </c>
    </row>
    <row r="14" spans="1:37" x14ac:dyDescent="0.25">
      <c r="A14" s="26" t="s">
        <v>756</v>
      </c>
      <c r="B14" s="199"/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86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80" t="s">
        <v>173</v>
      </c>
      <c r="S14" s="28" t="s">
        <v>173</v>
      </c>
      <c r="T14" s="80" t="s">
        <v>173</v>
      </c>
      <c r="U14" s="177" t="s">
        <v>173</v>
      </c>
      <c r="V14" s="80" t="s">
        <v>173</v>
      </c>
      <c r="W14" s="80" t="s">
        <v>173</v>
      </c>
      <c r="X14" s="28" t="s">
        <v>173</v>
      </c>
      <c r="Y14" s="80" t="s">
        <v>173</v>
      </c>
      <c r="Z14" s="80" t="s">
        <v>173</v>
      </c>
      <c r="AA14" s="80" t="s">
        <v>173</v>
      </c>
      <c r="AB14" s="80" t="s">
        <v>173</v>
      </c>
      <c r="AC14" s="80" t="s">
        <v>173</v>
      </c>
      <c r="AD14" s="80" t="s">
        <v>173</v>
      </c>
      <c r="AE14" s="80" t="s">
        <v>173</v>
      </c>
      <c r="AF14" s="80" t="s">
        <v>173</v>
      </c>
      <c r="AG14" s="80" t="s">
        <v>173</v>
      </c>
      <c r="AH14" s="80" t="s">
        <v>173</v>
      </c>
      <c r="AJ14" s="80" t="s">
        <v>173</v>
      </c>
      <c r="AK14" s="80" t="s">
        <v>173</v>
      </c>
    </row>
    <row r="15" spans="1:37" x14ac:dyDescent="0.25">
      <c r="A15" s="26" t="s">
        <v>757</v>
      </c>
      <c r="B15" s="199"/>
      <c r="C15" s="28" t="s">
        <v>173</v>
      </c>
      <c r="D15" s="28" t="s">
        <v>173</v>
      </c>
      <c r="E15" s="28" t="s">
        <v>173</v>
      </c>
      <c r="F15" s="28" t="s">
        <v>173</v>
      </c>
      <c r="G15" s="28" t="s">
        <v>173</v>
      </c>
      <c r="H15" s="86" t="s">
        <v>173</v>
      </c>
      <c r="I15" s="28" t="s">
        <v>173</v>
      </c>
      <c r="J15" s="28" t="s">
        <v>173</v>
      </c>
      <c r="K15" s="28" t="s">
        <v>173</v>
      </c>
      <c r="L15" s="28" t="s">
        <v>173</v>
      </c>
      <c r="M15" s="28" t="s">
        <v>173</v>
      </c>
      <c r="N15" s="28" t="s">
        <v>173</v>
      </c>
      <c r="O15" s="28" t="s">
        <v>173</v>
      </c>
      <c r="P15" s="28" t="s">
        <v>173</v>
      </c>
      <c r="Q15" s="28" t="s">
        <v>173</v>
      </c>
      <c r="R15" s="80" t="s">
        <v>173</v>
      </c>
      <c r="S15" s="28" t="s">
        <v>173</v>
      </c>
      <c r="T15" s="80" t="s">
        <v>173</v>
      </c>
      <c r="U15" s="177" t="s">
        <v>173</v>
      </c>
      <c r="V15" s="80" t="s">
        <v>173</v>
      </c>
      <c r="W15" s="80" t="s">
        <v>173</v>
      </c>
      <c r="X15" s="28" t="s">
        <v>173</v>
      </c>
      <c r="Y15" s="80" t="s">
        <v>173</v>
      </c>
      <c r="Z15" s="80" t="s">
        <v>173</v>
      </c>
      <c r="AA15" s="80" t="s">
        <v>173</v>
      </c>
      <c r="AB15" s="80" t="s">
        <v>173</v>
      </c>
      <c r="AC15" s="80" t="s">
        <v>173</v>
      </c>
      <c r="AD15" s="80" t="s">
        <v>173</v>
      </c>
      <c r="AE15" s="80" t="s">
        <v>173</v>
      </c>
      <c r="AF15" s="80" t="s">
        <v>173</v>
      </c>
      <c r="AG15" s="80" t="s">
        <v>173</v>
      </c>
      <c r="AH15" s="80" t="s">
        <v>173</v>
      </c>
      <c r="AJ15" s="80" t="s">
        <v>173</v>
      </c>
      <c r="AK15" s="80" t="s">
        <v>173</v>
      </c>
    </row>
    <row r="16" spans="1:37" x14ac:dyDescent="0.25">
      <c r="A16" s="26" t="s">
        <v>758</v>
      </c>
      <c r="B16" s="199"/>
      <c r="C16" s="28" t="s">
        <v>173</v>
      </c>
      <c r="D16" s="28" t="s">
        <v>173</v>
      </c>
      <c r="E16" s="28" t="s">
        <v>173</v>
      </c>
      <c r="F16" s="28" t="s">
        <v>173</v>
      </c>
      <c r="G16" s="28" t="s">
        <v>173</v>
      </c>
      <c r="H16" s="28" t="s">
        <v>173</v>
      </c>
      <c r="I16" s="28" t="s">
        <v>173</v>
      </c>
      <c r="J16" s="28" t="s">
        <v>173</v>
      </c>
      <c r="K16" s="28" t="s">
        <v>173</v>
      </c>
      <c r="L16" s="28" t="s">
        <v>173</v>
      </c>
      <c r="M16" s="28" t="s">
        <v>173</v>
      </c>
      <c r="N16" s="28" t="s">
        <v>173</v>
      </c>
      <c r="O16" s="28" t="s">
        <v>173</v>
      </c>
      <c r="P16" s="28" t="s">
        <v>173</v>
      </c>
      <c r="Q16" s="28" t="s">
        <v>173</v>
      </c>
      <c r="R16" s="80" t="s">
        <v>173</v>
      </c>
      <c r="S16" s="28" t="s">
        <v>173</v>
      </c>
      <c r="T16" s="80" t="s">
        <v>173</v>
      </c>
      <c r="U16" s="177" t="s">
        <v>173</v>
      </c>
      <c r="V16" s="80" t="s">
        <v>173</v>
      </c>
      <c r="W16" s="80" t="s">
        <v>173</v>
      </c>
      <c r="X16" s="28" t="s">
        <v>173</v>
      </c>
      <c r="Y16" s="80" t="s">
        <v>173</v>
      </c>
      <c r="Z16" s="80" t="s">
        <v>173</v>
      </c>
      <c r="AA16" s="80" t="s">
        <v>173</v>
      </c>
      <c r="AB16" s="80" t="s">
        <v>173</v>
      </c>
      <c r="AC16" s="80" t="s">
        <v>173</v>
      </c>
      <c r="AD16" s="80" t="s">
        <v>173</v>
      </c>
      <c r="AE16" s="80" t="s">
        <v>173</v>
      </c>
      <c r="AF16" s="80" t="s">
        <v>173</v>
      </c>
      <c r="AG16" s="80" t="s">
        <v>173</v>
      </c>
      <c r="AH16" s="80" t="s">
        <v>173</v>
      </c>
      <c r="AJ16" s="80" t="s">
        <v>173</v>
      </c>
      <c r="AK16" s="80" t="s">
        <v>173</v>
      </c>
    </row>
    <row r="17" spans="1:37" ht="15.75" customHeight="1" x14ac:dyDescent="0.25">
      <c r="A17" s="26" t="s">
        <v>759</v>
      </c>
      <c r="B17" s="201"/>
      <c r="C17" s="30" t="s">
        <v>760</v>
      </c>
      <c r="D17" s="30" t="s">
        <v>760</v>
      </c>
      <c r="E17" s="28" t="s">
        <v>760</v>
      </c>
      <c r="F17" s="28" t="s">
        <v>760</v>
      </c>
      <c r="G17" s="30" t="s">
        <v>760</v>
      </c>
      <c r="H17" s="92" t="s">
        <v>760</v>
      </c>
      <c r="I17" s="30" t="s">
        <v>760</v>
      </c>
      <c r="J17" s="30" t="s">
        <v>760</v>
      </c>
      <c r="K17" s="30" t="s">
        <v>760</v>
      </c>
      <c r="L17" s="30" t="s">
        <v>760</v>
      </c>
      <c r="M17" s="30" t="s">
        <v>760</v>
      </c>
      <c r="N17" s="30" t="s">
        <v>760</v>
      </c>
      <c r="O17" s="30" t="s">
        <v>760</v>
      </c>
      <c r="P17" s="30" t="s">
        <v>761</v>
      </c>
      <c r="Q17" s="30" t="s">
        <v>761</v>
      </c>
      <c r="R17" s="178" t="s">
        <v>341</v>
      </c>
      <c r="S17" s="30" t="s">
        <v>760</v>
      </c>
      <c r="T17" s="178" t="s">
        <v>341</v>
      </c>
      <c r="U17" s="178" t="s">
        <v>341</v>
      </c>
      <c r="V17" s="80" t="s">
        <v>341</v>
      </c>
      <c r="W17" s="80" t="s">
        <v>341</v>
      </c>
      <c r="X17" s="28" t="s">
        <v>760</v>
      </c>
      <c r="Y17" s="80" t="s">
        <v>341</v>
      </c>
      <c r="Z17" s="80" t="s">
        <v>341</v>
      </c>
      <c r="AA17" s="80" t="s">
        <v>341</v>
      </c>
      <c r="AB17" s="80" t="s">
        <v>341</v>
      </c>
      <c r="AC17" s="80" t="s">
        <v>341</v>
      </c>
      <c r="AD17" s="80" t="s">
        <v>341</v>
      </c>
      <c r="AE17" s="80" t="s">
        <v>341</v>
      </c>
      <c r="AF17" s="80" t="s">
        <v>341</v>
      </c>
      <c r="AG17" s="80" t="s">
        <v>341</v>
      </c>
      <c r="AH17" s="80" t="s">
        <v>341</v>
      </c>
      <c r="AJ17" s="80" t="s">
        <v>341</v>
      </c>
      <c r="AK17" s="80" t="s">
        <v>341</v>
      </c>
    </row>
    <row r="18" spans="1:37" x14ac:dyDescent="0.25">
      <c r="A18" s="26" t="s">
        <v>762</v>
      </c>
      <c r="B18" s="201"/>
      <c r="C18" s="28" t="s">
        <v>763</v>
      </c>
      <c r="D18" s="28" t="s">
        <v>763</v>
      </c>
      <c r="E18" s="28" t="s">
        <v>763</v>
      </c>
      <c r="F18" s="28" t="s">
        <v>763</v>
      </c>
      <c r="G18" s="30" t="s">
        <v>764</v>
      </c>
      <c r="H18" s="92" t="s">
        <v>764</v>
      </c>
      <c r="I18" s="30" t="s">
        <v>764</v>
      </c>
      <c r="J18" s="30" t="s">
        <v>764</v>
      </c>
      <c r="K18" s="30" t="s">
        <v>764</v>
      </c>
      <c r="L18" s="30" t="s">
        <v>764</v>
      </c>
      <c r="M18" s="30" t="s">
        <v>764</v>
      </c>
      <c r="N18" s="28" t="s">
        <v>764</v>
      </c>
      <c r="O18" s="28" t="s">
        <v>764</v>
      </c>
      <c r="P18" s="28" t="s">
        <v>764</v>
      </c>
      <c r="Q18" s="28" t="s">
        <v>764</v>
      </c>
      <c r="R18" s="82" t="s">
        <v>764</v>
      </c>
      <c r="S18" s="30" t="s">
        <v>764</v>
      </c>
      <c r="T18" s="82" t="s">
        <v>764</v>
      </c>
      <c r="U18" s="203" t="s">
        <v>764</v>
      </c>
      <c r="V18" s="82" t="s">
        <v>764</v>
      </c>
      <c r="W18" s="82" t="s">
        <v>764</v>
      </c>
      <c r="X18" s="28" t="s">
        <v>763</v>
      </c>
      <c r="Y18" s="82" t="s">
        <v>764</v>
      </c>
      <c r="Z18" s="82" t="s">
        <v>764</v>
      </c>
      <c r="AA18" s="82" t="s">
        <v>764</v>
      </c>
      <c r="AB18" s="82" t="s">
        <v>764</v>
      </c>
      <c r="AC18" s="82" t="s">
        <v>764</v>
      </c>
      <c r="AD18" s="82" t="s">
        <v>764</v>
      </c>
      <c r="AE18" s="82" t="s">
        <v>764</v>
      </c>
      <c r="AF18" s="82" t="s">
        <v>764</v>
      </c>
      <c r="AG18" s="82" t="s">
        <v>764</v>
      </c>
      <c r="AH18" s="82" t="s">
        <v>764</v>
      </c>
      <c r="AJ18" s="82" t="s">
        <v>764</v>
      </c>
      <c r="AK18" s="82" t="s">
        <v>764</v>
      </c>
    </row>
    <row r="19" spans="1:37" x14ac:dyDescent="0.25">
      <c r="A19" s="26" t="s">
        <v>765</v>
      </c>
      <c r="B19" s="199"/>
      <c r="C19" s="30">
        <v>6</v>
      </c>
      <c r="D19" s="30">
        <v>5</v>
      </c>
      <c r="E19" s="30">
        <v>5</v>
      </c>
      <c r="F19" s="30">
        <v>5</v>
      </c>
      <c r="G19" s="30">
        <v>3</v>
      </c>
      <c r="H19" s="30">
        <f>AVERAGE(3,2)</f>
        <v>2.5</v>
      </c>
      <c r="I19" s="120">
        <v>3</v>
      </c>
      <c r="J19" s="120">
        <v>3</v>
      </c>
      <c r="K19" s="120">
        <v>2</v>
      </c>
      <c r="L19" s="120">
        <v>3</v>
      </c>
      <c r="M19" s="120">
        <v>3</v>
      </c>
      <c r="N19" s="120">
        <v>4</v>
      </c>
      <c r="O19" s="120">
        <v>4</v>
      </c>
      <c r="P19" s="120">
        <v>4</v>
      </c>
      <c r="Q19" s="120">
        <v>4</v>
      </c>
      <c r="R19" s="81">
        <v>3</v>
      </c>
      <c r="S19" s="120">
        <v>3</v>
      </c>
      <c r="T19" s="81">
        <v>3</v>
      </c>
      <c r="U19" s="178">
        <v>3</v>
      </c>
      <c r="V19" s="80">
        <v>3</v>
      </c>
      <c r="W19" s="80">
        <v>3</v>
      </c>
      <c r="X19" s="30">
        <v>6</v>
      </c>
      <c r="Y19" s="80">
        <v>3</v>
      </c>
      <c r="Z19" s="80">
        <v>3</v>
      </c>
      <c r="AA19" s="80">
        <v>3</v>
      </c>
      <c r="AB19" s="80">
        <v>3</v>
      </c>
      <c r="AC19" s="80">
        <v>3</v>
      </c>
      <c r="AD19" s="80">
        <v>3</v>
      </c>
      <c r="AE19" s="80">
        <v>3</v>
      </c>
      <c r="AF19" s="80">
        <v>3</v>
      </c>
      <c r="AG19" s="80">
        <v>3</v>
      </c>
      <c r="AH19" s="80">
        <v>3</v>
      </c>
      <c r="AJ19" s="80">
        <v>3</v>
      </c>
      <c r="AK19" s="80">
        <v>3</v>
      </c>
    </row>
    <row r="20" spans="1:37" x14ac:dyDescent="0.25">
      <c r="A20" s="26" t="s">
        <v>766</v>
      </c>
      <c r="B20" s="199"/>
      <c r="C20" s="28" t="s">
        <v>767</v>
      </c>
      <c r="D20" s="28" t="s">
        <v>767</v>
      </c>
      <c r="E20" s="28" t="s">
        <v>767</v>
      </c>
      <c r="F20" s="28" t="s">
        <v>767</v>
      </c>
      <c r="G20" s="28" t="s">
        <v>767</v>
      </c>
      <c r="H20" s="28" t="s">
        <v>767</v>
      </c>
      <c r="I20" s="28" t="s">
        <v>767</v>
      </c>
      <c r="J20" s="28" t="s">
        <v>767</v>
      </c>
      <c r="K20" s="28" t="s">
        <v>768</v>
      </c>
      <c r="L20" s="28" t="s">
        <v>767</v>
      </c>
      <c r="M20" s="28" t="s">
        <v>768</v>
      </c>
      <c r="N20" s="28" t="s">
        <v>767</v>
      </c>
      <c r="O20" s="28" t="s">
        <v>767</v>
      </c>
      <c r="P20" s="28" t="s">
        <v>767</v>
      </c>
      <c r="Q20" s="28" t="s">
        <v>767</v>
      </c>
      <c r="R20" s="80" t="s">
        <v>768</v>
      </c>
      <c r="S20" s="28" t="s">
        <v>767</v>
      </c>
      <c r="T20" s="80" t="s">
        <v>768</v>
      </c>
      <c r="U20" s="177" t="s">
        <v>768</v>
      </c>
      <c r="V20" s="80" t="s">
        <v>768</v>
      </c>
      <c r="W20" s="80" t="s">
        <v>768</v>
      </c>
      <c r="X20" s="28" t="s">
        <v>767</v>
      </c>
      <c r="Y20" s="80" t="s">
        <v>768</v>
      </c>
      <c r="Z20" s="80" t="s">
        <v>768</v>
      </c>
      <c r="AA20" s="80" t="s">
        <v>768</v>
      </c>
      <c r="AB20" s="80" t="s">
        <v>768</v>
      </c>
      <c r="AC20" s="80" t="s">
        <v>768</v>
      </c>
      <c r="AD20" s="80" t="s">
        <v>768</v>
      </c>
      <c r="AE20" s="80" t="s">
        <v>768</v>
      </c>
      <c r="AF20" s="80" t="s">
        <v>768</v>
      </c>
      <c r="AG20" s="80" t="s">
        <v>768</v>
      </c>
      <c r="AH20" s="80" t="s">
        <v>768</v>
      </c>
      <c r="AJ20" s="81" t="s">
        <v>768</v>
      </c>
      <c r="AK20" s="81" t="s">
        <v>768</v>
      </c>
    </row>
    <row r="21" spans="1:37" x14ac:dyDescent="0.25">
      <c r="A21" s="26" t="s">
        <v>769</v>
      </c>
      <c r="B21" s="201"/>
      <c r="C21" s="30">
        <v>1</v>
      </c>
      <c r="D21" s="30">
        <v>1</v>
      </c>
      <c r="E21" s="30">
        <v>0.5</v>
      </c>
      <c r="F21" s="30">
        <v>0.5</v>
      </c>
      <c r="G21" s="30">
        <v>1</v>
      </c>
      <c r="H21" s="30">
        <v>1</v>
      </c>
      <c r="I21" s="30">
        <v>1</v>
      </c>
      <c r="J21" s="30">
        <v>1</v>
      </c>
      <c r="K21" s="30">
        <v>0</v>
      </c>
      <c r="L21" s="30">
        <v>1</v>
      </c>
      <c r="M21" s="30">
        <v>0</v>
      </c>
      <c r="N21" s="30">
        <v>1</v>
      </c>
      <c r="O21" s="30">
        <v>1</v>
      </c>
      <c r="P21" s="30">
        <v>1</v>
      </c>
      <c r="Q21" s="30">
        <v>1</v>
      </c>
      <c r="R21" s="82">
        <v>0</v>
      </c>
      <c r="S21" s="30">
        <v>1</v>
      </c>
      <c r="T21" s="82">
        <v>0</v>
      </c>
      <c r="U21" s="82">
        <v>0</v>
      </c>
      <c r="V21" s="166">
        <v>0</v>
      </c>
      <c r="W21" s="166">
        <v>0</v>
      </c>
      <c r="X21" s="120">
        <v>1</v>
      </c>
      <c r="Y21" s="166">
        <v>0</v>
      </c>
      <c r="Z21" s="166">
        <v>0</v>
      </c>
      <c r="AA21" s="166">
        <v>0</v>
      </c>
      <c r="AB21" s="166">
        <v>0</v>
      </c>
      <c r="AC21" s="166">
        <v>0</v>
      </c>
      <c r="AD21" s="166">
        <v>0</v>
      </c>
      <c r="AE21" s="166">
        <v>0</v>
      </c>
      <c r="AF21" s="166">
        <v>0</v>
      </c>
      <c r="AG21" s="166">
        <v>0</v>
      </c>
      <c r="AH21" s="166">
        <v>0</v>
      </c>
      <c r="AJ21" s="82">
        <v>0</v>
      </c>
      <c r="AK21" s="82">
        <v>0</v>
      </c>
    </row>
    <row r="22" spans="1:37" x14ac:dyDescent="0.25">
      <c r="A22" s="31"/>
    </row>
    <row r="23" spans="1:37" x14ac:dyDescent="0.25">
      <c r="A23" s="26" t="s">
        <v>159</v>
      </c>
      <c r="B23" s="28" t="s">
        <v>414</v>
      </c>
      <c r="C23" s="28" t="s">
        <v>256</v>
      </c>
      <c r="D23" s="28" t="s">
        <v>256</v>
      </c>
      <c r="E23" s="28" t="s">
        <v>256</v>
      </c>
      <c r="F23" s="28" t="s">
        <v>256</v>
      </c>
      <c r="G23" s="28" t="s">
        <v>256</v>
      </c>
      <c r="H23" s="28" t="s">
        <v>256</v>
      </c>
      <c r="I23" s="28" t="s">
        <v>256</v>
      </c>
      <c r="J23" s="28" t="s">
        <v>256</v>
      </c>
      <c r="K23" s="28" t="s">
        <v>256</v>
      </c>
      <c r="L23" s="28" t="s">
        <v>256</v>
      </c>
      <c r="M23" s="28" t="s">
        <v>256</v>
      </c>
      <c r="N23" s="28" t="s">
        <v>256</v>
      </c>
      <c r="O23" s="28" t="s">
        <v>256</v>
      </c>
      <c r="P23" s="177" t="s">
        <v>341</v>
      </c>
      <c r="Q23" s="177" t="s">
        <v>341</v>
      </c>
      <c r="R23" s="86" t="s">
        <v>256</v>
      </c>
      <c r="S23" s="177" t="s">
        <v>341</v>
      </c>
      <c r="T23" s="28" t="s">
        <v>256</v>
      </c>
      <c r="U23" s="28" t="s">
        <v>256</v>
      </c>
      <c r="V23" s="28" t="s">
        <v>256</v>
      </c>
      <c r="W23" s="28" t="s">
        <v>256</v>
      </c>
      <c r="X23" s="83" t="s">
        <v>256</v>
      </c>
      <c r="Y23" s="28" t="s">
        <v>256</v>
      </c>
      <c r="Z23" s="28" t="s">
        <v>256</v>
      </c>
      <c r="AA23" s="28" t="s">
        <v>256</v>
      </c>
      <c r="AB23" s="28" t="s">
        <v>256</v>
      </c>
      <c r="AC23" s="28" t="s">
        <v>256</v>
      </c>
      <c r="AD23" s="28" t="s">
        <v>256</v>
      </c>
      <c r="AE23" s="28" t="s">
        <v>256</v>
      </c>
      <c r="AF23" s="28" t="s">
        <v>256</v>
      </c>
      <c r="AG23" s="28" t="s">
        <v>256</v>
      </c>
      <c r="AH23" s="83" t="s">
        <v>256</v>
      </c>
      <c r="AJ23" s="28" t="s">
        <v>415</v>
      </c>
      <c r="AK23" s="28" t="s">
        <v>415</v>
      </c>
    </row>
    <row r="24" spans="1:37" ht="15.75" customHeight="1" x14ac:dyDescent="0.25">
      <c r="A24" s="26" t="s">
        <v>165</v>
      </c>
      <c r="B24" s="29" t="s">
        <v>260</v>
      </c>
      <c r="C24" s="28" t="s">
        <v>283</v>
      </c>
      <c r="D24" s="29" t="s">
        <v>256</v>
      </c>
      <c r="E24" s="113" t="s">
        <v>417</v>
      </c>
      <c r="F24" s="28" t="s">
        <v>260</v>
      </c>
      <c r="G24" s="28" t="s">
        <v>260</v>
      </c>
      <c r="H24" s="28" t="s">
        <v>395</v>
      </c>
      <c r="I24" s="29" t="s">
        <v>256</v>
      </c>
      <c r="J24" s="28" t="s">
        <v>260</v>
      </c>
      <c r="K24" s="28" t="s">
        <v>260</v>
      </c>
      <c r="L24" s="28" t="s">
        <v>260</v>
      </c>
      <c r="M24" s="28" t="s">
        <v>260</v>
      </c>
      <c r="N24" s="28" t="s">
        <v>260</v>
      </c>
      <c r="O24" s="28" t="s">
        <v>260</v>
      </c>
      <c r="P24" s="178" t="s">
        <v>341</v>
      </c>
      <c r="Q24" s="178" t="s">
        <v>341</v>
      </c>
      <c r="R24" s="86" t="s">
        <v>261</v>
      </c>
      <c r="S24" s="178" t="s">
        <v>341</v>
      </c>
      <c r="T24" s="28" t="s">
        <v>770</v>
      </c>
      <c r="U24" s="28" t="s">
        <v>260</v>
      </c>
      <c r="V24" s="28" t="s">
        <v>283</v>
      </c>
      <c r="W24" s="28" t="s">
        <v>771</v>
      </c>
      <c r="X24" s="83" t="s">
        <v>260</v>
      </c>
      <c r="Y24" s="113" t="s">
        <v>416</v>
      </c>
      <c r="Z24" s="28" t="s">
        <v>256</v>
      </c>
      <c r="AA24" s="28" t="s">
        <v>256</v>
      </c>
      <c r="AB24" s="28" t="s">
        <v>256</v>
      </c>
      <c r="AC24" s="28" t="s">
        <v>283</v>
      </c>
      <c r="AD24" s="28" t="s">
        <v>256</v>
      </c>
      <c r="AE24" s="28" t="s">
        <v>772</v>
      </c>
      <c r="AF24" s="28" t="s">
        <v>260</v>
      </c>
      <c r="AG24" s="28" t="s">
        <v>261</v>
      </c>
      <c r="AH24" s="85" t="s">
        <v>261</v>
      </c>
      <c r="AJ24" s="28" t="s">
        <v>283</v>
      </c>
      <c r="AK24" s="28" t="s">
        <v>283</v>
      </c>
    </row>
    <row r="25" spans="1:37" ht="15.75" customHeight="1" x14ac:dyDescent="0.25">
      <c r="A25" s="131" t="s">
        <v>168</v>
      </c>
      <c r="B25" s="157">
        <v>52</v>
      </c>
      <c r="C25" s="157">
        <v>56</v>
      </c>
      <c r="D25" s="157">
        <v>50</v>
      </c>
      <c r="E25" s="157">
        <v>122</v>
      </c>
      <c r="F25" s="157">
        <v>52</v>
      </c>
      <c r="G25" s="157">
        <v>52</v>
      </c>
      <c r="H25" s="157">
        <v>68</v>
      </c>
      <c r="I25" s="157">
        <v>50</v>
      </c>
      <c r="J25" s="157">
        <v>52</v>
      </c>
      <c r="K25" s="157">
        <v>52</v>
      </c>
      <c r="L25" s="157">
        <v>52</v>
      </c>
      <c r="M25" s="157">
        <v>52</v>
      </c>
      <c r="N25" s="157">
        <v>52</v>
      </c>
      <c r="O25" s="157">
        <v>52</v>
      </c>
      <c r="P25" s="198"/>
      <c r="Q25" s="198"/>
      <c r="R25" s="161">
        <v>48</v>
      </c>
      <c r="S25" s="198"/>
      <c r="T25" s="157">
        <v>159</v>
      </c>
      <c r="U25" s="157">
        <v>52</v>
      </c>
      <c r="V25" s="157">
        <v>56</v>
      </c>
      <c r="W25" s="157">
        <v>103</v>
      </c>
      <c r="X25" s="158">
        <v>52</v>
      </c>
      <c r="Y25" s="157">
        <v>118</v>
      </c>
      <c r="Z25" s="157">
        <v>50</v>
      </c>
      <c r="AA25" s="157">
        <v>50</v>
      </c>
      <c r="AB25" s="157">
        <v>50</v>
      </c>
      <c r="AC25" s="157">
        <v>56</v>
      </c>
      <c r="AD25" s="157">
        <v>50</v>
      </c>
      <c r="AE25" s="157">
        <v>160</v>
      </c>
      <c r="AF25" s="157">
        <v>52</v>
      </c>
      <c r="AG25" s="157">
        <v>48</v>
      </c>
      <c r="AH25" s="158">
        <v>48</v>
      </c>
      <c r="AJ25" s="157">
        <v>56</v>
      </c>
      <c r="AK25" s="157">
        <v>56</v>
      </c>
    </row>
    <row r="26" spans="1:37" x14ac:dyDescent="0.25">
      <c r="A26" s="26" t="s">
        <v>169</v>
      </c>
      <c r="B26" s="29" t="s">
        <v>170</v>
      </c>
      <c r="C26" s="28" t="s">
        <v>170</v>
      </c>
      <c r="D26" s="28" t="s">
        <v>170</v>
      </c>
      <c r="E26" s="28" t="s">
        <v>170</v>
      </c>
      <c r="F26" s="28" t="s">
        <v>170</v>
      </c>
      <c r="G26" s="29" t="s">
        <v>170</v>
      </c>
      <c r="H26" s="29" t="s">
        <v>170</v>
      </c>
      <c r="I26" s="29" t="s">
        <v>170</v>
      </c>
      <c r="J26" s="28" t="s">
        <v>170</v>
      </c>
      <c r="K26" s="29" t="s">
        <v>170</v>
      </c>
      <c r="L26" s="29" t="s">
        <v>170</v>
      </c>
      <c r="M26" s="29" t="s">
        <v>170</v>
      </c>
      <c r="N26" s="28" t="s">
        <v>170</v>
      </c>
      <c r="O26" s="28" t="s">
        <v>170</v>
      </c>
      <c r="P26" s="80" t="s">
        <v>173</v>
      </c>
      <c r="Q26" s="80" t="s">
        <v>173</v>
      </c>
      <c r="R26" s="29" t="s">
        <v>170</v>
      </c>
      <c r="S26" s="80" t="s">
        <v>173</v>
      </c>
      <c r="T26" s="29" t="s">
        <v>170</v>
      </c>
      <c r="U26" s="29" t="s">
        <v>170</v>
      </c>
      <c r="V26" s="28" t="s">
        <v>170</v>
      </c>
      <c r="W26" s="28" t="s">
        <v>170</v>
      </c>
      <c r="X26" s="28" t="s">
        <v>170</v>
      </c>
      <c r="Y26" s="28" t="s">
        <v>170</v>
      </c>
      <c r="Z26" s="28" t="s">
        <v>170</v>
      </c>
      <c r="AA26" s="28" t="s">
        <v>170</v>
      </c>
      <c r="AB26" s="28" t="s">
        <v>170</v>
      </c>
      <c r="AC26" s="28" t="s">
        <v>170</v>
      </c>
      <c r="AD26" s="28" t="s">
        <v>170</v>
      </c>
      <c r="AE26" s="28" t="s">
        <v>170</v>
      </c>
      <c r="AF26" s="28" t="s">
        <v>170</v>
      </c>
      <c r="AG26" s="28" t="s">
        <v>170</v>
      </c>
      <c r="AH26" s="85" t="s">
        <v>170</v>
      </c>
      <c r="AJ26" s="28" t="s">
        <v>170</v>
      </c>
      <c r="AK26" s="28" t="s">
        <v>170</v>
      </c>
    </row>
    <row r="27" spans="1:37" x14ac:dyDescent="0.25">
      <c r="A27" s="26" t="s">
        <v>171</v>
      </c>
      <c r="B27" s="28" t="s">
        <v>173</v>
      </c>
      <c r="C27" s="28" t="s">
        <v>173</v>
      </c>
      <c r="D27" s="28" t="s">
        <v>173</v>
      </c>
      <c r="E27" s="28" t="s">
        <v>173</v>
      </c>
      <c r="F27" s="28" t="s">
        <v>173</v>
      </c>
      <c r="G27" s="28" t="s">
        <v>173</v>
      </c>
      <c r="H27" s="29" t="s">
        <v>170</v>
      </c>
      <c r="I27" s="28" t="s">
        <v>173</v>
      </c>
      <c r="J27" s="28" t="s">
        <v>173</v>
      </c>
      <c r="K27" s="28" t="s">
        <v>173</v>
      </c>
      <c r="L27" s="28" t="s">
        <v>173</v>
      </c>
      <c r="M27" s="28" t="s">
        <v>173</v>
      </c>
      <c r="N27" s="28" t="s">
        <v>173</v>
      </c>
      <c r="O27" s="28" t="s">
        <v>173</v>
      </c>
      <c r="P27" s="80" t="s">
        <v>173</v>
      </c>
      <c r="Q27" s="80" t="s">
        <v>173</v>
      </c>
      <c r="R27" s="28" t="s">
        <v>173</v>
      </c>
      <c r="S27" s="80" t="s">
        <v>173</v>
      </c>
      <c r="T27" s="28" t="s">
        <v>173</v>
      </c>
      <c r="U27" s="28" t="s">
        <v>173</v>
      </c>
      <c r="V27" s="28" t="s">
        <v>173</v>
      </c>
      <c r="W27" s="28" t="s">
        <v>173</v>
      </c>
      <c r="X27" s="29" t="s">
        <v>173</v>
      </c>
      <c r="Y27" s="29" t="s">
        <v>173</v>
      </c>
      <c r="Z27" s="28" t="s">
        <v>173</v>
      </c>
      <c r="AA27" s="28" t="s">
        <v>173</v>
      </c>
      <c r="AB27" s="28" t="s">
        <v>173</v>
      </c>
      <c r="AC27" s="28" t="s">
        <v>173</v>
      </c>
      <c r="AD27" s="28" t="s">
        <v>173</v>
      </c>
      <c r="AE27" s="28" t="s">
        <v>173</v>
      </c>
      <c r="AF27" s="28" t="s">
        <v>173</v>
      </c>
      <c r="AG27" s="28" t="s">
        <v>173</v>
      </c>
      <c r="AH27" s="83" t="s">
        <v>173</v>
      </c>
      <c r="AJ27" s="28" t="s">
        <v>173</v>
      </c>
      <c r="AK27" s="28" t="s">
        <v>173</v>
      </c>
    </row>
    <row r="28" spans="1:37" x14ac:dyDescent="0.25">
      <c r="A28" s="26" t="s">
        <v>172</v>
      </c>
      <c r="B28" s="28" t="s">
        <v>170</v>
      </c>
      <c r="C28" s="28" t="s">
        <v>170</v>
      </c>
      <c r="D28" s="28" t="s">
        <v>170</v>
      </c>
      <c r="E28" s="28" t="s">
        <v>170</v>
      </c>
      <c r="F28" s="28" t="s">
        <v>170</v>
      </c>
      <c r="G28" s="28" t="s">
        <v>170</v>
      </c>
      <c r="H28" s="28" t="s">
        <v>173</v>
      </c>
      <c r="I28" s="28" t="s">
        <v>170</v>
      </c>
      <c r="J28" s="28" t="s">
        <v>170</v>
      </c>
      <c r="K28" s="28" t="s">
        <v>170</v>
      </c>
      <c r="L28" s="28" t="s">
        <v>170</v>
      </c>
      <c r="M28" s="28" t="s">
        <v>170</v>
      </c>
      <c r="N28" s="28" t="s">
        <v>170</v>
      </c>
      <c r="O28" s="28" t="s">
        <v>170</v>
      </c>
      <c r="P28" s="80" t="s">
        <v>173</v>
      </c>
      <c r="Q28" s="80" t="s">
        <v>173</v>
      </c>
      <c r="R28" s="28" t="s">
        <v>170</v>
      </c>
      <c r="S28" s="80" t="s">
        <v>173</v>
      </c>
      <c r="T28" s="28" t="s">
        <v>170</v>
      </c>
      <c r="U28" s="28" t="s">
        <v>170</v>
      </c>
      <c r="V28" s="28" t="s">
        <v>170</v>
      </c>
      <c r="W28" s="28" t="s">
        <v>170</v>
      </c>
      <c r="X28" s="28" t="s">
        <v>170</v>
      </c>
      <c r="Y28" s="28" t="s">
        <v>170</v>
      </c>
      <c r="Z28" s="28" t="s">
        <v>170</v>
      </c>
      <c r="AA28" s="28" t="s">
        <v>170</v>
      </c>
      <c r="AB28" s="28" t="s">
        <v>170</v>
      </c>
      <c r="AC28" s="28" t="s">
        <v>170</v>
      </c>
      <c r="AD28" s="28" t="s">
        <v>170</v>
      </c>
      <c r="AE28" s="28" t="s">
        <v>170</v>
      </c>
      <c r="AF28" s="28" t="s">
        <v>170</v>
      </c>
      <c r="AG28" s="28" t="s">
        <v>170</v>
      </c>
      <c r="AH28" s="83" t="s">
        <v>170</v>
      </c>
      <c r="AJ28" s="28" t="s">
        <v>170</v>
      </c>
      <c r="AK28" s="28" t="s">
        <v>170</v>
      </c>
    </row>
    <row r="29" spans="1:37" x14ac:dyDescent="0.25">
      <c r="A29" s="26" t="s">
        <v>174</v>
      </c>
      <c r="B29" s="28" t="s">
        <v>173</v>
      </c>
      <c r="C29" s="28" t="s">
        <v>173</v>
      </c>
      <c r="D29" s="28" t="s">
        <v>173</v>
      </c>
      <c r="E29" s="28" t="s">
        <v>173</v>
      </c>
      <c r="F29" s="28" t="s">
        <v>173</v>
      </c>
      <c r="G29" s="28" t="s">
        <v>173</v>
      </c>
      <c r="H29" s="28" t="s">
        <v>173</v>
      </c>
      <c r="I29" s="28" t="s">
        <v>173</v>
      </c>
      <c r="J29" s="28" t="s">
        <v>173</v>
      </c>
      <c r="K29" s="28" t="s">
        <v>173</v>
      </c>
      <c r="L29" s="28" t="s">
        <v>173</v>
      </c>
      <c r="M29" s="28" t="s">
        <v>173</v>
      </c>
      <c r="N29" s="28" t="s">
        <v>173</v>
      </c>
      <c r="O29" s="28" t="s">
        <v>173</v>
      </c>
      <c r="P29" s="80" t="s">
        <v>173</v>
      </c>
      <c r="Q29" s="80" t="s">
        <v>173</v>
      </c>
      <c r="R29" s="28" t="s">
        <v>173</v>
      </c>
      <c r="S29" s="80" t="s">
        <v>173</v>
      </c>
      <c r="T29" s="28" t="s">
        <v>173</v>
      </c>
      <c r="U29" s="28" t="s">
        <v>173</v>
      </c>
      <c r="V29" s="28" t="s">
        <v>173</v>
      </c>
      <c r="W29" s="28" t="s">
        <v>173</v>
      </c>
      <c r="X29" s="28" t="s">
        <v>173</v>
      </c>
      <c r="Y29" s="28" t="s">
        <v>173</v>
      </c>
      <c r="Z29" s="28" t="s">
        <v>173</v>
      </c>
      <c r="AA29" s="28" t="s">
        <v>173</v>
      </c>
      <c r="AB29" s="28" t="s">
        <v>173</v>
      </c>
      <c r="AC29" s="28" t="s">
        <v>173</v>
      </c>
      <c r="AD29" s="28" t="s">
        <v>173</v>
      </c>
      <c r="AE29" s="28" t="s">
        <v>173</v>
      </c>
      <c r="AF29" s="28" t="s">
        <v>173</v>
      </c>
      <c r="AG29" s="28" t="s">
        <v>173</v>
      </c>
      <c r="AH29" s="83" t="s">
        <v>173</v>
      </c>
      <c r="AJ29" s="28" t="s">
        <v>173</v>
      </c>
      <c r="AK29" s="28" t="s">
        <v>173</v>
      </c>
    </row>
    <row r="30" spans="1:37" x14ac:dyDescent="0.25">
      <c r="A30" s="26" t="s">
        <v>175</v>
      </c>
      <c r="B30" s="28" t="s">
        <v>198</v>
      </c>
      <c r="C30" s="28" t="s">
        <v>199</v>
      </c>
      <c r="D30" s="28" t="s">
        <v>198</v>
      </c>
      <c r="E30" s="28" t="s">
        <v>198</v>
      </c>
      <c r="F30" s="28" t="s">
        <v>198</v>
      </c>
      <c r="G30" s="28" t="s">
        <v>198</v>
      </c>
      <c r="H30" s="28" t="s">
        <v>397</v>
      </c>
      <c r="I30" s="28" t="s">
        <v>198</v>
      </c>
      <c r="J30" s="28" t="s">
        <v>198</v>
      </c>
      <c r="K30" s="28" t="s">
        <v>198</v>
      </c>
      <c r="L30" s="28" t="s">
        <v>198</v>
      </c>
      <c r="M30" s="28" t="s">
        <v>198</v>
      </c>
      <c r="N30" s="28" t="s">
        <v>198</v>
      </c>
      <c r="O30" s="28" t="s">
        <v>198</v>
      </c>
      <c r="P30" s="80" t="s">
        <v>198</v>
      </c>
      <c r="Q30" s="80" t="s">
        <v>198</v>
      </c>
      <c r="R30" s="28" t="s">
        <v>198</v>
      </c>
      <c r="S30" s="80" t="s">
        <v>198</v>
      </c>
      <c r="T30" s="28" t="s">
        <v>198</v>
      </c>
      <c r="U30" s="28" t="s">
        <v>198</v>
      </c>
      <c r="V30" s="28" t="s">
        <v>199</v>
      </c>
      <c r="W30" s="28" t="s">
        <v>370</v>
      </c>
      <c r="X30" s="28" t="s">
        <v>198</v>
      </c>
      <c r="Y30" s="28" t="s">
        <v>198</v>
      </c>
      <c r="Z30" s="28" t="s">
        <v>198</v>
      </c>
      <c r="AA30" s="28" t="s">
        <v>198</v>
      </c>
      <c r="AB30" s="28" t="s">
        <v>198</v>
      </c>
      <c r="AC30" s="28" t="s">
        <v>199</v>
      </c>
      <c r="AD30" s="28" t="s">
        <v>198</v>
      </c>
      <c r="AE30" s="28" t="s">
        <v>370</v>
      </c>
      <c r="AF30" s="28" t="s">
        <v>198</v>
      </c>
      <c r="AG30" s="28" t="s">
        <v>198</v>
      </c>
      <c r="AH30" s="83" t="s">
        <v>198</v>
      </c>
      <c r="AJ30" s="28" t="s">
        <v>199</v>
      </c>
      <c r="AK30" s="28" t="s">
        <v>199</v>
      </c>
    </row>
    <row r="31" spans="1:37" x14ac:dyDescent="0.25">
      <c r="A31" s="26" t="s">
        <v>176</v>
      </c>
      <c r="B31" s="30">
        <v>0.5</v>
      </c>
      <c r="C31" s="30">
        <v>-0.5</v>
      </c>
      <c r="D31" s="30">
        <v>1</v>
      </c>
      <c r="E31" s="30">
        <f>AVERAGE(0.5,0.5,0.5,1)</f>
        <v>0.625</v>
      </c>
      <c r="F31" s="30">
        <v>0.5</v>
      </c>
      <c r="G31" s="30">
        <v>0.5</v>
      </c>
      <c r="H31" s="30">
        <v>-6</v>
      </c>
      <c r="I31" s="30">
        <v>1</v>
      </c>
      <c r="J31" s="30">
        <v>0.5</v>
      </c>
      <c r="K31" s="30">
        <v>0.5</v>
      </c>
      <c r="L31" s="30">
        <v>0.5</v>
      </c>
      <c r="M31" s="30">
        <v>0.5</v>
      </c>
      <c r="N31" s="30">
        <v>0.5</v>
      </c>
      <c r="O31" s="30">
        <v>0.5</v>
      </c>
      <c r="P31" s="82">
        <v>0</v>
      </c>
      <c r="Q31" s="82">
        <v>0</v>
      </c>
      <c r="R31" s="30">
        <f>4/3</f>
        <v>1.3333333333333333</v>
      </c>
      <c r="S31" s="82">
        <v>0</v>
      </c>
      <c r="T31" s="30">
        <f>AVERAGE(1,1,-0.5)</f>
        <v>0.5</v>
      </c>
      <c r="U31" s="30">
        <v>0.5</v>
      </c>
      <c r="V31" s="30">
        <v>-0.5</v>
      </c>
      <c r="W31" s="30">
        <f>AVERAGE(0.5,-0.5)</f>
        <v>0</v>
      </c>
      <c r="X31" s="30">
        <v>0.5</v>
      </c>
      <c r="Y31" s="30">
        <f>AVERAGE(1,1,1,0.5)</f>
        <v>0.875</v>
      </c>
      <c r="Z31" s="30">
        <v>1</v>
      </c>
      <c r="AA31" s="30">
        <v>1</v>
      </c>
      <c r="AB31" s="30">
        <v>1</v>
      </c>
      <c r="AC31" s="30">
        <v>-0.5</v>
      </c>
      <c r="AD31" s="30">
        <v>1</v>
      </c>
      <c r="AE31" s="30">
        <f>AVERAGE(1,-0.5)</f>
        <v>0.25</v>
      </c>
      <c r="AF31" s="30">
        <v>0.5</v>
      </c>
      <c r="AG31" s="30">
        <f>4/3</f>
        <v>1.3333333333333333</v>
      </c>
      <c r="AH31" s="88">
        <f>4/3</f>
        <v>1.3333333333333333</v>
      </c>
      <c r="AJ31" s="30">
        <v>-0.5</v>
      </c>
      <c r="AK31" s="30">
        <v>-0.5</v>
      </c>
    </row>
    <row r="32" spans="1:37" x14ac:dyDescent="0.25">
      <c r="A32" s="26" t="s">
        <v>177</v>
      </c>
      <c r="B32" s="28" t="s">
        <v>181</v>
      </c>
      <c r="C32" s="28" t="s">
        <v>181</v>
      </c>
      <c r="D32" s="28" t="s">
        <v>181</v>
      </c>
      <c r="E32" s="28" t="s">
        <v>181</v>
      </c>
      <c r="F32" s="28" t="s">
        <v>181</v>
      </c>
      <c r="G32" s="28" t="s">
        <v>181</v>
      </c>
      <c r="H32" s="28" t="s">
        <v>181</v>
      </c>
      <c r="I32" s="28" t="s">
        <v>181</v>
      </c>
      <c r="J32" s="28" t="s">
        <v>181</v>
      </c>
      <c r="K32" s="28" t="s">
        <v>181</v>
      </c>
      <c r="L32" s="28" t="s">
        <v>181</v>
      </c>
      <c r="M32" s="28" t="s">
        <v>181</v>
      </c>
      <c r="N32" s="28" t="s">
        <v>181</v>
      </c>
      <c r="O32" s="28" t="s">
        <v>181</v>
      </c>
      <c r="P32" s="80" t="s">
        <v>341</v>
      </c>
      <c r="Q32" s="80" t="s">
        <v>341</v>
      </c>
      <c r="R32" s="28" t="s">
        <v>181</v>
      </c>
      <c r="S32" s="80" t="s">
        <v>341</v>
      </c>
      <c r="T32" s="28" t="s">
        <v>181</v>
      </c>
      <c r="U32" s="28" t="s">
        <v>181</v>
      </c>
      <c r="V32" s="28" t="s">
        <v>181</v>
      </c>
      <c r="W32" s="28" t="s">
        <v>181</v>
      </c>
      <c r="X32" s="28" t="s">
        <v>181</v>
      </c>
      <c r="Y32" s="28" t="s">
        <v>181</v>
      </c>
      <c r="Z32" s="28" t="s">
        <v>181</v>
      </c>
      <c r="AA32" s="28" t="s">
        <v>181</v>
      </c>
      <c r="AB32" s="28" t="s">
        <v>181</v>
      </c>
      <c r="AC32" s="28" t="s">
        <v>181</v>
      </c>
      <c r="AD32" s="28" t="s">
        <v>181</v>
      </c>
      <c r="AE32" s="28" t="s">
        <v>181</v>
      </c>
      <c r="AF32" s="28" t="s">
        <v>181</v>
      </c>
      <c r="AG32" s="28" t="s">
        <v>181</v>
      </c>
      <c r="AH32" s="83" t="s">
        <v>181</v>
      </c>
      <c r="AJ32" s="28" t="s">
        <v>181</v>
      </c>
      <c r="AK32" s="28" t="s">
        <v>181</v>
      </c>
    </row>
    <row r="33" spans="1:37" x14ac:dyDescent="0.25">
      <c r="A33" s="26" t="s">
        <v>182</v>
      </c>
      <c r="B33" s="30">
        <v>2</v>
      </c>
      <c r="C33" s="30">
        <v>2</v>
      </c>
      <c r="D33" s="30">
        <v>2</v>
      </c>
      <c r="E33" s="30">
        <v>2</v>
      </c>
      <c r="F33" s="30">
        <v>2</v>
      </c>
      <c r="G33" s="30">
        <v>2</v>
      </c>
      <c r="H33" s="30">
        <v>2</v>
      </c>
      <c r="I33" s="30">
        <v>2</v>
      </c>
      <c r="J33" s="30">
        <v>2</v>
      </c>
      <c r="K33" s="30">
        <v>2</v>
      </c>
      <c r="L33" s="30">
        <v>2</v>
      </c>
      <c r="M33" s="30">
        <v>2</v>
      </c>
      <c r="N33" s="30">
        <v>2</v>
      </c>
      <c r="O33" s="30">
        <v>2</v>
      </c>
      <c r="P33" s="82">
        <v>0</v>
      </c>
      <c r="Q33" s="82">
        <v>0</v>
      </c>
      <c r="R33" s="30">
        <v>2</v>
      </c>
      <c r="S33" s="82">
        <v>0</v>
      </c>
      <c r="T33" s="30">
        <v>2</v>
      </c>
      <c r="U33" s="30">
        <v>2</v>
      </c>
      <c r="V33" s="30">
        <v>2</v>
      </c>
      <c r="W33" s="30">
        <v>2</v>
      </c>
      <c r="X33" s="30">
        <v>2</v>
      </c>
      <c r="Y33" s="30">
        <v>2</v>
      </c>
      <c r="Z33" s="30">
        <v>2</v>
      </c>
      <c r="AA33" s="30">
        <v>2</v>
      </c>
      <c r="AB33" s="30">
        <v>2</v>
      </c>
      <c r="AC33" s="30">
        <v>2</v>
      </c>
      <c r="AD33" s="30">
        <v>2</v>
      </c>
      <c r="AE33" s="30">
        <v>2</v>
      </c>
      <c r="AF33" s="30">
        <v>2</v>
      </c>
      <c r="AG33" s="30">
        <v>2</v>
      </c>
      <c r="AH33" s="88">
        <v>2</v>
      </c>
      <c r="AJ33" s="30">
        <v>2</v>
      </c>
      <c r="AK33" s="30">
        <v>2</v>
      </c>
    </row>
    <row r="35" spans="1:37" x14ac:dyDescent="0.25">
      <c r="A35" s="26" t="s">
        <v>159</v>
      </c>
      <c r="B35" s="28" t="s">
        <v>191</v>
      </c>
      <c r="C35" s="28" t="s">
        <v>192</v>
      </c>
      <c r="D35" s="28" t="s">
        <v>192</v>
      </c>
      <c r="E35" s="28" t="s">
        <v>192</v>
      </c>
      <c r="F35" s="28" t="s">
        <v>192</v>
      </c>
      <c r="G35" s="28" t="s">
        <v>192</v>
      </c>
      <c r="H35" s="28" t="s">
        <v>192</v>
      </c>
      <c r="I35" s="28" t="s">
        <v>192</v>
      </c>
      <c r="J35" s="28" t="s">
        <v>192</v>
      </c>
      <c r="K35" s="28" t="s">
        <v>192</v>
      </c>
      <c r="L35" s="28" t="s">
        <v>192</v>
      </c>
      <c r="M35" s="28" t="s">
        <v>192</v>
      </c>
      <c r="N35" s="28" t="s">
        <v>192</v>
      </c>
      <c r="O35" s="28" t="s">
        <v>192</v>
      </c>
      <c r="P35" s="28" t="s">
        <v>192</v>
      </c>
      <c r="Q35" s="28" t="s">
        <v>192</v>
      </c>
      <c r="R35" s="28" t="s">
        <v>192</v>
      </c>
      <c r="S35" s="28" t="s">
        <v>192</v>
      </c>
      <c r="T35" s="28" t="s">
        <v>192</v>
      </c>
      <c r="U35" s="28" t="s">
        <v>192</v>
      </c>
      <c r="V35" s="28" t="s">
        <v>192</v>
      </c>
      <c r="W35" s="28" t="s">
        <v>192</v>
      </c>
      <c r="X35" s="28" t="s">
        <v>192</v>
      </c>
      <c r="Y35" s="28" t="s">
        <v>192</v>
      </c>
      <c r="Z35" s="28" t="s">
        <v>192</v>
      </c>
      <c r="AA35" s="28" t="s">
        <v>192</v>
      </c>
      <c r="AB35" s="28" t="s">
        <v>192</v>
      </c>
      <c r="AC35" s="28" t="s">
        <v>192</v>
      </c>
      <c r="AD35" s="28" t="s">
        <v>192</v>
      </c>
      <c r="AE35" s="28" t="s">
        <v>192</v>
      </c>
      <c r="AF35" s="28" t="s">
        <v>192</v>
      </c>
      <c r="AG35" s="28" t="s">
        <v>192</v>
      </c>
      <c r="AH35" s="28" t="s">
        <v>192</v>
      </c>
      <c r="AJ35" s="28" t="s">
        <v>192</v>
      </c>
      <c r="AK35" s="28" t="s">
        <v>192</v>
      </c>
    </row>
    <row r="36" spans="1:37" ht="15.75" customHeight="1" x14ac:dyDescent="0.25">
      <c r="A36" s="26" t="s">
        <v>165</v>
      </c>
      <c r="B36" s="29" t="s">
        <v>195</v>
      </c>
      <c r="C36" s="29" t="s">
        <v>195</v>
      </c>
      <c r="D36" s="29" t="s">
        <v>195</v>
      </c>
      <c r="E36" s="29" t="s">
        <v>195</v>
      </c>
      <c r="F36" s="29" t="s">
        <v>195</v>
      </c>
      <c r="G36" s="29" t="s">
        <v>195</v>
      </c>
      <c r="H36" s="29" t="s">
        <v>195</v>
      </c>
      <c r="I36" s="29" t="s">
        <v>195</v>
      </c>
      <c r="J36" s="29" t="s">
        <v>195</v>
      </c>
      <c r="K36" s="29" t="s">
        <v>195</v>
      </c>
      <c r="L36" s="29" t="s">
        <v>195</v>
      </c>
      <c r="M36" s="29" t="s">
        <v>195</v>
      </c>
      <c r="N36" s="29" t="s">
        <v>195</v>
      </c>
      <c r="O36" s="29" t="s">
        <v>195</v>
      </c>
      <c r="P36" s="29" t="s">
        <v>195</v>
      </c>
      <c r="Q36" s="29" t="s">
        <v>195</v>
      </c>
      <c r="R36" s="29" t="s">
        <v>195</v>
      </c>
      <c r="S36" s="29" t="s">
        <v>195</v>
      </c>
      <c r="T36" s="29" t="s">
        <v>195</v>
      </c>
      <c r="U36" s="29" t="s">
        <v>195</v>
      </c>
      <c r="V36" s="29" t="s">
        <v>195</v>
      </c>
      <c r="W36" s="29" t="s">
        <v>195</v>
      </c>
      <c r="X36" s="29" t="s">
        <v>195</v>
      </c>
      <c r="Y36" s="29" t="s">
        <v>195</v>
      </c>
      <c r="Z36" s="29" t="s">
        <v>195</v>
      </c>
      <c r="AA36" s="29" t="s">
        <v>195</v>
      </c>
      <c r="AB36" s="29" t="s">
        <v>195</v>
      </c>
      <c r="AC36" s="29" t="s">
        <v>195</v>
      </c>
      <c r="AD36" s="29" t="s">
        <v>195</v>
      </c>
      <c r="AE36" s="29" t="s">
        <v>195</v>
      </c>
      <c r="AF36" s="29" t="s">
        <v>195</v>
      </c>
      <c r="AG36" s="29" t="s">
        <v>195</v>
      </c>
      <c r="AH36" s="29" t="s">
        <v>195</v>
      </c>
      <c r="AJ36" s="29" t="s">
        <v>195</v>
      </c>
      <c r="AK36" s="29" t="s">
        <v>195</v>
      </c>
    </row>
    <row r="37" spans="1:37" x14ac:dyDescent="0.25">
      <c r="A37" s="131" t="s">
        <v>168</v>
      </c>
      <c r="B37" s="132">
        <v>5</v>
      </c>
      <c r="C37" s="132">
        <v>5</v>
      </c>
      <c r="D37" s="132">
        <v>5</v>
      </c>
      <c r="E37" s="132">
        <v>5</v>
      </c>
      <c r="F37" s="132">
        <v>5</v>
      </c>
      <c r="G37" s="132">
        <v>5</v>
      </c>
      <c r="H37" s="132">
        <v>5</v>
      </c>
      <c r="I37" s="132">
        <v>5</v>
      </c>
      <c r="J37" s="132">
        <v>5</v>
      </c>
      <c r="K37" s="132">
        <v>5</v>
      </c>
      <c r="L37" s="132">
        <v>5</v>
      </c>
      <c r="M37" s="132">
        <v>5</v>
      </c>
      <c r="N37" s="132">
        <v>5</v>
      </c>
      <c r="O37" s="132">
        <v>5</v>
      </c>
      <c r="P37" s="132">
        <v>5</v>
      </c>
      <c r="Q37" s="132">
        <v>5</v>
      </c>
      <c r="R37" s="132">
        <v>5</v>
      </c>
      <c r="S37" s="132">
        <v>5</v>
      </c>
      <c r="T37" s="132">
        <v>5</v>
      </c>
      <c r="U37" s="132">
        <v>5</v>
      </c>
      <c r="V37" s="132">
        <v>5</v>
      </c>
      <c r="W37" s="132">
        <v>5</v>
      </c>
      <c r="X37" s="132">
        <v>5</v>
      </c>
      <c r="Y37" s="132">
        <v>5</v>
      </c>
      <c r="Z37" s="132">
        <v>5</v>
      </c>
      <c r="AA37" s="132">
        <v>5</v>
      </c>
      <c r="AB37" s="132">
        <v>5</v>
      </c>
      <c r="AC37" s="132">
        <v>5</v>
      </c>
      <c r="AD37" s="132">
        <v>5</v>
      </c>
      <c r="AE37" s="132">
        <v>5</v>
      </c>
      <c r="AF37" s="132">
        <v>5</v>
      </c>
      <c r="AG37" s="132">
        <v>5</v>
      </c>
      <c r="AH37" s="132">
        <v>5</v>
      </c>
      <c r="AJ37" s="132">
        <v>5</v>
      </c>
      <c r="AK37" s="132">
        <v>5</v>
      </c>
    </row>
    <row r="38" spans="1:37" x14ac:dyDescent="0.25">
      <c r="A38" s="26" t="s">
        <v>169</v>
      </c>
      <c r="B38" s="28" t="s">
        <v>170</v>
      </c>
      <c r="C38" s="28" t="s">
        <v>170</v>
      </c>
      <c r="D38" s="28" t="s">
        <v>170</v>
      </c>
      <c r="E38" s="28" t="s">
        <v>170</v>
      </c>
      <c r="F38" s="28" t="s">
        <v>170</v>
      </c>
      <c r="G38" s="28" t="s">
        <v>170</v>
      </c>
      <c r="H38" s="28" t="s">
        <v>170</v>
      </c>
      <c r="I38" s="28" t="s">
        <v>170</v>
      </c>
      <c r="J38" s="28" t="s">
        <v>170</v>
      </c>
      <c r="K38" s="28" t="s">
        <v>170</v>
      </c>
      <c r="L38" s="28" t="s">
        <v>170</v>
      </c>
      <c r="M38" s="28" t="s">
        <v>170</v>
      </c>
      <c r="N38" s="28" t="s">
        <v>170</v>
      </c>
      <c r="O38" s="28" t="s">
        <v>170</v>
      </c>
      <c r="P38" s="28" t="s">
        <v>170</v>
      </c>
      <c r="Q38" s="28" t="s">
        <v>170</v>
      </c>
      <c r="R38" s="28" t="s">
        <v>170</v>
      </c>
      <c r="S38" s="28" t="s">
        <v>170</v>
      </c>
      <c r="T38" s="28" t="s">
        <v>170</v>
      </c>
      <c r="U38" s="28" t="s">
        <v>170</v>
      </c>
      <c r="V38" s="28" t="s">
        <v>170</v>
      </c>
      <c r="W38" s="28" t="s">
        <v>170</v>
      </c>
      <c r="X38" s="28" t="s">
        <v>170</v>
      </c>
      <c r="Y38" s="28" t="s">
        <v>170</v>
      </c>
      <c r="Z38" s="28" t="s">
        <v>170</v>
      </c>
      <c r="AA38" s="28" t="s">
        <v>170</v>
      </c>
      <c r="AB38" s="28" t="s">
        <v>170</v>
      </c>
      <c r="AC38" s="28" t="s">
        <v>170</v>
      </c>
      <c r="AD38" s="28" t="s">
        <v>170</v>
      </c>
      <c r="AE38" s="28" t="s">
        <v>170</v>
      </c>
      <c r="AF38" s="28" t="s">
        <v>170</v>
      </c>
      <c r="AG38" s="28" t="s">
        <v>170</v>
      </c>
      <c r="AH38" s="28" t="s">
        <v>170</v>
      </c>
      <c r="AJ38" s="28" t="s">
        <v>170</v>
      </c>
      <c r="AK38" s="28" t="s">
        <v>170</v>
      </c>
    </row>
    <row r="39" spans="1:37" x14ac:dyDescent="0.25">
      <c r="A39" s="26" t="s">
        <v>171</v>
      </c>
      <c r="B39" s="28" t="s">
        <v>173</v>
      </c>
      <c r="C39" s="28" t="s">
        <v>173</v>
      </c>
      <c r="D39" s="28" t="s">
        <v>173</v>
      </c>
      <c r="E39" s="28" t="s">
        <v>173</v>
      </c>
      <c r="F39" s="28" t="s">
        <v>173</v>
      </c>
      <c r="G39" s="28" t="s">
        <v>173</v>
      </c>
      <c r="H39" s="28" t="s">
        <v>173</v>
      </c>
      <c r="I39" s="28" t="s">
        <v>173</v>
      </c>
      <c r="J39" s="28" t="s">
        <v>173</v>
      </c>
      <c r="K39" s="28" t="s">
        <v>173</v>
      </c>
      <c r="L39" s="28" t="s">
        <v>173</v>
      </c>
      <c r="M39" s="28" t="s">
        <v>173</v>
      </c>
      <c r="N39" s="28" t="s">
        <v>173</v>
      </c>
      <c r="O39" s="28" t="s">
        <v>173</v>
      </c>
      <c r="P39" s="28" t="s">
        <v>173</v>
      </c>
      <c r="Q39" s="28" t="s">
        <v>173</v>
      </c>
      <c r="R39" s="28" t="s">
        <v>173</v>
      </c>
      <c r="S39" s="28" t="s">
        <v>173</v>
      </c>
      <c r="T39" s="28" t="s">
        <v>173</v>
      </c>
      <c r="U39" s="28" t="s">
        <v>173</v>
      </c>
      <c r="V39" s="28" t="s">
        <v>173</v>
      </c>
      <c r="W39" s="28" t="s">
        <v>173</v>
      </c>
      <c r="X39" s="28" t="s">
        <v>173</v>
      </c>
      <c r="Y39" s="28" t="s">
        <v>173</v>
      </c>
      <c r="Z39" s="28" t="s">
        <v>173</v>
      </c>
      <c r="AA39" s="28" t="s">
        <v>173</v>
      </c>
      <c r="AB39" s="28" t="s">
        <v>173</v>
      </c>
      <c r="AC39" s="28" t="s">
        <v>173</v>
      </c>
      <c r="AD39" s="28" t="s">
        <v>173</v>
      </c>
      <c r="AE39" s="28" t="s">
        <v>173</v>
      </c>
      <c r="AF39" s="28" t="s">
        <v>173</v>
      </c>
      <c r="AG39" s="28" t="s">
        <v>173</v>
      </c>
      <c r="AH39" s="28" t="s">
        <v>173</v>
      </c>
      <c r="AJ39" s="28" t="s">
        <v>173</v>
      </c>
      <c r="AK39" s="28" t="s">
        <v>173</v>
      </c>
    </row>
    <row r="40" spans="1:37" x14ac:dyDescent="0.25">
      <c r="A40" s="26" t="s">
        <v>172</v>
      </c>
      <c r="B40" s="28" t="s">
        <v>173</v>
      </c>
      <c r="C40" s="28" t="s">
        <v>173</v>
      </c>
      <c r="D40" s="28" t="s">
        <v>173</v>
      </c>
      <c r="E40" s="28" t="s">
        <v>173</v>
      </c>
      <c r="F40" s="28" t="s">
        <v>173</v>
      </c>
      <c r="G40" s="28" t="s">
        <v>173</v>
      </c>
      <c r="H40" s="28" t="s">
        <v>173</v>
      </c>
      <c r="I40" s="28" t="s">
        <v>173</v>
      </c>
      <c r="J40" s="28" t="s">
        <v>173</v>
      </c>
      <c r="K40" s="28" t="s">
        <v>173</v>
      </c>
      <c r="L40" s="28" t="s">
        <v>173</v>
      </c>
      <c r="M40" s="28" t="s">
        <v>173</v>
      </c>
      <c r="N40" s="28" t="s">
        <v>173</v>
      </c>
      <c r="O40" s="28" t="s">
        <v>173</v>
      </c>
      <c r="P40" s="28" t="s">
        <v>173</v>
      </c>
      <c r="Q40" s="28" t="s">
        <v>173</v>
      </c>
      <c r="R40" s="28" t="s">
        <v>173</v>
      </c>
      <c r="S40" s="28" t="s">
        <v>173</v>
      </c>
      <c r="T40" s="28" t="s">
        <v>173</v>
      </c>
      <c r="U40" s="28" t="s">
        <v>173</v>
      </c>
      <c r="V40" s="28" t="s">
        <v>173</v>
      </c>
      <c r="W40" s="28" t="s">
        <v>173</v>
      </c>
      <c r="X40" s="28" t="s">
        <v>173</v>
      </c>
      <c r="Y40" s="28" t="s">
        <v>173</v>
      </c>
      <c r="Z40" s="28" t="s">
        <v>173</v>
      </c>
      <c r="AA40" s="28" t="s">
        <v>173</v>
      </c>
      <c r="AB40" s="28" t="s">
        <v>173</v>
      </c>
      <c r="AC40" s="28" t="s">
        <v>173</v>
      </c>
      <c r="AD40" s="28" t="s">
        <v>173</v>
      </c>
      <c r="AE40" s="28" t="s">
        <v>173</v>
      </c>
      <c r="AF40" s="28" t="s">
        <v>173</v>
      </c>
      <c r="AG40" s="28" t="s">
        <v>173</v>
      </c>
      <c r="AH40" s="28" t="s">
        <v>173</v>
      </c>
      <c r="AJ40" s="28" t="s">
        <v>173</v>
      </c>
      <c r="AK40" s="28" t="s">
        <v>173</v>
      </c>
    </row>
    <row r="41" spans="1:37" x14ac:dyDescent="0.25">
      <c r="A41" s="26" t="s">
        <v>174</v>
      </c>
      <c r="B41" s="28" t="s">
        <v>173</v>
      </c>
      <c r="C41" s="28" t="s">
        <v>173</v>
      </c>
      <c r="D41" s="28" t="s">
        <v>173</v>
      </c>
      <c r="E41" s="28" t="s">
        <v>173</v>
      </c>
      <c r="F41" s="28" t="s">
        <v>173</v>
      </c>
      <c r="G41" s="28" t="s">
        <v>173</v>
      </c>
      <c r="H41" s="28" t="s">
        <v>173</v>
      </c>
      <c r="I41" s="28" t="s">
        <v>173</v>
      </c>
      <c r="J41" s="28" t="s">
        <v>173</v>
      </c>
      <c r="K41" s="28" t="s">
        <v>173</v>
      </c>
      <c r="L41" s="28" t="s">
        <v>173</v>
      </c>
      <c r="M41" s="28" t="s">
        <v>173</v>
      </c>
      <c r="N41" s="28" t="s">
        <v>173</v>
      </c>
      <c r="O41" s="28" t="s">
        <v>173</v>
      </c>
      <c r="P41" s="28" t="s">
        <v>173</v>
      </c>
      <c r="Q41" s="28" t="s">
        <v>173</v>
      </c>
      <c r="R41" s="28" t="s">
        <v>173</v>
      </c>
      <c r="S41" s="28" t="s">
        <v>173</v>
      </c>
      <c r="T41" s="28" t="s">
        <v>173</v>
      </c>
      <c r="U41" s="28" t="s">
        <v>173</v>
      </c>
      <c r="V41" s="28" t="s">
        <v>173</v>
      </c>
      <c r="W41" s="28" t="s">
        <v>173</v>
      </c>
      <c r="X41" s="28" t="s">
        <v>173</v>
      </c>
      <c r="Y41" s="28" t="s">
        <v>173</v>
      </c>
      <c r="Z41" s="28" t="s">
        <v>173</v>
      </c>
      <c r="AA41" s="28" t="s">
        <v>173</v>
      </c>
      <c r="AB41" s="28" t="s">
        <v>173</v>
      </c>
      <c r="AC41" s="28" t="s">
        <v>173</v>
      </c>
      <c r="AD41" s="28" t="s">
        <v>173</v>
      </c>
      <c r="AE41" s="28" t="s">
        <v>173</v>
      </c>
      <c r="AF41" s="28" t="s">
        <v>173</v>
      </c>
      <c r="AG41" s="28" t="s">
        <v>173</v>
      </c>
      <c r="AH41" s="28" t="s">
        <v>173</v>
      </c>
      <c r="AJ41" s="28" t="s">
        <v>173</v>
      </c>
      <c r="AK41" s="28" t="s">
        <v>173</v>
      </c>
    </row>
    <row r="42" spans="1:37" x14ac:dyDescent="0.25">
      <c r="A42" s="26" t="s">
        <v>175</v>
      </c>
      <c r="B42" s="28" t="s">
        <v>198</v>
      </c>
      <c r="C42" s="28" t="s">
        <v>198</v>
      </c>
      <c r="D42" s="28" t="s">
        <v>198</v>
      </c>
      <c r="E42" s="28" t="s">
        <v>198</v>
      </c>
      <c r="F42" s="28" t="s">
        <v>198</v>
      </c>
      <c r="G42" s="28" t="s">
        <v>198</v>
      </c>
      <c r="H42" s="28" t="s">
        <v>198</v>
      </c>
      <c r="I42" s="28" t="s">
        <v>198</v>
      </c>
      <c r="J42" s="28" t="s">
        <v>198</v>
      </c>
      <c r="K42" s="28" t="s">
        <v>198</v>
      </c>
      <c r="L42" s="28" t="s">
        <v>198</v>
      </c>
      <c r="M42" s="28" t="s">
        <v>198</v>
      </c>
      <c r="N42" s="28" t="s">
        <v>198</v>
      </c>
      <c r="O42" s="28" t="s">
        <v>198</v>
      </c>
      <c r="P42" s="28" t="s">
        <v>198</v>
      </c>
      <c r="Q42" s="28" t="s">
        <v>198</v>
      </c>
      <c r="R42" s="28" t="s">
        <v>198</v>
      </c>
      <c r="S42" s="28" t="s">
        <v>198</v>
      </c>
      <c r="T42" s="28" t="s">
        <v>198</v>
      </c>
      <c r="U42" s="28" t="s">
        <v>198</v>
      </c>
      <c r="V42" s="28" t="s">
        <v>198</v>
      </c>
      <c r="W42" s="28" t="s">
        <v>198</v>
      </c>
      <c r="X42" s="28" t="s">
        <v>198</v>
      </c>
      <c r="Y42" s="28" t="s">
        <v>198</v>
      </c>
      <c r="Z42" s="28" t="s">
        <v>198</v>
      </c>
      <c r="AA42" s="28" t="s">
        <v>198</v>
      </c>
      <c r="AB42" s="28" t="s">
        <v>198</v>
      </c>
      <c r="AC42" s="28" t="s">
        <v>198</v>
      </c>
      <c r="AD42" s="28" t="s">
        <v>198</v>
      </c>
      <c r="AE42" s="28" t="s">
        <v>198</v>
      </c>
      <c r="AF42" s="28" t="s">
        <v>198</v>
      </c>
      <c r="AG42" s="28" t="s">
        <v>198</v>
      </c>
      <c r="AH42" s="28" t="s">
        <v>198</v>
      </c>
      <c r="AJ42" s="28" t="s">
        <v>198</v>
      </c>
      <c r="AK42" s="28" t="s">
        <v>198</v>
      </c>
    </row>
    <row r="43" spans="1:37" x14ac:dyDescent="0.25">
      <c r="A43" s="26" t="s">
        <v>176</v>
      </c>
      <c r="B43" s="30">
        <f>5/3</f>
        <v>1.6666666666666667</v>
      </c>
      <c r="C43" s="30">
        <f t="shared" ref="C43:O43" si="0">5/3</f>
        <v>1.6666666666666667</v>
      </c>
      <c r="D43" s="30">
        <f t="shared" si="0"/>
        <v>1.6666666666666667</v>
      </c>
      <c r="E43" s="30">
        <f t="shared" si="0"/>
        <v>1.6666666666666667</v>
      </c>
      <c r="F43" s="30">
        <f t="shared" si="0"/>
        <v>1.6666666666666667</v>
      </c>
      <c r="G43" s="30">
        <f t="shared" si="0"/>
        <v>1.6666666666666667</v>
      </c>
      <c r="H43" s="30">
        <f t="shared" si="0"/>
        <v>1.6666666666666667</v>
      </c>
      <c r="I43" s="30">
        <f t="shared" si="0"/>
        <v>1.6666666666666667</v>
      </c>
      <c r="J43" s="30">
        <f t="shared" si="0"/>
        <v>1.6666666666666667</v>
      </c>
      <c r="K43" s="30">
        <f t="shared" si="0"/>
        <v>1.6666666666666667</v>
      </c>
      <c r="L43" s="30">
        <f t="shared" si="0"/>
        <v>1.6666666666666667</v>
      </c>
      <c r="M43" s="30">
        <f t="shared" si="0"/>
        <v>1.6666666666666667</v>
      </c>
      <c r="N43" s="30">
        <f t="shared" si="0"/>
        <v>1.6666666666666667</v>
      </c>
      <c r="O43" s="30">
        <f t="shared" si="0"/>
        <v>1.6666666666666667</v>
      </c>
      <c r="P43" s="30">
        <f t="shared" ref="P43:U43" si="1">5/3</f>
        <v>1.6666666666666667</v>
      </c>
      <c r="Q43" s="30">
        <f t="shared" si="1"/>
        <v>1.6666666666666667</v>
      </c>
      <c r="R43" s="30">
        <f t="shared" si="1"/>
        <v>1.6666666666666667</v>
      </c>
      <c r="S43" s="30">
        <f t="shared" si="1"/>
        <v>1.6666666666666667</v>
      </c>
      <c r="T43" s="30">
        <f t="shared" si="1"/>
        <v>1.6666666666666667</v>
      </c>
      <c r="U43" s="30">
        <f t="shared" si="1"/>
        <v>1.6666666666666667</v>
      </c>
      <c r="V43" s="30">
        <f t="shared" ref="V43:Y43" si="2">5/3</f>
        <v>1.6666666666666667</v>
      </c>
      <c r="W43" s="30">
        <f t="shared" si="2"/>
        <v>1.6666666666666667</v>
      </c>
      <c r="X43" s="30">
        <f t="shared" si="2"/>
        <v>1.6666666666666667</v>
      </c>
      <c r="Y43" s="30">
        <f t="shared" si="2"/>
        <v>1.6666666666666667</v>
      </c>
      <c r="Z43" s="30">
        <f>5/3</f>
        <v>1.6666666666666667</v>
      </c>
      <c r="AA43" s="30">
        <f t="shared" ref="AA43:AD43" si="3">5/3</f>
        <v>1.6666666666666667</v>
      </c>
      <c r="AB43" s="30">
        <f t="shared" si="3"/>
        <v>1.6666666666666667</v>
      </c>
      <c r="AC43" s="30">
        <f t="shared" si="3"/>
        <v>1.6666666666666667</v>
      </c>
      <c r="AD43" s="30">
        <f t="shared" si="3"/>
        <v>1.6666666666666667</v>
      </c>
      <c r="AE43" s="30">
        <f>5/3</f>
        <v>1.6666666666666667</v>
      </c>
      <c r="AF43" s="30">
        <f>5/3</f>
        <v>1.6666666666666667</v>
      </c>
      <c r="AG43" s="30">
        <f>5/3</f>
        <v>1.6666666666666667</v>
      </c>
      <c r="AH43" s="30">
        <f>5/3</f>
        <v>1.6666666666666667</v>
      </c>
      <c r="AJ43" s="30">
        <f t="shared" ref="AJ43:AK43" si="4">5/3</f>
        <v>1.6666666666666667</v>
      </c>
      <c r="AK43" s="30">
        <f t="shared" si="4"/>
        <v>1.6666666666666667</v>
      </c>
    </row>
    <row r="44" spans="1:37" x14ac:dyDescent="0.25">
      <c r="A44" s="26" t="s">
        <v>177</v>
      </c>
      <c r="B44" s="28" t="s">
        <v>178</v>
      </c>
      <c r="C44" s="28" t="s">
        <v>178</v>
      </c>
      <c r="D44" s="28" t="s">
        <v>178</v>
      </c>
      <c r="E44" s="28" t="s">
        <v>178</v>
      </c>
      <c r="F44" s="28" t="s">
        <v>178</v>
      </c>
      <c r="G44" s="28" t="s">
        <v>178</v>
      </c>
      <c r="H44" s="28" t="s">
        <v>178</v>
      </c>
      <c r="I44" s="28" t="s">
        <v>178</v>
      </c>
      <c r="J44" s="28" t="s">
        <v>178</v>
      </c>
      <c r="K44" s="28" t="s">
        <v>178</v>
      </c>
      <c r="L44" s="28" t="s">
        <v>178</v>
      </c>
      <c r="M44" s="28" t="s">
        <v>178</v>
      </c>
      <c r="N44" s="28" t="s">
        <v>178</v>
      </c>
      <c r="O44" s="28" t="s">
        <v>178</v>
      </c>
      <c r="P44" s="28" t="s">
        <v>178</v>
      </c>
      <c r="Q44" s="28" t="s">
        <v>178</v>
      </c>
      <c r="R44" s="28" t="s">
        <v>178</v>
      </c>
      <c r="S44" s="28" t="s">
        <v>178</v>
      </c>
      <c r="T44" s="28" t="s">
        <v>178</v>
      </c>
      <c r="U44" s="28" t="s">
        <v>178</v>
      </c>
      <c r="V44" s="28" t="s">
        <v>178</v>
      </c>
      <c r="W44" s="28" t="s">
        <v>178</v>
      </c>
      <c r="X44" s="28" t="s">
        <v>178</v>
      </c>
      <c r="Y44" s="28" t="s">
        <v>178</v>
      </c>
      <c r="Z44" s="28" t="s">
        <v>178</v>
      </c>
      <c r="AA44" s="28" t="s">
        <v>178</v>
      </c>
      <c r="AB44" s="28" t="s">
        <v>178</v>
      </c>
      <c r="AC44" s="28" t="s">
        <v>178</v>
      </c>
      <c r="AD44" s="28" t="s">
        <v>178</v>
      </c>
      <c r="AE44" s="28" t="s">
        <v>178</v>
      </c>
      <c r="AF44" s="28" t="s">
        <v>178</v>
      </c>
      <c r="AG44" s="28" t="s">
        <v>178</v>
      </c>
      <c r="AH44" s="28" t="s">
        <v>178</v>
      </c>
      <c r="AJ44" s="28" t="s">
        <v>178</v>
      </c>
      <c r="AK44" s="28" t="s">
        <v>178</v>
      </c>
    </row>
    <row r="45" spans="1:37" x14ac:dyDescent="0.25">
      <c r="A45" s="26" t="s">
        <v>182</v>
      </c>
      <c r="B45" s="30">
        <v>4</v>
      </c>
      <c r="C45" s="30">
        <v>4</v>
      </c>
      <c r="D45" s="30">
        <v>4</v>
      </c>
      <c r="E45" s="30">
        <v>4</v>
      </c>
      <c r="F45" s="30">
        <v>4</v>
      </c>
      <c r="G45" s="30">
        <v>4</v>
      </c>
      <c r="H45" s="30">
        <v>4</v>
      </c>
      <c r="I45" s="30">
        <v>4</v>
      </c>
      <c r="J45" s="30">
        <v>4</v>
      </c>
      <c r="K45" s="30">
        <v>4</v>
      </c>
      <c r="L45" s="30">
        <v>4</v>
      </c>
      <c r="M45" s="30">
        <v>4</v>
      </c>
      <c r="N45" s="30">
        <v>4</v>
      </c>
      <c r="O45" s="30">
        <v>4</v>
      </c>
      <c r="P45" s="30">
        <v>4</v>
      </c>
      <c r="Q45" s="30">
        <v>4</v>
      </c>
      <c r="R45" s="30">
        <v>4</v>
      </c>
      <c r="S45" s="30">
        <v>4</v>
      </c>
      <c r="T45" s="30">
        <v>4</v>
      </c>
      <c r="U45" s="30">
        <v>4</v>
      </c>
      <c r="V45" s="30">
        <v>4</v>
      </c>
      <c r="W45" s="30">
        <v>4</v>
      </c>
      <c r="X45" s="30">
        <v>4</v>
      </c>
      <c r="Y45" s="30">
        <v>4</v>
      </c>
      <c r="Z45" s="30">
        <v>4</v>
      </c>
      <c r="AA45" s="30">
        <v>4</v>
      </c>
      <c r="AB45" s="30">
        <v>4</v>
      </c>
      <c r="AC45" s="30">
        <v>4</v>
      </c>
      <c r="AD45" s="30">
        <v>4</v>
      </c>
      <c r="AE45" s="30">
        <v>4</v>
      </c>
      <c r="AF45" s="30">
        <v>4</v>
      </c>
      <c r="AG45" s="30">
        <v>4</v>
      </c>
      <c r="AH45" s="30">
        <v>4</v>
      </c>
      <c r="AJ45" s="30">
        <v>4</v>
      </c>
      <c r="AK45" s="30">
        <v>4</v>
      </c>
    </row>
    <row r="46" spans="1:37" ht="15.75" customHeight="1" x14ac:dyDescent="0.25">
      <c r="AG46" s="223" t="s">
        <v>779</v>
      </c>
      <c r="AH46" s="223"/>
      <c r="AJ46" s="223" t="s">
        <v>780</v>
      </c>
      <c r="AK46" s="223"/>
    </row>
    <row r="47" spans="1:37" x14ac:dyDescent="0.25">
      <c r="A47" s="31" t="s">
        <v>183</v>
      </c>
    </row>
    <row r="48" spans="1:37" x14ac:dyDescent="0.25">
      <c r="A48" s="235" t="s">
        <v>781</v>
      </c>
      <c r="B48" s="56" t="s">
        <v>782</v>
      </c>
    </row>
    <row r="49" spans="1:2" x14ac:dyDescent="0.25">
      <c r="A49" s="235"/>
      <c r="B49" s="93" t="s">
        <v>783</v>
      </c>
    </row>
    <row r="50" spans="1:2" x14ac:dyDescent="0.25">
      <c r="A50" s="235"/>
      <c r="B50" s="93" t="s">
        <v>784</v>
      </c>
    </row>
    <row r="51" spans="1:2" x14ac:dyDescent="0.25">
      <c r="A51" s="235" t="s">
        <v>785</v>
      </c>
      <c r="B51" s="56" t="s">
        <v>782</v>
      </c>
    </row>
    <row r="52" spans="1:2" x14ac:dyDescent="0.25">
      <c r="A52" s="235"/>
      <c r="B52" s="93" t="s">
        <v>783</v>
      </c>
    </row>
    <row r="53" spans="1:2" x14ac:dyDescent="0.25">
      <c r="A53" s="235"/>
      <c r="B53" s="93" t="s">
        <v>786</v>
      </c>
    </row>
    <row r="54" spans="1:2" x14ac:dyDescent="0.25">
      <c r="A54" s="235"/>
      <c r="B54" s="93" t="s">
        <v>787</v>
      </c>
    </row>
  </sheetData>
  <mergeCells count="9">
    <mergeCell ref="F3:O3"/>
    <mergeCell ref="F4:O5"/>
    <mergeCell ref="A51:A54"/>
    <mergeCell ref="A48:A50"/>
    <mergeCell ref="AJ46:AK46"/>
    <mergeCell ref="B3:D3"/>
    <mergeCell ref="B4:D4"/>
    <mergeCell ref="B5:D5"/>
    <mergeCell ref="AG46:AH46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4A23F-B28A-47F2-8989-62F1F86C604F}">
  <dimension ref="A1:AH50"/>
  <sheetViews>
    <sheetView topLeftCell="A3" workbookViewId="0">
      <selection activeCell="E25" sqref="E25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117</v>
      </c>
      <c r="I1" s="25" t="s">
        <v>549</v>
      </c>
    </row>
    <row r="3" spans="1:34" ht="18" x14ac:dyDescent="0.25">
      <c r="A3" s="25" t="s">
        <v>119</v>
      </c>
      <c r="B3" s="215">
        <v>48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777</v>
      </c>
      <c r="C4" s="215"/>
      <c r="D4" s="215"/>
      <c r="F4" s="216" t="s">
        <v>788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125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67" t="s">
        <v>140</v>
      </c>
      <c r="Q7" s="67" t="s">
        <v>141</v>
      </c>
      <c r="R7" s="66" t="s">
        <v>142</v>
      </c>
      <c r="S7" s="68" t="s">
        <v>143</v>
      </c>
      <c r="T7" s="69" t="s">
        <v>144</v>
      </c>
      <c r="U7" s="69" t="s">
        <v>145</v>
      </c>
      <c r="V7" s="70" t="s">
        <v>146</v>
      </c>
      <c r="W7" s="70" t="s">
        <v>147</v>
      </c>
      <c r="X7" s="71" t="s">
        <v>148</v>
      </c>
      <c r="Y7" s="71" t="s">
        <v>149</v>
      </c>
      <c r="Z7" s="72" t="s">
        <v>150</v>
      </c>
      <c r="AA7" s="72" t="s">
        <v>151</v>
      </c>
      <c r="AB7" s="73" t="s">
        <v>152</v>
      </c>
      <c r="AC7" s="73" t="s">
        <v>153</v>
      </c>
      <c r="AD7" s="73" t="s">
        <v>154</v>
      </c>
      <c r="AE7" s="74" t="s">
        <v>155</v>
      </c>
      <c r="AF7" s="75" t="s">
        <v>156</v>
      </c>
      <c r="AG7" s="76" t="s">
        <v>157</v>
      </c>
      <c r="AH7" s="76" t="s">
        <v>158</v>
      </c>
    </row>
    <row r="8" spans="1:34" x14ac:dyDescent="0.25">
      <c r="A8" s="26" t="s">
        <v>159</v>
      </c>
      <c r="B8" s="199"/>
      <c r="C8" s="83" t="s">
        <v>744</v>
      </c>
      <c r="D8" s="28" t="s">
        <v>744</v>
      </c>
      <c r="E8" s="28" t="s">
        <v>744</v>
      </c>
      <c r="F8" s="28" t="s">
        <v>744</v>
      </c>
      <c r="G8" s="28" t="s">
        <v>744</v>
      </c>
      <c r="H8" s="86" t="s">
        <v>744</v>
      </c>
      <c r="I8" s="28" t="s">
        <v>744</v>
      </c>
      <c r="J8" s="28" t="s">
        <v>744</v>
      </c>
      <c r="K8" s="28" t="s">
        <v>744</v>
      </c>
      <c r="L8" s="28" t="s">
        <v>744</v>
      </c>
      <c r="M8" s="28" t="s">
        <v>744</v>
      </c>
      <c r="N8" s="28" t="s">
        <v>744</v>
      </c>
      <c r="O8" s="86" t="s">
        <v>744</v>
      </c>
      <c r="P8" s="28" t="s">
        <v>745</v>
      </c>
      <c r="Q8" s="28" t="s">
        <v>745</v>
      </c>
      <c r="R8" s="80" t="s">
        <v>341</v>
      </c>
      <c r="S8" s="28" t="s">
        <v>746</v>
      </c>
      <c r="T8" s="80" t="s">
        <v>341</v>
      </c>
      <c r="U8" s="80" t="s">
        <v>341</v>
      </c>
      <c r="V8" s="80" t="s">
        <v>341</v>
      </c>
      <c r="W8" s="80" t="s">
        <v>341</v>
      </c>
      <c r="X8" s="28" t="s">
        <v>556</v>
      </c>
      <c r="Y8" s="80" t="s">
        <v>341</v>
      </c>
      <c r="Z8" s="80" t="s">
        <v>341</v>
      </c>
      <c r="AA8" s="80" t="s">
        <v>341</v>
      </c>
      <c r="AB8" s="80" t="s">
        <v>341</v>
      </c>
      <c r="AC8" s="80" t="s">
        <v>341</v>
      </c>
      <c r="AD8" s="80" t="s">
        <v>341</v>
      </c>
      <c r="AE8" s="80" t="s">
        <v>341</v>
      </c>
      <c r="AF8" s="80" t="s">
        <v>341</v>
      </c>
      <c r="AG8" s="80" t="s">
        <v>341</v>
      </c>
      <c r="AH8" s="80" t="s">
        <v>341</v>
      </c>
    </row>
    <row r="9" spans="1:34" ht="15.75" customHeight="1" x14ac:dyDescent="0.25">
      <c r="A9" s="26" t="s">
        <v>165</v>
      </c>
      <c r="B9" s="200"/>
      <c r="C9" s="29" t="s">
        <v>556</v>
      </c>
      <c r="D9" s="28" t="s">
        <v>747</v>
      </c>
      <c r="E9" s="28" t="s">
        <v>748</v>
      </c>
      <c r="F9" s="28" t="s">
        <v>748</v>
      </c>
      <c r="G9" s="29" t="s">
        <v>749</v>
      </c>
      <c r="H9" s="91" t="s">
        <v>750</v>
      </c>
      <c r="I9" s="28" t="s">
        <v>749</v>
      </c>
      <c r="J9" s="28" t="s">
        <v>749</v>
      </c>
      <c r="K9" s="28" t="s">
        <v>751</v>
      </c>
      <c r="L9" s="28" t="s">
        <v>749</v>
      </c>
      <c r="M9" s="28" t="s">
        <v>752</v>
      </c>
      <c r="N9" s="28" t="s">
        <v>744</v>
      </c>
      <c r="O9" s="86" t="s">
        <v>744</v>
      </c>
      <c r="P9" s="28" t="s">
        <v>744</v>
      </c>
      <c r="Q9" s="28" t="s">
        <v>744</v>
      </c>
      <c r="R9" s="80" t="s">
        <v>341</v>
      </c>
      <c r="S9" s="28" t="s">
        <v>749</v>
      </c>
      <c r="T9" s="80" t="s">
        <v>341</v>
      </c>
      <c r="U9" s="80" t="s">
        <v>341</v>
      </c>
      <c r="V9" s="80" t="s">
        <v>341</v>
      </c>
      <c r="W9" s="80" t="s">
        <v>341</v>
      </c>
      <c r="X9" s="28" t="s">
        <v>556</v>
      </c>
      <c r="Y9" s="80" t="s">
        <v>341</v>
      </c>
      <c r="Z9" s="80" t="s">
        <v>341</v>
      </c>
      <c r="AA9" s="80" t="s">
        <v>341</v>
      </c>
      <c r="AB9" s="80" t="s">
        <v>341</v>
      </c>
      <c r="AC9" s="80" t="s">
        <v>341</v>
      </c>
      <c r="AD9" s="80" t="s">
        <v>341</v>
      </c>
      <c r="AE9" s="80" t="s">
        <v>341</v>
      </c>
      <c r="AF9" s="80" t="s">
        <v>341</v>
      </c>
      <c r="AG9" s="80" t="s">
        <v>341</v>
      </c>
      <c r="AH9" s="80" t="s">
        <v>341</v>
      </c>
    </row>
    <row r="10" spans="1:34" x14ac:dyDescent="0.25">
      <c r="A10" s="131" t="s">
        <v>168</v>
      </c>
      <c r="B10" s="198"/>
      <c r="C10" s="157">
        <v>501</v>
      </c>
      <c r="D10" s="157">
        <v>502</v>
      </c>
      <c r="E10" s="157">
        <v>508</v>
      </c>
      <c r="F10" s="157">
        <v>508</v>
      </c>
      <c r="G10" s="157">
        <v>504</v>
      </c>
      <c r="H10" s="161">
        <v>550</v>
      </c>
      <c r="I10" s="157">
        <v>504</v>
      </c>
      <c r="J10" s="157">
        <v>504</v>
      </c>
      <c r="K10" s="157">
        <v>515</v>
      </c>
      <c r="L10" s="157">
        <v>504</v>
      </c>
      <c r="M10" s="157">
        <v>514</v>
      </c>
      <c r="N10" s="157">
        <v>503</v>
      </c>
      <c r="O10" s="161">
        <v>503</v>
      </c>
      <c r="P10" s="157">
        <v>503</v>
      </c>
      <c r="Q10" s="157">
        <v>503</v>
      </c>
      <c r="R10" s="198"/>
      <c r="S10" s="157">
        <v>504</v>
      </c>
      <c r="T10" s="198"/>
      <c r="U10" s="198"/>
      <c r="V10" s="198"/>
      <c r="W10" s="198"/>
      <c r="X10" s="157">
        <v>501</v>
      </c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</row>
    <row r="11" spans="1:34" x14ac:dyDescent="0.25">
      <c r="A11" s="26" t="s">
        <v>753</v>
      </c>
      <c r="B11" s="199"/>
      <c r="C11" s="28" t="s">
        <v>173</v>
      </c>
      <c r="D11" s="28" t="s">
        <v>173</v>
      </c>
      <c r="E11" s="28" t="s">
        <v>173</v>
      </c>
      <c r="F11" s="28" t="s">
        <v>173</v>
      </c>
      <c r="G11" s="28" t="s">
        <v>173</v>
      </c>
      <c r="H11" s="86" t="s">
        <v>173</v>
      </c>
      <c r="I11" s="28" t="s">
        <v>173</v>
      </c>
      <c r="J11" s="28" t="s">
        <v>173</v>
      </c>
      <c r="K11" s="28" t="s">
        <v>173</v>
      </c>
      <c r="L11" s="28" t="s">
        <v>173</v>
      </c>
      <c r="M11" s="28" t="s">
        <v>173</v>
      </c>
      <c r="N11" s="28" t="s">
        <v>173</v>
      </c>
      <c r="O11" s="86" t="s">
        <v>173</v>
      </c>
      <c r="P11" s="28" t="s">
        <v>173</v>
      </c>
      <c r="Q11" s="28" t="s">
        <v>173</v>
      </c>
      <c r="R11" s="80" t="s">
        <v>173</v>
      </c>
      <c r="S11" s="28" t="s">
        <v>173</v>
      </c>
      <c r="T11" s="80" t="s">
        <v>173</v>
      </c>
      <c r="U11" s="80" t="s">
        <v>173</v>
      </c>
      <c r="V11" s="80" t="s">
        <v>173</v>
      </c>
      <c r="W11" s="80" t="s">
        <v>173</v>
      </c>
      <c r="X11" s="28" t="s">
        <v>173</v>
      </c>
      <c r="Y11" s="80" t="s">
        <v>173</v>
      </c>
      <c r="Z11" s="80" t="s">
        <v>173</v>
      </c>
      <c r="AA11" s="80" t="s">
        <v>173</v>
      </c>
      <c r="AB11" s="80" t="s">
        <v>173</v>
      </c>
      <c r="AC11" s="80" t="s">
        <v>173</v>
      </c>
      <c r="AD11" s="80" t="s">
        <v>173</v>
      </c>
      <c r="AE11" s="80" t="s">
        <v>173</v>
      </c>
      <c r="AF11" s="80" t="s">
        <v>173</v>
      </c>
      <c r="AG11" s="80" t="s">
        <v>173</v>
      </c>
      <c r="AH11" s="80" t="s">
        <v>173</v>
      </c>
    </row>
    <row r="12" spans="1:34" x14ac:dyDescent="0.25">
      <c r="A12" s="26" t="s">
        <v>754</v>
      </c>
      <c r="B12" s="199"/>
      <c r="C12" s="28" t="s">
        <v>173</v>
      </c>
      <c r="D12" s="28" t="s">
        <v>173</v>
      </c>
      <c r="E12" s="28" t="s">
        <v>173</v>
      </c>
      <c r="F12" s="28" t="s">
        <v>173</v>
      </c>
      <c r="G12" s="28" t="s">
        <v>173</v>
      </c>
      <c r="H12" s="86" t="s">
        <v>173</v>
      </c>
      <c r="I12" s="28" t="s">
        <v>173</v>
      </c>
      <c r="J12" s="28" t="s">
        <v>173</v>
      </c>
      <c r="K12" s="28" t="s">
        <v>173</v>
      </c>
      <c r="L12" s="28" t="s">
        <v>173</v>
      </c>
      <c r="M12" s="28" t="s">
        <v>173</v>
      </c>
      <c r="N12" s="28" t="s">
        <v>173</v>
      </c>
      <c r="O12" s="86" t="s">
        <v>173</v>
      </c>
      <c r="P12" s="28" t="s">
        <v>173</v>
      </c>
      <c r="Q12" s="28" t="s">
        <v>173</v>
      </c>
      <c r="R12" s="80" t="s">
        <v>173</v>
      </c>
      <c r="S12" s="28" t="s">
        <v>173</v>
      </c>
      <c r="T12" s="80" t="s">
        <v>173</v>
      </c>
      <c r="U12" s="80" t="s">
        <v>173</v>
      </c>
      <c r="V12" s="80" t="s">
        <v>173</v>
      </c>
      <c r="W12" s="80" t="s">
        <v>173</v>
      </c>
      <c r="X12" s="28" t="s">
        <v>173</v>
      </c>
      <c r="Y12" s="80" t="s">
        <v>173</v>
      </c>
      <c r="Z12" s="80" t="s">
        <v>173</v>
      </c>
      <c r="AA12" s="80" t="s">
        <v>173</v>
      </c>
      <c r="AB12" s="80" t="s">
        <v>173</v>
      </c>
      <c r="AC12" s="80" t="s">
        <v>173</v>
      </c>
      <c r="AD12" s="80" t="s">
        <v>173</v>
      </c>
      <c r="AE12" s="80" t="s">
        <v>173</v>
      </c>
      <c r="AF12" s="80" t="s">
        <v>173</v>
      </c>
      <c r="AG12" s="80" t="s">
        <v>173</v>
      </c>
      <c r="AH12" s="80" t="s">
        <v>173</v>
      </c>
    </row>
    <row r="13" spans="1:34" x14ac:dyDescent="0.25">
      <c r="A13" s="26" t="s">
        <v>755</v>
      </c>
      <c r="B13" s="199"/>
      <c r="C13" s="28" t="s">
        <v>170</v>
      </c>
      <c r="D13" s="28" t="s">
        <v>170</v>
      </c>
      <c r="E13" s="28" t="s">
        <v>170</v>
      </c>
      <c r="F13" s="28" t="s">
        <v>170</v>
      </c>
      <c r="G13" s="28" t="s">
        <v>170</v>
      </c>
      <c r="H13" s="86" t="s">
        <v>170</v>
      </c>
      <c r="I13" s="28" t="s">
        <v>170</v>
      </c>
      <c r="J13" s="28" t="s">
        <v>170</v>
      </c>
      <c r="K13" s="28" t="s">
        <v>170</v>
      </c>
      <c r="L13" s="28" t="s">
        <v>170</v>
      </c>
      <c r="M13" s="28" t="s">
        <v>170</v>
      </c>
      <c r="N13" s="28" t="s">
        <v>170</v>
      </c>
      <c r="O13" s="86" t="s">
        <v>170</v>
      </c>
      <c r="P13" s="28" t="s">
        <v>170</v>
      </c>
      <c r="Q13" s="28" t="s">
        <v>170</v>
      </c>
      <c r="R13" s="80" t="s">
        <v>173</v>
      </c>
      <c r="S13" s="28" t="s">
        <v>170</v>
      </c>
      <c r="T13" s="80" t="s">
        <v>173</v>
      </c>
      <c r="U13" s="80" t="s">
        <v>173</v>
      </c>
      <c r="V13" s="80" t="s">
        <v>173</v>
      </c>
      <c r="W13" s="80" t="s">
        <v>173</v>
      </c>
      <c r="X13" s="28" t="s">
        <v>170</v>
      </c>
      <c r="Y13" s="80" t="s">
        <v>173</v>
      </c>
      <c r="Z13" s="80" t="s">
        <v>173</v>
      </c>
      <c r="AA13" s="80" t="s">
        <v>173</v>
      </c>
      <c r="AB13" s="80" t="s">
        <v>173</v>
      </c>
      <c r="AC13" s="80" t="s">
        <v>173</v>
      </c>
      <c r="AD13" s="80" t="s">
        <v>173</v>
      </c>
      <c r="AE13" s="80" t="s">
        <v>173</v>
      </c>
      <c r="AF13" s="80" t="s">
        <v>173</v>
      </c>
      <c r="AG13" s="80" t="s">
        <v>173</v>
      </c>
      <c r="AH13" s="80" t="s">
        <v>173</v>
      </c>
    </row>
    <row r="14" spans="1:34" x14ac:dyDescent="0.25">
      <c r="A14" s="26" t="s">
        <v>756</v>
      </c>
      <c r="B14" s="199"/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86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86" t="s">
        <v>173</v>
      </c>
      <c r="P14" s="28" t="s">
        <v>173</v>
      </c>
      <c r="Q14" s="28" t="s">
        <v>173</v>
      </c>
      <c r="R14" s="80" t="s">
        <v>173</v>
      </c>
      <c r="S14" s="28" t="s">
        <v>173</v>
      </c>
      <c r="T14" s="80" t="s">
        <v>173</v>
      </c>
      <c r="U14" s="80" t="s">
        <v>173</v>
      </c>
      <c r="V14" s="80" t="s">
        <v>173</v>
      </c>
      <c r="W14" s="80" t="s">
        <v>173</v>
      </c>
      <c r="X14" s="28" t="s">
        <v>173</v>
      </c>
      <c r="Y14" s="80" t="s">
        <v>173</v>
      </c>
      <c r="Z14" s="80" t="s">
        <v>173</v>
      </c>
      <c r="AA14" s="80" t="s">
        <v>173</v>
      </c>
      <c r="AB14" s="80" t="s">
        <v>173</v>
      </c>
      <c r="AC14" s="80" t="s">
        <v>173</v>
      </c>
      <c r="AD14" s="80" t="s">
        <v>173</v>
      </c>
      <c r="AE14" s="80" t="s">
        <v>173</v>
      </c>
      <c r="AF14" s="80" t="s">
        <v>173</v>
      </c>
      <c r="AG14" s="80" t="s">
        <v>173</v>
      </c>
      <c r="AH14" s="80" t="s">
        <v>173</v>
      </c>
    </row>
    <row r="15" spans="1:34" x14ac:dyDescent="0.25">
      <c r="A15" s="26" t="s">
        <v>757</v>
      </c>
      <c r="B15" s="199"/>
      <c r="C15" s="28" t="s">
        <v>173</v>
      </c>
      <c r="D15" s="28" t="s">
        <v>173</v>
      </c>
      <c r="E15" s="28" t="s">
        <v>173</v>
      </c>
      <c r="F15" s="28" t="s">
        <v>173</v>
      </c>
      <c r="G15" s="28" t="s">
        <v>173</v>
      </c>
      <c r="H15" s="86" t="s">
        <v>173</v>
      </c>
      <c r="I15" s="28" t="s">
        <v>173</v>
      </c>
      <c r="J15" s="28" t="s">
        <v>173</v>
      </c>
      <c r="K15" s="28" t="s">
        <v>173</v>
      </c>
      <c r="L15" s="28" t="s">
        <v>173</v>
      </c>
      <c r="M15" s="28" t="s">
        <v>173</v>
      </c>
      <c r="N15" s="28" t="s">
        <v>173</v>
      </c>
      <c r="O15" s="86" t="s">
        <v>173</v>
      </c>
      <c r="P15" s="28" t="s">
        <v>173</v>
      </c>
      <c r="Q15" s="28" t="s">
        <v>173</v>
      </c>
      <c r="R15" s="80" t="s">
        <v>173</v>
      </c>
      <c r="S15" s="28" t="s">
        <v>173</v>
      </c>
      <c r="T15" s="80" t="s">
        <v>173</v>
      </c>
      <c r="U15" s="80" t="s">
        <v>173</v>
      </c>
      <c r="V15" s="80" t="s">
        <v>173</v>
      </c>
      <c r="W15" s="80" t="s">
        <v>173</v>
      </c>
      <c r="X15" s="28" t="s">
        <v>173</v>
      </c>
      <c r="Y15" s="80" t="s">
        <v>173</v>
      </c>
      <c r="Z15" s="80" t="s">
        <v>173</v>
      </c>
      <c r="AA15" s="80" t="s">
        <v>173</v>
      </c>
      <c r="AB15" s="80" t="s">
        <v>173</v>
      </c>
      <c r="AC15" s="80" t="s">
        <v>173</v>
      </c>
      <c r="AD15" s="80" t="s">
        <v>173</v>
      </c>
      <c r="AE15" s="80" t="s">
        <v>173</v>
      </c>
      <c r="AF15" s="80" t="s">
        <v>173</v>
      </c>
      <c r="AG15" s="80" t="s">
        <v>173</v>
      </c>
      <c r="AH15" s="80" t="s">
        <v>173</v>
      </c>
    </row>
    <row r="16" spans="1:34" x14ac:dyDescent="0.25">
      <c r="A16" s="26" t="s">
        <v>758</v>
      </c>
      <c r="B16" s="199"/>
      <c r="C16" s="28" t="s">
        <v>173</v>
      </c>
      <c r="D16" s="28" t="s">
        <v>173</v>
      </c>
      <c r="E16" s="28" t="s">
        <v>173</v>
      </c>
      <c r="F16" s="28" t="s">
        <v>173</v>
      </c>
      <c r="G16" s="28" t="s">
        <v>173</v>
      </c>
      <c r="H16" s="28" t="s">
        <v>173</v>
      </c>
      <c r="I16" s="28" t="s">
        <v>173</v>
      </c>
      <c r="J16" s="28" t="s">
        <v>173</v>
      </c>
      <c r="K16" s="28" t="s">
        <v>173</v>
      </c>
      <c r="L16" s="28" t="s">
        <v>173</v>
      </c>
      <c r="M16" s="28" t="s">
        <v>173</v>
      </c>
      <c r="N16" s="28" t="s">
        <v>173</v>
      </c>
      <c r="O16" s="86" t="s">
        <v>173</v>
      </c>
      <c r="P16" s="28" t="s">
        <v>173</v>
      </c>
      <c r="Q16" s="28" t="s">
        <v>173</v>
      </c>
      <c r="R16" s="80" t="s">
        <v>173</v>
      </c>
      <c r="S16" s="28" t="s">
        <v>173</v>
      </c>
      <c r="T16" s="80" t="s">
        <v>173</v>
      </c>
      <c r="U16" s="80" t="s">
        <v>173</v>
      </c>
      <c r="V16" s="80" t="s">
        <v>173</v>
      </c>
      <c r="W16" s="80" t="s">
        <v>173</v>
      </c>
      <c r="X16" s="28" t="s">
        <v>173</v>
      </c>
      <c r="Y16" s="80" t="s">
        <v>173</v>
      </c>
      <c r="Z16" s="80" t="s">
        <v>173</v>
      </c>
      <c r="AA16" s="80" t="s">
        <v>173</v>
      </c>
      <c r="AB16" s="80" t="s">
        <v>173</v>
      </c>
      <c r="AC16" s="80" t="s">
        <v>173</v>
      </c>
      <c r="AD16" s="80" t="s">
        <v>173</v>
      </c>
      <c r="AE16" s="80" t="s">
        <v>173</v>
      </c>
      <c r="AF16" s="80" t="s">
        <v>173</v>
      </c>
      <c r="AG16" s="80" t="s">
        <v>173</v>
      </c>
      <c r="AH16" s="80" t="s">
        <v>173</v>
      </c>
    </row>
    <row r="17" spans="1:34" ht="15.75" customHeight="1" x14ac:dyDescent="0.25">
      <c r="A17" s="26" t="s">
        <v>759</v>
      </c>
      <c r="B17" s="201"/>
      <c r="C17" s="30" t="s">
        <v>760</v>
      </c>
      <c r="D17" s="30" t="s">
        <v>760</v>
      </c>
      <c r="E17" s="28" t="s">
        <v>760</v>
      </c>
      <c r="F17" s="28" t="s">
        <v>760</v>
      </c>
      <c r="G17" s="30" t="s">
        <v>760</v>
      </c>
      <c r="H17" s="92" t="s">
        <v>760</v>
      </c>
      <c r="I17" s="30" t="s">
        <v>760</v>
      </c>
      <c r="J17" s="30" t="s">
        <v>760</v>
      </c>
      <c r="K17" s="30" t="s">
        <v>760</v>
      </c>
      <c r="L17" s="30" t="s">
        <v>760</v>
      </c>
      <c r="M17" s="30" t="s">
        <v>760</v>
      </c>
      <c r="N17" s="30" t="s">
        <v>760</v>
      </c>
      <c r="O17" s="92" t="s">
        <v>760</v>
      </c>
      <c r="P17" s="30" t="s">
        <v>761</v>
      </c>
      <c r="Q17" s="30" t="s">
        <v>761</v>
      </c>
      <c r="R17" s="80" t="s">
        <v>341</v>
      </c>
      <c r="S17" s="30" t="s">
        <v>760</v>
      </c>
      <c r="T17" s="80" t="s">
        <v>341</v>
      </c>
      <c r="U17" s="80" t="s">
        <v>341</v>
      </c>
      <c r="V17" s="80" t="s">
        <v>341</v>
      </c>
      <c r="W17" s="80" t="s">
        <v>341</v>
      </c>
      <c r="X17" s="28" t="s">
        <v>760</v>
      </c>
      <c r="Y17" s="80" t="s">
        <v>341</v>
      </c>
      <c r="Z17" s="80" t="s">
        <v>341</v>
      </c>
      <c r="AA17" s="80" t="s">
        <v>341</v>
      </c>
      <c r="AB17" s="80" t="s">
        <v>341</v>
      </c>
      <c r="AC17" s="80" t="s">
        <v>341</v>
      </c>
      <c r="AD17" s="80" t="s">
        <v>341</v>
      </c>
      <c r="AE17" s="80" t="s">
        <v>341</v>
      </c>
      <c r="AF17" s="80" t="s">
        <v>341</v>
      </c>
      <c r="AG17" s="80" t="s">
        <v>341</v>
      </c>
      <c r="AH17" s="80" t="s">
        <v>341</v>
      </c>
    </row>
    <row r="18" spans="1:34" x14ac:dyDescent="0.25">
      <c r="A18" s="26" t="s">
        <v>762</v>
      </c>
      <c r="B18" s="201"/>
      <c r="C18" s="28" t="s">
        <v>763</v>
      </c>
      <c r="D18" s="28" t="s">
        <v>763</v>
      </c>
      <c r="E18" s="28" t="s">
        <v>763</v>
      </c>
      <c r="F18" s="28" t="s">
        <v>763</v>
      </c>
      <c r="G18" s="30" t="s">
        <v>764</v>
      </c>
      <c r="H18" s="92" t="s">
        <v>764</v>
      </c>
      <c r="I18" s="30" t="s">
        <v>764</v>
      </c>
      <c r="J18" s="30" t="s">
        <v>764</v>
      </c>
      <c r="K18" s="30" t="s">
        <v>764</v>
      </c>
      <c r="L18" s="30" t="s">
        <v>764</v>
      </c>
      <c r="M18" s="30" t="s">
        <v>764</v>
      </c>
      <c r="N18" s="28" t="s">
        <v>764</v>
      </c>
      <c r="O18" s="86" t="s">
        <v>764</v>
      </c>
      <c r="P18" s="28" t="s">
        <v>764</v>
      </c>
      <c r="Q18" s="28" t="s">
        <v>764</v>
      </c>
      <c r="R18" s="82" t="s">
        <v>764</v>
      </c>
      <c r="S18" s="30" t="s">
        <v>764</v>
      </c>
      <c r="T18" s="82" t="s">
        <v>764</v>
      </c>
      <c r="U18" s="82" t="s">
        <v>764</v>
      </c>
      <c r="V18" s="82" t="s">
        <v>764</v>
      </c>
      <c r="W18" s="82" t="s">
        <v>764</v>
      </c>
      <c r="X18" s="28" t="s">
        <v>763</v>
      </c>
      <c r="Y18" s="82" t="s">
        <v>764</v>
      </c>
      <c r="Z18" s="82" t="s">
        <v>764</v>
      </c>
      <c r="AA18" s="82" t="s">
        <v>764</v>
      </c>
      <c r="AB18" s="82" t="s">
        <v>764</v>
      </c>
      <c r="AC18" s="82" t="s">
        <v>764</v>
      </c>
      <c r="AD18" s="82" t="s">
        <v>764</v>
      </c>
      <c r="AE18" s="82" t="s">
        <v>764</v>
      </c>
      <c r="AF18" s="82" t="s">
        <v>764</v>
      </c>
      <c r="AG18" s="82" t="s">
        <v>764</v>
      </c>
      <c r="AH18" s="82" t="s">
        <v>764</v>
      </c>
    </row>
    <row r="19" spans="1:34" x14ac:dyDescent="0.25">
      <c r="A19" s="26" t="s">
        <v>765</v>
      </c>
      <c r="B19" s="199"/>
      <c r="C19" s="30">
        <v>6</v>
      </c>
      <c r="D19" s="30">
        <v>5</v>
      </c>
      <c r="E19" s="30">
        <v>5</v>
      </c>
      <c r="F19" s="30">
        <v>5</v>
      </c>
      <c r="G19" s="30">
        <v>3</v>
      </c>
      <c r="H19" s="30">
        <f>AVERAGE(3,2)</f>
        <v>2.5</v>
      </c>
      <c r="I19" s="120">
        <v>3</v>
      </c>
      <c r="J19" s="120">
        <v>3</v>
      </c>
      <c r="K19" s="120">
        <v>2</v>
      </c>
      <c r="L19" s="120">
        <v>3</v>
      </c>
      <c r="M19" s="120">
        <v>3</v>
      </c>
      <c r="N19" s="120">
        <v>4</v>
      </c>
      <c r="O19" s="205">
        <v>4</v>
      </c>
      <c r="P19" s="30">
        <v>4</v>
      </c>
      <c r="Q19" s="30">
        <v>4</v>
      </c>
      <c r="R19" s="80">
        <v>3</v>
      </c>
      <c r="S19" s="30">
        <v>3</v>
      </c>
      <c r="T19" s="80">
        <v>3</v>
      </c>
      <c r="U19" s="80">
        <v>3</v>
      </c>
      <c r="V19" s="80">
        <v>3</v>
      </c>
      <c r="W19" s="80">
        <v>3</v>
      </c>
      <c r="X19" s="30">
        <v>6</v>
      </c>
      <c r="Y19" s="80">
        <v>3</v>
      </c>
      <c r="Z19" s="80">
        <v>3</v>
      </c>
      <c r="AA19" s="80">
        <v>3</v>
      </c>
      <c r="AB19" s="80">
        <v>3</v>
      </c>
      <c r="AC19" s="80">
        <v>3</v>
      </c>
      <c r="AD19" s="80">
        <v>3</v>
      </c>
      <c r="AE19" s="80">
        <v>3</v>
      </c>
      <c r="AF19" s="80">
        <v>3</v>
      </c>
      <c r="AG19" s="80">
        <v>3</v>
      </c>
      <c r="AH19" s="80">
        <v>3</v>
      </c>
    </row>
    <row r="20" spans="1:34" x14ac:dyDescent="0.25">
      <c r="A20" s="26" t="s">
        <v>766</v>
      </c>
      <c r="B20" s="199"/>
      <c r="C20" s="28" t="s">
        <v>767</v>
      </c>
      <c r="D20" s="28" t="s">
        <v>767</v>
      </c>
      <c r="E20" s="28" t="s">
        <v>767</v>
      </c>
      <c r="F20" s="28" t="s">
        <v>767</v>
      </c>
      <c r="G20" s="28" t="s">
        <v>767</v>
      </c>
      <c r="H20" s="28" t="s">
        <v>767</v>
      </c>
      <c r="I20" s="28" t="s">
        <v>767</v>
      </c>
      <c r="J20" s="28" t="s">
        <v>767</v>
      </c>
      <c r="K20" s="28" t="s">
        <v>768</v>
      </c>
      <c r="L20" s="28" t="s">
        <v>767</v>
      </c>
      <c r="M20" s="28" t="s">
        <v>768</v>
      </c>
      <c r="N20" s="28" t="s">
        <v>767</v>
      </c>
      <c r="O20" s="28" t="s">
        <v>767</v>
      </c>
      <c r="P20" s="29" t="s">
        <v>767</v>
      </c>
      <c r="Q20" s="29" t="s">
        <v>767</v>
      </c>
      <c r="R20" s="81" t="s">
        <v>768</v>
      </c>
      <c r="S20" s="29" t="s">
        <v>767</v>
      </c>
      <c r="T20" s="81" t="s">
        <v>768</v>
      </c>
      <c r="U20" s="81" t="s">
        <v>768</v>
      </c>
      <c r="V20" s="81" t="s">
        <v>768</v>
      </c>
      <c r="W20" s="81" t="s">
        <v>768</v>
      </c>
      <c r="X20" s="29" t="s">
        <v>767</v>
      </c>
      <c r="Y20" s="81" t="s">
        <v>768</v>
      </c>
      <c r="Z20" s="81" t="s">
        <v>768</v>
      </c>
      <c r="AA20" s="81" t="s">
        <v>768</v>
      </c>
      <c r="AB20" s="81" t="s">
        <v>768</v>
      </c>
      <c r="AC20" s="81" t="s">
        <v>768</v>
      </c>
      <c r="AD20" s="81" t="s">
        <v>768</v>
      </c>
      <c r="AE20" s="81" t="s">
        <v>768</v>
      </c>
      <c r="AF20" s="81" t="s">
        <v>768</v>
      </c>
      <c r="AG20" s="81" t="s">
        <v>768</v>
      </c>
      <c r="AH20" s="81" t="s">
        <v>768</v>
      </c>
    </row>
    <row r="21" spans="1:34" x14ac:dyDescent="0.25">
      <c r="A21" s="26" t="s">
        <v>769</v>
      </c>
      <c r="B21" s="201"/>
      <c r="C21" s="30">
        <v>1</v>
      </c>
      <c r="D21" s="30">
        <v>1</v>
      </c>
      <c r="E21" s="30">
        <v>0.5</v>
      </c>
      <c r="F21" s="30">
        <v>0.5</v>
      </c>
      <c r="G21" s="30">
        <v>1</v>
      </c>
      <c r="H21" s="30">
        <v>1</v>
      </c>
      <c r="I21" s="30">
        <v>1</v>
      </c>
      <c r="J21" s="30">
        <v>1</v>
      </c>
      <c r="K21" s="30">
        <v>0</v>
      </c>
      <c r="L21" s="30">
        <v>1</v>
      </c>
      <c r="M21" s="30">
        <v>0</v>
      </c>
      <c r="N21" s="30">
        <v>1</v>
      </c>
      <c r="O21" s="30">
        <v>1</v>
      </c>
      <c r="P21" s="30">
        <v>1</v>
      </c>
      <c r="Q21" s="30">
        <v>1</v>
      </c>
      <c r="R21" s="82">
        <v>0</v>
      </c>
      <c r="S21" s="30">
        <v>1</v>
      </c>
      <c r="T21" s="82">
        <v>0</v>
      </c>
      <c r="U21" s="82">
        <v>0</v>
      </c>
      <c r="V21" s="82">
        <v>0</v>
      </c>
      <c r="W21" s="82">
        <v>0</v>
      </c>
      <c r="X21" s="30">
        <v>1</v>
      </c>
      <c r="Y21" s="82">
        <v>0</v>
      </c>
      <c r="Z21" s="82">
        <v>0</v>
      </c>
      <c r="AA21" s="82">
        <v>0</v>
      </c>
      <c r="AB21" s="82">
        <v>0</v>
      </c>
      <c r="AC21" s="82">
        <v>0</v>
      </c>
      <c r="AD21" s="82">
        <v>0</v>
      </c>
      <c r="AE21" s="82">
        <v>0</v>
      </c>
      <c r="AF21" s="82">
        <v>0</v>
      </c>
      <c r="AG21" s="82">
        <v>0</v>
      </c>
      <c r="AH21" s="82">
        <v>0</v>
      </c>
    </row>
    <row r="22" spans="1:34" x14ac:dyDescent="0.25">
      <c r="A22" s="31"/>
    </row>
    <row r="23" spans="1:34" x14ac:dyDescent="0.25">
      <c r="A23" s="26" t="s">
        <v>159</v>
      </c>
      <c r="B23" s="28" t="s">
        <v>414</v>
      </c>
      <c r="C23" s="28" t="s">
        <v>256</v>
      </c>
      <c r="D23" s="28" t="s">
        <v>256</v>
      </c>
      <c r="E23" s="28" t="s">
        <v>256</v>
      </c>
      <c r="F23" s="28" t="s">
        <v>256</v>
      </c>
      <c r="G23" s="28" t="s">
        <v>256</v>
      </c>
      <c r="H23" s="28" t="s">
        <v>256</v>
      </c>
      <c r="I23" s="28" t="s">
        <v>256</v>
      </c>
      <c r="J23" s="28" t="s">
        <v>256</v>
      </c>
      <c r="K23" s="28" t="s">
        <v>256</v>
      </c>
      <c r="L23" s="28" t="s">
        <v>256</v>
      </c>
      <c r="M23" s="28" t="s">
        <v>256</v>
      </c>
      <c r="N23" s="28" t="s">
        <v>256</v>
      </c>
      <c r="O23" s="28" t="s">
        <v>256</v>
      </c>
      <c r="P23" s="177" t="s">
        <v>341</v>
      </c>
      <c r="Q23" s="177" t="s">
        <v>341</v>
      </c>
      <c r="R23" s="86" t="s">
        <v>256</v>
      </c>
      <c r="S23" s="177" t="s">
        <v>341</v>
      </c>
      <c r="T23" s="28" t="s">
        <v>256</v>
      </c>
      <c r="U23" s="28" t="s">
        <v>256</v>
      </c>
      <c r="V23" s="28" t="s">
        <v>256</v>
      </c>
      <c r="W23" s="28" t="s">
        <v>256</v>
      </c>
      <c r="X23" s="83" t="s">
        <v>256</v>
      </c>
      <c r="Y23" s="28" t="s">
        <v>256</v>
      </c>
      <c r="Z23" s="28" t="s">
        <v>256</v>
      </c>
      <c r="AA23" s="28" t="s">
        <v>256</v>
      </c>
      <c r="AB23" s="28" t="s">
        <v>256</v>
      </c>
      <c r="AC23" s="28" t="s">
        <v>256</v>
      </c>
      <c r="AD23" s="28" t="s">
        <v>256</v>
      </c>
      <c r="AE23" s="28" t="s">
        <v>256</v>
      </c>
      <c r="AF23" s="28" t="s">
        <v>256</v>
      </c>
      <c r="AG23" s="28" t="s">
        <v>256</v>
      </c>
      <c r="AH23" s="83" t="s">
        <v>256</v>
      </c>
    </row>
    <row r="24" spans="1:34" ht="15.75" customHeight="1" x14ac:dyDescent="0.25">
      <c r="A24" s="26" t="s">
        <v>165</v>
      </c>
      <c r="B24" s="29" t="s">
        <v>260</v>
      </c>
      <c r="C24" s="28" t="s">
        <v>283</v>
      </c>
      <c r="D24" s="29" t="s">
        <v>256</v>
      </c>
      <c r="E24" s="113" t="s">
        <v>417</v>
      </c>
      <c r="F24" s="28" t="s">
        <v>260</v>
      </c>
      <c r="G24" s="28" t="s">
        <v>260</v>
      </c>
      <c r="H24" s="28" t="s">
        <v>395</v>
      </c>
      <c r="I24" s="29" t="s">
        <v>256</v>
      </c>
      <c r="J24" s="28" t="s">
        <v>260</v>
      </c>
      <c r="K24" s="28" t="s">
        <v>260</v>
      </c>
      <c r="L24" s="28" t="s">
        <v>260</v>
      </c>
      <c r="M24" s="28" t="s">
        <v>260</v>
      </c>
      <c r="N24" s="28" t="s">
        <v>260</v>
      </c>
      <c r="O24" s="28" t="s">
        <v>260</v>
      </c>
      <c r="P24" s="178" t="s">
        <v>341</v>
      </c>
      <c r="Q24" s="178" t="s">
        <v>341</v>
      </c>
      <c r="R24" s="86" t="s">
        <v>261</v>
      </c>
      <c r="S24" s="178" t="s">
        <v>341</v>
      </c>
      <c r="T24" s="28" t="s">
        <v>770</v>
      </c>
      <c r="U24" s="28" t="s">
        <v>260</v>
      </c>
      <c r="V24" s="28" t="s">
        <v>283</v>
      </c>
      <c r="W24" s="28" t="s">
        <v>771</v>
      </c>
      <c r="X24" s="83" t="s">
        <v>260</v>
      </c>
      <c r="Y24" s="113" t="s">
        <v>416</v>
      </c>
      <c r="Z24" s="28" t="s">
        <v>256</v>
      </c>
      <c r="AA24" s="28" t="s">
        <v>256</v>
      </c>
      <c r="AB24" s="28" t="s">
        <v>256</v>
      </c>
      <c r="AC24" s="28" t="s">
        <v>283</v>
      </c>
      <c r="AD24" s="28" t="s">
        <v>256</v>
      </c>
      <c r="AE24" s="28" t="s">
        <v>772</v>
      </c>
      <c r="AF24" s="28" t="s">
        <v>260</v>
      </c>
      <c r="AG24" s="28" t="s">
        <v>261</v>
      </c>
      <c r="AH24" s="85" t="s">
        <v>261</v>
      </c>
    </row>
    <row r="25" spans="1:34" x14ac:dyDescent="0.25">
      <c r="A25" s="131" t="s">
        <v>168</v>
      </c>
      <c r="B25" s="157">
        <v>52</v>
      </c>
      <c r="C25" s="157">
        <v>56</v>
      </c>
      <c r="D25" s="157">
        <v>50</v>
      </c>
      <c r="E25" s="157">
        <v>122</v>
      </c>
      <c r="F25" s="157">
        <v>52</v>
      </c>
      <c r="G25" s="157">
        <v>52</v>
      </c>
      <c r="H25" s="157">
        <v>68</v>
      </c>
      <c r="I25" s="157">
        <v>50</v>
      </c>
      <c r="J25" s="157">
        <v>52</v>
      </c>
      <c r="K25" s="157">
        <v>52</v>
      </c>
      <c r="L25" s="157">
        <v>52</v>
      </c>
      <c r="M25" s="157">
        <v>52</v>
      </c>
      <c r="N25" s="157">
        <v>52</v>
      </c>
      <c r="O25" s="157">
        <v>52</v>
      </c>
      <c r="P25" s="198"/>
      <c r="Q25" s="198"/>
      <c r="R25" s="161">
        <v>48</v>
      </c>
      <c r="S25" s="198"/>
      <c r="T25" s="157">
        <v>159</v>
      </c>
      <c r="U25" s="157">
        <v>52</v>
      </c>
      <c r="V25" s="157">
        <v>56</v>
      </c>
      <c r="W25" s="157">
        <v>103</v>
      </c>
      <c r="X25" s="158">
        <v>52</v>
      </c>
      <c r="Y25" s="157">
        <v>118</v>
      </c>
      <c r="Z25" s="157">
        <v>50</v>
      </c>
      <c r="AA25" s="157">
        <v>50</v>
      </c>
      <c r="AB25" s="157">
        <v>50</v>
      </c>
      <c r="AC25" s="157">
        <v>56</v>
      </c>
      <c r="AD25" s="157">
        <v>50</v>
      </c>
      <c r="AE25" s="157">
        <v>160</v>
      </c>
      <c r="AF25" s="157">
        <v>52</v>
      </c>
      <c r="AG25" s="157">
        <v>48</v>
      </c>
      <c r="AH25" s="158">
        <v>48</v>
      </c>
    </row>
    <row r="26" spans="1:34" x14ac:dyDescent="0.25">
      <c r="A26" s="26" t="s">
        <v>169</v>
      </c>
      <c r="B26" s="29" t="s">
        <v>170</v>
      </c>
      <c r="C26" s="28" t="s">
        <v>170</v>
      </c>
      <c r="D26" s="28" t="s">
        <v>170</v>
      </c>
      <c r="E26" s="28" t="s">
        <v>170</v>
      </c>
      <c r="F26" s="28" t="s">
        <v>170</v>
      </c>
      <c r="G26" s="29" t="s">
        <v>170</v>
      </c>
      <c r="H26" s="29" t="s">
        <v>170</v>
      </c>
      <c r="I26" s="29" t="s">
        <v>170</v>
      </c>
      <c r="J26" s="28" t="s">
        <v>170</v>
      </c>
      <c r="K26" s="29" t="s">
        <v>170</v>
      </c>
      <c r="L26" s="29" t="s">
        <v>170</v>
      </c>
      <c r="M26" s="29" t="s">
        <v>170</v>
      </c>
      <c r="N26" s="28" t="s">
        <v>170</v>
      </c>
      <c r="O26" s="28" t="s">
        <v>170</v>
      </c>
      <c r="P26" s="80" t="s">
        <v>173</v>
      </c>
      <c r="Q26" s="80" t="s">
        <v>173</v>
      </c>
      <c r="R26" s="29" t="s">
        <v>170</v>
      </c>
      <c r="S26" s="80" t="s">
        <v>173</v>
      </c>
      <c r="T26" s="29" t="s">
        <v>170</v>
      </c>
      <c r="U26" s="29" t="s">
        <v>170</v>
      </c>
      <c r="V26" s="28" t="s">
        <v>170</v>
      </c>
      <c r="W26" s="28" t="s">
        <v>170</v>
      </c>
      <c r="X26" s="28" t="s">
        <v>170</v>
      </c>
      <c r="Y26" s="28" t="s">
        <v>170</v>
      </c>
      <c r="Z26" s="28" t="s">
        <v>170</v>
      </c>
      <c r="AA26" s="28" t="s">
        <v>170</v>
      </c>
      <c r="AB26" s="28" t="s">
        <v>170</v>
      </c>
      <c r="AC26" s="28" t="s">
        <v>170</v>
      </c>
      <c r="AD26" s="28" t="s">
        <v>170</v>
      </c>
      <c r="AE26" s="28" t="s">
        <v>170</v>
      </c>
      <c r="AF26" s="28" t="s">
        <v>170</v>
      </c>
      <c r="AG26" s="28" t="s">
        <v>170</v>
      </c>
      <c r="AH26" s="85" t="s">
        <v>170</v>
      </c>
    </row>
    <row r="27" spans="1:34" x14ac:dyDescent="0.25">
      <c r="A27" s="26" t="s">
        <v>171</v>
      </c>
      <c r="B27" s="28" t="s">
        <v>173</v>
      </c>
      <c r="C27" s="28" t="s">
        <v>173</v>
      </c>
      <c r="D27" s="28" t="s">
        <v>173</v>
      </c>
      <c r="E27" s="28" t="s">
        <v>173</v>
      </c>
      <c r="F27" s="28" t="s">
        <v>173</v>
      </c>
      <c r="G27" s="28" t="s">
        <v>173</v>
      </c>
      <c r="H27" s="29" t="s">
        <v>170</v>
      </c>
      <c r="I27" s="28" t="s">
        <v>173</v>
      </c>
      <c r="J27" s="28" t="s">
        <v>173</v>
      </c>
      <c r="K27" s="28" t="s">
        <v>173</v>
      </c>
      <c r="L27" s="28" t="s">
        <v>173</v>
      </c>
      <c r="M27" s="28" t="s">
        <v>173</v>
      </c>
      <c r="N27" s="28" t="s">
        <v>173</v>
      </c>
      <c r="O27" s="28" t="s">
        <v>173</v>
      </c>
      <c r="P27" s="80" t="s">
        <v>173</v>
      </c>
      <c r="Q27" s="80" t="s">
        <v>173</v>
      </c>
      <c r="R27" s="28" t="s">
        <v>173</v>
      </c>
      <c r="S27" s="80" t="s">
        <v>173</v>
      </c>
      <c r="T27" s="28" t="s">
        <v>173</v>
      </c>
      <c r="U27" s="28" t="s">
        <v>173</v>
      </c>
      <c r="V27" s="28" t="s">
        <v>173</v>
      </c>
      <c r="W27" s="28" t="s">
        <v>173</v>
      </c>
      <c r="X27" s="29" t="s">
        <v>173</v>
      </c>
      <c r="Y27" s="29" t="s">
        <v>173</v>
      </c>
      <c r="Z27" s="28" t="s">
        <v>173</v>
      </c>
      <c r="AA27" s="28" t="s">
        <v>173</v>
      </c>
      <c r="AB27" s="28" t="s">
        <v>173</v>
      </c>
      <c r="AC27" s="28" t="s">
        <v>173</v>
      </c>
      <c r="AD27" s="28" t="s">
        <v>173</v>
      </c>
      <c r="AE27" s="28" t="s">
        <v>173</v>
      </c>
      <c r="AF27" s="28" t="s">
        <v>173</v>
      </c>
      <c r="AG27" s="28" t="s">
        <v>173</v>
      </c>
      <c r="AH27" s="83" t="s">
        <v>173</v>
      </c>
    </row>
    <row r="28" spans="1:34" x14ac:dyDescent="0.25">
      <c r="A28" s="26" t="s">
        <v>172</v>
      </c>
      <c r="B28" s="28" t="s">
        <v>170</v>
      </c>
      <c r="C28" s="28" t="s">
        <v>170</v>
      </c>
      <c r="D28" s="28" t="s">
        <v>170</v>
      </c>
      <c r="E28" s="28" t="s">
        <v>170</v>
      </c>
      <c r="F28" s="28" t="s">
        <v>170</v>
      </c>
      <c r="G28" s="28" t="s">
        <v>170</v>
      </c>
      <c r="H28" s="28" t="s">
        <v>173</v>
      </c>
      <c r="I28" s="28" t="s">
        <v>170</v>
      </c>
      <c r="J28" s="28" t="s">
        <v>170</v>
      </c>
      <c r="K28" s="28" t="s">
        <v>170</v>
      </c>
      <c r="L28" s="28" t="s">
        <v>170</v>
      </c>
      <c r="M28" s="28" t="s">
        <v>170</v>
      </c>
      <c r="N28" s="28" t="s">
        <v>170</v>
      </c>
      <c r="O28" s="28" t="s">
        <v>170</v>
      </c>
      <c r="P28" s="80" t="s">
        <v>173</v>
      </c>
      <c r="Q28" s="80" t="s">
        <v>173</v>
      </c>
      <c r="R28" s="28" t="s">
        <v>170</v>
      </c>
      <c r="S28" s="80" t="s">
        <v>173</v>
      </c>
      <c r="T28" s="28" t="s">
        <v>170</v>
      </c>
      <c r="U28" s="28" t="s">
        <v>170</v>
      </c>
      <c r="V28" s="28" t="s">
        <v>170</v>
      </c>
      <c r="W28" s="28" t="s">
        <v>170</v>
      </c>
      <c r="X28" s="28" t="s">
        <v>170</v>
      </c>
      <c r="Y28" s="28" t="s">
        <v>170</v>
      </c>
      <c r="Z28" s="28" t="s">
        <v>170</v>
      </c>
      <c r="AA28" s="28" t="s">
        <v>170</v>
      </c>
      <c r="AB28" s="28" t="s">
        <v>170</v>
      </c>
      <c r="AC28" s="28" t="s">
        <v>170</v>
      </c>
      <c r="AD28" s="28" t="s">
        <v>170</v>
      </c>
      <c r="AE28" s="28" t="s">
        <v>170</v>
      </c>
      <c r="AF28" s="28" t="s">
        <v>170</v>
      </c>
      <c r="AG28" s="28" t="s">
        <v>170</v>
      </c>
      <c r="AH28" s="83" t="s">
        <v>170</v>
      </c>
    </row>
    <row r="29" spans="1:34" x14ac:dyDescent="0.25">
      <c r="A29" s="26" t="s">
        <v>174</v>
      </c>
      <c r="B29" s="28" t="s">
        <v>173</v>
      </c>
      <c r="C29" s="28" t="s">
        <v>173</v>
      </c>
      <c r="D29" s="28" t="s">
        <v>173</v>
      </c>
      <c r="E29" s="28" t="s">
        <v>173</v>
      </c>
      <c r="F29" s="28" t="s">
        <v>173</v>
      </c>
      <c r="G29" s="28" t="s">
        <v>173</v>
      </c>
      <c r="H29" s="28" t="s">
        <v>173</v>
      </c>
      <c r="I29" s="28" t="s">
        <v>173</v>
      </c>
      <c r="J29" s="28" t="s">
        <v>173</v>
      </c>
      <c r="K29" s="28" t="s">
        <v>173</v>
      </c>
      <c r="L29" s="28" t="s">
        <v>173</v>
      </c>
      <c r="M29" s="28" t="s">
        <v>173</v>
      </c>
      <c r="N29" s="28" t="s">
        <v>173</v>
      </c>
      <c r="O29" s="28" t="s">
        <v>173</v>
      </c>
      <c r="P29" s="80" t="s">
        <v>173</v>
      </c>
      <c r="Q29" s="80" t="s">
        <v>173</v>
      </c>
      <c r="R29" s="28" t="s">
        <v>173</v>
      </c>
      <c r="S29" s="80" t="s">
        <v>173</v>
      </c>
      <c r="T29" s="28" t="s">
        <v>173</v>
      </c>
      <c r="U29" s="28" t="s">
        <v>173</v>
      </c>
      <c r="V29" s="28" t="s">
        <v>173</v>
      </c>
      <c r="W29" s="28" t="s">
        <v>173</v>
      </c>
      <c r="X29" s="28" t="s">
        <v>173</v>
      </c>
      <c r="Y29" s="28" t="s">
        <v>173</v>
      </c>
      <c r="Z29" s="28" t="s">
        <v>173</v>
      </c>
      <c r="AA29" s="28" t="s">
        <v>173</v>
      </c>
      <c r="AB29" s="28" t="s">
        <v>173</v>
      </c>
      <c r="AC29" s="28" t="s">
        <v>173</v>
      </c>
      <c r="AD29" s="28" t="s">
        <v>173</v>
      </c>
      <c r="AE29" s="28" t="s">
        <v>173</v>
      </c>
      <c r="AF29" s="28" t="s">
        <v>173</v>
      </c>
      <c r="AG29" s="28" t="s">
        <v>173</v>
      </c>
      <c r="AH29" s="83" t="s">
        <v>173</v>
      </c>
    </row>
    <row r="30" spans="1:34" x14ac:dyDescent="0.25">
      <c r="A30" s="26" t="s">
        <v>175</v>
      </c>
      <c r="B30" s="28" t="s">
        <v>198</v>
      </c>
      <c r="C30" s="28" t="s">
        <v>199</v>
      </c>
      <c r="D30" s="28" t="s">
        <v>198</v>
      </c>
      <c r="E30" s="28" t="s">
        <v>198</v>
      </c>
      <c r="F30" s="28" t="s">
        <v>198</v>
      </c>
      <c r="G30" s="28" t="s">
        <v>198</v>
      </c>
      <c r="H30" s="28" t="s">
        <v>397</v>
      </c>
      <c r="I30" s="28" t="s">
        <v>198</v>
      </c>
      <c r="J30" s="28" t="s">
        <v>198</v>
      </c>
      <c r="K30" s="28" t="s">
        <v>198</v>
      </c>
      <c r="L30" s="28" t="s">
        <v>198</v>
      </c>
      <c r="M30" s="28" t="s">
        <v>198</v>
      </c>
      <c r="N30" s="28" t="s">
        <v>198</v>
      </c>
      <c r="O30" s="28" t="s">
        <v>198</v>
      </c>
      <c r="P30" s="80" t="s">
        <v>198</v>
      </c>
      <c r="Q30" s="80" t="s">
        <v>198</v>
      </c>
      <c r="R30" s="28" t="s">
        <v>198</v>
      </c>
      <c r="S30" s="80" t="s">
        <v>198</v>
      </c>
      <c r="T30" s="28" t="s">
        <v>198</v>
      </c>
      <c r="U30" s="28" t="s">
        <v>198</v>
      </c>
      <c r="V30" s="28" t="s">
        <v>199</v>
      </c>
      <c r="W30" s="28" t="s">
        <v>370</v>
      </c>
      <c r="X30" s="28" t="s">
        <v>198</v>
      </c>
      <c r="Y30" s="28" t="s">
        <v>198</v>
      </c>
      <c r="Z30" s="28" t="s">
        <v>198</v>
      </c>
      <c r="AA30" s="28" t="s">
        <v>198</v>
      </c>
      <c r="AB30" s="28" t="s">
        <v>198</v>
      </c>
      <c r="AC30" s="28" t="s">
        <v>199</v>
      </c>
      <c r="AD30" s="28" t="s">
        <v>198</v>
      </c>
      <c r="AE30" s="28" t="s">
        <v>370</v>
      </c>
      <c r="AF30" s="28" t="s">
        <v>198</v>
      </c>
      <c r="AG30" s="28" t="s">
        <v>198</v>
      </c>
      <c r="AH30" s="83" t="s">
        <v>198</v>
      </c>
    </row>
    <row r="31" spans="1:34" x14ac:dyDescent="0.25">
      <c r="A31" s="26" t="s">
        <v>176</v>
      </c>
      <c r="B31" s="30">
        <v>0.5</v>
      </c>
      <c r="C31" s="30">
        <v>-0.5</v>
      </c>
      <c r="D31" s="30">
        <v>1</v>
      </c>
      <c r="E31" s="30">
        <f>AVERAGE(0.5,0.5,0.5,1)</f>
        <v>0.625</v>
      </c>
      <c r="F31" s="30">
        <v>0.5</v>
      </c>
      <c r="G31" s="30">
        <v>0.5</v>
      </c>
      <c r="H31" s="30">
        <v>-6</v>
      </c>
      <c r="I31" s="30">
        <v>1</v>
      </c>
      <c r="J31" s="30">
        <v>0.5</v>
      </c>
      <c r="K31" s="30">
        <v>0.5</v>
      </c>
      <c r="L31" s="30">
        <v>0.5</v>
      </c>
      <c r="M31" s="30">
        <v>0.5</v>
      </c>
      <c r="N31" s="30">
        <v>0.5</v>
      </c>
      <c r="O31" s="30">
        <v>0.5</v>
      </c>
      <c r="P31" s="82">
        <v>0</v>
      </c>
      <c r="Q31" s="82">
        <v>0</v>
      </c>
      <c r="R31" s="30">
        <f>4/3</f>
        <v>1.3333333333333333</v>
      </c>
      <c r="S31" s="82">
        <v>0</v>
      </c>
      <c r="T31" s="30">
        <f>AVERAGE(1,1,-0.5)</f>
        <v>0.5</v>
      </c>
      <c r="U31" s="30">
        <v>0.5</v>
      </c>
      <c r="V31" s="30">
        <v>-0.5</v>
      </c>
      <c r="W31" s="30">
        <f>AVERAGE(0.5,-0.5)</f>
        <v>0</v>
      </c>
      <c r="X31" s="30">
        <v>0.5</v>
      </c>
      <c r="Y31" s="30">
        <f>AVERAGE(1,1,1,0.5)</f>
        <v>0.875</v>
      </c>
      <c r="Z31" s="30">
        <v>1</v>
      </c>
      <c r="AA31" s="30">
        <v>1</v>
      </c>
      <c r="AB31" s="30">
        <v>1</v>
      </c>
      <c r="AC31" s="30">
        <v>-0.5</v>
      </c>
      <c r="AD31" s="30">
        <v>1</v>
      </c>
      <c r="AE31" s="30">
        <f>AVERAGE(1,-0.5)</f>
        <v>0.25</v>
      </c>
      <c r="AF31" s="30">
        <v>0.5</v>
      </c>
      <c r="AG31" s="30">
        <f>4/3</f>
        <v>1.3333333333333333</v>
      </c>
      <c r="AH31" s="88">
        <f>4/3</f>
        <v>1.3333333333333333</v>
      </c>
    </row>
    <row r="32" spans="1:34" x14ac:dyDescent="0.25">
      <c r="A32" s="26" t="s">
        <v>177</v>
      </c>
      <c r="B32" s="28" t="s">
        <v>181</v>
      </c>
      <c r="C32" s="28" t="s">
        <v>181</v>
      </c>
      <c r="D32" s="28" t="s">
        <v>181</v>
      </c>
      <c r="E32" s="28" t="s">
        <v>181</v>
      </c>
      <c r="F32" s="28" t="s">
        <v>181</v>
      </c>
      <c r="G32" s="28" t="s">
        <v>181</v>
      </c>
      <c r="H32" s="28" t="s">
        <v>181</v>
      </c>
      <c r="I32" s="28" t="s">
        <v>181</v>
      </c>
      <c r="J32" s="28" t="s">
        <v>181</v>
      </c>
      <c r="K32" s="28" t="s">
        <v>181</v>
      </c>
      <c r="L32" s="28" t="s">
        <v>181</v>
      </c>
      <c r="M32" s="28" t="s">
        <v>181</v>
      </c>
      <c r="N32" s="28" t="s">
        <v>181</v>
      </c>
      <c r="O32" s="28" t="s">
        <v>181</v>
      </c>
      <c r="P32" s="80" t="s">
        <v>341</v>
      </c>
      <c r="Q32" s="80" t="s">
        <v>341</v>
      </c>
      <c r="R32" s="28" t="s">
        <v>181</v>
      </c>
      <c r="S32" s="80" t="s">
        <v>341</v>
      </c>
      <c r="T32" s="28" t="s">
        <v>181</v>
      </c>
      <c r="U32" s="28" t="s">
        <v>181</v>
      </c>
      <c r="V32" s="28" t="s">
        <v>181</v>
      </c>
      <c r="W32" s="28" t="s">
        <v>181</v>
      </c>
      <c r="X32" s="28" t="s">
        <v>181</v>
      </c>
      <c r="Y32" s="28" t="s">
        <v>181</v>
      </c>
      <c r="Z32" s="28" t="s">
        <v>181</v>
      </c>
      <c r="AA32" s="28" t="s">
        <v>181</v>
      </c>
      <c r="AB32" s="28" t="s">
        <v>181</v>
      </c>
      <c r="AC32" s="28" t="s">
        <v>181</v>
      </c>
      <c r="AD32" s="28" t="s">
        <v>181</v>
      </c>
      <c r="AE32" s="28" t="s">
        <v>181</v>
      </c>
      <c r="AF32" s="28" t="s">
        <v>181</v>
      </c>
      <c r="AG32" s="28" t="s">
        <v>181</v>
      </c>
      <c r="AH32" s="83" t="s">
        <v>181</v>
      </c>
    </row>
    <row r="33" spans="1:34" x14ac:dyDescent="0.25">
      <c r="A33" s="26" t="s">
        <v>182</v>
      </c>
      <c r="B33" s="30">
        <v>2</v>
      </c>
      <c r="C33" s="30">
        <v>2</v>
      </c>
      <c r="D33" s="30">
        <v>2</v>
      </c>
      <c r="E33" s="30">
        <v>2</v>
      </c>
      <c r="F33" s="30">
        <v>2</v>
      </c>
      <c r="G33" s="30">
        <v>2</v>
      </c>
      <c r="H33" s="30">
        <v>2</v>
      </c>
      <c r="I33" s="30">
        <v>2</v>
      </c>
      <c r="J33" s="30">
        <v>2</v>
      </c>
      <c r="K33" s="30">
        <v>2</v>
      </c>
      <c r="L33" s="30">
        <v>2</v>
      </c>
      <c r="M33" s="30">
        <v>2</v>
      </c>
      <c r="N33" s="30">
        <v>2</v>
      </c>
      <c r="O33" s="30">
        <v>2</v>
      </c>
      <c r="P33" s="82">
        <v>0</v>
      </c>
      <c r="Q33" s="82">
        <v>0</v>
      </c>
      <c r="R33" s="30">
        <v>2</v>
      </c>
      <c r="S33" s="82">
        <v>0</v>
      </c>
      <c r="T33" s="30">
        <v>2</v>
      </c>
      <c r="U33" s="30">
        <v>2</v>
      </c>
      <c r="V33" s="30">
        <v>2</v>
      </c>
      <c r="W33" s="30">
        <v>2</v>
      </c>
      <c r="X33" s="30">
        <v>2</v>
      </c>
      <c r="Y33" s="30">
        <v>2</v>
      </c>
      <c r="Z33" s="30">
        <v>2</v>
      </c>
      <c r="AA33" s="30">
        <v>2</v>
      </c>
      <c r="AB33" s="30">
        <v>2</v>
      </c>
      <c r="AC33" s="30">
        <v>2</v>
      </c>
      <c r="AD33" s="30">
        <v>2</v>
      </c>
      <c r="AE33" s="30">
        <v>2</v>
      </c>
      <c r="AF33" s="30">
        <v>2</v>
      </c>
      <c r="AG33" s="30">
        <v>2</v>
      </c>
      <c r="AH33" s="88">
        <v>2</v>
      </c>
    </row>
    <row r="35" spans="1:34" x14ac:dyDescent="0.25">
      <c r="A35" s="26" t="s">
        <v>159</v>
      </c>
      <c r="B35" s="28" t="s">
        <v>191</v>
      </c>
      <c r="C35" s="28" t="s">
        <v>192</v>
      </c>
      <c r="D35" s="28" t="s">
        <v>192</v>
      </c>
      <c r="E35" s="28" t="s">
        <v>192</v>
      </c>
      <c r="F35" s="28" t="s">
        <v>192</v>
      </c>
      <c r="G35" s="28" t="s">
        <v>192</v>
      </c>
      <c r="H35" s="28" t="s">
        <v>192</v>
      </c>
      <c r="I35" s="28" t="s">
        <v>192</v>
      </c>
      <c r="J35" s="28" t="s">
        <v>192</v>
      </c>
      <c r="K35" s="28" t="s">
        <v>192</v>
      </c>
      <c r="L35" s="28" t="s">
        <v>192</v>
      </c>
      <c r="M35" s="28" t="s">
        <v>192</v>
      </c>
      <c r="N35" s="28" t="s">
        <v>192</v>
      </c>
      <c r="O35" s="28" t="s">
        <v>192</v>
      </c>
      <c r="P35" s="28" t="s">
        <v>192</v>
      </c>
      <c r="Q35" s="28" t="s">
        <v>192</v>
      </c>
      <c r="R35" s="28" t="s">
        <v>192</v>
      </c>
      <c r="S35" s="28" t="s">
        <v>192</v>
      </c>
      <c r="T35" s="28" t="s">
        <v>192</v>
      </c>
      <c r="U35" s="28" t="s">
        <v>192</v>
      </c>
      <c r="V35" s="28" t="s">
        <v>192</v>
      </c>
      <c r="W35" s="28" t="s">
        <v>192</v>
      </c>
      <c r="X35" s="28" t="s">
        <v>192</v>
      </c>
      <c r="Y35" s="28" t="s">
        <v>192</v>
      </c>
      <c r="Z35" s="28" t="s">
        <v>192</v>
      </c>
      <c r="AA35" s="28" t="s">
        <v>192</v>
      </c>
      <c r="AB35" s="28" t="s">
        <v>192</v>
      </c>
      <c r="AC35" s="28" t="s">
        <v>192</v>
      </c>
      <c r="AD35" s="28" t="s">
        <v>192</v>
      </c>
      <c r="AE35" s="28" t="s">
        <v>192</v>
      </c>
      <c r="AF35" s="28" t="s">
        <v>192</v>
      </c>
      <c r="AG35" s="28" t="s">
        <v>192</v>
      </c>
      <c r="AH35" s="28" t="s">
        <v>192</v>
      </c>
    </row>
    <row r="36" spans="1:34" ht="15.75" customHeight="1" x14ac:dyDescent="0.25">
      <c r="A36" s="26" t="s">
        <v>165</v>
      </c>
      <c r="B36" s="29" t="s">
        <v>195</v>
      </c>
      <c r="C36" s="29" t="s">
        <v>195</v>
      </c>
      <c r="D36" s="29" t="s">
        <v>195</v>
      </c>
      <c r="E36" s="29" t="s">
        <v>195</v>
      </c>
      <c r="F36" s="29" t="s">
        <v>195</v>
      </c>
      <c r="G36" s="29" t="s">
        <v>195</v>
      </c>
      <c r="H36" s="29" t="s">
        <v>195</v>
      </c>
      <c r="I36" s="29" t="s">
        <v>195</v>
      </c>
      <c r="J36" s="29" t="s">
        <v>195</v>
      </c>
      <c r="K36" s="29" t="s">
        <v>195</v>
      </c>
      <c r="L36" s="29" t="s">
        <v>195</v>
      </c>
      <c r="M36" s="29" t="s">
        <v>195</v>
      </c>
      <c r="N36" s="29" t="s">
        <v>195</v>
      </c>
      <c r="O36" s="29" t="s">
        <v>195</v>
      </c>
      <c r="P36" s="29" t="s">
        <v>195</v>
      </c>
      <c r="Q36" s="29" t="s">
        <v>195</v>
      </c>
      <c r="R36" s="29" t="s">
        <v>195</v>
      </c>
      <c r="S36" s="29" t="s">
        <v>195</v>
      </c>
      <c r="T36" s="29" t="s">
        <v>195</v>
      </c>
      <c r="U36" s="29" t="s">
        <v>195</v>
      </c>
      <c r="V36" s="29" t="s">
        <v>195</v>
      </c>
      <c r="W36" s="29" t="s">
        <v>195</v>
      </c>
      <c r="X36" s="29" t="s">
        <v>195</v>
      </c>
      <c r="Y36" s="29" t="s">
        <v>195</v>
      </c>
      <c r="Z36" s="29" t="s">
        <v>195</v>
      </c>
      <c r="AA36" s="29" t="s">
        <v>195</v>
      </c>
      <c r="AB36" s="29" t="s">
        <v>195</v>
      </c>
      <c r="AC36" s="29" t="s">
        <v>195</v>
      </c>
      <c r="AD36" s="29" t="s">
        <v>195</v>
      </c>
      <c r="AE36" s="29" t="s">
        <v>195</v>
      </c>
      <c r="AF36" s="29" t="s">
        <v>195</v>
      </c>
      <c r="AG36" s="29" t="s">
        <v>195</v>
      </c>
      <c r="AH36" s="29" t="s">
        <v>195</v>
      </c>
    </row>
    <row r="37" spans="1:34" x14ac:dyDescent="0.25">
      <c r="A37" s="131" t="s">
        <v>168</v>
      </c>
      <c r="B37" s="132">
        <v>5</v>
      </c>
      <c r="C37" s="132">
        <v>5</v>
      </c>
      <c r="D37" s="132">
        <v>5</v>
      </c>
      <c r="E37" s="132">
        <v>5</v>
      </c>
      <c r="F37" s="132">
        <v>5</v>
      </c>
      <c r="G37" s="132">
        <v>5</v>
      </c>
      <c r="H37" s="132">
        <v>5</v>
      </c>
      <c r="I37" s="132">
        <v>5</v>
      </c>
      <c r="J37" s="132">
        <v>5</v>
      </c>
      <c r="K37" s="132">
        <v>5</v>
      </c>
      <c r="L37" s="132">
        <v>5</v>
      </c>
      <c r="M37" s="132">
        <v>5</v>
      </c>
      <c r="N37" s="132">
        <v>5</v>
      </c>
      <c r="O37" s="132">
        <v>5</v>
      </c>
      <c r="P37" s="132">
        <v>5</v>
      </c>
      <c r="Q37" s="132">
        <v>5</v>
      </c>
      <c r="R37" s="132">
        <v>5</v>
      </c>
      <c r="S37" s="132">
        <v>5</v>
      </c>
      <c r="T37" s="132">
        <v>5</v>
      </c>
      <c r="U37" s="132">
        <v>5</v>
      </c>
      <c r="V37" s="132">
        <v>5</v>
      </c>
      <c r="W37" s="132">
        <v>5</v>
      </c>
      <c r="X37" s="132">
        <v>5</v>
      </c>
      <c r="Y37" s="132">
        <v>5</v>
      </c>
      <c r="Z37" s="132">
        <v>5</v>
      </c>
      <c r="AA37" s="132">
        <v>5</v>
      </c>
      <c r="AB37" s="132">
        <v>5</v>
      </c>
      <c r="AC37" s="132">
        <v>5</v>
      </c>
      <c r="AD37" s="132">
        <v>5</v>
      </c>
      <c r="AE37" s="132">
        <v>5</v>
      </c>
      <c r="AF37" s="132">
        <v>5</v>
      </c>
      <c r="AG37" s="132">
        <v>5</v>
      </c>
      <c r="AH37" s="132">
        <v>5</v>
      </c>
    </row>
    <row r="38" spans="1:34" x14ac:dyDescent="0.25">
      <c r="A38" s="26" t="s">
        <v>169</v>
      </c>
      <c r="B38" s="28" t="s">
        <v>170</v>
      </c>
      <c r="C38" s="28" t="s">
        <v>170</v>
      </c>
      <c r="D38" s="28" t="s">
        <v>170</v>
      </c>
      <c r="E38" s="28" t="s">
        <v>170</v>
      </c>
      <c r="F38" s="28" t="s">
        <v>170</v>
      </c>
      <c r="G38" s="28" t="s">
        <v>170</v>
      </c>
      <c r="H38" s="28" t="s">
        <v>170</v>
      </c>
      <c r="I38" s="28" t="s">
        <v>170</v>
      </c>
      <c r="J38" s="28" t="s">
        <v>170</v>
      </c>
      <c r="K38" s="28" t="s">
        <v>170</v>
      </c>
      <c r="L38" s="28" t="s">
        <v>170</v>
      </c>
      <c r="M38" s="28" t="s">
        <v>170</v>
      </c>
      <c r="N38" s="28" t="s">
        <v>170</v>
      </c>
      <c r="O38" s="28" t="s">
        <v>170</v>
      </c>
      <c r="P38" s="28" t="s">
        <v>170</v>
      </c>
      <c r="Q38" s="28" t="s">
        <v>170</v>
      </c>
      <c r="R38" s="28" t="s">
        <v>170</v>
      </c>
      <c r="S38" s="28" t="s">
        <v>170</v>
      </c>
      <c r="T38" s="28" t="s">
        <v>170</v>
      </c>
      <c r="U38" s="28" t="s">
        <v>170</v>
      </c>
      <c r="V38" s="28" t="s">
        <v>170</v>
      </c>
      <c r="W38" s="28" t="s">
        <v>170</v>
      </c>
      <c r="X38" s="28" t="s">
        <v>170</v>
      </c>
      <c r="Y38" s="28" t="s">
        <v>170</v>
      </c>
      <c r="Z38" s="28" t="s">
        <v>170</v>
      </c>
      <c r="AA38" s="28" t="s">
        <v>170</v>
      </c>
      <c r="AB38" s="28" t="s">
        <v>170</v>
      </c>
      <c r="AC38" s="28" t="s">
        <v>170</v>
      </c>
      <c r="AD38" s="28" t="s">
        <v>170</v>
      </c>
      <c r="AE38" s="28" t="s">
        <v>170</v>
      </c>
      <c r="AF38" s="28" t="s">
        <v>170</v>
      </c>
      <c r="AG38" s="28" t="s">
        <v>170</v>
      </c>
      <c r="AH38" s="28" t="s">
        <v>170</v>
      </c>
    </row>
    <row r="39" spans="1:34" x14ac:dyDescent="0.25">
      <c r="A39" s="26" t="s">
        <v>171</v>
      </c>
      <c r="B39" s="28" t="s">
        <v>173</v>
      </c>
      <c r="C39" s="28" t="s">
        <v>173</v>
      </c>
      <c r="D39" s="28" t="s">
        <v>173</v>
      </c>
      <c r="E39" s="28" t="s">
        <v>173</v>
      </c>
      <c r="F39" s="28" t="s">
        <v>173</v>
      </c>
      <c r="G39" s="28" t="s">
        <v>173</v>
      </c>
      <c r="H39" s="28" t="s">
        <v>173</v>
      </c>
      <c r="I39" s="28" t="s">
        <v>173</v>
      </c>
      <c r="J39" s="28" t="s">
        <v>173</v>
      </c>
      <c r="K39" s="28" t="s">
        <v>173</v>
      </c>
      <c r="L39" s="28" t="s">
        <v>173</v>
      </c>
      <c r="M39" s="28" t="s">
        <v>173</v>
      </c>
      <c r="N39" s="28" t="s">
        <v>173</v>
      </c>
      <c r="O39" s="28" t="s">
        <v>173</v>
      </c>
      <c r="P39" s="28" t="s">
        <v>173</v>
      </c>
      <c r="Q39" s="28" t="s">
        <v>173</v>
      </c>
      <c r="R39" s="28" t="s">
        <v>173</v>
      </c>
      <c r="S39" s="28" t="s">
        <v>173</v>
      </c>
      <c r="T39" s="28" t="s">
        <v>173</v>
      </c>
      <c r="U39" s="28" t="s">
        <v>173</v>
      </c>
      <c r="V39" s="28" t="s">
        <v>173</v>
      </c>
      <c r="W39" s="28" t="s">
        <v>173</v>
      </c>
      <c r="X39" s="28" t="s">
        <v>173</v>
      </c>
      <c r="Y39" s="28" t="s">
        <v>173</v>
      </c>
      <c r="Z39" s="28" t="s">
        <v>173</v>
      </c>
      <c r="AA39" s="28" t="s">
        <v>173</v>
      </c>
      <c r="AB39" s="28" t="s">
        <v>173</v>
      </c>
      <c r="AC39" s="28" t="s">
        <v>173</v>
      </c>
      <c r="AD39" s="28" t="s">
        <v>173</v>
      </c>
      <c r="AE39" s="28" t="s">
        <v>173</v>
      </c>
      <c r="AF39" s="28" t="s">
        <v>173</v>
      </c>
      <c r="AG39" s="28" t="s">
        <v>173</v>
      </c>
      <c r="AH39" s="28" t="s">
        <v>173</v>
      </c>
    </row>
    <row r="40" spans="1:34" x14ac:dyDescent="0.25">
      <c r="A40" s="26" t="s">
        <v>172</v>
      </c>
      <c r="B40" s="28" t="s">
        <v>173</v>
      </c>
      <c r="C40" s="28" t="s">
        <v>173</v>
      </c>
      <c r="D40" s="28" t="s">
        <v>173</v>
      </c>
      <c r="E40" s="28" t="s">
        <v>173</v>
      </c>
      <c r="F40" s="28" t="s">
        <v>173</v>
      </c>
      <c r="G40" s="28" t="s">
        <v>173</v>
      </c>
      <c r="H40" s="28" t="s">
        <v>173</v>
      </c>
      <c r="I40" s="28" t="s">
        <v>173</v>
      </c>
      <c r="J40" s="28" t="s">
        <v>173</v>
      </c>
      <c r="K40" s="28" t="s">
        <v>173</v>
      </c>
      <c r="L40" s="28" t="s">
        <v>173</v>
      </c>
      <c r="M40" s="28" t="s">
        <v>173</v>
      </c>
      <c r="N40" s="28" t="s">
        <v>173</v>
      </c>
      <c r="O40" s="28" t="s">
        <v>173</v>
      </c>
      <c r="P40" s="28" t="s">
        <v>173</v>
      </c>
      <c r="Q40" s="28" t="s">
        <v>173</v>
      </c>
      <c r="R40" s="28" t="s">
        <v>173</v>
      </c>
      <c r="S40" s="28" t="s">
        <v>173</v>
      </c>
      <c r="T40" s="28" t="s">
        <v>173</v>
      </c>
      <c r="U40" s="28" t="s">
        <v>173</v>
      </c>
      <c r="V40" s="28" t="s">
        <v>173</v>
      </c>
      <c r="W40" s="28" t="s">
        <v>173</v>
      </c>
      <c r="X40" s="28" t="s">
        <v>173</v>
      </c>
      <c r="Y40" s="28" t="s">
        <v>173</v>
      </c>
      <c r="Z40" s="28" t="s">
        <v>173</v>
      </c>
      <c r="AA40" s="28" t="s">
        <v>173</v>
      </c>
      <c r="AB40" s="28" t="s">
        <v>173</v>
      </c>
      <c r="AC40" s="28" t="s">
        <v>173</v>
      </c>
      <c r="AD40" s="28" t="s">
        <v>173</v>
      </c>
      <c r="AE40" s="28" t="s">
        <v>173</v>
      </c>
      <c r="AF40" s="28" t="s">
        <v>173</v>
      </c>
      <c r="AG40" s="28" t="s">
        <v>173</v>
      </c>
      <c r="AH40" s="28" t="s">
        <v>173</v>
      </c>
    </row>
    <row r="41" spans="1:34" x14ac:dyDescent="0.25">
      <c r="A41" s="26" t="s">
        <v>174</v>
      </c>
      <c r="B41" s="28" t="s">
        <v>173</v>
      </c>
      <c r="C41" s="28" t="s">
        <v>173</v>
      </c>
      <c r="D41" s="28" t="s">
        <v>173</v>
      </c>
      <c r="E41" s="28" t="s">
        <v>173</v>
      </c>
      <c r="F41" s="28" t="s">
        <v>173</v>
      </c>
      <c r="G41" s="28" t="s">
        <v>173</v>
      </c>
      <c r="H41" s="28" t="s">
        <v>173</v>
      </c>
      <c r="I41" s="28" t="s">
        <v>173</v>
      </c>
      <c r="J41" s="28" t="s">
        <v>173</v>
      </c>
      <c r="K41" s="28" t="s">
        <v>173</v>
      </c>
      <c r="L41" s="28" t="s">
        <v>173</v>
      </c>
      <c r="M41" s="28" t="s">
        <v>173</v>
      </c>
      <c r="N41" s="28" t="s">
        <v>173</v>
      </c>
      <c r="O41" s="28" t="s">
        <v>173</v>
      </c>
      <c r="P41" s="28" t="s">
        <v>173</v>
      </c>
      <c r="Q41" s="28" t="s">
        <v>173</v>
      </c>
      <c r="R41" s="28" t="s">
        <v>173</v>
      </c>
      <c r="S41" s="28" t="s">
        <v>173</v>
      </c>
      <c r="T41" s="28" t="s">
        <v>173</v>
      </c>
      <c r="U41" s="28" t="s">
        <v>173</v>
      </c>
      <c r="V41" s="28" t="s">
        <v>173</v>
      </c>
      <c r="W41" s="28" t="s">
        <v>173</v>
      </c>
      <c r="X41" s="28" t="s">
        <v>173</v>
      </c>
      <c r="Y41" s="28" t="s">
        <v>173</v>
      </c>
      <c r="Z41" s="28" t="s">
        <v>173</v>
      </c>
      <c r="AA41" s="28" t="s">
        <v>173</v>
      </c>
      <c r="AB41" s="28" t="s">
        <v>173</v>
      </c>
      <c r="AC41" s="28" t="s">
        <v>173</v>
      </c>
      <c r="AD41" s="28" t="s">
        <v>173</v>
      </c>
      <c r="AE41" s="28" t="s">
        <v>173</v>
      </c>
      <c r="AF41" s="28" t="s">
        <v>173</v>
      </c>
      <c r="AG41" s="28" t="s">
        <v>173</v>
      </c>
      <c r="AH41" s="28" t="s">
        <v>173</v>
      </c>
    </row>
    <row r="42" spans="1:34" x14ac:dyDescent="0.25">
      <c r="A42" s="26" t="s">
        <v>175</v>
      </c>
      <c r="B42" s="28" t="s">
        <v>198</v>
      </c>
      <c r="C42" s="28" t="s">
        <v>198</v>
      </c>
      <c r="D42" s="28" t="s">
        <v>198</v>
      </c>
      <c r="E42" s="28" t="s">
        <v>198</v>
      </c>
      <c r="F42" s="28" t="s">
        <v>198</v>
      </c>
      <c r="G42" s="28" t="s">
        <v>198</v>
      </c>
      <c r="H42" s="28" t="s">
        <v>198</v>
      </c>
      <c r="I42" s="28" t="s">
        <v>198</v>
      </c>
      <c r="J42" s="28" t="s">
        <v>198</v>
      </c>
      <c r="K42" s="28" t="s">
        <v>198</v>
      </c>
      <c r="L42" s="28" t="s">
        <v>198</v>
      </c>
      <c r="M42" s="28" t="s">
        <v>198</v>
      </c>
      <c r="N42" s="28" t="s">
        <v>198</v>
      </c>
      <c r="O42" s="28" t="s">
        <v>198</v>
      </c>
      <c r="P42" s="28" t="s">
        <v>198</v>
      </c>
      <c r="Q42" s="28" t="s">
        <v>198</v>
      </c>
      <c r="R42" s="28" t="s">
        <v>198</v>
      </c>
      <c r="S42" s="28" t="s">
        <v>198</v>
      </c>
      <c r="T42" s="28" t="s">
        <v>198</v>
      </c>
      <c r="U42" s="28" t="s">
        <v>198</v>
      </c>
      <c r="V42" s="28" t="s">
        <v>198</v>
      </c>
      <c r="W42" s="28" t="s">
        <v>198</v>
      </c>
      <c r="X42" s="28" t="s">
        <v>198</v>
      </c>
      <c r="Y42" s="28" t="s">
        <v>198</v>
      </c>
      <c r="Z42" s="28" t="s">
        <v>198</v>
      </c>
      <c r="AA42" s="28" t="s">
        <v>198</v>
      </c>
      <c r="AB42" s="28" t="s">
        <v>198</v>
      </c>
      <c r="AC42" s="28" t="s">
        <v>198</v>
      </c>
      <c r="AD42" s="28" t="s">
        <v>198</v>
      </c>
      <c r="AE42" s="28" t="s">
        <v>198</v>
      </c>
      <c r="AF42" s="28" t="s">
        <v>198</v>
      </c>
      <c r="AG42" s="28" t="s">
        <v>198</v>
      </c>
      <c r="AH42" s="28" t="s">
        <v>198</v>
      </c>
    </row>
    <row r="43" spans="1:34" x14ac:dyDescent="0.25">
      <c r="A43" s="26" t="s">
        <v>176</v>
      </c>
      <c r="B43" s="30">
        <f>5/3</f>
        <v>1.6666666666666667</v>
      </c>
      <c r="C43" s="30">
        <f t="shared" ref="C43:O43" si="0">5/3</f>
        <v>1.6666666666666667</v>
      </c>
      <c r="D43" s="30">
        <f t="shared" si="0"/>
        <v>1.6666666666666667</v>
      </c>
      <c r="E43" s="30">
        <f t="shared" si="0"/>
        <v>1.6666666666666667</v>
      </c>
      <c r="F43" s="30">
        <f t="shared" si="0"/>
        <v>1.6666666666666667</v>
      </c>
      <c r="G43" s="30">
        <f t="shared" si="0"/>
        <v>1.6666666666666667</v>
      </c>
      <c r="H43" s="30">
        <f t="shared" si="0"/>
        <v>1.6666666666666667</v>
      </c>
      <c r="I43" s="30">
        <f t="shared" si="0"/>
        <v>1.6666666666666667</v>
      </c>
      <c r="J43" s="30">
        <f t="shared" si="0"/>
        <v>1.6666666666666667</v>
      </c>
      <c r="K43" s="30">
        <f t="shared" si="0"/>
        <v>1.6666666666666667</v>
      </c>
      <c r="L43" s="30">
        <f t="shared" si="0"/>
        <v>1.6666666666666667</v>
      </c>
      <c r="M43" s="30">
        <f t="shared" si="0"/>
        <v>1.6666666666666667</v>
      </c>
      <c r="N43" s="30">
        <f t="shared" si="0"/>
        <v>1.6666666666666667</v>
      </c>
      <c r="O43" s="30">
        <f t="shared" si="0"/>
        <v>1.6666666666666667</v>
      </c>
      <c r="P43" s="30">
        <f t="shared" ref="P43:U43" si="1">5/3</f>
        <v>1.6666666666666667</v>
      </c>
      <c r="Q43" s="30">
        <f t="shared" si="1"/>
        <v>1.6666666666666667</v>
      </c>
      <c r="R43" s="30">
        <f t="shared" si="1"/>
        <v>1.6666666666666667</v>
      </c>
      <c r="S43" s="30">
        <f t="shared" si="1"/>
        <v>1.6666666666666667</v>
      </c>
      <c r="T43" s="30">
        <f t="shared" si="1"/>
        <v>1.6666666666666667</v>
      </c>
      <c r="U43" s="30">
        <f t="shared" si="1"/>
        <v>1.6666666666666667</v>
      </c>
      <c r="V43" s="30">
        <f t="shared" ref="V43:Y43" si="2">5/3</f>
        <v>1.6666666666666667</v>
      </c>
      <c r="W43" s="30">
        <f t="shared" si="2"/>
        <v>1.6666666666666667</v>
      </c>
      <c r="X43" s="30">
        <f t="shared" si="2"/>
        <v>1.6666666666666667</v>
      </c>
      <c r="Y43" s="30">
        <f t="shared" si="2"/>
        <v>1.6666666666666667</v>
      </c>
      <c r="Z43" s="30">
        <f>5/3</f>
        <v>1.6666666666666667</v>
      </c>
      <c r="AA43" s="30">
        <f t="shared" ref="AA43:AD43" si="3">5/3</f>
        <v>1.6666666666666667</v>
      </c>
      <c r="AB43" s="30">
        <f t="shared" si="3"/>
        <v>1.6666666666666667</v>
      </c>
      <c r="AC43" s="30">
        <f t="shared" si="3"/>
        <v>1.6666666666666667</v>
      </c>
      <c r="AD43" s="30">
        <f t="shared" si="3"/>
        <v>1.6666666666666667</v>
      </c>
      <c r="AE43" s="30">
        <f>5/3</f>
        <v>1.6666666666666667</v>
      </c>
      <c r="AF43" s="30">
        <f>5/3</f>
        <v>1.6666666666666667</v>
      </c>
      <c r="AG43" s="30">
        <f>5/3</f>
        <v>1.6666666666666667</v>
      </c>
      <c r="AH43" s="30">
        <f>5/3</f>
        <v>1.6666666666666667</v>
      </c>
    </row>
    <row r="44" spans="1:34" x14ac:dyDescent="0.25">
      <c r="A44" s="26" t="s">
        <v>177</v>
      </c>
      <c r="B44" s="28" t="s">
        <v>178</v>
      </c>
      <c r="C44" s="28" t="s">
        <v>178</v>
      </c>
      <c r="D44" s="28" t="s">
        <v>178</v>
      </c>
      <c r="E44" s="28" t="s">
        <v>178</v>
      </c>
      <c r="F44" s="28" t="s">
        <v>178</v>
      </c>
      <c r="G44" s="28" t="s">
        <v>178</v>
      </c>
      <c r="H44" s="28" t="s">
        <v>178</v>
      </c>
      <c r="I44" s="28" t="s">
        <v>178</v>
      </c>
      <c r="J44" s="28" t="s">
        <v>178</v>
      </c>
      <c r="K44" s="28" t="s">
        <v>178</v>
      </c>
      <c r="L44" s="28" t="s">
        <v>178</v>
      </c>
      <c r="M44" s="28" t="s">
        <v>178</v>
      </c>
      <c r="N44" s="28" t="s">
        <v>178</v>
      </c>
      <c r="O44" s="28" t="s">
        <v>178</v>
      </c>
      <c r="P44" s="28" t="s">
        <v>178</v>
      </c>
      <c r="Q44" s="28" t="s">
        <v>178</v>
      </c>
      <c r="R44" s="28" t="s">
        <v>178</v>
      </c>
      <c r="S44" s="28" t="s">
        <v>178</v>
      </c>
      <c r="T44" s="28" t="s">
        <v>178</v>
      </c>
      <c r="U44" s="28" t="s">
        <v>178</v>
      </c>
      <c r="V44" s="28" t="s">
        <v>178</v>
      </c>
      <c r="W44" s="28" t="s">
        <v>178</v>
      </c>
      <c r="X44" s="28" t="s">
        <v>178</v>
      </c>
      <c r="Y44" s="28" t="s">
        <v>178</v>
      </c>
      <c r="Z44" s="28" t="s">
        <v>178</v>
      </c>
      <c r="AA44" s="28" t="s">
        <v>178</v>
      </c>
      <c r="AB44" s="28" t="s">
        <v>178</v>
      </c>
      <c r="AC44" s="28" t="s">
        <v>178</v>
      </c>
      <c r="AD44" s="28" t="s">
        <v>178</v>
      </c>
      <c r="AE44" s="28" t="s">
        <v>178</v>
      </c>
      <c r="AF44" s="28" t="s">
        <v>178</v>
      </c>
      <c r="AG44" s="28" t="s">
        <v>178</v>
      </c>
      <c r="AH44" s="28" t="s">
        <v>178</v>
      </c>
    </row>
    <row r="45" spans="1:34" x14ac:dyDescent="0.25">
      <c r="A45" s="26" t="s">
        <v>182</v>
      </c>
      <c r="B45" s="30">
        <v>4</v>
      </c>
      <c r="C45" s="30">
        <v>4</v>
      </c>
      <c r="D45" s="30">
        <v>4</v>
      </c>
      <c r="E45" s="30">
        <v>4</v>
      </c>
      <c r="F45" s="30">
        <v>4</v>
      </c>
      <c r="G45" s="30">
        <v>4</v>
      </c>
      <c r="H45" s="30">
        <v>4</v>
      </c>
      <c r="I45" s="30">
        <v>4</v>
      </c>
      <c r="J45" s="30">
        <v>4</v>
      </c>
      <c r="K45" s="30">
        <v>4</v>
      </c>
      <c r="L45" s="30">
        <v>4</v>
      </c>
      <c r="M45" s="30">
        <v>4</v>
      </c>
      <c r="N45" s="30">
        <v>4</v>
      </c>
      <c r="O45" s="30">
        <v>4</v>
      </c>
      <c r="P45" s="30">
        <v>4</v>
      </c>
      <c r="Q45" s="30">
        <v>4</v>
      </c>
      <c r="R45" s="30">
        <v>4</v>
      </c>
      <c r="S45" s="30">
        <v>4</v>
      </c>
      <c r="T45" s="30">
        <v>4</v>
      </c>
      <c r="U45" s="30">
        <v>4</v>
      </c>
      <c r="V45" s="30">
        <v>4</v>
      </c>
      <c r="W45" s="30">
        <v>4</v>
      </c>
      <c r="X45" s="30">
        <v>4</v>
      </c>
      <c r="Y45" s="30">
        <v>4</v>
      </c>
      <c r="Z45" s="30">
        <v>4</v>
      </c>
      <c r="AA45" s="30">
        <v>4</v>
      </c>
      <c r="AB45" s="30">
        <v>4</v>
      </c>
      <c r="AC45" s="30">
        <v>4</v>
      </c>
      <c r="AD45" s="30">
        <v>4</v>
      </c>
      <c r="AE45" s="30">
        <v>4</v>
      </c>
      <c r="AF45" s="30">
        <v>4</v>
      </c>
      <c r="AG45" s="30">
        <v>4</v>
      </c>
      <c r="AH45" s="30">
        <v>4</v>
      </c>
    </row>
    <row r="47" spans="1:34" x14ac:dyDescent="0.25">
      <c r="A47" s="31" t="s">
        <v>183</v>
      </c>
    </row>
    <row r="48" spans="1:34" x14ac:dyDescent="0.25">
      <c r="A48" s="235" t="s">
        <v>789</v>
      </c>
      <c r="B48" s="56" t="s">
        <v>782</v>
      </c>
    </row>
    <row r="49" spans="1:2" x14ac:dyDescent="0.25">
      <c r="A49" s="235"/>
      <c r="B49" s="93" t="s">
        <v>783</v>
      </c>
    </row>
    <row r="50" spans="1:2" x14ac:dyDescent="0.25">
      <c r="A50" s="235"/>
      <c r="B50" s="93" t="s">
        <v>784</v>
      </c>
    </row>
  </sheetData>
  <mergeCells count="6">
    <mergeCell ref="F3:O3"/>
    <mergeCell ref="F4:O5"/>
    <mergeCell ref="A48:A50"/>
    <mergeCell ref="B3:D3"/>
    <mergeCell ref="B4:D4"/>
    <mergeCell ref="B5:D5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4EF35-86B6-49FC-BF81-4791CF2C5251}">
  <dimension ref="A1:AK53"/>
  <sheetViews>
    <sheetView topLeftCell="A3" workbookViewId="0">
      <selection activeCell="E25" sqref="E25"/>
    </sheetView>
  </sheetViews>
  <sheetFormatPr defaultColWidth="9.140625" defaultRowHeight="15" x14ac:dyDescent="0.25"/>
  <cols>
    <col min="1" max="1" width="23.28515625" style="26" bestFit="1" customWidth="1"/>
    <col min="2" max="50" width="5.7109375" style="26" customWidth="1"/>
    <col min="51" max="16384" width="9.140625" style="26"/>
  </cols>
  <sheetData>
    <row r="1" spans="1:37" x14ac:dyDescent="0.25">
      <c r="A1" s="25" t="s">
        <v>116</v>
      </c>
      <c r="D1" s="25" t="s">
        <v>117</v>
      </c>
      <c r="I1" s="25" t="s">
        <v>549</v>
      </c>
    </row>
    <row r="3" spans="1:37" ht="18" x14ac:dyDescent="0.25">
      <c r="A3" s="25" t="s">
        <v>119</v>
      </c>
      <c r="B3" s="215" t="s">
        <v>790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7" ht="18" x14ac:dyDescent="0.25">
      <c r="A4" s="25" t="s">
        <v>121</v>
      </c>
      <c r="B4" s="215" t="s">
        <v>791</v>
      </c>
      <c r="C4" s="215"/>
      <c r="D4" s="215"/>
      <c r="F4" s="216" t="s">
        <v>792</v>
      </c>
      <c r="G4" s="217"/>
      <c r="H4" s="217"/>
      <c r="I4" s="217"/>
      <c r="J4" s="217"/>
      <c r="K4" s="217"/>
      <c r="L4" s="217"/>
      <c r="M4" s="217"/>
      <c r="N4" s="217"/>
      <c r="O4" s="218"/>
      <c r="Q4" s="56" t="s">
        <v>793</v>
      </c>
    </row>
    <row r="5" spans="1:37" ht="18" x14ac:dyDescent="0.25">
      <c r="A5" s="25" t="s">
        <v>124</v>
      </c>
      <c r="B5" s="215" t="s">
        <v>187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7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63" t="s">
        <v>134</v>
      </c>
      <c r="K7" s="64" t="s">
        <v>135</v>
      </c>
      <c r="L7" s="64" t="s">
        <v>136</v>
      </c>
      <c r="M7" s="64" t="s">
        <v>137</v>
      </c>
      <c r="N7" s="65" t="s">
        <v>138</v>
      </c>
      <c r="O7" s="65" t="s">
        <v>139</v>
      </c>
      <c r="P7" s="67" t="s">
        <v>140</v>
      </c>
      <c r="Q7" s="67" t="s">
        <v>141</v>
      </c>
      <c r="R7" s="66" t="s">
        <v>142</v>
      </c>
      <c r="S7" s="68" t="s">
        <v>143</v>
      </c>
      <c r="T7" s="69" t="s">
        <v>144</v>
      </c>
      <c r="U7" s="69" t="s">
        <v>145</v>
      </c>
      <c r="V7" s="70" t="s">
        <v>146</v>
      </c>
      <c r="W7" s="70" t="s">
        <v>147</v>
      </c>
      <c r="X7" s="71" t="s">
        <v>148</v>
      </c>
      <c r="Y7" s="71" t="s">
        <v>149</v>
      </c>
      <c r="Z7" s="72" t="s">
        <v>150</v>
      </c>
      <c r="AA7" s="72" t="s">
        <v>151</v>
      </c>
      <c r="AB7" s="73" t="s">
        <v>152</v>
      </c>
      <c r="AC7" s="73" t="s">
        <v>153</v>
      </c>
      <c r="AD7" s="73" t="s">
        <v>154</v>
      </c>
      <c r="AE7" s="74" t="s">
        <v>155</v>
      </c>
      <c r="AF7" s="75" t="s">
        <v>156</v>
      </c>
      <c r="AG7" s="76" t="s">
        <v>157</v>
      </c>
      <c r="AH7" s="76" t="s">
        <v>158</v>
      </c>
      <c r="AJ7" s="67" t="s">
        <v>140</v>
      </c>
      <c r="AK7" s="42" t="s">
        <v>141</v>
      </c>
    </row>
    <row r="8" spans="1:37" x14ac:dyDescent="0.25">
      <c r="A8" s="26" t="s">
        <v>159</v>
      </c>
      <c r="B8" s="199"/>
      <c r="C8" s="83" t="s">
        <v>744</v>
      </c>
      <c r="D8" s="28" t="s">
        <v>744</v>
      </c>
      <c r="E8" s="28" t="s">
        <v>744</v>
      </c>
      <c r="F8" s="28" t="s">
        <v>744</v>
      </c>
      <c r="G8" s="28" t="s">
        <v>744</v>
      </c>
      <c r="H8" s="86" t="s">
        <v>744</v>
      </c>
      <c r="I8" s="86" t="s">
        <v>744</v>
      </c>
      <c r="J8" s="28" t="s">
        <v>744</v>
      </c>
      <c r="K8" s="28" t="s">
        <v>744</v>
      </c>
      <c r="L8" s="28" t="s">
        <v>744</v>
      </c>
      <c r="M8" s="28" t="s">
        <v>744</v>
      </c>
      <c r="N8" s="28" t="s">
        <v>744</v>
      </c>
      <c r="O8" s="28" t="s">
        <v>744</v>
      </c>
      <c r="P8" s="28" t="s">
        <v>745</v>
      </c>
      <c r="Q8" s="28" t="s">
        <v>745</v>
      </c>
      <c r="R8" s="80" t="s">
        <v>341</v>
      </c>
      <c r="S8" s="28" t="s">
        <v>746</v>
      </c>
      <c r="T8" s="80" t="s">
        <v>341</v>
      </c>
      <c r="U8" s="80" t="s">
        <v>341</v>
      </c>
      <c r="V8" s="80" t="s">
        <v>341</v>
      </c>
      <c r="W8" s="80" t="s">
        <v>341</v>
      </c>
      <c r="X8" s="28" t="s">
        <v>556</v>
      </c>
      <c r="Y8" s="80" t="s">
        <v>341</v>
      </c>
      <c r="Z8" s="80" t="s">
        <v>341</v>
      </c>
      <c r="AA8" s="80" t="s">
        <v>341</v>
      </c>
      <c r="AB8" s="80" t="s">
        <v>341</v>
      </c>
      <c r="AC8" s="80" t="s">
        <v>341</v>
      </c>
      <c r="AD8" s="80" t="s">
        <v>341</v>
      </c>
      <c r="AE8" s="80" t="s">
        <v>341</v>
      </c>
      <c r="AF8" s="80" t="s">
        <v>341</v>
      </c>
      <c r="AG8" s="199"/>
      <c r="AH8" s="206"/>
      <c r="AJ8" s="28" t="s">
        <v>745</v>
      </c>
      <c r="AK8" s="28" t="s">
        <v>745</v>
      </c>
    </row>
    <row r="9" spans="1:37" x14ac:dyDescent="0.25">
      <c r="A9" s="26" t="s">
        <v>165</v>
      </c>
      <c r="B9" s="200"/>
      <c r="C9" s="29" t="s">
        <v>556</v>
      </c>
      <c r="D9" s="28" t="s">
        <v>747</v>
      </c>
      <c r="E9" s="28" t="s">
        <v>748</v>
      </c>
      <c r="F9" s="28" t="s">
        <v>748</v>
      </c>
      <c r="G9" s="29" t="s">
        <v>749</v>
      </c>
      <c r="H9" s="91" t="s">
        <v>750</v>
      </c>
      <c r="I9" s="86" t="s">
        <v>749</v>
      </c>
      <c r="J9" s="28" t="s">
        <v>749</v>
      </c>
      <c r="K9" s="28" t="s">
        <v>751</v>
      </c>
      <c r="L9" s="28" t="s">
        <v>749</v>
      </c>
      <c r="M9" s="28" t="s">
        <v>752</v>
      </c>
      <c r="N9" s="28" t="s">
        <v>744</v>
      </c>
      <c r="O9" s="28" t="s">
        <v>744</v>
      </c>
      <c r="P9" s="28" t="s">
        <v>744</v>
      </c>
      <c r="Q9" s="28" t="s">
        <v>744</v>
      </c>
      <c r="R9" s="80" t="s">
        <v>341</v>
      </c>
      <c r="S9" s="28" t="s">
        <v>749</v>
      </c>
      <c r="T9" s="80" t="s">
        <v>341</v>
      </c>
      <c r="U9" s="80" t="s">
        <v>341</v>
      </c>
      <c r="V9" s="80" t="s">
        <v>341</v>
      </c>
      <c r="W9" s="80" t="s">
        <v>341</v>
      </c>
      <c r="X9" s="28" t="s">
        <v>556</v>
      </c>
      <c r="Y9" s="80" t="s">
        <v>341</v>
      </c>
      <c r="Z9" s="80" t="s">
        <v>341</v>
      </c>
      <c r="AA9" s="80" t="s">
        <v>341</v>
      </c>
      <c r="AB9" s="80" t="s">
        <v>341</v>
      </c>
      <c r="AC9" s="80" t="s">
        <v>341</v>
      </c>
      <c r="AD9" s="80" t="s">
        <v>341</v>
      </c>
      <c r="AE9" s="80" t="s">
        <v>341</v>
      </c>
      <c r="AF9" s="80" t="s">
        <v>341</v>
      </c>
      <c r="AG9" s="199"/>
      <c r="AH9" s="207"/>
      <c r="AJ9" s="29" t="s">
        <v>744</v>
      </c>
      <c r="AK9" s="28" t="s">
        <v>744</v>
      </c>
    </row>
    <row r="10" spans="1:37" x14ac:dyDescent="0.25">
      <c r="A10" s="131" t="s">
        <v>168</v>
      </c>
      <c r="B10" s="198"/>
      <c r="C10" s="157">
        <v>501</v>
      </c>
      <c r="D10" s="157">
        <v>502</v>
      </c>
      <c r="E10" s="157">
        <v>508</v>
      </c>
      <c r="F10" s="157">
        <v>508</v>
      </c>
      <c r="G10" s="157">
        <v>504</v>
      </c>
      <c r="H10" s="161">
        <v>550</v>
      </c>
      <c r="I10" s="161">
        <v>504</v>
      </c>
      <c r="J10" s="157">
        <v>504</v>
      </c>
      <c r="K10" s="157">
        <v>515</v>
      </c>
      <c r="L10" s="157">
        <v>504</v>
      </c>
      <c r="M10" s="157">
        <v>514</v>
      </c>
      <c r="N10" s="157">
        <v>503</v>
      </c>
      <c r="O10" s="157">
        <v>503</v>
      </c>
      <c r="P10" s="157">
        <v>503</v>
      </c>
      <c r="Q10" s="157">
        <v>503</v>
      </c>
      <c r="R10" s="198"/>
      <c r="S10" s="157">
        <v>504</v>
      </c>
      <c r="T10" s="198"/>
      <c r="U10" s="198"/>
      <c r="V10" s="198"/>
      <c r="W10" s="198"/>
      <c r="X10" s="157">
        <v>501</v>
      </c>
      <c r="Y10" s="198"/>
      <c r="Z10" s="198"/>
      <c r="AA10" s="198"/>
      <c r="AB10" s="198"/>
      <c r="AC10" s="198"/>
      <c r="AD10" s="198"/>
      <c r="AE10" s="198"/>
      <c r="AF10" s="198"/>
      <c r="AG10" s="198"/>
      <c r="AH10" s="202"/>
      <c r="AJ10" s="157">
        <v>503</v>
      </c>
      <c r="AK10" s="157">
        <v>503</v>
      </c>
    </row>
    <row r="11" spans="1:37" ht="15.75" customHeight="1" x14ac:dyDescent="0.25">
      <c r="A11" s="26" t="s">
        <v>753</v>
      </c>
      <c r="B11" s="199"/>
      <c r="C11" s="28" t="s">
        <v>173</v>
      </c>
      <c r="D11" s="28" t="s">
        <v>173</v>
      </c>
      <c r="E11" s="28" t="s">
        <v>173</v>
      </c>
      <c r="F11" s="28" t="s">
        <v>173</v>
      </c>
      <c r="G11" s="28" t="s">
        <v>173</v>
      </c>
      <c r="H11" s="86" t="s">
        <v>173</v>
      </c>
      <c r="I11" s="86" t="s">
        <v>173</v>
      </c>
      <c r="J11" s="28" t="s">
        <v>173</v>
      </c>
      <c r="K11" s="28" t="s">
        <v>173</v>
      </c>
      <c r="L11" s="28" t="s">
        <v>173</v>
      </c>
      <c r="M11" s="28" t="s">
        <v>173</v>
      </c>
      <c r="N11" s="28" t="s">
        <v>173</v>
      </c>
      <c r="O11" s="28" t="s">
        <v>173</v>
      </c>
      <c r="P11" s="28" t="s">
        <v>173</v>
      </c>
      <c r="Q11" s="28" t="s">
        <v>173</v>
      </c>
      <c r="R11" s="80" t="s">
        <v>173</v>
      </c>
      <c r="S11" s="28" t="s">
        <v>173</v>
      </c>
      <c r="T11" s="80" t="s">
        <v>173</v>
      </c>
      <c r="U11" s="80" t="s">
        <v>173</v>
      </c>
      <c r="V11" s="80" t="s">
        <v>173</v>
      </c>
      <c r="W11" s="80" t="s">
        <v>173</v>
      </c>
      <c r="X11" s="28" t="s">
        <v>173</v>
      </c>
      <c r="Y11" s="80" t="s">
        <v>173</v>
      </c>
      <c r="Z11" s="80" t="s">
        <v>173</v>
      </c>
      <c r="AA11" s="80" t="s">
        <v>173</v>
      </c>
      <c r="AB11" s="80" t="s">
        <v>173</v>
      </c>
      <c r="AC11" s="80" t="s">
        <v>173</v>
      </c>
      <c r="AD11" s="80" t="s">
        <v>173</v>
      </c>
      <c r="AE11" s="80" t="s">
        <v>173</v>
      </c>
      <c r="AF11" s="80" t="s">
        <v>173</v>
      </c>
      <c r="AG11" s="199"/>
      <c r="AH11" s="206"/>
      <c r="AJ11" s="28" t="s">
        <v>173</v>
      </c>
      <c r="AK11" s="28" t="s">
        <v>173</v>
      </c>
    </row>
    <row r="12" spans="1:37" ht="15.75" customHeight="1" x14ac:dyDescent="0.25">
      <c r="A12" s="26" t="s">
        <v>754</v>
      </c>
      <c r="B12" s="199"/>
      <c r="C12" s="28" t="s">
        <v>173</v>
      </c>
      <c r="D12" s="28" t="s">
        <v>173</v>
      </c>
      <c r="E12" s="28" t="s">
        <v>173</v>
      </c>
      <c r="F12" s="28" t="s">
        <v>173</v>
      </c>
      <c r="G12" s="28" t="s">
        <v>173</v>
      </c>
      <c r="H12" s="86" t="s">
        <v>173</v>
      </c>
      <c r="I12" s="86" t="s">
        <v>173</v>
      </c>
      <c r="J12" s="28" t="s">
        <v>173</v>
      </c>
      <c r="K12" s="28" t="s">
        <v>173</v>
      </c>
      <c r="L12" s="28" t="s">
        <v>173</v>
      </c>
      <c r="M12" s="28" t="s">
        <v>173</v>
      </c>
      <c r="N12" s="28" t="s">
        <v>173</v>
      </c>
      <c r="O12" s="28" t="s">
        <v>173</v>
      </c>
      <c r="P12" s="28" t="s">
        <v>173</v>
      </c>
      <c r="Q12" s="28" t="s">
        <v>173</v>
      </c>
      <c r="R12" s="80" t="s">
        <v>173</v>
      </c>
      <c r="S12" s="28" t="s">
        <v>173</v>
      </c>
      <c r="T12" s="80" t="s">
        <v>173</v>
      </c>
      <c r="U12" s="80" t="s">
        <v>173</v>
      </c>
      <c r="V12" s="80" t="s">
        <v>173</v>
      </c>
      <c r="W12" s="80" t="s">
        <v>173</v>
      </c>
      <c r="X12" s="28" t="s">
        <v>173</v>
      </c>
      <c r="Y12" s="80" t="s">
        <v>173</v>
      </c>
      <c r="Z12" s="80" t="s">
        <v>173</v>
      </c>
      <c r="AA12" s="80" t="s">
        <v>173</v>
      </c>
      <c r="AB12" s="80" t="s">
        <v>173</v>
      </c>
      <c r="AC12" s="80" t="s">
        <v>173</v>
      </c>
      <c r="AD12" s="80" t="s">
        <v>173</v>
      </c>
      <c r="AE12" s="80" t="s">
        <v>173</v>
      </c>
      <c r="AF12" s="80" t="s">
        <v>173</v>
      </c>
      <c r="AG12" s="199"/>
      <c r="AH12" s="206"/>
      <c r="AJ12" s="28" t="s">
        <v>173</v>
      </c>
      <c r="AK12" s="28" t="s">
        <v>173</v>
      </c>
    </row>
    <row r="13" spans="1:37" ht="15.75" customHeight="1" x14ac:dyDescent="0.25">
      <c r="A13" s="26" t="s">
        <v>755</v>
      </c>
      <c r="B13" s="199"/>
      <c r="C13" s="28" t="s">
        <v>170</v>
      </c>
      <c r="D13" s="28" t="s">
        <v>170</v>
      </c>
      <c r="E13" s="28" t="s">
        <v>170</v>
      </c>
      <c r="F13" s="28" t="s">
        <v>170</v>
      </c>
      <c r="G13" s="28" t="s">
        <v>170</v>
      </c>
      <c r="H13" s="86" t="s">
        <v>170</v>
      </c>
      <c r="I13" s="86" t="s">
        <v>170</v>
      </c>
      <c r="J13" s="28" t="s">
        <v>170</v>
      </c>
      <c r="K13" s="28" t="s">
        <v>170</v>
      </c>
      <c r="L13" s="28" t="s">
        <v>170</v>
      </c>
      <c r="M13" s="28" t="s">
        <v>170</v>
      </c>
      <c r="N13" s="28" t="s">
        <v>170</v>
      </c>
      <c r="O13" s="28" t="s">
        <v>170</v>
      </c>
      <c r="P13" s="28" t="s">
        <v>170</v>
      </c>
      <c r="Q13" s="28" t="s">
        <v>170</v>
      </c>
      <c r="R13" s="80" t="s">
        <v>173</v>
      </c>
      <c r="S13" s="28" t="s">
        <v>170</v>
      </c>
      <c r="T13" s="80" t="s">
        <v>173</v>
      </c>
      <c r="U13" s="80" t="s">
        <v>173</v>
      </c>
      <c r="V13" s="80" t="s">
        <v>173</v>
      </c>
      <c r="W13" s="80" t="s">
        <v>173</v>
      </c>
      <c r="X13" s="28" t="s">
        <v>170</v>
      </c>
      <c r="Y13" s="80" t="s">
        <v>173</v>
      </c>
      <c r="Z13" s="80" t="s">
        <v>173</v>
      </c>
      <c r="AA13" s="80" t="s">
        <v>173</v>
      </c>
      <c r="AB13" s="80" t="s">
        <v>173</v>
      </c>
      <c r="AC13" s="80" t="s">
        <v>173</v>
      </c>
      <c r="AD13" s="80" t="s">
        <v>173</v>
      </c>
      <c r="AE13" s="80" t="s">
        <v>173</v>
      </c>
      <c r="AF13" s="80" t="s">
        <v>173</v>
      </c>
      <c r="AG13" s="199"/>
      <c r="AH13" s="206"/>
      <c r="AJ13" s="28" t="s">
        <v>170</v>
      </c>
      <c r="AK13" s="28" t="s">
        <v>170</v>
      </c>
    </row>
    <row r="14" spans="1:37" ht="15.75" customHeight="1" x14ac:dyDescent="0.25">
      <c r="A14" s="26" t="s">
        <v>756</v>
      </c>
      <c r="B14" s="199"/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86" t="s">
        <v>173</v>
      </c>
      <c r="I14" s="86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80" t="s">
        <v>173</v>
      </c>
      <c r="S14" s="28" t="s">
        <v>173</v>
      </c>
      <c r="T14" s="80" t="s">
        <v>173</v>
      </c>
      <c r="U14" s="80" t="s">
        <v>173</v>
      </c>
      <c r="V14" s="80" t="s">
        <v>173</v>
      </c>
      <c r="W14" s="80" t="s">
        <v>173</v>
      </c>
      <c r="X14" s="28" t="s">
        <v>173</v>
      </c>
      <c r="Y14" s="80" t="s">
        <v>173</v>
      </c>
      <c r="Z14" s="80" t="s">
        <v>173</v>
      </c>
      <c r="AA14" s="80" t="s">
        <v>173</v>
      </c>
      <c r="AB14" s="80" t="s">
        <v>173</v>
      </c>
      <c r="AC14" s="80" t="s">
        <v>173</v>
      </c>
      <c r="AD14" s="80" t="s">
        <v>173</v>
      </c>
      <c r="AE14" s="80" t="s">
        <v>173</v>
      </c>
      <c r="AF14" s="80" t="s">
        <v>173</v>
      </c>
      <c r="AG14" s="199"/>
      <c r="AH14" s="206"/>
      <c r="AJ14" s="28" t="s">
        <v>173</v>
      </c>
      <c r="AK14" s="28" t="s">
        <v>173</v>
      </c>
    </row>
    <row r="15" spans="1:37" ht="15.75" customHeight="1" x14ac:dyDescent="0.25">
      <c r="A15" s="26" t="s">
        <v>757</v>
      </c>
      <c r="B15" s="199"/>
      <c r="C15" s="28" t="s">
        <v>173</v>
      </c>
      <c r="D15" s="28" t="s">
        <v>173</v>
      </c>
      <c r="E15" s="28" t="s">
        <v>173</v>
      </c>
      <c r="F15" s="28" t="s">
        <v>173</v>
      </c>
      <c r="G15" s="28" t="s">
        <v>173</v>
      </c>
      <c r="H15" s="86" t="s">
        <v>173</v>
      </c>
      <c r="I15" s="86" t="s">
        <v>173</v>
      </c>
      <c r="J15" s="28" t="s">
        <v>173</v>
      </c>
      <c r="K15" s="28" t="s">
        <v>173</v>
      </c>
      <c r="L15" s="28" t="s">
        <v>173</v>
      </c>
      <c r="M15" s="28" t="s">
        <v>173</v>
      </c>
      <c r="N15" s="28" t="s">
        <v>173</v>
      </c>
      <c r="O15" s="28" t="s">
        <v>173</v>
      </c>
      <c r="P15" s="28" t="s">
        <v>173</v>
      </c>
      <c r="Q15" s="28" t="s">
        <v>173</v>
      </c>
      <c r="R15" s="80" t="s">
        <v>173</v>
      </c>
      <c r="S15" s="28" t="s">
        <v>173</v>
      </c>
      <c r="T15" s="80" t="s">
        <v>173</v>
      </c>
      <c r="U15" s="80" t="s">
        <v>173</v>
      </c>
      <c r="V15" s="80" t="s">
        <v>173</v>
      </c>
      <c r="W15" s="80" t="s">
        <v>173</v>
      </c>
      <c r="X15" s="28" t="s">
        <v>173</v>
      </c>
      <c r="Y15" s="80" t="s">
        <v>173</v>
      </c>
      <c r="Z15" s="80" t="s">
        <v>173</v>
      </c>
      <c r="AA15" s="80" t="s">
        <v>173</v>
      </c>
      <c r="AB15" s="80" t="s">
        <v>173</v>
      </c>
      <c r="AC15" s="80" t="s">
        <v>173</v>
      </c>
      <c r="AD15" s="80" t="s">
        <v>173</v>
      </c>
      <c r="AE15" s="80" t="s">
        <v>173</v>
      </c>
      <c r="AF15" s="80" t="s">
        <v>173</v>
      </c>
      <c r="AG15" s="199"/>
      <c r="AH15" s="206"/>
      <c r="AJ15" s="28" t="s">
        <v>173</v>
      </c>
      <c r="AK15" s="28" t="s">
        <v>173</v>
      </c>
    </row>
    <row r="16" spans="1:37" ht="15.75" customHeight="1" x14ac:dyDescent="0.25">
      <c r="A16" s="26" t="s">
        <v>758</v>
      </c>
      <c r="B16" s="199"/>
      <c r="C16" s="28" t="s">
        <v>173</v>
      </c>
      <c r="D16" s="28" t="s">
        <v>173</v>
      </c>
      <c r="E16" s="28" t="s">
        <v>173</v>
      </c>
      <c r="F16" s="28" t="s">
        <v>173</v>
      </c>
      <c r="G16" s="28" t="s">
        <v>173</v>
      </c>
      <c r="H16" s="28" t="s">
        <v>173</v>
      </c>
      <c r="I16" s="86" t="s">
        <v>173</v>
      </c>
      <c r="J16" s="28" t="s">
        <v>173</v>
      </c>
      <c r="K16" s="28" t="s">
        <v>173</v>
      </c>
      <c r="L16" s="28" t="s">
        <v>173</v>
      </c>
      <c r="M16" s="28" t="s">
        <v>173</v>
      </c>
      <c r="N16" s="28" t="s">
        <v>173</v>
      </c>
      <c r="O16" s="28" t="s">
        <v>173</v>
      </c>
      <c r="P16" s="28" t="s">
        <v>173</v>
      </c>
      <c r="Q16" s="28" t="s">
        <v>173</v>
      </c>
      <c r="R16" s="80" t="s">
        <v>173</v>
      </c>
      <c r="S16" s="28" t="s">
        <v>173</v>
      </c>
      <c r="T16" s="80" t="s">
        <v>173</v>
      </c>
      <c r="U16" s="80" t="s">
        <v>173</v>
      </c>
      <c r="V16" s="80" t="s">
        <v>173</v>
      </c>
      <c r="W16" s="80" t="s">
        <v>173</v>
      </c>
      <c r="X16" s="28" t="s">
        <v>173</v>
      </c>
      <c r="Y16" s="80" t="s">
        <v>173</v>
      </c>
      <c r="Z16" s="80" t="s">
        <v>173</v>
      </c>
      <c r="AA16" s="80" t="s">
        <v>173</v>
      </c>
      <c r="AB16" s="80" t="s">
        <v>173</v>
      </c>
      <c r="AC16" s="80" t="s">
        <v>173</v>
      </c>
      <c r="AD16" s="80" t="s">
        <v>173</v>
      </c>
      <c r="AE16" s="80" t="s">
        <v>173</v>
      </c>
      <c r="AF16" s="80" t="s">
        <v>173</v>
      </c>
      <c r="AG16" s="199"/>
      <c r="AH16" s="206"/>
      <c r="AJ16" s="28" t="s">
        <v>173</v>
      </c>
      <c r="AK16" s="28" t="s">
        <v>173</v>
      </c>
    </row>
    <row r="17" spans="1:37" ht="15.75" customHeight="1" x14ac:dyDescent="0.25">
      <c r="A17" s="26" t="s">
        <v>759</v>
      </c>
      <c r="B17" s="201"/>
      <c r="C17" s="30" t="s">
        <v>760</v>
      </c>
      <c r="D17" s="30" t="s">
        <v>760</v>
      </c>
      <c r="E17" s="28" t="s">
        <v>760</v>
      </c>
      <c r="F17" s="28" t="s">
        <v>760</v>
      </c>
      <c r="G17" s="30" t="s">
        <v>760</v>
      </c>
      <c r="H17" s="92" t="s">
        <v>760</v>
      </c>
      <c r="I17" s="92" t="s">
        <v>760</v>
      </c>
      <c r="J17" s="30" t="s">
        <v>760</v>
      </c>
      <c r="K17" s="30" t="s">
        <v>760</v>
      </c>
      <c r="L17" s="30" t="s">
        <v>760</v>
      </c>
      <c r="M17" s="30" t="s">
        <v>760</v>
      </c>
      <c r="N17" s="30" t="s">
        <v>760</v>
      </c>
      <c r="O17" s="30" t="s">
        <v>760</v>
      </c>
      <c r="P17" s="30" t="s">
        <v>761</v>
      </c>
      <c r="Q17" s="30" t="s">
        <v>761</v>
      </c>
      <c r="R17" s="80" t="s">
        <v>341</v>
      </c>
      <c r="S17" s="30" t="s">
        <v>760</v>
      </c>
      <c r="T17" s="80" t="s">
        <v>341</v>
      </c>
      <c r="U17" s="80" t="s">
        <v>341</v>
      </c>
      <c r="V17" s="80" t="s">
        <v>341</v>
      </c>
      <c r="W17" s="80" t="s">
        <v>341</v>
      </c>
      <c r="X17" s="28" t="s">
        <v>760</v>
      </c>
      <c r="Y17" s="80" t="s">
        <v>341</v>
      </c>
      <c r="Z17" s="80" t="s">
        <v>341</v>
      </c>
      <c r="AA17" s="80" t="s">
        <v>341</v>
      </c>
      <c r="AB17" s="80" t="s">
        <v>341</v>
      </c>
      <c r="AC17" s="80" t="s">
        <v>341</v>
      </c>
      <c r="AD17" s="80" t="s">
        <v>341</v>
      </c>
      <c r="AE17" s="80" t="s">
        <v>341</v>
      </c>
      <c r="AF17" s="80" t="s">
        <v>341</v>
      </c>
      <c r="AG17" s="201"/>
      <c r="AH17" s="208"/>
      <c r="AJ17" s="30" t="s">
        <v>761</v>
      </c>
      <c r="AK17" s="30" t="s">
        <v>761</v>
      </c>
    </row>
    <row r="18" spans="1:37" ht="15.75" customHeight="1" x14ac:dyDescent="0.25">
      <c r="A18" s="26" t="s">
        <v>762</v>
      </c>
      <c r="B18" s="201"/>
      <c r="C18" s="28" t="s">
        <v>763</v>
      </c>
      <c r="D18" s="28" t="s">
        <v>763</v>
      </c>
      <c r="E18" s="28" t="s">
        <v>763</v>
      </c>
      <c r="F18" s="28" t="s">
        <v>763</v>
      </c>
      <c r="G18" s="30" t="s">
        <v>764</v>
      </c>
      <c r="H18" s="92" t="s">
        <v>764</v>
      </c>
      <c r="I18" s="92" t="s">
        <v>764</v>
      </c>
      <c r="J18" s="30" t="s">
        <v>764</v>
      </c>
      <c r="K18" s="30" t="s">
        <v>764</v>
      </c>
      <c r="L18" s="30" t="s">
        <v>764</v>
      </c>
      <c r="M18" s="30" t="s">
        <v>764</v>
      </c>
      <c r="N18" s="28" t="s">
        <v>764</v>
      </c>
      <c r="O18" s="28" t="s">
        <v>764</v>
      </c>
      <c r="P18" s="28" t="s">
        <v>764</v>
      </c>
      <c r="Q18" s="28" t="s">
        <v>764</v>
      </c>
      <c r="R18" s="82" t="s">
        <v>764</v>
      </c>
      <c r="S18" s="30" t="s">
        <v>764</v>
      </c>
      <c r="T18" s="82" t="s">
        <v>764</v>
      </c>
      <c r="U18" s="82" t="s">
        <v>764</v>
      </c>
      <c r="V18" s="82" t="s">
        <v>764</v>
      </c>
      <c r="W18" s="82" t="s">
        <v>764</v>
      </c>
      <c r="X18" s="28" t="s">
        <v>763</v>
      </c>
      <c r="Y18" s="82" t="s">
        <v>764</v>
      </c>
      <c r="Z18" s="82" t="s">
        <v>764</v>
      </c>
      <c r="AA18" s="82" t="s">
        <v>764</v>
      </c>
      <c r="AB18" s="82" t="s">
        <v>764</v>
      </c>
      <c r="AC18" s="82" t="s">
        <v>764</v>
      </c>
      <c r="AD18" s="82" t="s">
        <v>764</v>
      </c>
      <c r="AE18" s="82" t="s">
        <v>764</v>
      </c>
      <c r="AF18" s="82" t="s">
        <v>764</v>
      </c>
      <c r="AG18" s="201"/>
      <c r="AH18" s="208"/>
      <c r="AJ18" s="28" t="s">
        <v>764</v>
      </c>
      <c r="AK18" s="28" t="s">
        <v>764</v>
      </c>
    </row>
    <row r="19" spans="1:37" ht="15.75" customHeight="1" x14ac:dyDescent="0.25">
      <c r="A19" s="26" t="s">
        <v>765</v>
      </c>
      <c r="B19" s="199"/>
      <c r="C19" s="30">
        <v>6</v>
      </c>
      <c r="D19" s="30">
        <v>5</v>
      </c>
      <c r="E19" s="30">
        <v>5</v>
      </c>
      <c r="F19" s="30">
        <v>5</v>
      </c>
      <c r="G19" s="30">
        <v>3</v>
      </c>
      <c r="H19" s="30">
        <f>AVERAGE(3,2)</f>
        <v>2.5</v>
      </c>
      <c r="I19" s="205">
        <v>3</v>
      </c>
      <c r="J19" s="30">
        <v>3</v>
      </c>
      <c r="K19" s="30">
        <v>2</v>
      </c>
      <c r="L19" s="30">
        <v>3</v>
      </c>
      <c r="M19" s="30">
        <v>3</v>
      </c>
      <c r="N19" s="30">
        <v>4</v>
      </c>
      <c r="O19" s="30">
        <v>4</v>
      </c>
      <c r="P19" s="30">
        <v>4</v>
      </c>
      <c r="Q19" s="30">
        <v>4</v>
      </c>
      <c r="R19" s="80">
        <v>3</v>
      </c>
      <c r="S19" s="30">
        <v>3</v>
      </c>
      <c r="T19" s="80">
        <v>3</v>
      </c>
      <c r="U19" s="80">
        <v>3</v>
      </c>
      <c r="V19" s="80">
        <v>3</v>
      </c>
      <c r="W19" s="80">
        <v>3</v>
      </c>
      <c r="X19" s="30">
        <v>6</v>
      </c>
      <c r="Y19" s="80">
        <v>3</v>
      </c>
      <c r="Z19" s="80">
        <v>3</v>
      </c>
      <c r="AA19" s="80">
        <v>3</v>
      </c>
      <c r="AB19" s="80">
        <v>3</v>
      </c>
      <c r="AC19" s="80">
        <v>3</v>
      </c>
      <c r="AD19" s="80">
        <v>3</v>
      </c>
      <c r="AE19" s="80">
        <v>3</v>
      </c>
      <c r="AF19" s="80">
        <v>3</v>
      </c>
      <c r="AG19" s="199"/>
      <c r="AH19" s="206"/>
      <c r="AJ19" s="30">
        <v>4</v>
      </c>
      <c r="AK19" s="120">
        <v>4</v>
      </c>
    </row>
    <row r="20" spans="1:37" ht="15.75" customHeight="1" x14ac:dyDescent="0.25">
      <c r="A20" s="26" t="s">
        <v>766</v>
      </c>
      <c r="B20" s="199"/>
      <c r="C20" s="28" t="s">
        <v>767</v>
      </c>
      <c r="D20" s="28" t="s">
        <v>767</v>
      </c>
      <c r="E20" s="28" t="s">
        <v>767</v>
      </c>
      <c r="F20" s="28" t="s">
        <v>767</v>
      </c>
      <c r="G20" s="28" t="s">
        <v>767</v>
      </c>
      <c r="H20" s="28" t="s">
        <v>767</v>
      </c>
      <c r="I20" s="28" t="s">
        <v>767</v>
      </c>
      <c r="J20" s="29" t="s">
        <v>767</v>
      </c>
      <c r="K20" s="29" t="s">
        <v>768</v>
      </c>
      <c r="L20" s="29" t="s">
        <v>767</v>
      </c>
      <c r="M20" s="29" t="s">
        <v>768</v>
      </c>
      <c r="N20" s="29" t="s">
        <v>767</v>
      </c>
      <c r="O20" s="29" t="s">
        <v>767</v>
      </c>
      <c r="P20" s="29" t="s">
        <v>767</v>
      </c>
      <c r="Q20" s="29" t="s">
        <v>767</v>
      </c>
      <c r="R20" s="81" t="s">
        <v>768</v>
      </c>
      <c r="S20" s="29" t="s">
        <v>767</v>
      </c>
      <c r="T20" s="81" t="s">
        <v>768</v>
      </c>
      <c r="U20" s="81" t="s">
        <v>768</v>
      </c>
      <c r="V20" s="81" t="s">
        <v>768</v>
      </c>
      <c r="W20" s="81" t="s">
        <v>768</v>
      </c>
      <c r="X20" s="29" t="s">
        <v>767</v>
      </c>
      <c r="Y20" s="81" t="s">
        <v>768</v>
      </c>
      <c r="Z20" s="81" t="s">
        <v>768</v>
      </c>
      <c r="AA20" s="81" t="s">
        <v>768</v>
      </c>
      <c r="AB20" s="81" t="s">
        <v>768</v>
      </c>
      <c r="AC20" s="81" t="s">
        <v>768</v>
      </c>
      <c r="AD20" s="81" t="s">
        <v>768</v>
      </c>
      <c r="AE20" s="81" t="s">
        <v>768</v>
      </c>
      <c r="AF20" s="81" t="s">
        <v>768</v>
      </c>
      <c r="AG20" s="200"/>
      <c r="AH20" s="199"/>
      <c r="AJ20" s="28" t="s">
        <v>767</v>
      </c>
      <c r="AK20" s="28" t="s">
        <v>767</v>
      </c>
    </row>
    <row r="21" spans="1:37" ht="15.75" customHeight="1" x14ac:dyDescent="0.25">
      <c r="A21" s="26" t="s">
        <v>769</v>
      </c>
      <c r="B21" s="201"/>
      <c r="C21" s="30">
        <v>1</v>
      </c>
      <c r="D21" s="30">
        <v>1</v>
      </c>
      <c r="E21" s="30">
        <v>0.5</v>
      </c>
      <c r="F21" s="30">
        <v>0.5</v>
      </c>
      <c r="G21" s="30">
        <v>1</v>
      </c>
      <c r="H21" s="30">
        <v>1</v>
      </c>
      <c r="I21" s="30">
        <v>1</v>
      </c>
      <c r="J21" s="30">
        <v>1</v>
      </c>
      <c r="K21" s="30">
        <v>0</v>
      </c>
      <c r="L21" s="30">
        <v>1</v>
      </c>
      <c r="M21" s="30">
        <v>0</v>
      </c>
      <c r="N21" s="30">
        <v>1</v>
      </c>
      <c r="O21" s="30">
        <v>1</v>
      </c>
      <c r="P21" s="30">
        <v>1</v>
      </c>
      <c r="Q21" s="30">
        <v>1</v>
      </c>
      <c r="R21" s="82">
        <v>0</v>
      </c>
      <c r="S21" s="30">
        <v>1</v>
      </c>
      <c r="T21" s="82">
        <v>0</v>
      </c>
      <c r="U21" s="82">
        <v>0</v>
      </c>
      <c r="V21" s="82">
        <v>0</v>
      </c>
      <c r="W21" s="82">
        <v>0</v>
      </c>
      <c r="X21" s="30">
        <v>1</v>
      </c>
      <c r="Y21" s="82">
        <v>0</v>
      </c>
      <c r="Z21" s="82">
        <v>0</v>
      </c>
      <c r="AA21" s="82">
        <v>0</v>
      </c>
      <c r="AB21" s="82">
        <v>0</v>
      </c>
      <c r="AC21" s="82">
        <v>0</v>
      </c>
      <c r="AD21" s="82">
        <v>0</v>
      </c>
      <c r="AE21" s="82">
        <v>0</v>
      </c>
      <c r="AF21" s="82">
        <v>0</v>
      </c>
      <c r="AG21" s="201"/>
      <c r="AH21" s="201"/>
      <c r="AJ21" s="30">
        <v>1</v>
      </c>
      <c r="AK21" s="30">
        <v>1</v>
      </c>
    </row>
    <row r="22" spans="1:37" x14ac:dyDescent="0.25">
      <c r="A22" s="31"/>
    </row>
    <row r="23" spans="1:37" x14ac:dyDescent="0.25">
      <c r="A23" s="26" t="s">
        <v>159</v>
      </c>
      <c r="B23" s="28" t="s">
        <v>414</v>
      </c>
      <c r="C23" s="28" t="s">
        <v>256</v>
      </c>
      <c r="D23" s="28" t="s">
        <v>256</v>
      </c>
      <c r="E23" s="28" t="s">
        <v>256</v>
      </c>
      <c r="F23" s="28" t="s">
        <v>256</v>
      </c>
      <c r="G23" s="28" t="s">
        <v>256</v>
      </c>
      <c r="H23" s="28" t="s">
        <v>256</v>
      </c>
      <c r="I23" s="28" t="s">
        <v>256</v>
      </c>
      <c r="J23" s="28" t="s">
        <v>256</v>
      </c>
      <c r="K23" s="28" t="s">
        <v>256</v>
      </c>
      <c r="L23" s="28" t="s">
        <v>256</v>
      </c>
      <c r="M23" s="28" t="s">
        <v>256</v>
      </c>
      <c r="N23" s="28" t="s">
        <v>256</v>
      </c>
      <c r="O23" s="28" t="s">
        <v>256</v>
      </c>
      <c r="P23" s="177" t="s">
        <v>341</v>
      </c>
      <c r="Q23" s="177" t="s">
        <v>341</v>
      </c>
      <c r="R23" s="86" t="s">
        <v>256</v>
      </c>
      <c r="S23" s="177" t="s">
        <v>341</v>
      </c>
      <c r="T23" s="28" t="s">
        <v>256</v>
      </c>
      <c r="U23" s="28" t="s">
        <v>256</v>
      </c>
      <c r="V23" s="28" t="s">
        <v>256</v>
      </c>
      <c r="W23" s="28" t="s">
        <v>256</v>
      </c>
      <c r="X23" s="83" t="s">
        <v>256</v>
      </c>
      <c r="Y23" s="28" t="s">
        <v>256</v>
      </c>
      <c r="Z23" s="28" t="s">
        <v>256</v>
      </c>
      <c r="AA23" s="28" t="s">
        <v>256</v>
      </c>
      <c r="AB23" s="28" t="s">
        <v>256</v>
      </c>
      <c r="AC23" s="28" t="s">
        <v>256</v>
      </c>
      <c r="AD23" s="28" t="s">
        <v>256</v>
      </c>
      <c r="AE23" s="28" t="s">
        <v>256</v>
      </c>
      <c r="AF23" s="28" t="s">
        <v>256</v>
      </c>
      <c r="AG23" s="199"/>
      <c r="AH23" s="199"/>
      <c r="AJ23" s="80" t="s">
        <v>341</v>
      </c>
      <c r="AK23" s="80" t="s">
        <v>341</v>
      </c>
    </row>
    <row r="24" spans="1:37" ht="15.75" customHeight="1" x14ac:dyDescent="0.25">
      <c r="A24" s="26" t="s">
        <v>165</v>
      </c>
      <c r="B24" s="29" t="s">
        <v>260</v>
      </c>
      <c r="C24" s="28" t="s">
        <v>283</v>
      </c>
      <c r="D24" s="29" t="s">
        <v>256</v>
      </c>
      <c r="E24" s="113" t="s">
        <v>417</v>
      </c>
      <c r="F24" s="28" t="s">
        <v>260</v>
      </c>
      <c r="G24" s="28" t="s">
        <v>260</v>
      </c>
      <c r="H24" s="28" t="s">
        <v>395</v>
      </c>
      <c r="I24" s="29" t="s">
        <v>256</v>
      </c>
      <c r="J24" s="28" t="s">
        <v>260</v>
      </c>
      <c r="K24" s="28" t="s">
        <v>260</v>
      </c>
      <c r="L24" s="28" t="s">
        <v>260</v>
      </c>
      <c r="M24" s="28" t="s">
        <v>260</v>
      </c>
      <c r="N24" s="28" t="s">
        <v>260</v>
      </c>
      <c r="O24" s="28" t="s">
        <v>260</v>
      </c>
      <c r="P24" s="178" t="s">
        <v>341</v>
      </c>
      <c r="Q24" s="178" t="s">
        <v>341</v>
      </c>
      <c r="R24" s="180" t="s">
        <v>794</v>
      </c>
      <c r="S24" s="178" t="s">
        <v>341</v>
      </c>
      <c r="T24" s="28" t="s">
        <v>770</v>
      </c>
      <c r="U24" s="28" t="s">
        <v>260</v>
      </c>
      <c r="V24" s="28" t="s">
        <v>283</v>
      </c>
      <c r="W24" s="28" t="s">
        <v>771</v>
      </c>
      <c r="X24" s="83" t="s">
        <v>260</v>
      </c>
      <c r="Y24" s="113" t="s">
        <v>416</v>
      </c>
      <c r="Z24" s="28" t="s">
        <v>256</v>
      </c>
      <c r="AA24" s="28" t="s">
        <v>256</v>
      </c>
      <c r="AB24" s="28" t="s">
        <v>256</v>
      </c>
      <c r="AC24" s="28" t="s">
        <v>283</v>
      </c>
      <c r="AD24" s="28" t="s">
        <v>256</v>
      </c>
      <c r="AE24" s="28" t="s">
        <v>772</v>
      </c>
      <c r="AF24" s="28" t="s">
        <v>260</v>
      </c>
      <c r="AG24" s="200"/>
      <c r="AH24" s="200"/>
      <c r="AJ24" s="80" t="s">
        <v>341</v>
      </c>
      <c r="AK24" s="80" t="s">
        <v>341</v>
      </c>
    </row>
    <row r="25" spans="1:37" x14ac:dyDescent="0.25">
      <c r="A25" s="131" t="s">
        <v>168</v>
      </c>
      <c r="B25" s="157">
        <v>52</v>
      </c>
      <c r="C25" s="157">
        <v>56</v>
      </c>
      <c r="D25" s="157">
        <v>50</v>
      </c>
      <c r="E25" s="157">
        <v>122</v>
      </c>
      <c r="F25" s="157">
        <v>52</v>
      </c>
      <c r="G25" s="157">
        <v>52</v>
      </c>
      <c r="H25" s="157">
        <v>68</v>
      </c>
      <c r="I25" s="157">
        <v>50</v>
      </c>
      <c r="J25" s="157">
        <v>52</v>
      </c>
      <c r="K25" s="157">
        <v>52</v>
      </c>
      <c r="L25" s="157">
        <v>52</v>
      </c>
      <c r="M25" s="157">
        <v>52</v>
      </c>
      <c r="N25" s="157">
        <v>52</v>
      </c>
      <c r="O25" s="157">
        <v>52</v>
      </c>
      <c r="P25" s="198"/>
      <c r="Q25" s="198"/>
      <c r="R25" s="161">
        <v>162</v>
      </c>
      <c r="S25" s="198"/>
      <c r="T25" s="157">
        <v>159</v>
      </c>
      <c r="U25" s="157">
        <v>52</v>
      </c>
      <c r="V25" s="157">
        <v>56</v>
      </c>
      <c r="W25" s="157">
        <v>103</v>
      </c>
      <c r="X25" s="158">
        <v>52</v>
      </c>
      <c r="Y25" s="157">
        <v>118</v>
      </c>
      <c r="Z25" s="157">
        <v>50</v>
      </c>
      <c r="AA25" s="157">
        <v>50</v>
      </c>
      <c r="AB25" s="157">
        <v>50</v>
      </c>
      <c r="AC25" s="157">
        <v>56</v>
      </c>
      <c r="AD25" s="157">
        <v>50</v>
      </c>
      <c r="AE25" s="157">
        <v>160</v>
      </c>
      <c r="AF25" s="157">
        <v>52</v>
      </c>
      <c r="AG25" s="200"/>
      <c r="AH25" s="200"/>
      <c r="AJ25" s="198"/>
      <c r="AK25" s="198"/>
    </row>
    <row r="26" spans="1:37" x14ac:dyDescent="0.25">
      <c r="A26" s="26" t="s">
        <v>169</v>
      </c>
      <c r="B26" s="29" t="s">
        <v>170</v>
      </c>
      <c r="C26" s="28" t="s">
        <v>170</v>
      </c>
      <c r="D26" s="28" t="s">
        <v>170</v>
      </c>
      <c r="E26" s="28" t="s">
        <v>170</v>
      </c>
      <c r="F26" s="28" t="s">
        <v>170</v>
      </c>
      <c r="G26" s="29" t="s">
        <v>170</v>
      </c>
      <c r="H26" s="29" t="s">
        <v>170</v>
      </c>
      <c r="I26" s="29" t="s">
        <v>170</v>
      </c>
      <c r="J26" s="28" t="s">
        <v>170</v>
      </c>
      <c r="K26" s="29" t="s">
        <v>170</v>
      </c>
      <c r="L26" s="29" t="s">
        <v>170</v>
      </c>
      <c r="M26" s="29" t="s">
        <v>170</v>
      </c>
      <c r="N26" s="28" t="s">
        <v>170</v>
      </c>
      <c r="O26" s="28" t="s">
        <v>170</v>
      </c>
      <c r="P26" s="80" t="s">
        <v>173</v>
      </c>
      <c r="Q26" s="80" t="s">
        <v>173</v>
      </c>
      <c r="R26" s="29" t="s">
        <v>170</v>
      </c>
      <c r="S26" s="80" t="s">
        <v>173</v>
      </c>
      <c r="T26" s="29" t="s">
        <v>170</v>
      </c>
      <c r="U26" s="29" t="s">
        <v>170</v>
      </c>
      <c r="V26" s="28" t="s">
        <v>170</v>
      </c>
      <c r="W26" s="28" t="s">
        <v>170</v>
      </c>
      <c r="X26" s="28" t="s">
        <v>170</v>
      </c>
      <c r="Y26" s="28" t="s">
        <v>170</v>
      </c>
      <c r="Z26" s="28" t="s">
        <v>170</v>
      </c>
      <c r="AA26" s="28" t="s">
        <v>170</v>
      </c>
      <c r="AB26" s="28" t="s">
        <v>170</v>
      </c>
      <c r="AC26" s="28" t="s">
        <v>170</v>
      </c>
      <c r="AD26" s="28" t="s">
        <v>170</v>
      </c>
      <c r="AE26" s="28" t="s">
        <v>170</v>
      </c>
      <c r="AF26" s="28" t="s">
        <v>170</v>
      </c>
      <c r="AG26" s="199"/>
      <c r="AH26" s="199"/>
      <c r="AJ26" s="80" t="s">
        <v>173</v>
      </c>
      <c r="AK26" s="80" t="s">
        <v>173</v>
      </c>
    </row>
    <row r="27" spans="1:37" x14ac:dyDescent="0.25">
      <c r="A27" s="26" t="s">
        <v>171</v>
      </c>
      <c r="B27" s="28" t="s">
        <v>173</v>
      </c>
      <c r="C27" s="28" t="s">
        <v>173</v>
      </c>
      <c r="D27" s="28" t="s">
        <v>173</v>
      </c>
      <c r="E27" s="28" t="s">
        <v>173</v>
      </c>
      <c r="F27" s="28" t="s">
        <v>173</v>
      </c>
      <c r="G27" s="28" t="s">
        <v>173</v>
      </c>
      <c r="H27" s="29" t="s">
        <v>170</v>
      </c>
      <c r="I27" s="28" t="s">
        <v>173</v>
      </c>
      <c r="J27" s="28" t="s">
        <v>173</v>
      </c>
      <c r="K27" s="28" t="s">
        <v>173</v>
      </c>
      <c r="L27" s="28" t="s">
        <v>173</v>
      </c>
      <c r="M27" s="28" t="s">
        <v>173</v>
      </c>
      <c r="N27" s="28" t="s">
        <v>173</v>
      </c>
      <c r="O27" s="28" t="s">
        <v>173</v>
      </c>
      <c r="P27" s="80" t="s">
        <v>173</v>
      </c>
      <c r="Q27" s="80" t="s">
        <v>173</v>
      </c>
      <c r="R27" s="87" t="s">
        <v>173</v>
      </c>
      <c r="S27" s="80" t="s">
        <v>173</v>
      </c>
      <c r="T27" s="28" t="s">
        <v>173</v>
      </c>
      <c r="U27" s="28" t="s">
        <v>173</v>
      </c>
      <c r="V27" s="28" t="s">
        <v>173</v>
      </c>
      <c r="W27" s="28" t="s">
        <v>173</v>
      </c>
      <c r="X27" s="29" t="s">
        <v>173</v>
      </c>
      <c r="Y27" s="29" t="s">
        <v>173</v>
      </c>
      <c r="Z27" s="28" t="s">
        <v>173</v>
      </c>
      <c r="AA27" s="28" t="s">
        <v>173</v>
      </c>
      <c r="AB27" s="28" t="s">
        <v>173</v>
      </c>
      <c r="AC27" s="28" t="s">
        <v>173</v>
      </c>
      <c r="AD27" s="28" t="s">
        <v>173</v>
      </c>
      <c r="AE27" s="28" t="s">
        <v>173</v>
      </c>
      <c r="AF27" s="28" t="s">
        <v>173</v>
      </c>
      <c r="AG27" s="199"/>
      <c r="AH27" s="199"/>
      <c r="AJ27" s="80" t="s">
        <v>173</v>
      </c>
      <c r="AK27" s="80" t="s">
        <v>173</v>
      </c>
    </row>
    <row r="28" spans="1:37" x14ac:dyDescent="0.25">
      <c r="A28" s="26" t="s">
        <v>172</v>
      </c>
      <c r="B28" s="28" t="s">
        <v>170</v>
      </c>
      <c r="C28" s="28" t="s">
        <v>170</v>
      </c>
      <c r="D28" s="28" t="s">
        <v>170</v>
      </c>
      <c r="E28" s="28" t="s">
        <v>170</v>
      </c>
      <c r="F28" s="28" t="s">
        <v>170</v>
      </c>
      <c r="G28" s="28" t="s">
        <v>170</v>
      </c>
      <c r="H28" s="28" t="s">
        <v>173</v>
      </c>
      <c r="I28" s="28" t="s">
        <v>170</v>
      </c>
      <c r="J28" s="28" t="s">
        <v>170</v>
      </c>
      <c r="K28" s="28" t="s">
        <v>170</v>
      </c>
      <c r="L28" s="28" t="s">
        <v>170</v>
      </c>
      <c r="M28" s="28" t="s">
        <v>170</v>
      </c>
      <c r="N28" s="28" t="s">
        <v>170</v>
      </c>
      <c r="O28" s="28" t="s">
        <v>170</v>
      </c>
      <c r="P28" s="80" t="s">
        <v>173</v>
      </c>
      <c r="Q28" s="80" t="s">
        <v>173</v>
      </c>
      <c r="R28" s="181" t="s">
        <v>355</v>
      </c>
      <c r="S28" s="80" t="s">
        <v>173</v>
      </c>
      <c r="T28" s="28" t="s">
        <v>170</v>
      </c>
      <c r="U28" s="28" t="s">
        <v>170</v>
      </c>
      <c r="V28" s="28" t="s">
        <v>170</v>
      </c>
      <c r="W28" s="28" t="s">
        <v>170</v>
      </c>
      <c r="X28" s="28" t="s">
        <v>170</v>
      </c>
      <c r="Y28" s="28" t="s">
        <v>170</v>
      </c>
      <c r="Z28" s="28" t="s">
        <v>170</v>
      </c>
      <c r="AA28" s="28" t="s">
        <v>170</v>
      </c>
      <c r="AB28" s="28" t="s">
        <v>170</v>
      </c>
      <c r="AC28" s="28" t="s">
        <v>170</v>
      </c>
      <c r="AD28" s="28" t="s">
        <v>170</v>
      </c>
      <c r="AE28" s="28" t="s">
        <v>170</v>
      </c>
      <c r="AF28" s="28" t="s">
        <v>170</v>
      </c>
      <c r="AG28" s="199"/>
      <c r="AH28" s="199"/>
      <c r="AJ28" s="80" t="s">
        <v>173</v>
      </c>
      <c r="AK28" s="80" t="s">
        <v>173</v>
      </c>
    </row>
    <row r="29" spans="1:37" x14ac:dyDescent="0.25">
      <c r="A29" s="26" t="s">
        <v>174</v>
      </c>
      <c r="B29" s="28" t="s">
        <v>173</v>
      </c>
      <c r="C29" s="28" t="s">
        <v>173</v>
      </c>
      <c r="D29" s="28" t="s">
        <v>173</v>
      </c>
      <c r="E29" s="28" t="s">
        <v>173</v>
      </c>
      <c r="F29" s="28" t="s">
        <v>173</v>
      </c>
      <c r="G29" s="28" t="s">
        <v>173</v>
      </c>
      <c r="H29" s="28" t="s">
        <v>173</v>
      </c>
      <c r="I29" s="28" t="s">
        <v>173</v>
      </c>
      <c r="J29" s="28" t="s">
        <v>173</v>
      </c>
      <c r="K29" s="28" t="s">
        <v>173</v>
      </c>
      <c r="L29" s="28" t="s">
        <v>173</v>
      </c>
      <c r="M29" s="28" t="s">
        <v>173</v>
      </c>
      <c r="N29" s="28" t="s">
        <v>173</v>
      </c>
      <c r="O29" s="28" t="s">
        <v>173</v>
      </c>
      <c r="P29" s="80" t="s">
        <v>173</v>
      </c>
      <c r="Q29" s="80" t="s">
        <v>173</v>
      </c>
      <c r="R29" s="28" t="s">
        <v>173</v>
      </c>
      <c r="S29" s="80" t="s">
        <v>173</v>
      </c>
      <c r="T29" s="28" t="s">
        <v>173</v>
      </c>
      <c r="U29" s="28" t="s">
        <v>173</v>
      </c>
      <c r="V29" s="28" t="s">
        <v>173</v>
      </c>
      <c r="W29" s="28" t="s">
        <v>173</v>
      </c>
      <c r="X29" s="28" t="s">
        <v>173</v>
      </c>
      <c r="Y29" s="28" t="s">
        <v>173</v>
      </c>
      <c r="Z29" s="28" t="s">
        <v>173</v>
      </c>
      <c r="AA29" s="28" t="s">
        <v>173</v>
      </c>
      <c r="AB29" s="28" t="s">
        <v>173</v>
      </c>
      <c r="AC29" s="28" t="s">
        <v>173</v>
      </c>
      <c r="AD29" s="28" t="s">
        <v>173</v>
      </c>
      <c r="AE29" s="28" t="s">
        <v>173</v>
      </c>
      <c r="AF29" s="28" t="s">
        <v>173</v>
      </c>
      <c r="AG29" s="199"/>
      <c r="AH29" s="199"/>
      <c r="AJ29" s="81" t="s">
        <v>173</v>
      </c>
      <c r="AK29" s="81" t="s">
        <v>173</v>
      </c>
    </row>
    <row r="30" spans="1:37" x14ac:dyDescent="0.25">
      <c r="A30" s="26" t="s">
        <v>175</v>
      </c>
      <c r="B30" s="28" t="s">
        <v>198</v>
      </c>
      <c r="C30" s="28" t="s">
        <v>199</v>
      </c>
      <c r="D30" s="28" t="s">
        <v>198</v>
      </c>
      <c r="E30" s="28" t="s">
        <v>198</v>
      </c>
      <c r="F30" s="28" t="s">
        <v>198</v>
      </c>
      <c r="G30" s="28" t="s">
        <v>198</v>
      </c>
      <c r="H30" s="28" t="s">
        <v>397</v>
      </c>
      <c r="I30" s="28" t="s">
        <v>198</v>
      </c>
      <c r="J30" s="28" t="s">
        <v>198</v>
      </c>
      <c r="K30" s="28" t="s">
        <v>198</v>
      </c>
      <c r="L30" s="28" t="s">
        <v>198</v>
      </c>
      <c r="M30" s="28" t="s">
        <v>198</v>
      </c>
      <c r="N30" s="28" t="s">
        <v>198</v>
      </c>
      <c r="O30" s="28" t="s">
        <v>198</v>
      </c>
      <c r="P30" s="80" t="s">
        <v>198</v>
      </c>
      <c r="Q30" s="80" t="s">
        <v>198</v>
      </c>
      <c r="R30" s="114" t="s">
        <v>795</v>
      </c>
      <c r="S30" s="80" t="s">
        <v>198</v>
      </c>
      <c r="T30" s="28" t="s">
        <v>198</v>
      </c>
      <c r="U30" s="28" t="s">
        <v>198</v>
      </c>
      <c r="V30" s="28" t="s">
        <v>199</v>
      </c>
      <c r="W30" s="28" t="s">
        <v>370</v>
      </c>
      <c r="X30" s="28" t="s">
        <v>198</v>
      </c>
      <c r="Y30" s="28" t="s">
        <v>198</v>
      </c>
      <c r="Z30" s="28" t="s">
        <v>198</v>
      </c>
      <c r="AA30" s="28" t="s">
        <v>198</v>
      </c>
      <c r="AB30" s="28" t="s">
        <v>198</v>
      </c>
      <c r="AC30" s="28" t="s">
        <v>199</v>
      </c>
      <c r="AD30" s="28" t="s">
        <v>198</v>
      </c>
      <c r="AE30" s="28" t="s">
        <v>370</v>
      </c>
      <c r="AF30" s="28" t="s">
        <v>198</v>
      </c>
      <c r="AG30" s="199"/>
      <c r="AH30" s="199"/>
      <c r="AJ30" s="80" t="s">
        <v>198</v>
      </c>
      <c r="AK30" s="80" t="s">
        <v>198</v>
      </c>
    </row>
    <row r="31" spans="1:37" x14ac:dyDescent="0.25">
      <c r="A31" s="26" t="s">
        <v>176</v>
      </c>
      <c r="B31" s="30">
        <v>0.5</v>
      </c>
      <c r="C31" s="30">
        <v>-0.5</v>
      </c>
      <c r="D31" s="30">
        <v>1</v>
      </c>
      <c r="E31" s="30">
        <f>AVERAGE(0.5,0.5,0.5,1)</f>
        <v>0.625</v>
      </c>
      <c r="F31" s="30">
        <v>0.5</v>
      </c>
      <c r="G31" s="30">
        <v>0.5</v>
      </c>
      <c r="H31" s="30">
        <v>-6</v>
      </c>
      <c r="I31" s="30">
        <v>1</v>
      </c>
      <c r="J31" s="30">
        <v>0.5</v>
      </c>
      <c r="K31" s="30">
        <v>0.5</v>
      </c>
      <c r="L31" s="30">
        <v>0.5</v>
      </c>
      <c r="M31" s="30">
        <v>0.5</v>
      </c>
      <c r="N31" s="30">
        <v>0.5</v>
      </c>
      <c r="O31" s="30">
        <v>0.5</v>
      </c>
      <c r="P31" s="82">
        <v>0</v>
      </c>
      <c r="Q31" s="82">
        <v>0</v>
      </c>
      <c r="R31" s="30">
        <f>AVERAGE(4/3,-0.5,-6)</f>
        <v>-1.7222222222222223</v>
      </c>
      <c r="S31" s="82">
        <v>0</v>
      </c>
      <c r="T31" s="30">
        <f>AVERAGE(1,1,-0.5)</f>
        <v>0.5</v>
      </c>
      <c r="U31" s="30">
        <v>0.5</v>
      </c>
      <c r="V31" s="30">
        <v>-0.5</v>
      </c>
      <c r="W31" s="30">
        <f>AVERAGE(0.5,-0.5)</f>
        <v>0</v>
      </c>
      <c r="X31" s="30">
        <v>0.5</v>
      </c>
      <c r="Y31" s="30">
        <f>AVERAGE(1,1,1,0.5)</f>
        <v>0.875</v>
      </c>
      <c r="Z31" s="30">
        <v>1</v>
      </c>
      <c r="AA31" s="30">
        <v>1</v>
      </c>
      <c r="AB31" s="30">
        <v>1</v>
      </c>
      <c r="AC31" s="30">
        <v>-0.5</v>
      </c>
      <c r="AD31" s="30">
        <v>1</v>
      </c>
      <c r="AE31" s="30">
        <f>AVERAGE(1,-0.5)</f>
        <v>0.25</v>
      </c>
      <c r="AF31" s="30">
        <v>0.5</v>
      </c>
      <c r="AG31" s="201"/>
      <c r="AH31" s="201"/>
      <c r="AJ31" s="82">
        <v>0</v>
      </c>
      <c r="AK31" s="82">
        <v>0</v>
      </c>
    </row>
    <row r="32" spans="1:37" x14ac:dyDescent="0.25">
      <c r="A32" s="26" t="s">
        <v>177</v>
      </c>
      <c r="B32" s="28" t="s">
        <v>181</v>
      </c>
      <c r="C32" s="28" t="s">
        <v>181</v>
      </c>
      <c r="D32" s="28" t="s">
        <v>181</v>
      </c>
      <c r="E32" s="28" t="s">
        <v>181</v>
      </c>
      <c r="F32" s="28" t="s">
        <v>181</v>
      </c>
      <c r="G32" s="28" t="s">
        <v>181</v>
      </c>
      <c r="H32" s="28" t="s">
        <v>181</v>
      </c>
      <c r="I32" s="28" t="s">
        <v>181</v>
      </c>
      <c r="J32" s="28" t="s">
        <v>181</v>
      </c>
      <c r="K32" s="28" t="s">
        <v>181</v>
      </c>
      <c r="L32" s="28" t="s">
        <v>181</v>
      </c>
      <c r="M32" s="28" t="s">
        <v>181</v>
      </c>
      <c r="N32" s="28" t="s">
        <v>181</v>
      </c>
      <c r="O32" s="28" t="s">
        <v>181</v>
      </c>
      <c r="P32" s="80" t="s">
        <v>341</v>
      </c>
      <c r="Q32" s="80" t="s">
        <v>341</v>
      </c>
      <c r="R32" s="28" t="s">
        <v>181</v>
      </c>
      <c r="S32" s="80" t="s">
        <v>341</v>
      </c>
      <c r="T32" s="28" t="s">
        <v>181</v>
      </c>
      <c r="U32" s="28" t="s">
        <v>181</v>
      </c>
      <c r="V32" s="28" t="s">
        <v>181</v>
      </c>
      <c r="W32" s="28" t="s">
        <v>181</v>
      </c>
      <c r="X32" s="28" t="s">
        <v>181</v>
      </c>
      <c r="Y32" s="28" t="s">
        <v>181</v>
      </c>
      <c r="Z32" s="28" t="s">
        <v>181</v>
      </c>
      <c r="AA32" s="28" t="s">
        <v>181</v>
      </c>
      <c r="AB32" s="28" t="s">
        <v>181</v>
      </c>
      <c r="AC32" s="28" t="s">
        <v>181</v>
      </c>
      <c r="AD32" s="28" t="s">
        <v>181</v>
      </c>
      <c r="AE32" s="28" t="s">
        <v>181</v>
      </c>
      <c r="AF32" s="28" t="s">
        <v>181</v>
      </c>
      <c r="AG32" s="201"/>
      <c r="AH32" s="201"/>
      <c r="AJ32" s="80" t="s">
        <v>341</v>
      </c>
      <c r="AK32" s="80" t="s">
        <v>341</v>
      </c>
    </row>
    <row r="33" spans="1:37" x14ac:dyDescent="0.25">
      <c r="A33" s="26" t="s">
        <v>182</v>
      </c>
      <c r="B33" s="30">
        <v>2</v>
      </c>
      <c r="C33" s="30">
        <v>2</v>
      </c>
      <c r="D33" s="30">
        <v>2</v>
      </c>
      <c r="E33" s="30">
        <v>2</v>
      </c>
      <c r="F33" s="30">
        <v>2</v>
      </c>
      <c r="G33" s="30">
        <v>2</v>
      </c>
      <c r="H33" s="30">
        <v>2</v>
      </c>
      <c r="I33" s="30">
        <v>2</v>
      </c>
      <c r="J33" s="30">
        <v>2</v>
      </c>
      <c r="K33" s="30">
        <v>2</v>
      </c>
      <c r="L33" s="30">
        <v>2</v>
      </c>
      <c r="M33" s="30">
        <v>2</v>
      </c>
      <c r="N33" s="30">
        <v>2</v>
      </c>
      <c r="O33" s="30">
        <v>2</v>
      </c>
      <c r="P33" s="82">
        <v>0</v>
      </c>
      <c r="Q33" s="82">
        <v>0</v>
      </c>
      <c r="R33" s="30">
        <v>2</v>
      </c>
      <c r="S33" s="82">
        <v>0</v>
      </c>
      <c r="T33" s="30">
        <v>2</v>
      </c>
      <c r="U33" s="30">
        <v>2</v>
      </c>
      <c r="V33" s="30">
        <v>2</v>
      </c>
      <c r="W33" s="30">
        <v>2</v>
      </c>
      <c r="X33" s="30">
        <v>2</v>
      </c>
      <c r="Y33" s="30">
        <v>2</v>
      </c>
      <c r="Z33" s="30">
        <v>2</v>
      </c>
      <c r="AA33" s="30">
        <v>2</v>
      </c>
      <c r="AB33" s="30">
        <v>2</v>
      </c>
      <c r="AC33" s="30">
        <v>2</v>
      </c>
      <c r="AD33" s="30">
        <v>2</v>
      </c>
      <c r="AE33" s="30">
        <v>2</v>
      </c>
      <c r="AF33" s="30">
        <v>2</v>
      </c>
      <c r="AG33" s="199"/>
      <c r="AH33" s="199"/>
      <c r="AJ33" s="82">
        <v>0</v>
      </c>
      <c r="AK33" s="82">
        <v>0</v>
      </c>
    </row>
    <row r="35" spans="1:37" x14ac:dyDescent="0.25">
      <c r="A35" s="26" t="s">
        <v>159</v>
      </c>
      <c r="B35" s="28" t="s">
        <v>247</v>
      </c>
      <c r="C35" s="28" t="s">
        <v>631</v>
      </c>
      <c r="D35" s="28" t="s">
        <v>631</v>
      </c>
      <c r="E35" s="28" t="s">
        <v>631</v>
      </c>
      <c r="F35" s="28" t="s">
        <v>631</v>
      </c>
      <c r="G35" s="28" t="s">
        <v>631</v>
      </c>
      <c r="H35" s="28" t="s">
        <v>631</v>
      </c>
      <c r="I35" s="28" t="s">
        <v>631</v>
      </c>
      <c r="J35" s="28" t="s">
        <v>631</v>
      </c>
      <c r="K35" s="28" t="s">
        <v>631</v>
      </c>
      <c r="L35" s="28" t="s">
        <v>631</v>
      </c>
      <c r="M35" s="28" t="s">
        <v>631</v>
      </c>
      <c r="N35" s="28" t="s">
        <v>631</v>
      </c>
      <c r="O35" s="28" t="s">
        <v>631</v>
      </c>
      <c r="P35" s="28" t="s">
        <v>252</v>
      </c>
      <c r="Q35" s="28" t="s">
        <v>252</v>
      </c>
      <c r="R35" s="86" t="s">
        <v>252</v>
      </c>
      <c r="S35" s="28" t="s">
        <v>252</v>
      </c>
      <c r="T35" s="83" t="s">
        <v>252</v>
      </c>
      <c r="U35" s="182" t="s">
        <v>252</v>
      </c>
      <c r="V35" s="28"/>
      <c r="W35" s="28"/>
      <c r="X35" s="28"/>
      <c r="Y35" s="28"/>
      <c r="Z35" s="28"/>
      <c r="AA35" s="28" t="s">
        <v>252</v>
      </c>
      <c r="AB35" s="28"/>
      <c r="AC35" s="28"/>
      <c r="AD35" s="28"/>
      <c r="AE35" s="28"/>
      <c r="AF35" s="28" t="s">
        <v>252</v>
      </c>
      <c r="AG35" s="199"/>
      <c r="AH35" s="199"/>
      <c r="AJ35" s="28" t="s">
        <v>631</v>
      </c>
      <c r="AK35" s="28" t="s">
        <v>631</v>
      </c>
    </row>
    <row r="36" spans="1:37" ht="15.75" customHeight="1" x14ac:dyDescent="0.25">
      <c r="A36" s="26" t="s">
        <v>165</v>
      </c>
      <c r="B36" s="28" t="s">
        <v>254</v>
      </c>
      <c r="C36" s="28" t="s">
        <v>254</v>
      </c>
      <c r="D36" s="28" t="s">
        <v>254</v>
      </c>
      <c r="E36" s="28" t="s">
        <v>254</v>
      </c>
      <c r="F36" s="28" t="s">
        <v>254</v>
      </c>
      <c r="G36" s="28" t="s">
        <v>254</v>
      </c>
      <c r="H36" s="28" t="s">
        <v>254</v>
      </c>
      <c r="I36" s="28" t="s">
        <v>254</v>
      </c>
      <c r="J36" s="28" t="s">
        <v>254</v>
      </c>
      <c r="K36" s="28" t="s">
        <v>254</v>
      </c>
      <c r="L36" s="28" t="s">
        <v>254</v>
      </c>
      <c r="M36" s="28" t="s">
        <v>254</v>
      </c>
      <c r="N36" s="28" t="s">
        <v>254</v>
      </c>
      <c r="O36" s="28" t="s">
        <v>254</v>
      </c>
      <c r="P36" s="28" t="s">
        <v>283</v>
      </c>
      <c r="Q36" s="28" t="s">
        <v>283</v>
      </c>
      <c r="R36" s="112" t="s">
        <v>796</v>
      </c>
      <c r="S36" s="29" t="s">
        <v>284</v>
      </c>
      <c r="T36" s="28" t="s">
        <v>254</v>
      </c>
      <c r="U36" s="182" t="s">
        <v>254</v>
      </c>
      <c r="V36" s="29"/>
      <c r="W36" s="29"/>
      <c r="X36" s="29"/>
      <c r="Y36" s="29"/>
      <c r="Z36" s="29"/>
      <c r="AA36" s="28" t="s">
        <v>254</v>
      </c>
      <c r="AB36" s="29"/>
      <c r="AC36" s="29"/>
      <c r="AD36" s="29"/>
      <c r="AE36" s="29"/>
      <c r="AF36" s="28" t="s">
        <v>254</v>
      </c>
      <c r="AG36" s="200"/>
      <c r="AH36" s="200"/>
      <c r="AJ36" s="28" t="s">
        <v>254</v>
      </c>
      <c r="AK36" s="28" t="s">
        <v>254</v>
      </c>
    </row>
    <row r="37" spans="1:37" x14ac:dyDescent="0.25">
      <c r="A37" s="131" t="s">
        <v>168</v>
      </c>
      <c r="B37" s="157">
        <v>19</v>
      </c>
      <c r="C37" s="157">
        <v>19</v>
      </c>
      <c r="D37" s="157">
        <v>19</v>
      </c>
      <c r="E37" s="157">
        <v>19</v>
      </c>
      <c r="F37" s="157">
        <v>19</v>
      </c>
      <c r="G37" s="157">
        <v>19</v>
      </c>
      <c r="H37" s="157">
        <v>19</v>
      </c>
      <c r="I37" s="157">
        <v>19</v>
      </c>
      <c r="J37" s="157">
        <v>19</v>
      </c>
      <c r="K37" s="157">
        <v>19</v>
      </c>
      <c r="L37" s="157">
        <v>19</v>
      </c>
      <c r="M37" s="157">
        <v>19</v>
      </c>
      <c r="N37" s="157">
        <v>19</v>
      </c>
      <c r="O37" s="157">
        <v>19</v>
      </c>
      <c r="P37" s="157">
        <v>56</v>
      </c>
      <c r="Q37" s="157">
        <v>56</v>
      </c>
      <c r="R37" s="157">
        <v>163</v>
      </c>
      <c r="S37" s="132">
        <v>106</v>
      </c>
      <c r="T37" s="157">
        <v>19</v>
      </c>
      <c r="U37" s="183">
        <v>19</v>
      </c>
      <c r="V37" s="157"/>
      <c r="W37" s="157"/>
      <c r="X37" s="157"/>
      <c r="Y37" s="157"/>
      <c r="Z37" s="157"/>
      <c r="AA37" s="157">
        <v>19</v>
      </c>
      <c r="AB37" s="157"/>
      <c r="AC37" s="157"/>
      <c r="AD37" s="157"/>
      <c r="AE37" s="157"/>
      <c r="AF37" s="157">
        <v>19</v>
      </c>
      <c r="AG37" s="200"/>
      <c r="AH37" s="200"/>
      <c r="AJ37" s="157">
        <v>19</v>
      </c>
      <c r="AK37" s="157">
        <v>19</v>
      </c>
    </row>
    <row r="38" spans="1:37" x14ac:dyDescent="0.25">
      <c r="A38" s="26" t="s">
        <v>169</v>
      </c>
      <c r="B38" s="29" t="s">
        <v>170</v>
      </c>
      <c r="C38" s="29" t="s">
        <v>170</v>
      </c>
      <c r="D38" s="29" t="s">
        <v>170</v>
      </c>
      <c r="E38" s="29" t="s">
        <v>170</v>
      </c>
      <c r="F38" s="29" t="s">
        <v>170</v>
      </c>
      <c r="G38" s="29" t="s">
        <v>170</v>
      </c>
      <c r="H38" s="29" t="s">
        <v>170</v>
      </c>
      <c r="I38" s="29" t="s">
        <v>170</v>
      </c>
      <c r="J38" s="29" t="s">
        <v>170</v>
      </c>
      <c r="K38" s="29" t="s">
        <v>170</v>
      </c>
      <c r="L38" s="29" t="s">
        <v>170</v>
      </c>
      <c r="M38" s="29" t="s">
        <v>170</v>
      </c>
      <c r="N38" s="29" t="s">
        <v>170</v>
      </c>
      <c r="O38" s="29" t="s">
        <v>170</v>
      </c>
      <c r="P38" s="28" t="s">
        <v>170</v>
      </c>
      <c r="Q38" s="28" t="s">
        <v>170</v>
      </c>
      <c r="R38" s="29" t="s">
        <v>170</v>
      </c>
      <c r="S38" s="28" t="s">
        <v>170</v>
      </c>
      <c r="T38" s="29" t="s">
        <v>170</v>
      </c>
      <c r="U38" s="184" t="s">
        <v>170</v>
      </c>
      <c r="V38" s="28"/>
      <c r="W38" s="28"/>
      <c r="X38" s="28"/>
      <c r="Y38" s="28"/>
      <c r="Z38" s="28"/>
      <c r="AA38" s="29" t="s">
        <v>170</v>
      </c>
      <c r="AB38" s="28"/>
      <c r="AC38" s="29"/>
      <c r="AD38" s="28"/>
      <c r="AE38" s="29"/>
      <c r="AF38" s="29" t="s">
        <v>170</v>
      </c>
      <c r="AG38" s="199"/>
      <c r="AH38" s="199"/>
      <c r="AJ38" s="29" t="s">
        <v>170</v>
      </c>
      <c r="AK38" s="29" t="s">
        <v>170</v>
      </c>
    </row>
    <row r="39" spans="1:37" x14ac:dyDescent="0.25">
      <c r="A39" s="26" t="s">
        <v>171</v>
      </c>
      <c r="B39" s="28" t="s">
        <v>173</v>
      </c>
      <c r="C39" s="28" t="s">
        <v>173</v>
      </c>
      <c r="D39" s="28" t="s">
        <v>173</v>
      </c>
      <c r="E39" s="28" t="s">
        <v>173</v>
      </c>
      <c r="F39" s="28" t="s">
        <v>173</v>
      </c>
      <c r="G39" s="28" t="s">
        <v>173</v>
      </c>
      <c r="H39" s="28" t="s">
        <v>173</v>
      </c>
      <c r="I39" s="28" t="s">
        <v>173</v>
      </c>
      <c r="J39" s="28" t="s">
        <v>173</v>
      </c>
      <c r="K39" s="28" t="s">
        <v>173</v>
      </c>
      <c r="L39" s="28" t="s">
        <v>173</v>
      </c>
      <c r="M39" s="28" t="s">
        <v>173</v>
      </c>
      <c r="N39" s="28" t="s">
        <v>173</v>
      </c>
      <c r="O39" s="28" t="s">
        <v>173</v>
      </c>
      <c r="P39" s="28" t="s">
        <v>173</v>
      </c>
      <c r="Q39" s="28" t="s">
        <v>173</v>
      </c>
      <c r="R39" s="28" t="s">
        <v>173</v>
      </c>
      <c r="S39" s="87" t="s">
        <v>173</v>
      </c>
      <c r="T39" s="28" t="s">
        <v>173</v>
      </c>
      <c r="U39" s="182" t="s">
        <v>173</v>
      </c>
      <c r="V39" s="28"/>
      <c r="W39" s="28"/>
      <c r="X39" s="28"/>
      <c r="Y39" s="28"/>
      <c r="Z39" s="28"/>
      <c r="AA39" s="28" t="s">
        <v>173</v>
      </c>
      <c r="AB39" s="28"/>
      <c r="AC39" s="28"/>
      <c r="AD39" s="28"/>
      <c r="AE39" s="28"/>
      <c r="AF39" s="28" t="s">
        <v>173</v>
      </c>
      <c r="AG39" s="199"/>
      <c r="AH39" s="199"/>
      <c r="AJ39" s="28" t="s">
        <v>173</v>
      </c>
      <c r="AK39" s="28" t="s">
        <v>173</v>
      </c>
    </row>
    <row r="40" spans="1:37" x14ac:dyDescent="0.25">
      <c r="A40" s="26" t="s">
        <v>172</v>
      </c>
      <c r="B40" s="28" t="s">
        <v>173</v>
      </c>
      <c r="C40" s="28" t="s">
        <v>173</v>
      </c>
      <c r="D40" s="28" t="s">
        <v>173</v>
      </c>
      <c r="E40" s="28" t="s">
        <v>173</v>
      </c>
      <c r="F40" s="28" t="s">
        <v>173</v>
      </c>
      <c r="G40" s="28" t="s">
        <v>173</v>
      </c>
      <c r="H40" s="28" t="s">
        <v>173</v>
      </c>
      <c r="I40" s="28" t="s">
        <v>173</v>
      </c>
      <c r="J40" s="28" t="s">
        <v>173</v>
      </c>
      <c r="K40" s="28" t="s">
        <v>173</v>
      </c>
      <c r="L40" s="28" t="s">
        <v>173</v>
      </c>
      <c r="M40" s="28" t="s">
        <v>173</v>
      </c>
      <c r="N40" s="28" t="s">
        <v>173</v>
      </c>
      <c r="O40" s="28" t="s">
        <v>173</v>
      </c>
      <c r="P40" s="28" t="s">
        <v>170</v>
      </c>
      <c r="Q40" s="28" t="s">
        <v>170</v>
      </c>
      <c r="R40" s="172" t="s">
        <v>797</v>
      </c>
      <c r="S40" s="116" t="s">
        <v>288</v>
      </c>
      <c r="T40" s="83" t="s">
        <v>173</v>
      </c>
      <c r="U40" s="182" t="s">
        <v>173</v>
      </c>
      <c r="V40" s="28"/>
      <c r="W40" s="28"/>
      <c r="X40" s="28"/>
      <c r="Y40" s="28"/>
      <c r="Z40" s="28"/>
      <c r="AA40" s="28" t="s">
        <v>173</v>
      </c>
      <c r="AB40" s="28"/>
      <c r="AC40" s="28"/>
      <c r="AD40" s="28"/>
      <c r="AE40" s="28"/>
      <c r="AF40" s="28" t="s">
        <v>173</v>
      </c>
      <c r="AG40" s="199"/>
      <c r="AH40" s="199"/>
      <c r="AJ40" s="28" t="s">
        <v>173</v>
      </c>
      <c r="AK40" s="28" t="s">
        <v>173</v>
      </c>
    </row>
    <row r="41" spans="1:37" x14ac:dyDescent="0.25">
      <c r="A41" s="26" t="s">
        <v>174</v>
      </c>
      <c r="B41" s="28" t="s">
        <v>173</v>
      </c>
      <c r="C41" s="28" t="s">
        <v>173</v>
      </c>
      <c r="D41" s="28" t="s">
        <v>173</v>
      </c>
      <c r="E41" s="28" t="s">
        <v>173</v>
      </c>
      <c r="F41" s="28" t="s">
        <v>173</v>
      </c>
      <c r="G41" s="28" t="s">
        <v>173</v>
      </c>
      <c r="H41" s="28" t="s">
        <v>173</v>
      </c>
      <c r="I41" s="28" t="s">
        <v>173</v>
      </c>
      <c r="J41" s="28" t="s">
        <v>173</v>
      </c>
      <c r="K41" s="28" t="s">
        <v>173</v>
      </c>
      <c r="L41" s="28" t="s">
        <v>173</v>
      </c>
      <c r="M41" s="28" t="s">
        <v>173</v>
      </c>
      <c r="N41" s="28" t="s">
        <v>173</v>
      </c>
      <c r="O41" s="28" t="s">
        <v>173</v>
      </c>
      <c r="P41" s="28" t="s">
        <v>173</v>
      </c>
      <c r="Q41" s="28" t="s">
        <v>173</v>
      </c>
      <c r="R41" s="28" t="s">
        <v>173</v>
      </c>
      <c r="S41" s="29" t="s">
        <v>173</v>
      </c>
      <c r="T41" s="28" t="s">
        <v>173</v>
      </c>
      <c r="U41" s="182" t="s">
        <v>173</v>
      </c>
      <c r="V41" s="28"/>
      <c r="W41" s="28"/>
      <c r="X41" s="28"/>
      <c r="Y41" s="28"/>
      <c r="Z41" s="28"/>
      <c r="AA41" s="28" t="s">
        <v>173</v>
      </c>
      <c r="AB41" s="28"/>
      <c r="AC41" s="28"/>
      <c r="AD41" s="28"/>
      <c r="AE41" s="28"/>
      <c r="AF41" s="28" t="s">
        <v>173</v>
      </c>
      <c r="AG41" s="199"/>
      <c r="AH41" s="199"/>
      <c r="AJ41" s="28" t="s">
        <v>173</v>
      </c>
      <c r="AK41" s="28" t="s">
        <v>173</v>
      </c>
    </row>
    <row r="42" spans="1:37" x14ac:dyDescent="0.25">
      <c r="A42" s="26" t="s">
        <v>175</v>
      </c>
      <c r="B42" s="28" t="s">
        <v>267</v>
      </c>
      <c r="C42" s="28" t="s">
        <v>267</v>
      </c>
      <c r="D42" s="28" t="s">
        <v>267</v>
      </c>
      <c r="E42" s="28" t="s">
        <v>267</v>
      </c>
      <c r="F42" s="28" t="s">
        <v>267</v>
      </c>
      <c r="G42" s="28" t="s">
        <v>267</v>
      </c>
      <c r="H42" s="28" t="s">
        <v>267</v>
      </c>
      <c r="I42" s="28" t="s">
        <v>267</v>
      </c>
      <c r="J42" s="28" t="s">
        <v>267</v>
      </c>
      <c r="K42" s="28" t="s">
        <v>267</v>
      </c>
      <c r="L42" s="28" t="s">
        <v>267</v>
      </c>
      <c r="M42" s="28" t="s">
        <v>267</v>
      </c>
      <c r="N42" s="28" t="s">
        <v>267</v>
      </c>
      <c r="O42" s="28" t="s">
        <v>267</v>
      </c>
      <c r="P42" s="28" t="s">
        <v>199</v>
      </c>
      <c r="Q42" s="28" t="s">
        <v>199</v>
      </c>
      <c r="R42" s="114" t="s">
        <v>798</v>
      </c>
      <c r="S42" s="28" t="s">
        <v>268</v>
      </c>
      <c r="T42" s="28" t="s">
        <v>267</v>
      </c>
      <c r="U42" s="182" t="s">
        <v>267</v>
      </c>
      <c r="V42" s="28"/>
      <c r="W42" s="28"/>
      <c r="X42" s="28"/>
      <c r="Y42" s="28"/>
      <c r="Z42" s="28"/>
      <c r="AA42" s="28" t="s">
        <v>267</v>
      </c>
      <c r="AB42" s="28"/>
      <c r="AC42" s="28"/>
      <c r="AD42" s="28"/>
      <c r="AE42" s="28"/>
      <c r="AF42" s="28" t="s">
        <v>267</v>
      </c>
      <c r="AG42" s="199"/>
      <c r="AH42" s="199"/>
      <c r="AJ42" s="28" t="s">
        <v>267</v>
      </c>
      <c r="AK42" s="28" t="s">
        <v>267</v>
      </c>
    </row>
    <row r="43" spans="1:37" x14ac:dyDescent="0.25">
      <c r="A43" s="26" t="s">
        <v>176</v>
      </c>
      <c r="B43" s="30">
        <v>-3</v>
      </c>
      <c r="C43" s="30">
        <v>-3</v>
      </c>
      <c r="D43" s="30">
        <v>-3</v>
      </c>
      <c r="E43" s="30">
        <v>-3</v>
      </c>
      <c r="F43" s="30">
        <v>-3</v>
      </c>
      <c r="G43" s="30">
        <v>-3</v>
      </c>
      <c r="H43" s="30">
        <v>-3</v>
      </c>
      <c r="I43" s="30">
        <v>-3</v>
      </c>
      <c r="J43" s="30">
        <v>-3</v>
      </c>
      <c r="K43" s="30">
        <v>-3</v>
      </c>
      <c r="L43" s="30">
        <v>-3</v>
      </c>
      <c r="M43" s="30">
        <v>-3</v>
      </c>
      <c r="N43" s="30">
        <v>-3</v>
      </c>
      <c r="O43" s="30">
        <v>-3</v>
      </c>
      <c r="P43" s="30">
        <v>-0.5</v>
      </c>
      <c r="Q43" s="30">
        <v>-0.5</v>
      </c>
      <c r="R43" s="30">
        <f>AVERAGE(-0.5,-3,-6)</f>
        <v>-3.1666666666666665</v>
      </c>
      <c r="S43" s="30">
        <f>AVERAGE(-0.5,2)</f>
        <v>0.75</v>
      </c>
      <c r="T43" s="30">
        <v>-3</v>
      </c>
      <c r="U43" s="185">
        <v>-3</v>
      </c>
      <c r="V43" s="30"/>
      <c r="W43" s="30"/>
      <c r="X43" s="30"/>
      <c r="Y43" s="30"/>
      <c r="Z43" s="30"/>
      <c r="AA43" s="30">
        <v>-3</v>
      </c>
      <c r="AB43" s="30"/>
      <c r="AC43" s="30"/>
      <c r="AD43" s="30"/>
      <c r="AE43" s="30"/>
      <c r="AF43" s="30">
        <v>-3</v>
      </c>
      <c r="AG43" s="201"/>
      <c r="AH43" s="201"/>
      <c r="AJ43" s="30">
        <v>-3</v>
      </c>
      <c r="AK43" s="30">
        <v>-3</v>
      </c>
    </row>
    <row r="44" spans="1:37" x14ac:dyDescent="0.25">
      <c r="A44" s="26" t="s">
        <v>177</v>
      </c>
      <c r="B44" s="28" t="s">
        <v>178</v>
      </c>
      <c r="C44" s="28" t="s">
        <v>178</v>
      </c>
      <c r="D44" s="28" t="s">
        <v>178</v>
      </c>
      <c r="E44" s="28" t="s">
        <v>178</v>
      </c>
      <c r="F44" s="28" t="s">
        <v>178</v>
      </c>
      <c r="G44" s="28" t="s">
        <v>178</v>
      </c>
      <c r="H44" s="28" t="s">
        <v>178</v>
      </c>
      <c r="I44" s="28" t="s">
        <v>178</v>
      </c>
      <c r="J44" s="28" t="s">
        <v>178</v>
      </c>
      <c r="K44" s="28" t="s">
        <v>178</v>
      </c>
      <c r="L44" s="28" t="s">
        <v>178</v>
      </c>
      <c r="M44" s="28" t="s">
        <v>178</v>
      </c>
      <c r="N44" s="28" t="s">
        <v>178</v>
      </c>
      <c r="O44" s="28" t="s">
        <v>178</v>
      </c>
      <c r="P44" s="28" t="s">
        <v>181</v>
      </c>
      <c r="Q44" s="28" t="s">
        <v>181</v>
      </c>
      <c r="R44" s="28" t="s">
        <v>799</v>
      </c>
      <c r="S44" s="28" t="s">
        <v>292</v>
      </c>
      <c r="T44" s="28" t="s">
        <v>178</v>
      </c>
      <c r="U44" s="182" t="s">
        <v>178</v>
      </c>
      <c r="V44" s="28"/>
      <c r="W44" s="28"/>
      <c r="X44" s="28"/>
      <c r="Y44" s="28"/>
      <c r="Z44" s="28"/>
      <c r="AA44" s="28" t="s">
        <v>178</v>
      </c>
      <c r="AB44" s="28"/>
      <c r="AC44" s="28"/>
      <c r="AD44" s="28"/>
      <c r="AE44" s="28"/>
      <c r="AF44" s="28" t="s">
        <v>178</v>
      </c>
      <c r="AG44" s="201"/>
      <c r="AH44" s="201"/>
      <c r="AJ44" s="28" t="s">
        <v>178</v>
      </c>
      <c r="AK44" s="28" t="s">
        <v>178</v>
      </c>
    </row>
    <row r="45" spans="1:37" x14ac:dyDescent="0.25">
      <c r="A45" s="26" t="s">
        <v>182</v>
      </c>
      <c r="B45" s="30">
        <v>4</v>
      </c>
      <c r="C45" s="30">
        <v>4</v>
      </c>
      <c r="D45" s="30">
        <v>4</v>
      </c>
      <c r="E45" s="30">
        <v>4</v>
      </c>
      <c r="F45" s="30">
        <v>4</v>
      </c>
      <c r="G45" s="30">
        <v>4</v>
      </c>
      <c r="H45" s="30">
        <v>4</v>
      </c>
      <c r="I45" s="30">
        <v>4</v>
      </c>
      <c r="J45" s="30">
        <v>4</v>
      </c>
      <c r="K45" s="30">
        <v>4</v>
      </c>
      <c r="L45" s="30">
        <v>4</v>
      </c>
      <c r="M45" s="30">
        <v>4</v>
      </c>
      <c r="N45" s="30">
        <v>4</v>
      </c>
      <c r="O45" s="30">
        <v>4</v>
      </c>
      <c r="P45" s="30">
        <v>2</v>
      </c>
      <c r="Q45" s="30">
        <v>2</v>
      </c>
      <c r="R45" s="30">
        <f>AVERAGE(2,4,2)</f>
        <v>2.6666666666666665</v>
      </c>
      <c r="S45" s="30">
        <f>AVERAGE(3,2)</f>
        <v>2.5</v>
      </c>
      <c r="T45" s="30">
        <v>4</v>
      </c>
      <c r="U45" s="185">
        <v>4</v>
      </c>
      <c r="V45" s="30"/>
      <c r="W45" s="30"/>
      <c r="X45" s="30"/>
      <c r="Y45" s="30"/>
      <c r="Z45" s="30"/>
      <c r="AA45" s="30">
        <v>4</v>
      </c>
      <c r="AB45" s="30"/>
      <c r="AC45" s="30"/>
      <c r="AD45" s="30"/>
      <c r="AE45" s="30"/>
      <c r="AF45" s="30">
        <v>4</v>
      </c>
      <c r="AG45" s="199"/>
      <c r="AH45" s="199"/>
      <c r="AJ45" s="30">
        <v>4</v>
      </c>
      <c r="AK45" s="30">
        <v>4</v>
      </c>
    </row>
    <row r="46" spans="1:37" ht="15.75" customHeight="1" x14ac:dyDescent="0.25">
      <c r="P46" s="223" t="s">
        <v>800</v>
      </c>
      <c r="Q46" s="223"/>
      <c r="AJ46" s="223" t="s">
        <v>801</v>
      </c>
      <c r="AK46" s="223"/>
    </row>
    <row r="47" spans="1:37" x14ac:dyDescent="0.25">
      <c r="A47" s="31" t="s">
        <v>183</v>
      </c>
    </row>
    <row r="48" spans="1:37" x14ac:dyDescent="0.25">
      <c r="A48" s="241" t="s">
        <v>802</v>
      </c>
      <c r="B48" s="95" t="s">
        <v>803</v>
      </c>
    </row>
    <row r="49" spans="1:2" x14ac:dyDescent="0.25">
      <c r="A49" s="235"/>
      <c r="B49" s="96" t="s">
        <v>804</v>
      </c>
    </row>
    <row r="50" spans="1:2" x14ac:dyDescent="0.25">
      <c r="A50" s="235"/>
      <c r="B50" s="96" t="s">
        <v>805</v>
      </c>
    </row>
    <row r="51" spans="1:2" x14ac:dyDescent="0.25">
      <c r="A51" s="235" t="s">
        <v>806</v>
      </c>
      <c r="B51" s="95" t="s">
        <v>803</v>
      </c>
    </row>
    <row r="52" spans="1:2" x14ac:dyDescent="0.25">
      <c r="A52" s="235"/>
      <c r="B52" s="96" t="s">
        <v>807</v>
      </c>
    </row>
    <row r="53" spans="1:2" x14ac:dyDescent="0.25">
      <c r="A53" s="235"/>
      <c r="B53" s="96" t="s">
        <v>805</v>
      </c>
    </row>
  </sheetData>
  <mergeCells count="9">
    <mergeCell ref="P46:Q46"/>
    <mergeCell ref="AJ46:AK46"/>
    <mergeCell ref="F3:O3"/>
    <mergeCell ref="F4:O5"/>
    <mergeCell ref="A51:A53"/>
    <mergeCell ref="A48:A50"/>
    <mergeCell ref="B3:D3"/>
    <mergeCell ref="B4:D4"/>
    <mergeCell ref="B5:D5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BCA55-0FA5-48E5-9689-B231027F3FE8}">
  <dimension ref="A1:BB54"/>
  <sheetViews>
    <sheetView topLeftCell="AD11" workbookViewId="0">
      <selection activeCell="AL24" sqref="AL24"/>
    </sheetView>
  </sheetViews>
  <sheetFormatPr defaultColWidth="9.140625" defaultRowHeight="15" x14ac:dyDescent="0.25"/>
  <cols>
    <col min="1" max="1" width="23.28515625" style="26" bestFit="1" customWidth="1"/>
    <col min="2" max="60" width="5.7109375" style="26" customWidth="1"/>
    <col min="61" max="16384" width="9.140625" style="26"/>
  </cols>
  <sheetData>
    <row r="1" spans="1:54" x14ac:dyDescent="0.25">
      <c r="A1" s="25" t="s">
        <v>116</v>
      </c>
      <c r="D1" s="25" t="s">
        <v>117</v>
      </c>
      <c r="I1" s="25" t="s">
        <v>549</v>
      </c>
    </row>
    <row r="3" spans="1:54" ht="18" x14ac:dyDescent="0.25">
      <c r="A3" s="25" t="s">
        <v>119</v>
      </c>
      <c r="B3" s="215" t="s">
        <v>808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54" ht="18" x14ac:dyDescent="0.25">
      <c r="A4" s="25" t="s">
        <v>121</v>
      </c>
      <c r="B4" s="215" t="s">
        <v>791</v>
      </c>
      <c r="C4" s="215"/>
      <c r="D4" s="215"/>
      <c r="F4" s="216" t="s">
        <v>809</v>
      </c>
      <c r="G4" s="217"/>
      <c r="H4" s="217"/>
      <c r="I4" s="217"/>
      <c r="J4" s="217"/>
      <c r="K4" s="217"/>
      <c r="L4" s="217"/>
      <c r="M4" s="217"/>
      <c r="N4" s="217"/>
      <c r="O4" s="218"/>
      <c r="Q4" s="93" t="s">
        <v>810</v>
      </c>
    </row>
    <row r="5" spans="1:54" ht="18" x14ac:dyDescent="0.25">
      <c r="A5" s="25" t="s">
        <v>124</v>
      </c>
      <c r="B5" s="215" t="s">
        <v>187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5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73" t="s">
        <v>154</v>
      </c>
      <c r="AE7" s="74" t="s">
        <v>155</v>
      </c>
      <c r="AF7" s="75" t="s">
        <v>156</v>
      </c>
      <c r="AG7" s="76" t="s">
        <v>157</v>
      </c>
      <c r="AH7" s="76" t="s">
        <v>158</v>
      </c>
      <c r="AJ7" s="58" t="s">
        <v>127</v>
      </c>
      <c r="AK7" s="58" t="s">
        <v>128</v>
      </c>
      <c r="AL7" s="59" t="s">
        <v>129</v>
      </c>
      <c r="AM7" s="34" t="s">
        <v>130</v>
      </c>
      <c r="AN7" s="35" t="s">
        <v>131</v>
      </c>
      <c r="AO7" s="35" t="s">
        <v>132</v>
      </c>
      <c r="AP7" s="36" t="s">
        <v>133</v>
      </c>
      <c r="AQ7" s="64" t="s">
        <v>135</v>
      </c>
      <c r="AR7" s="64" t="s">
        <v>136</v>
      </c>
      <c r="AS7" s="64" t="s">
        <v>137</v>
      </c>
      <c r="AT7" s="40" t="s">
        <v>138</v>
      </c>
      <c r="AU7" s="40" t="s">
        <v>139</v>
      </c>
      <c r="AV7" s="42" t="s">
        <v>140</v>
      </c>
      <c r="AW7" s="42" t="s">
        <v>141</v>
      </c>
      <c r="AX7" s="45" t="s">
        <v>144</v>
      </c>
      <c r="AY7" s="47" t="s">
        <v>148</v>
      </c>
      <c r="AZ7" s="47" t="s">
        <v>149</v>
      </c>
      <c r="BA7" s="72" t="s">
        <v>151</v>
      </c>
      <c r="BB7" s="76" t="s">
        <v>158</v>
      </c>
    </row>
    <row r="8" spans="1:54" x14ac:dyDescent="0.25">
      <c r="A8" s="26" t="s">
        <v>159</v>
      </c>
      <c r="B8" s="199"/>
      <c r="C8" s="177" t="s">
        <v>341</v>
      </c>
      <c r="D8" s="177" t="s">
        <v>341</v>
      </c>
      <c r="E8" s="177" t="s">
        <v>341</v>
      </c>
      <c r="F8" s="177" t="s">
        <v>341</v>
      </c>
      <c r="G8" s="177" t="s">
        <v>341</v>
      </c>
      <c r="H8" s="177" t="s">
        <v>341</v>
      </c>
      <c r="I8" s="177" t="s">
        <v>341</v>
      </c>
      <c r="J8" s="177" t="s">
        <v>341</v>
      </c>
      <c r="K8" s="177" t="s">
        <v>341</v>
      </c>
      <c r="L8" s="177" t="s">
        <v>341</v>
      </c>
      <c r="M8" s="177" t="s">
        <v>341</v>
      </c>
      <c r="N8" s="177" t="s">
        <v>341</v>
      </c>
      <c r="O8" s="177" t="s">
        <v>341</v>
      </c>
      <c r="P8" s="177" t="s">
        <v>341</v>
      </c>
      <c r="Q8" s="177" t="s">
        <v>341</v>
      </c>
      <c r="R8" s="177" t="s">
        <v>341</v>
      </c>
      <c r="S8" s="28"/>
      <c r="T8" s="177" t="s">
        <v>341</v>
      </c>
      <c r="U8" s="28"/>
      <c r="V8" s="28"/>
      <c r="W8" s="28"/>
      <c r="X8" s="28" t="s">
        <v>556</v>
      </c>
      <c r="Y8" s="177" t="s">
        <v>341</v>
      </c>
      <c r="Z8" s="28"/>
      <c r="AA8" s="177" t="s">
        <v>341</v>
      </c>
      <c r="AB8" s="28"/>
      <c r="AC8" s="86"/>
      <c r="AD8" s="28"/>
      <c r="AE8" s="28"/>
      <c r="AF8" s="28"/>
      <c r="AG8" s="80" t="s">
        <v>341</v>
      </c>
      <c r="AH8" s="80" t="s">
        <v>341</v>
      </c>
      <c r="AJ8" s="28" t="s">
        <v>744</v>
      </c>
      <c r="AK8" s="28" t="s">
        <v>744</v>
      </c>
      <c r="AL8" s="28" t="s">
        <v>744</v>
      </c>
      <c r="AM8" s="83" t="s">
        <v>744</v>
      </c>
      <c r="AN8" s="28" t="s">
        <v>744</v>
      </c>
      <c r="AO8" s="86" t="s">
        <v>744</v>
      </c>
      <c r="AP8" s="28" t="s">
        <v>744</v>
      </c>
      <c r="AQ8" s="28" t="s">
        <v>744</v>
      </c>
      <c r="AR8" s="28" t="s">
        <v>744</v>
      </c>
      <c r="AS8" s="28" t="s">
        <v>744</v>
      </c>
      <c r="AT8" s="28" t="s">
        <v>744</v>
      </c>
      <c r="AU8" s="28" t="s">
        <v>744</v>
      </c>
      <c r="AV8" s="28" t="s">
        <v>745</v>
      </c>
      <c r="AW8" s="86" t="s">
        <v>745</v>
      </c>
      <c r="AX8" s="80" t="s">
        <v>341</v>
      </c>
      <c r="AY8" s="28" t="s">
        <v>556</v>
      </c>
      <c r="AZ8" s="80" t="s">
        <v>341</v>
      </c>
      <c r="BA8" s="80" t="s">
        <v>341</v>
      </c>
      <c r="BB8" s="80" t="s">
        <v>341</v>
      </c>
    </row>
    <row r="9" spans="1:54" x14ac:dyDescent="0.25">
      <c r="A9" s="26" t="s">
        <v>165</v>
      </c>
      <c r="B9" s="200"/>
      <c r="C9" s="178" t="s">
        <v>341</v>
      </c>
      <c r="D9" s="178" t="s">
        <v>341</v>
      </c>
      <c r="E9" s="178" t="s">
        <v>341</v>
      </c>
      <c r="F9" s="178" t="s">
        <v>341</v>
      </c>
      <c r="G9" s="178" t="s">
        <v>341</v>
      </c>
      <c r="H9" s="178" t="s">
        <v>341</v>
      </c>
      <c r="I9" s="178" t="s">
        <v>341</v>
      </c>
      <c r="J9" s="178" t="s">
        <v>341</v>
      </c>
      <c r="K9" s="178" t="s">
        <v>341</v>
      </c>
      <c r="L9" s="178" t="s">
        <v>341</v>
      </c>
      <c r="M9" s="178" t="s">
        <v>341</v>
      </c>
      <c r="N9" s="178" t="s">
        <v>341</v>
      </c>
      <c r="O9" s="178" t="s">
        <v>341</v>
      </c>
      <c r="P9" s="178" t="s">
        <v>341</v>
      </c>
      <c r="Q9" s="178" t="s">
        <v>341</v>
      </c>
      <c r="R9" s="178" t="s">
        <v>341</v>
      </c>
      <c r="S9" s="29"/>
      <c r="T9" s="178" t="s">
        <v>341</v>
      </c>
      <c r="U9" s="29"/>
      <c r="V9" s="29"/>
      <c r="W9" s="29"/>
      <c r="X9" s="29" t="s">
        <v>556</v>
      </c>
      <c r="Y9" s="178" t="s">
        <v>341</v>
      </c>
      <c r="Z9" s="29"/>
      <c r="AA9" s="178" t="s">
        <v>341</v>
      </c>
      <c r="AB9" s="29"/>
      <c r="AC9" s="91"/>
      <c r="AD9" s="28"/>
      <c r="AE9" s="28"/>
      <c r="AF9" s="28"/>
      <c r="AG9" s="80" t="s">
        <v>341</v>
      </c>
      <c r="AH9" s="80" t="s">
        <v>341</v>
      </c>
      <c r="AJ9" s="28" t="s">
        <v>556</v>
      </c>
      <c r="AK9" s="28" t="s">
        <v>747</v>
      </c>
      <c r="AL9" s="28" t="s">
        <v>748</v>
      </c>
      <c r="AM9" s="83" t="s">
        <v>748</v>
      </c>
      <c r="AN9" s="29" t="s">
        <v>749</v>
      </c>
      <c r="AO9" s="91" t="s">
        <v>750</v>
      </c>
      <c r="AP9" s="28" t="s">
        <v>749</v>
      </c>
      <c r="AQ9" s="29" t="s">
        <v>752</v>
      </c>
      <c r="AR9" s="29" t="s">
        <v>749</v>
      </c>
      <c r="AS9" s="29" t="s">
        <v>752</v>
      </c>
      <c r="AT9" s="28" t="s">
        <v>744</v>
      </c>
      <c r="AU9" s="28" t="s">
        <v>744</v>
      </c>
      <c r="AV9" s="28" t="s">
        <v>744</v>
      </c>
      <c r="AW9" s="86" t="s">
        <v>744</v>
      </c>
      <c r="AX9" s="80" t="s">
        <v>341</v>
      </c>
      <c r="AY9" s="29" t="s">
        <v>556</v>
      </c>
      <c r="AZ9" s="80" t="s">
        <v>341</v>
      </c>
      <c r="BA9" s="80" t="s">
        <v>341</v>
      </c>
      <c r="BB9" s="80" t="s">
        <v>341</v>
      </c>
    </row>
    <row r="10" spans="1:54" x14ac:dyDescent="0.25">
      <c r="A10" s="131" t="s">
        <v>168</v>
      </c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29"/>
      <c r="T10" s="198"/>
      <c r="U10" s="29"/>
      <c r="V10" s="29"/>
      <c r="W10" s="29"/>
      <c r="X10" s="157">
        <v>501</v>
      </c>
      <c r="Y10" s="198"/>
      <c r="Z10" s="29"/>
      <c r="AA10" s="198"/>
      <c r="AB10" s="29"/>
      <c r="AC10" s="91"/>
      <c r="AD10" s="28"/>
      <c r="AE10" s="28"/>
      <c r="AF10" s="28"/>
      <c r="AG10" s="198"/>
      <c r="AH10" s="198"/>
      <c r="AJ10" s="157">
        <v>501</v>
      </c>
      <c r="AK10" s="157">
        <v>502</v>
      </c>
      <c r="AL10" s="157">
        <v>508</v>
      </c>
      <c r="AM10" s="158">
        <v>508</v>
      </c>
      <c r="AN10" s="157">
        <v>504</v>
      </c>
      <c r="AO10" s="161">
        <v>550</v>
      </c>
      <c r="AP10" s="157">
        <v>504</v>
      </c>
      <c r="AQ10" s="157">
        <v>515</v>
      </c>
      <c r="AR10" s="157">
        <v>504</v>
      </c>
      <c r="AS10" s="157">
        <v>514</v>
      </c>
      <c r="AT10" s="157">
        <v>503</v>
      </c>
      <c r="AU10" s="157">
        <v>503</v>
      </c>
      <c r="AV10" s="157">
        <v>503</v>
      </c>
      <c r="AW10" s="161">
        <v>503</v>
      </c>
      <c r="AX10" s="198"/>
      <c r="AY10" s="157">
        <v>501</v>
      </c>
      <c r="AZ10" s="198"/>
      <c r="BA10" s="198"/>
      <c r="BB10" s="198"/>
    </row>
    <row r="11" spans="1:54" x14ac:dyDescent="0.25">
      <c r="A11" s="26" t="s">
        <v>753</v>
      </c>
      <c r="B11" s="199"/>
      <c r="C11" s="80" t="s">
        <v>173</v>
      </c>
      <c r="D11" s="80" t="s">
        <v>173</v>
      </c>
      <c r="E11" s="80" t="s">
        <v>173</v>
      </c>
      <c r="F11" s="80" t="s">
        <v>173</v>
      </c>
      <c r="G11" s="80" t="s">
        <v>173</v>
      </c>
      <c r="H11" s="80" t="s">
        <v>173</v>
      </c>
      <c r="I11" s="80" t="s">
        <v>173</v>
      </c>
      <c r="J11" s="80" t="s">
        <v>173</v>
      </c>
      <c r="K11" s="80" t="s">
        <v>173</v>
      </c>
      <c r="L11" s="80" t="s">
        <v>173</v>
      </c>
      <c r="M11" s="80" t="s">
        <v>173</v>
      </c>
      <c r="N11" s="80" t="s">
        <v>173</v>
      </c>
      <c r="O11" s="80" t="s">
        <v>173</v>
      </c>
      <c r="P11" s="80" t="s">
        <v>173</v>
      </c>
      <c r="Q11" s="80" t="s">
        <v>173</v>
      </c>
      <c r="R11" s="80" t="s">
        <v>173</v>
      </c>
      <c r="S11" s="28"/>
      <c r="T11" s="80" t="s">
        <v>173</v>
      </c>
      <c r="U11" s="28"/>
      <c r="V11" s="28"/>
      <c r="W11" s="28"/>
      <c r="X11" s="28" t="s">
        <v>173</v>
      </c>
      <c r="Y11" s="80" t="s">
        <v>173</v>
      </c>
      <c r="Z11" s="28"/>
      <c r="AA11" s="80" t="s">
        <v>173</v>
      </c>
      <c r="AB11" s="28"/>
      <c r="AC11" s="91"/>
      <c r="AD11" s="28"/>
      <c r="AE11" s="28"/>
      <c r="AF11" s="28"/>
      <c r="AG11" s="80" t="s">
        <v>173</v>
      </c>
      <c r="AH11" s="80" t="s">
        <v>173</v>
      </c>
      <c r="AJ11" s="28" t="s">
        <v>173</v>
      </c>
      <c r="AK11" s="28" t="s">
        <v>173</v>
      </c>
      <c r="AL11" s="28" t="s">
        <v>173</v>
      </c>
      <c r="AM11" s="83" t="s">
        <v>173</v>
      </c>
      <c r="AN11" s="28" t="s">
        <v>173</v>
      </c>
      <c r="AO11" s="86" t="s">
        <v>173</v>
      </c>
      <c r="AP11" s="28" t="s">
        <v>173</v>
      </c>
      <c r="AQ11" s="28" t="s">
        <v>173</v>
      </c>
      <c r="AR11" s="28" t="s">
        <v>173</v>
      </c>
      <c r="AS11" s="28" t="s">
        <v>173</v>
      </c>
      <c r="AT11" s="28" t="s">
        <v>173</v>
      </c>
      <c r="AU11" s="28" t="s">
        <v>173</v>
      </c>
      <c r="AV11" s="28" t="s">
        <v>173</v>
      </c>
      <c r="AW11" s="86" t="s">
        <v>173</v>
      </c>
      <c r="AX11" s="80" t="s">
        <v>173</v>
      </c>
      <c r="AY11" s="28" t="s">
        <v>173</v>
      </c>
      <c r="AZ11" s="80" t="s">
        <v>173</v>
      </c>
      <c r="BA11" s="80" t="s">
        <v>173</v>
      </c>
      <c r="BB11" s="80" t="s">
        <v>173</v>
      </c>
    </row>
    <row r="12" spans="1:54" x14ac:dyDescent="0.25">
      <c r="A12" s="26" t="s">
        <v>754</v>
      </c>
      <c r="B12" s="199"/>
      <c r="C12" s="80" t="s">
        <v>173</v>
      </c>
      <c r="D12" s="80" t="s">
        <v>173</v>
      </c>
      <c r="E12" s="80" t="s">
        <v>173</v>
      </c>
      <c r="F12" s="80" t="s">
        <v>173</v>
      </c>
      <c r="G12" s="80" t="s">
        <v>173</v>
      </c>
      <c r="H12" s="80" t="s">
        <v>173</v>
      </c>
      <c r="I12" s="80" t="s">
        <v>173</v>
      </c>
      <c r="J12" s="80" t="s">
        <v>173</v>
      </c>
      <c r="K12" s="80" t="s">
        <v>173</v>
      </c>
      <c r="L12" s="80" t="s">
        <v>173</v>
      </c>
      <c r="M12" s="80" t="s">
        <v>173</v>
      </c>
      <c r="N12" s="80" t="s">
        <v>173</v>
      </c>
      <c r="O12" s="80" t="s">
        <v>173</v>
      </c>
      <c r="P12" s="80" t="s">
        <v>173</v>
      </c>
      <c r="Q12" s="80" t="s">
        <v>173</v>
      </c>
      <c r="R12" s="80" t="s">
        <v>173</v>
      </c>
      <c r="S12" s="28"/>
      <c r="T12" s="80" t="s">
        <v>173</v>
      </c>
      <c r="U12" s="28"/>
      <c r="V12" s="28"/>
      <c r="W12" s="28"/>
      <c r="X12" s="28" t="s">
        <v>173</v>
      </c>
      <c r="Y12" s="80" t="s">
        <v>173</v>
      </c>
      <c r="Z12" s="28"/>
      <c r="AA12" s="80" t="s">
        <v>173</v>
      </c>
      <c r="AB12" s="28"/>
      <c r="AC12" s="86"/>
      <c r="AD12" s="28"/>
      <c r="AE12" s="28"/>
      <c r="AF12" s="28"/>
      <c r="AG12" s="80" t="s">
        <v>173</v>
      </c>
      <c r="AH12" s="80" t="s">
        <v>173</v>
      </c>
      <c r="AJ12" s="28" t="s">
        <v>173</v>
      </c>
      <c r="AK12" s="28" t="s">
        <v>173</v>
      </c>
      <c r="AL12" s="28" t="s">
        <v>173</v>
      </c>
      <c r="AM12" s="83" t="s">
        <v>173</v>
      </c>
      <c r="AN12" s="28" t="s">
        <v>173</v>
      </c>
      <c r="AO12" s="86" t="s">
        <v>173</v>
      </c>
      <c r="AP12" s="28" t="s">
        <v>173</v>
      </c>
      <c r="AQ12" s="28" t="s">
        <v>173</v>
      </c>
      <c r="AR12" s="28" t="s">
        <v>173</v>
      </c>
      <c r="AS12" s="28" t="s">
        <v>173</v>
      </c>
      <c r="AT12" s="28" t="s">
        <v>173</v>
      </c>
      <c r="AU12" s="28" t="s">
        <v>173</v>
      </c>
      <c r="AV12" s="28" t="s">
        <v>173</v>
      </c>
      <c r="AW12" s="86" t="s">
        <v>173</v>
      </c>
      <c r="AX12" s="80" t="s">
        <v>173</v>
      </c>
      <c r="AY12" s="28" t="s">
        <v>173</v>
      </c>
      <c r="AZ12" s="80" t="s">
        <v>173</v>
      </c>
      <c r="BA12" s="80" t="s">
        <v>173</v>
      </c>
      <c r="BB12" s="80" t="s">
        <v>173</v>
      </c>
    </row>
    <row r="13" spans="1:54" x14ac:dyDescent="0.25">
      <c r="A13" s="26" t="s">
        <v>755</v>
      </c>
      <c r="B13" s="199"/>
      <c r="C13" s="80" t="s">
        <v>173</v>
      </c>
      <c r="D13" s="80" t="s">
        <v>173</v>
      </c>
      <c r="E13" s="80" t="s">
        <v>173</v>
      </c>
      <c r="F13" s="80" t="s">
        <v>173</v>
      </c>
      <c r="G13" s="80" t="s">
        <v>173</v>
      </c>
      <c r="H13" s="80" t="s">
        <v>173</v>
      </c>
      <c r="I13" s="80" t="s">
        <v>173</v>
      </c>
      <c r="J13" s="80" t="s">
        <v>173</v>
      </c>
      <c r="K13" s="80" t="s">
        <v>173</v>
      </c>
      <c r="L13" s="80" t="s">
        <v>173</v>
      </c>
      <c r="M13" s="80" t="s">
        <v>173</v>
      </c>
      <c r="N13" s="80" t="s">
        <v>173</v>
      </c>
      <c r="O13" s="80" t="s">
        <v>173</v>
      </c>
      <c r="P13" s="80" t="s">
        <v>173</v>
      </c>
      <c r="Q13" s="80" t="s">
        <v>173</v>
      </c>
      <c r="R13" s="80" t="s">
        <v>173</v>
      </c>
      <c r="S13" s="28"/>
      <c r="T13" s="80" t="s">
        <v>173</v>
      </c>
      <c r="U13" s="28"/>
      <c r="V13" s="28"/>
      <c r="W13" s="28"/>
      <c r="X13" s="28" t="s">
        <v>170</v>
      </c>
      <c r="Y13" s="80" t="s">
        <v>173</v>
      </c>
      <c r="Z13" s="28"/>
      <c r="AA13" s="80" t="s">
        <v>173</v>
      </c>
      <c r="AB13" s="28"/>
      <c r="AC13" s="86"/>
      <c r="AD13" s="28"/>
      <c r="AE13" s="28"/>
      <c r="AF13" s="28"/>
      <c r="AG13" s="80" t="s">
        <v>173</v>
      </c>
      <c r="AH13" s="80" t="s">
        <v>173</v>
      </c>
      <c r="AJ13" s="28" t="s">
        <v>170</v>
      </c>
      <c r="AK13" s="28" t="s">
        <v>170</v>
      </c>
      <c r="AL13" s="28" t="s">
        <v>170</v>
      </c>
      <c r="AM13" s="83" t="s">
        <v>170</v>
      </c>
      <c r="AN13" s="28" t="s">
        <v>170</v>
      </c>
      <c r="AO13" s="86" t="s">
        <v>170</v>
      </c>
      <c r="AP13" s="28" t="s">
        <v>170</v>
      </c>
      <c r="AQ13" s="28" t="s">
        <v>170</v>
      </c>
      <c r="AR13" s="28" t="s">
        <v>170</v>
      </c>
      <c r="AS13" s="28" t="s">
        <v>170</v>
      </c>
      <c r="AT13" s="28" t="s">
        <v>170</v>
      </c>
      <c r="AU13" s="28" t="s">
        <v>170</v>
      </c>
      <c r="AV13" s="28" t="s">
        <v>170</v>
      </c>
      <c r="AW13" s="86" t="s">
        <v>170</v>
      </c>
      <c r="AX13" s="80" t="s">
        <v>173</v>
      </c>
      <c r="AY13" s="28" t="s">
        <v>170</v>
      </c>
      <c r="AZ13" s="80" t="s">
        <v>173</v>
      </c>
      <c r="BA13" s="80" t="s">
        <v>173</v>
      </c>
      <c r="BB13" s="80" t="s">
        <v>173</v>
      </c>
    </row>
    <row r="14" spans="1:54" x14ac:dyDescent="0.25">
      <c r="A14" s="26" t="s">
        <v>756</v>
      </c>
      <c r="B14" s="199"/>
      <c r="C14" s="80" t="s">
        <v>173</v>
      </c>
      <c r="D14" s="80" t="s">
        <v>173</v>
      </c>
      <c r="E14" s="80" t="s">
        <v>173</v>
      </c>
      <c r="F14" s="80" t="s">
        <v>173</v>
      </c>
      <c r="G14" s="80" t="s">
        <v>173</v>
      </c>
      <c r="H14" s="80" t="s">
        <v>173</v>
      </c>
      <c r="I14" s="80" t="s">
        <v>173</v>
      </c>
      <c r="J14" s="80" t="s">
        <v>173</v>
      </c>
      <c r="K14" s="80" t="s">
        <v>173</v>
      </c>
      <c r="L14" s="80" t="s">
        <v>173</v>
      </c>
      <c r="M14" s="80" t="s">
        <v>173</v>
      </c>
      <c r="N14" s="80" t="s">
        <v>173</v>
      </c>
      <c r="O14" s="80" t="s">
        <v>173</v>
      </c>
      <c r="P14" s="80" t="s">
        <v>173</v>
      </c>
      <c r="Q14" s="80" t="s">
        <v>173</v>
      </c>
      <c r="R14" s="80" t="s">
        <v>173</v>
      </c>
      <c r="S14" s="28"/>
      <c r="T14" s="80" t="s">
        <v>173</v>
      </c>
      <c r="U14" s="28"/>
      <c r="V14" s="28"/>
      <c r="W14" s="28"/>
      <c r="X14" s="29" t="s">
        <v>173</v>
      </c>
      <c r="Y14" s="80" t="s">
        <v>173</v>
      </c>
      <c r="Z14" s="28"/>
      <c r="AA14" s="80" t="s">
        <v>173</v>
      </c>
      <c r="AB14" s="28"/>
      <c r="AC14" s="86"/>
      <c r="AD14" s="28"/>
      <c r="AE14" s="28"/>
      <c r="AF14" s="28"/>
      <c r="AG14" s="80" t="s">
        <v>173</v>
      </c>
      <c r="AH14" s="80" t="s">
        <v>173</v>
      </c>
      <c r="AJ14" s="29" t="s">
        <v>173</v>
      </c>
      <c r="AK14" s="29" t="s">
        <v>173</v>
      </c>
      <c r="AL14" s="29" t="s">
        <v>173</v>
      </c>
      <c r="AM14" s="28" t="s">
        <v>173</v>
      </c>
      <c r="AN14" s="28" t="s">
        <v>173</v>
      </c>
      <c r="AO14" s="86" t="s">
        <v>173</v>
      </c>
      <c r="AP14" s="28" t="s">
        <v>173</v>
      </c>
      <c r="AQ14" s="28" t="s">
        <v>173</v>
      </c>
      <c r="AR14" s="28" t="s">
        <v>173</v>
      </c>
      <c r="AS14" s="28" t="s">
        <v>173</v>
      </c>
      <c r="AT14" s="28" t="s">
        <v>173</v>
      </c>
      <c r="AU14" s="28" t="s">
        <v>173</v>
      </c>
      <c r="AV14" s="28" t="s">
        <v>173</v>
      </c>
      <c r="AW14" s="86" t="s">
        <v>173</v>
      </c>
      <c r="AX14" s="80" t="s">
        <v>173</v>
      </c>
      <c r="AY14" s="29" t="s">
        <v>173</v>
      </c>
      <c r="AZ14" s="80" t="s">
        <v>173</v>
      </c>
      <c r="BA14" s="80" t="s">
        <v>173</v>
      </c>
      <c r="BB14" s="80" t="s">
        <v>173</v>
      </c>
    </row>
    <row r="15" spans="1:54" x14ac:dyDescent="0.25">
      <c r="A15" s="26" t="s">
        <v>757</v>
      </c>
      <c r="B15" s="199"/>
      <c r="C15" s="80" t="s">
        <v>173</v>
      </c>
      <c r="D15" s="80" t="s">
        <v>173</v>
      </c>
      <c r="E15" s="80" t="s">
        <v>173</v>
      </c>
      <c r="F15" s="80" t="s">
        <v>173</v>
      </c>
      <c r="G15" s="80" t="s">
        <v>173</v>
      </c>
      <c r="H15" s="80" t="s">
        <v>173</v>
      </c>
      <c r="I15" s="80" t="s">
        <v>173</v>
      </c>
      <c r="J15" s="80" t="s">
        <v>173</v>
      </c>
      <c r="K15" s="80" t="s">
        <v>173</v>
      </c>
      <c r="L15" s="80" t="s">
        <v>173</v>
      </c>
      <c r="M15" s="80" t="s">
        <v>173</v>
      </c>
      <c r="N15" s="80" t="s">
        <v>173</v>
      </c>
      <c r="O15" s="80" t="s">
        <v>173</v>
      </c>
      <c r="P15" s="80" t="s">
        <v>173</v>
      </c>
      <c r="Q15" s="80" t="s">
        <v>173</v>
      </c>
      <c r="R15" s="80" t="s">
        <v>173</v>
      </c>
      <c r="S15" s="28"/>
      <c r="T15" s="80" t="s">
        <v>173</v>
      </c>
      <c r="U15" s="28"/>
      <c r="V15" s="28"/>
      <c r="W15" s="28"/>
      <c r="X15" s="28" t="s">
        <v>173</v>
      </c>
      <c r="Y15" s="80" t="s">
        <v>173</v>
      </c>
      <c r="Z15" s="28"/>
      <c r="AA15" s="80" t="s">
        <v>173</v>
      </c>
      <c r="AB15" s="28"/>
      <c r="AC15" s="86"/>
      <c r="AD15" s="28"/>
      <c r="AE15" s="28"/>
      <c r="AF15" s="28"/>
      <c r="AG15" s="80" t="s">
        <v>173</v>
      </c>
      <c r="AH15" s="80" t="s">
        <v>173</v>
      </c>
      <c r="AJ15" s="28" t="s">
        <v>173</v>
      </c>
      <c r="AK15" s="28" t="s">
        <v>173</v>
      </c>
      <c r="AL15" s="28" t="s">
        <v>173</v>
      </c>
      <c r="AM15" s="28" t="s">
        <v>173</v>
      </c>
      <c r="AN15" s="28" t="s">
        <v>173</v>
      </c>
      <c r="AO15" s="86" t="s">
        <v>173</v>
      </c>
      <c r="AP15" s="28" t="s">
        <v>173</v>
      </c>
      <c r="AQ15" s="28" t="s">
        <v>173</v>
      </c>
      <c r="AR15" s="28" t="s">
        <v>173</v>
      </c>
      <c r="AS15" s="28" t="s">
        <v>173</v>
      </c>
      <c r="AT15" s="28" t="s">
        <v>173</v>
      </c>
      <c r="AU15" s="28" t="s">
        <v>173</v>
      </c>
      <c r="AV15" s="28" t="s">
        <v>173</v>
      </c>
      <c r="AW15" s="86" t="s">
        <v>173</v>
      </c>
      <c r="AX15" s="80" t="s">
        <v>173</v>
      </c>
      <c r="AY15" s="28" t="s">
        <v>173</v>
      </c>
      <c r="AZ15" s="80" t="s">
        <v>173</v>
      </c>
      <c r="BA15" s="80" t="s">
        <v>173</v>
      </c>
      <c r="BB15" s="80" t="s">
        <v>173</v>
      </c>
    </row>
    <row r="16" spans="1:54" x14ac:dyDescent="0.25">
      <c r="A16" s="26" t="s">
        <v>758</v>
      </c>
      <c r="B16" s="199"/>
      <c r="C16" s="80" t="s">
        <v>173</v>
      </c>
      <c r="D16" s="80" t="s">
        <v>173</v>
      </c>
      <c r="E16" s="80" t="s">
        <v>173</v>
      </c>
      <c r="F16" s="80" t="s">
        <v>173</v>
      </c>
      <c r="G16" s="80" t="s">
        <v>173</v>
      </c>
      <c r="H16" s="80" t="s">
        <v>173</v>
      </c>
      <c r="I16" s="80" t="s">
        <v>173</v>
      </c>
      <c r="J16" s="80" t="s">
        <v>173</v>
      </c>
      <c r="K16" s="80" t="s">
        <v>173</v>
      </c>
      <c r="L16" s="80" t="s">
        <v>173</v>
      </c>
      <c r="M16" s="80" t="s">
        <v>173</v>
      </c>
      <c r="N16" s="80" t="s">
        <v>173</v>
      </c>
      <c r="O16" s="80" t="s">
        <v>173</v>
      </c>
      <c r="P16" s="80" t="s">
        <v>173</v>
      </c>
      <c r="Q16" s="80" t="s">
        <v>173</v>
      </c>
      <c r="R16" s="80" t="s">
        <v>173</v>
      </c>
      <c r="S16" s="28"/>
      <c r="T16" s="80" t="s">
        <v>173</v>
      </c>
      <c r="U16" s="28"/>
      <c r="V16" s="28"/>
      <c r="W16" s="28"/>
      <c r="X16" s="28" t="s">
        <v>173</v>
      </c>
      <c r="Y16" s="80" t="s">
        <v>173</v>
      </c>
      <c r="Z16" s="28"/>
      <c r="AA16" s="80" t="s">
        <v>173</v>
      </c>
      <c r="AB16" s="28"/>
      <c r="AC16" s="86"/>
      <c r="AD16" s="28"/>
      <c r="AE16" s="28"/>
      <c r="AF16" s="28"/>
      <c r="AG16" s="80" t="s">
        <v>173</v>
      </c>
      <c r="AH16" s="80" t="s">
        <v>173</v>
      </c>
      <c r="AJ16" s="28" t="s">
        <v>173</v>
      </c>
      <c r="AK16" s="28" t="s">
        <v>173</v>
      </c>
      <c r="AL16" s="28" t="s">
        <v>173</v>
      </c>
      <c r="AM16" s="28" t="s">
        <v>173</v>
      </c>
      <c r="AN16" s="28" t="s">
        <v>173</v>
      </c>
      <c r="AO16" s="28" t="s">
        <v>173</v>
      </c>
      <c r="AP16" s="28" t="s">
        <v>173</v>
      </c>
      <c r="AQ16" s="28" t="s">
        <v>173</v>
      </c>
      <c r="AR16" s="28" t="s">
        <v>173</v>
      </c>
      <c r="AS16" s="28" t="s">
        <v>173</v>
      </c>
      <c r="AT16" s="28" t="s">
        <v>173</v>
      </c>
      <c r="AU16" s="28" t="s">
        <v>173</v>
      </c>
      <c r="AV16" s="28" t="s">
        <v>173</v>
      </c>
      <c r="AW16" s="86" t="s">
        <v>173</v>
      </c>
      <c r="AX16" s="80" t="s">
        <v>173</v>
      </c>
      <c r="AY16" s="28" t="s">
        <v>173</v>
      </c>
      <c r="AZ16" s="80" t="s">
        <v>173</v>
      </c>
      <c r="BA16" s="80" t="s">
        <v>173</v>
      </c>
      <c r="BB16" s="80" t="s">
        <v>173</v>
      </c>
    </row>
    <row r="17" spans="1:54" ht="15.75" customHeight="1" x14ac:dyDescent="0.25">
      <c r="A17" s="26" t="s">
        <v>759</v>
      </c>
      <c r="B17" s="201"/>
      <c r="C17" s="178" t="s">
        <v>341</v>
      </c>
      <c r="D17" s="178" t="s">
        <v>341</v>
      </c>
      <c r="E17" s="178" t="s">
        <v>341</v>
      </c>
      <c r="F17" s="178" t="s">
        <v>341</v>
      </c>
      <c r="G17" s="178" t="s">
        <v>341</v>
      </c>
      <c r="H17" s="178" t="s">
        <v>341</v>
      </c>
      <c r="I17" s="178" t="s">
        <v>341</v>
      </c>
      <c r="J17" s="178" t="s">
        <v>341</v>
      </c>
      <c r="K17" s="178" t="s">
        <v>341</v>
      </c>
      <c r="L17" s="178" t="s">
        <v>341</v>
      </c>
      <c r="M17" s="178" t="s">
        <v>341</v>
      </c>
      <c r="N17" s="178" t="s">
        <v>341</v>
      </c>
      <c r="O17" s="178" t="s">
        <v>341</v>
      </c>
      <c r="P17" s="178" t="s">
        <v>341</v>
      </c>
      <c r="Q17" s="178" t="s">
        <v>341</v>
      </c>
      <c r="R17" s="178" t="s">
        <v>341</v>
      </c>
      <c r="S17" s="28"/>
      <c r="T17" s="178" t="s">
        <v>341</v>
      </c>
      <c r="U17" s="28"/>
      <c r="V17" s="28"/>
      <c r="W17" s="28"/>
      <c r="X17" s="30" t="s">
        <v>760</v>
      </c>
      <c r="Y17" s="178" t="s">
        <v>341</v>
      </c>
      <c r="Z17" s="28"/>
      <c r="AA17" s="178" t="s">
        <v>341</v>
      </c>
      <c r="AB17" s="28"/>
      <c r="AC17" s="86"/>
      <c r="AD17" s="28"/>
      <c r="AE17" s="28"/>
      <c r="AF17" s="28"/>
      <c r="AG17" s="80" t="s">
        <v>341</v>
      </c>
      <c r="AH17" s="80" t="s">
        <v>341</v>
      </c>
      <c r="AJ17" s="30" t="s">
        <v>760</v>
      </c>
      <c r="AK17" s="30" t="s">
        <v>760</v>
      </c>
      <c r="AL17" s="28" t="s">
        <v>760</v>
      </c>
      <c r="AM17" s="28" t="s">
        <v>760</v>
      </c>
      <c r="AN17" s="30" t="s">
        <v>760</v>
      </c>
      <c r="AO17" s="92" t="s">
        <v>760</v>
      </c>
      <c r="AP17" s="30" t="s">
        <v>760</v>
      </c>
      <c r="AQ17" s="30" t="s">
        <v>760</v>
      </c>
      <c r="AR17" s="30" t="s">
        <v>760</v>
      </c>
      <c r="AS17" s="30" t="s">
        <v>760</v>
      </c>
      <c r="AT17" s="30" t="s">
        <v>760</v>
      </c>
      <c r="AU17" s="30" t="s">
        <v>760</v>
      </c>
      <c r="AV17" s="30" t="s">
        <v>760</v>
      </c>
      <c r="AW17" s="92" t="s">
        <v>760</v>
      </c>
      <c r="AX17" s="80" t="s">
        <v>341</v>
      </c>
      <c r="AY17" s="30" t="s">
        <v>760</v>
      </c>
      <c r="AZ17" s="80" t="s">
        <v>341</v>
      </c>
      <c r="BA17" s="80" t="s">
        <v>341</v>
      </c>
      <c r="BB17" s="80" t="s">
        <v>341</v>
      </c>
    </row>
    <row r="18" spans="1:54" x14ac:dyDescent="0.25">
      <c r="A18" s="26" t="s">
        <v>762</v>
      </c>
      <c r="B18" s="201"/>
      <c r="C18" s="82" t="s">
        <v>764</v>
      </c>
      <c r="D18" s="82" t="s">
        <v>764</v>
      </c>
      <c r="E18" s="82" t="s">
        <v>764</v>
      </c>
      <c r="F18" s="82" t="s">
        <v>764</v>
      </c>
      <c r="G18" s="82" t="s">
        <v>764</v>
      </c>
      <c r="H18" s="82" t="s">
        <v>764</v>
      </c>
      <c r="I18" s="82" t="s">
        <v>764</v>
      </c>
      <c r="J18" s="82" t="s">
        <v>764</v>
      </c>
      <c r="K18" s="82" t="s">
        <v>764</v>
      </c>
      <c r="L18" s="82" t="s">
        <v>764</v>
      </c>
      <c r="M18" s="82" t="s">
        <v>764</v>
      </c>
      <c r="N18" s="82" t="s">
        <v>764</v>
      </c>
      <c r="O18" s="82" t="s">
        <v>764</v>
      </c>
      <c r="P18" s="82" t="s">
        <v>764</v>
      </c>
      <c r="Q18" s="82" t="s">
        <v>764</v>
      </c>
      <c r="R18" s="82" t="s">
        <v>764</v>
      </c>
      <c r="S18" s="28"/>
      <c r="T18" s="82" t="s">
        <v>764</v>
      </c>
      <c r="U18" s="28"/>
      <c r="V18" s="28"/>
      <c r="W18" s="28"/>
      <c r="X18" s="28" t="s">
        <v>763</v>
      </c>
      <c r="Y18" s="82" t="s">
        <v>764</v>
      </c>
      <c r="Z18" s="28"/>
      <c r="AA18" s="82" t="s">
        <v>764</v>
      </c>
      <c r="AB18" s="28"/>
      <c r="AC18" s="86"/>
      <c r="AD18" s="28"/>
      <c r="AE18" s="28"/>
      <c r="AF18" s="28"/>
      <c r="AG18" s="82" t="s">
        <v>764</v>
      </c>
      <c r="AH18" s="82" t="s">
        <v>764</v>
      </c>
      <c r="AJ18" s="28" t="s">
        <v>763</v>
      </c>
      <c r="AK18" s="28" t="s">
        <v>763</v>
      </c>
      <c r="AL18" s="28" t="s">
        <v>763</v>
      </c>
      <c r="AM18" s="28" t="s">
        <v>763</v>
      </c>
      <c r="AN18" s="30" t="s">
        <v>764</v>
      </c>
      <c r="AO18" s="92" t="s">
        <v>764</v>
      </c>
      <c r="AP18" s="30" t="s">
        <v>764</v>
      </c>
      <c r="AQ18" s="30" t="s">
        <v>764</v>
      </c>
      <c r="AR18" s="30" t="s">
        <v>764</v>
      </c>
      <c r="AS18" s="30" t="s">
        <v>764</v>
      </c>
      <c r="AT18" s="28" t="s">
        <v>764</v>
      </c>
      <c r="AU18" s="28" t="s">
        <v>764</v>
      </c>
      <c r="AV18" s="28" t="s">
        <v>764</v>
      </c>
      <c r="AW18" s="86" t="s">
        <v>764</v>
      </c>
      <c r="AX18" s="82" t="s">
        <v>764</v>
      </c>
      <c r="AY18" s="28" t="s">
        <v>763</v>
      </c>
      <c r="AZ18" s="82" t="s">
        <v>764</v>
      </c>
      <c r="BA18" s="82" t="s">
        <v>764</v>
      </c>
      <c r="BB18" s="82" t="s">
        <v>764</v>
      </c>
    </row>
    <row r="19" spans="1:54" x14ac:dyDescent="0.25">
      <c r="A19" s="26" t="s">
        <v>765</v>
      </c>
      <c r="B19" s="199"/>
      <c r="C19" s="81">
        <v>3</v>
      </c>
      <c r="D19" s="81">
        <v>3</v>
      </c>
      <c r="E19" s="81">
        <v>3</v>
      </c>
      <c r="F19" s="81">
        <v>3</v>
      </c>
      <c r="G19" s="81">
        <v>3</v>
      </c>
      <c r="H19" s="81">
        <v>3</v>
      </c>
      <c r="I19" s="81">
        <v>3</v>
      </c>
      <c r="J19" s="81">
        <v>3</v>
      </c>
      <c r="K19" s="81">
        <v>3</v>
      </c>
      <c r="L19" s="81">
        <v>3</v>
      </c>
      <c r="M19" s="81">
        <v>3</v>
      </c>
      <c r="N19" s="81">
        <v>3</v>
      </c>
      <c r="O19" s="81">
        <v>3</v>
      </c>
      <c r="P19" s="81">
        <v>3</v>
      </c>
      <c r="Q19" s="81">
        <v>3</v>
      </c>
      <c r="R19" s="81">
        <v>3</v>
      </c>
      <c r="S19" s="30"/>
      <c r="T19" s="81">
        <v>3</v>
      </c>
      <c r="U19" s="30"/>
      <c r="V19" s="30"/>
      <c r="W19" s="30"/>
      <c r="X19" s="30">
        <v>6</v>
      </c>
      <c r="Y19" s="81">
        <v>3</v>
      </c>
      <c r="Z19" s="30"/>
      <c r="AA19" s="81">
        <v>3</v>
      </c>
      <c r="AB19" s="30"/>
      <c r="AC19" s="30"/>
      <c r="AD19" s="120"/>
      <c r="AE19" s="120"/>
      <c r="AF19" s="120"/>
      <c r="AG19" s="81">
        <v>3</v>
      </c>
      <c r="AH19" s="81">
        <v>3</v>
      </c>
      <c r="AJ19" s="30">
        <v>6</v>
      </c>
      <c r="AK19" s="30">
        <v>5</v>
      </c>
      <c r="AL19" s="30">
        <v>5</v>
      </c>
      <c r="AM19" s="30">
        <v>5</v>
      </c>
      <c r="AN19" s="30">
        <v>3</v>
      </c>
      <c r="AO19" s="30">
        <f>AVERAGE(3,2)</f>
        <v>2.5</v>
      </c>
      <c r="AP19" s="120">
        <v>3</v>
      </c>
      <c r="AQ19" s="30">
        <v>3</v>
      </c>
      <c r="AR19" s="30">
        <v>3</v>
      </c>
      <c r="AS19" s="30">
        <v>3</v>
      </c>
      <c r="AT19" s="120">
        <v>4</v>
      </c>
      <c r="AU19" s="120">
        <v>4</v>
      </c>
      <c r="AV19" s="120">
        <v>4</v>
      </c>
      <c r="AW19" s="205">
        <v>4</v>
      </c>
      <c r="AX19" s="80">
        <v>3</v>
      </c>
      <c r="AY19" s="30">
        <v>6</v>
      </c>
      <c r="AZ19" s="80">
        <v>3</v>
      </c>
      <c r="BA19" s="80">
        <v>3</v>
      </c>
      <c r="BB19" s="80">
        <v>3</v>
      </c>
    </row>
    <row r="20" spans="1:54" x14ac:dyDescent="0.25">
      <c r="A20" s="26" t="s">
        <v>766</v>
      </c>
      <c r="B20" s="199"/>
      <c r="C20" s="80" t="s">
        <v>768</v>
      </c>
      <c r="D20" s="80" t="s">
        <v>768</v>
      </c>
      <c r="E20" s="80" t="s">
        <v>768</v>
      </c>
      <c r="F20" s="80" t="s">
        <v>768</v>
      </c>
      <c r="G20" s="80" t="s">
        <v>768</v>
      </c>
      <c r="H20" s="80" t="s">
        <v>768</v>
      </c>
      <c r="I20" s="80" t="s">
        <v>768</v>
      </c>
      <c r="J20" s="80" t="s">
        <v>768</v>
      </c>
      <c r="K20" s="80" t="s">
        <v>768</v>
      </c>
      <c r="L20" s="80" t="s">
        <v>768</v>
      </c>
      <c r="M20" s="80" t="s">
        <v>768</v>
      </c>
      <c r="N20" s="80" t="s">
        <v>768</v>
      </c>
      <c r="O20" s="80" t="s">
        <v>768</v>
      </c>
      <c r="P20" s="80" t="s">
        <v>768</v>
      </c>
      <c r="Q20" s="80" t="s">
        <v>768</v>
      </c>
      <c r="R20" s="80" t="s">
        <v>768</v>
      </c>
      <c r="S20" s="28"/>
      <c r="T20" s="80" t="s">
        <v>768</v>
      </c>
      <c r="U20" s="28"/>
      <c r="V20" s="28"/>
      <c r="W20" s="28"/>
      <c r="X20" s="28" t="s">
        <v>767</v>
      </c>
      <c r="Y20" s="80" t="s">
        <v>768</v>
      </c>
      <c r="Z20" s="28"/>
      <c r="AA20" s="80" t="s">
        <v>768</v>
      </c>
      <c r="AB20" s="28"/>
      <c r="AC20" s="28"/>
      <c r="AD20" s="28"/>
      <c r="AE20" s="28"/>
      <c r="AF20" s="28"/>
      <c r="AG20" s="80" t="s">
        <v>768</v>
      </c>
      <c r="AH20" s="80" t="s">
        <v>768</v>
      </c>
      <c r="AJ20" s="28" t="s">
        <v>767</v>
      </c>
      <c r="AK20" s="28" t="s">
        <v>767</v>
      </c>
      <c r="AL20" s="28" t="s">
        <v>767</v>
      </c>
      <c r="AM20" s="28" t="s">
        <v>767</v>
      </c>
      <c r="AN20" s="28" t="s">
        <v>767</v>
      </c>
      <c r="AO20" s="28" t="s">
        <v>767</v>
      </c>
      <c r="AP20" s="28" t="s">
        <v>767</v>
      </c>
      <c r="AQ20" s="28" t="s">
        <v>768</v>
      </c>
      <c r="AR20" s="28" t="s">
        <v>767</v>
      </c>
      <c r="AS20" s="28" t="s">
        <v>768</v>
      </c>
      <c r="AT20" s="28" t="s">
        <v>767</v>
      </c>
      <c r="AU20" s="28" t="s">
        <v>767</v>
      </c>
      <c r="AV20" s="28" t="s">
        <v>767</v>
      </c>
      <c r="AW20" s="86" t="s">
        <v>767</v>
      </c>
      <c r="AX20" s="80" t="s">
        <v>768</v>
      </c>
      <c r="AY20" s="28" t="s">
        <v>767</v>
      </c>
      <c r="AZ20" s="80" t="s">
        <v>768</v>
      </c>
      <c r="BA20" s="80" t="s">
        <v>768</v>
      </c>
      <c r="BB20" s="80" t="s">
        <v>768</v>
      </c>
    </row>
    <row r="21" spans="1:54" x14ac:dyDescent="0.25">
      <c r="A21" s="26" t="s">
        <v>769</v>
      </c>
      <c r="B21" s="201"/>
      <c r="C21" s="82">
        <v>0</v>
      </c>
      <c r="D21" s="82">
        <v>0</v>
      </c>
      <c r="E21" s="82">
        <v>0</v>
      </c>
      <c r="F21" s="82">
        <v>0</v>
      </c>
      <c r="G21" s="82">
        <v>0</v>
      </c>
      <c r="H21" s="82">
        <v>0</v>
      </c>
      <c r="I21" s="82">
        <v>0</v>
      </c>
      <c r="J21" s="82">
        <v>0</v>
      </c>
      <c r="K21" s="82">
        <v>0</v>
      </c>
      <c r="L21" s="82">
        <v>0</v>
      </c>
      <c r="M21" s="82">
        <v>0</v>
      </c>
      <c r="N21" s="82">
        <v>0</v>
      </c>
      <c r="O21" s="82">
        <v>0</v>
      </c>
      <c r="P21" s="82">
        <v>0</v>
      </c>
      <c r="Q21" s="82">
        <v>0</v>
      </c>
      <c r="R21" s="82">
        <v>0</v>
      </c>
      <c r="S21" s="30"/>
      <c r="T21" s="82">
        <v>0</v>
      </c>
      <c r="U21" s="30"/>
      <c r="V21" s="30"/>
      <c r="W21" s="30"/>
      <c r="X21" s="30">
        <v>1</v>
      </c>
      <c r="Y21" s="82">
        <v>0</v>
      </c>
      <c r="Z21" s="30"/>
      <c r="AA21" s="82">
        <v>0</v>
      </c>
      <c r="AB21" s="30"/>
      <c r="AC21" s="30"/>
      <c r="AD21" s="30"/>
      <c r="AE21" s="30"/>
      <c r="AF21" s="30"/>
      <c r="AG21" s="82">
        <v>0</v>
      </c>
      <c r="AH21" s="82">
        <v>0</v>
      </c>
      <c r="AJ21" s="30">
        <v>1</v>
      </c>
      <c r="AK21" s="30">
        <v>1</v>
      </c>
      <c r="AL21" s="30">
        <v>0.5</v>
      </c>
      <c r="AM21" s="30">
        <v>0.5</v>
      </c>
      <c r="AN21" s="30">
        <v>1</v>
      </c>
      <c r="AO21" s="30">
        <v>1</v>
      </c>
      <c r="AP21" s="30">
        <v>1</v>
      </c>
      <c r="AQ21" s="30">
        <v>0</v>
      </c>
      <c r="AR21" s="30">
        <v>1</v>
      </c>
      <c r="AS21" s="30">
        <v>0</v>
      </c>
      <c r="AT21" s="30">
        <v>1</v>
      </c>
      <c r="AU21" s="30">
        <v>1</v>
      </c>
      <c r="AV21" s="30">
        <v>1</v>
      </c>
      <c r="AW21" s="30">
        <v>1</v>
      </c>
      <c r="AX21" s="166">
        <v>0</v>
      </c>
      <c r="AY21" s="30">
        <v>1</v>
      </c>
      <c r="AZ21" s="166">
        <v>0</v>
      </c>
      <c r="BA21" s="166">
        <v>0</v>
      </c>
      <c r="BB21" s="166">
        <v>0</v>
      </c>
    </row>
    <row r="22" spans="1:54" x14ac:dyDescent="0.25">
      <c r="A22" s="31"/>
    </row>
    <row r="23" spans="1:54" x14ac:dyDescent="0.25">
      <c r="A23" s="26" t="s">
        <v>159</v>
      </c>
      <c r="B23" s="28" t="s">
        <v>414</v>
      </c>
      <c r="C23" s="177" t="s">
        <v>341</v>
      </c>
      <c r="D23" s="177" t="s">
        <v>341</v>
      </c>
      <c r="E23" s="177" t="s">
        <v>341</v>
      </c>
      <c r="F23" s="177" t="s">
        <v>341</v>
      </c>
      <c r="G23" s="177" t="s">
        <v>341</v>
      </c>
      <c r="H23" s="177" t="s">
        <v>341</v>
      </c>
      <c r="I23" s="177" t="s">
        <v>341</v>
      </c>
      <c r="J23" s="177" t="s">
        <v>341</v>
      </c>
      <c r="K23" s="177" t="s">
        <v>341</v>
      </c>
      <c r="L23" s="177" t="s">
        <v>341</v>
      </c>
      <c r="M23" s="177" t="s">
        <v>341</v>
      </c>
      <c r="N23" s="177" t="s">
        <v>341</v>
      </c>
      <c r="O23" s="177" t="s">
        <v>341</v>
      </c>
      <c r="P23" s="177" t="s">
        <v>341</v>
      </c>
      <c r="Q23" s="177" t="s">
        <v>341</v>
      </c>
      <c r="R23" s="177" t="s">
        <v>341</v>
      </c>
      <c r="S23" s="28"/>
      <c r="T23" s="28"/>
      <c r="U23" s="28"/>
      <c r="V23" s="28"/>
      <c r="W23" s="28"/>
      <c r="X23" s="83" t="s">
        <v>256</v>
      </c>
      <c r="Y23" s="28" t="s">
        <v>250</v>
      </c>
      <c r="Z23" s="28"/>
      <c r="AA23" s="28" t="s">
        <v>250</v>
      </c>
      <c r="AB23" s="28"/>
      <c r="AC23" s="28"/>
      <c r="AD23" s="28"/>
      <c r="AE23" s="28"/>
      <c r="AF23" s="28"/>
      <c r="AG23" s="28" t="s">
        <v>256</v>
      </c>
      <c r="AH23" s="28" t="s">
        <v>256</v>
      </c>
      <c r="AJ23" s="28" t="s">
        <v>256</v>
      </c>
      <c r="AK23" s="28" t="s">
        <v>256</v>
      </c>
      <c r="AL23" s="28" t="s">
        <v>256</v>
      </c>
      <c r="AM23" s="28" t="s">
        <v>256</v>
      </c>
      <c r="AN23" s="28" t="s">
        <v>256</v>
      </c>
      <c r="AO23" s="28" t="s">
        <v>256</v>
      </c>
      <c r="AP23" s="28" t="s">
        <v>256</v>
      </c>
      <c r="AQ23" s="28" t="s">
        <v>256</v>
      </c>
      <c r="AR23" s="28" t="s">
        <v>256</v>
      </c>
      <c r="AS23" s="28" t="s">
        <v>256</v>
      </c>
      <c r="AT23" s="28" t="s">
        <v>256</v>
      </c>
      <c r="AU23" s="28" t="s">
        <v>256</v>
      </c>
      <c r="AV23" s="28" t="s">
        <v>256</v>
      </c>
      <c r="AW23" s="28" t="s">
        <v>256</v>
      </c>
      <c r="AX23" s="28" t="s">
        <v>256</v>
      </c>
      <c r="AY23" s="83" t="s">
        <v>256</v>
      </c>
      <c r="AZ23" s="83" t="s">
        <v>256</v>
      </c>
      <c r="BA23" s="28" t="s">
        <v>256</v>
      </c>
      <c r="BB23" s="28" t="s">
        <v>415</v>
      </c>
    </row>
    <row r="24" spans="1:54" ht="15.75" customHeight="1" x14ac:dyDescent="0.25">
      <c r="A24" s="26" t="s">
        <v>165</v>
      </c>
      <c r="B24" s="29" t="s">
        <v>260</v>
      </c>
      <c r="C24" s="178" t="s">
        <v>341</v>
      </c>
      <c r="D24" s="178" t="s">
        <v>341</v>
      </c>
      <c r="E24" s="178" t="s">
        <v>341</v>
      </c>
      <c r="F24" s="178" t="s">
        <v>341</v>
      </c>
      <c r="G24" s="178" t="s">
        <v>341</v>
      </c>
      <c r="H24" s="178" t="s">
        <v>341</v>
      </c>
      <c r="I24" s="178" t="s">
        <v>341</v>
      </c>
      <c r="J24" s="178" t="s">
        <v>341</v>
      </c>
      <c r="K24" s="178" t="s">
        <v>341</v>
      </c>
      <c r="L24" s="178" t="s">
        <v>341</v>
      </c>
      <c r="M24" s="178" t="s">
        <v>341</v>
      </c>
      <c r="N24" s="178" t="s">
        <v>341</v>
      </c>
      <c r="O24" s="178" t="s">
        <v>341</v>
      </c>
      <c r="P24" s="178" t="s">
        <v>341</v>
      </c>
      <c r="Q24" s="178" t="s">
        <v>341</v>
      </c>
      <c r="R24" s="178" t="s">
        <v>341</v>
      </c>
      <c r="S24" s="29"/>
      <c r="T24" s="29"/>
      <c r="U24" s="29"/>
      <c r="V24" s="29"/>
      <c r="W24" s="29"/>
      <c r="X24" s="83" t="s">
        <v>260</v>
      </c>
      <c r="Y24" s="28" t="s">
        <v>283</v>
      </c>
      <c r="Z24" s="29"/>
      <c r="AA24" s="28" t="s">
        <v>283</v>
      </c>
      <c r="AB24" s="29"/>
      <c r="AC24" s="29"/>
      <c r="AD24" s="29"/>
      <c r="AE24" s="29"/>
      <c r="AF24" s="29"/>
      <c r="AG24" s="29" t="s">
        <v>261</v>
      </c>
      <c r="AH24" s="29" t="s">
        <v>261</v>
      </c>
      <c r="AJ24" s="28" t="s">
        <v>283</v>
      </c>
      <c r="AK24" s="29" t="s">
        <v>256</v>
      </c>
      <c r="AL24" s="213" t="s">
        <v>811</v>
      </c>
      <c r="AM24" s="28" t="s">
        <v>260</v>
      </c>
      <c r="AN24" s="28" t="s">
        <v>260</v>
      </c>
      <c r="AO24" s="28" t="s">
        <v>395</v>
      </c>
      <c r="AP24" s="29" t="s">
        <v>256</v>
      </c>
      <c r="AQ24" s="28" t="s">
        <v>260</v>
      </c>
      <c r="AR24" s="28" t="s">
        <v>260</v>
      </c>
      <c r="AS24" s="28" t="s">
        <v>260</v>
      </c>
      <c r="AT24" s="28" t="s">
        <v>260</v>
      </c>
      <c r="AU24" s="28" t="s">
        <v>260</v>
      </c>
      <c r="AV24" s="29" t="s">
        <v>261</v>
      </c>
      <c r="AW24" s="29" t="s">
        <v>261</v>
      </c>
      <c r="AX24" s="28" t="s">
        <v>256</v>
      </c>
      <c r="AY24" s="83" t="s">
        <v>260</v>
      </c>
      <c r="AZ24" s="83" t="s">
        <v>260</v>
      </c>
      <c r="BA24" s="28" t="s">
        <v>256</v>
      </c>
      <c r="BB24" s="28" t="s">
        <v>283</v>
      </c>
    </row>
    <row r="25" spans="1:54" x14ac:dyDescent="0.25">
      <c r="A25" s="131" t="s">
        <v>168</v>
      </c>
      <c r="B25" s="157">
        <v>52</v>
      </c>
      <c r="C25" s="198"/>
      <c r="D25" s="198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29"/>
      <c r="T25" s="29"/>
      <c r="U25" s="29"/>
      <c r="V25" s="29"/>
      <c r="W25" s="29"/>
      <c r="X25" s="158">
        <v>52</v>
      </c>
      <c r="Y25" s="157">
        <v>56</v>
      </c>
      <c r="Z25" s="29"/>
      <c r="AA25" s="157">
        <v>56</v>
      </c>
      <c r="AB25" s="29"/>
      <c r="AC25" s="29"/>
      <c r="AD25" s="29"/>
      <c r="AE25" s="29"/>
      <c r="AF25" s="29"/>
      <c r="AG25" s="157">
        <v>48</v>
      </c>
      <c r="AH25" s="157">
        <v>48</v>
      </c>
      <c r="AJ25" s="157">
        <v>56</v>
      </c>
      <c r="AK25" s="157">
        <v>50</v>
      </c>
      <c r="AL25" s="157">
        <v>122</v>
      </c>
      <c r="AM25" s="157">
        <v>52</v>
      </c>
      <c r="AN25" s="157">
        <v>52</v>
      </c>
      <c r="AO25" s="157">
        <v>68</v>
      </c>
      <c r="AP25" s="157">
        <v>50</v>
      </c>
      <c r="AQ25" s="157">
        <v>52</v>
      </c>
      <c r="AR25" s="157">
        <v>52</v>
      </c>
      <c r="AS25" s="157">
        <v>52</v>
      </c>
      <c r="AT25" s="157">
        <v>52</v>
      </c>
      <c r="AU25" s="157">
        <v>52</v>
      </c>
      <c r="AV25" s="157">
        <v>48</v>
      </c>
      <c r="AW25" s="157">
        <v>48</v>
      </c>
      <c r="AX25" s="157">
        <v>50</v>
      </c>
      <c r="AY25" s="158">
        <v>52</v>
      </c>
      <c r="AZ25" s="158">
        <v>52</v>
      </c>
      <c r="BA25" s="157">
        <v>50</v>
      </c>
      <c r="BB25" s="157">
        <v>56</v>
      </c>
    </row>
    <row r="26" spans="1:54" x14ac:dyDescent="0.25">
      <c r="A26" s="26" t="s">
        <v>169</v>
      </c>
      <c r="B26" s="29" t="s">
        <v>170</v>
      </c>
      <c r="C26" s="80" t="s">
        <v>173</v>
      </c>
      <c r="D26" s="80" t="s">
        <v>173</v>
      </c>
      <c r="E26" s="80" t="s">
        <v>173</v>
      </c>
      <c r="F26" s="80" t="s">
        <v>173</v>
      </c>
      <c r="G26" s="80" t="s">
        <v>173</v>
      </c>
      <c r="H26" s="80" t="s">
        <v>173</v>
      </c>
      <c r="I26" s="80" t="s">
        <v>173</v>
      </c>
      <c r="J26" s="80" t="s">
        <v>173</v>
      </c>
      <c r="K26" s="80" t="s">
        <v>173</v>
      </c>
      <c r="L26" s="80" t="s">
        <v>173</v>
      </c>
      <c r="M26" s="80" t="s">
        <v>173</v>
      </c>
      <c r="N26" s="80" t="s">
        <v>173</v>
      </c>
      <c r="O26" s="80" t="s">
        <v>173</v>
      </c>
      <c r="P26" s="80" t="s">
        <v>173</v>
      </c>
      <c r="Q26" s="80" t="s">
        <v>173</v>
      </c>
      <c r="R26" s="80" t="s">
        <v>173</v>
      </c>
      <c r="S26" s="28"/>
      <c r="T26" s="28"/>
      <c r="U26" s="28"/>
      <c r="V26" s="28"/>
      <c r="W26" s="28"/>
      <c r="X26" s="28" t="s">
        <v>170</v>
      </c>
      <c r="Y26" s="28" t="s">
        <v>170</v>
      </c>
      <c r="Z26" s="28"/>
      <c r="AA26" s="28" t="s">
        <v>170</v>
      </c>
      <c r="AB26" s="28"/>
      <c r="AC26" s="29"/>
      <c r="AD26" s="28"/>
      <c r="AE26" s="29"/>
      <c r="AF26" s="28"/>
      <c r="AG26" s="29" t="s">
        <v>170</v>
      </c>
      <c r="AH26" s="29" t="s">
        <v>170</v>
      </c>
      <c r="AJ26" s="28" t="s">
        <v>170</v>
      </c>
      <c r="AK26" s="28" t="s">
        <v>170</v>
      </c>
      <c r="AL26" s="28" t="s">
        <v>170</v>
      </c>
      <c r="AM26" s="28" t="s">
        <v>170</v>
      </c>
      <c r="AN26" s="29" t="s">
        <v>170</v>
      </c>
      <c r="AO26" s="29" t="s">
        <v>170</v>
      </c>
      <c r="AP26" s="29" t="s">
        <v>170</v>
      </c>
      <c r="AQ26" s="29" t="s">
        <v>170</v>
      </c>
      <c r="AR26" s="29" t="s">
        <v>170</v>
      </c>
      <c r="AS26" s="29" t="s">
        <v>170</v>
      </c>
      <c r="AT26" s="28" t="s">
        <v>170</v>
      </c>
      <c r="AU26" s="28" t="s">
        <v>170</v>
      </c>
      <c r="AV26" s="29" t="s">
        <v>170</v>
      </c>
      <c r="AW26" s="29" t="s">
        <v>170</v>
      </c>
      <c r="AX26" s="28" t="s">
        <v>170</v>
      </c>
      <c r="AY26" s="28" t="s">
        <v>170</v>
      </c>
      <c r="AZ26" s="28" t="s">
        <v>170</v>
      </c>
      <c r="BA26" s="28" t="s">
        <v>170</v>
      </c>
      <c r="BB26" s="28" t="s">
        <v>170</v>
      </c>
    </row>
    <row r="27" spans="1:54" x14ac:dyDescent="0.25">
      <c r="A27" s="26" t="s">
        <v>171</v>
      </c>
      <c r="B27" s="28" t="s">
        <v>173</v>
      </c>
      <c r="C27" s="80" t="s">
        <v>173</v>
      </c>
      <c r="D27" s="80" t="s">
        <v>173</v>
      </c>
      <c r="E27" s="80" t="s">
        <v>173</v>
      </c>
      <c r="F27" s="80" t="s">
        <v>173</v>
      </c>
      <c r="G27" s="80" t="s">
        <v>173</v>
      </c>
      <c r="H27" s="80" t="s">
        <v>173</v>
      </c>
      <c r="I27" s="80" t="s">
        <v>173</v>
      </c>
      <c r="J27" s="80" t="s">
        <v>173</v>
      </c>
      <c r="K27" s="80" t="s">
        <v>173</v>
      </c>
      <c r="L27" s="80" t="s">
        <v>173</v>
      </c>
      <c r="M27" s="80" t="s">
        <v>173</v>
      </c>
      <c r="N27" s="80" t="s">
        <v>173</v>
      </c>
      <c r="O27" s="80" t="s">
        <v>173</v>
      </c>
      <c r="P27" s="80" t="s">
        <v>173</v>
      </c>
      <c r="Q27" s="80" t="s">
        <v>173</v>
      </c>
      <c r="R27" s="80" t="s">
        <v>173</v>
      </c>
      <c r="S27" s="28"/>
      <c r="T27" s="28"/>
      <c r="U27" s="28"/>
      <c r="V27" s="28"/>
      <c r="W27" s="28"/>
      <c r="X27" s="29" t="s">
        <v>173</v>
      </c>
      <c r="Y27" s="28" t="s">
        <v>173</v>
      </c>
      <c r="Z27" s="28"/>
      <c r="AA27" s="28" t="s">
        <v>173</v>
      </c>
      <c r="AB27" s="28"/>
      <c r="AC27" s="28"/>
      <c r="AD27" s="28"/>
      <c r="AE27" s="28"/>
      <c r="AF27" s="28"/>
      <c r="AG27" s="28" t="s">
        <v>173</v>
      </c>
      <c r="AH27" s="28" t="s">
        <v>173</v>
      </c>
      <c r="AJ27" s="28" t="s">
        <v>173</v>
      </c>
      <c r="AK27" s="28" t="s">
        <v>173</v>
      </c>
      <c r="AL27" s="28" t="s">
        <v>173</v>
      </c>
      <c r="AM27" s="28" t="s">
        <v>173</v>
      </c>
      <c r="AN27" s="28" t="s">
        <v>173</v>
      </c>
      <c r="AO27" s="29" t="s">
        <v>170</v>
      </c>
      <c r="AP27" s="28" t="s">
        <v>173</v>
      </c>
      <c r="AQ27" s="28" t="s">
        <v>173</v>
      </c>
      <c r="AR27" s="28" t="s">
        <v>173</v>
      </c>
      <c r="AS27" s="28" t="s">
        <v>173</v>
      </c>
      <c r="AT27" s="28" t="s">
        <v>173</v>
      </c>
      <c r="AU27" s="28" t="s">
        <v>173</v>
      </c>
      <c r="AV27" s="28" t="s">
        <v>173</v>
      </c>
      <c r="AW27" s="28" t="s">
        <v>173</v>
      </c>
      <c r="AX27" s="28" t="s">
        <v>173</v>
      </c>
      <c r="AY27" s="29" t="s">
        <v>173</v>
      </c>
      <c r="AZ27" s="29" t="s">
        <v>173</v>
      </c>
      <c r="BA27" s="28" t="s">
        <v>173</v>
      </c>
      <c r="BB27" s="28" t="s">
        <v>173</v>
      </c>
    </row>
    <row r="28" spans="1:54" x14ac:dyDescent="0.25">
      <c r="A28" s="26" t="s">
        <v>172</v>
      </c>
      <c r="B28" s="28" t="s">
        <v>170</v>
      </c>
      <c r="C28" s="80" t="s">
        <v>173</v>
      </c>
      <c r="D28" s="80" t="s">
        <v>173</v>
      </c>
      <c r="E28" s="80" t="s">
        <v>173</v>
      </c>
      <c r="F28" s="80" t="s">
        <v>173</v>
      </c>
      <c r="G28" s="80" t="s">
        <v>173</v>
      </c>
      <c r="H28" s="80" t="s">
        <v>173</v>
      </c>
      <c r="I28" s="80" t="s">
        <v>173</v>
      </c>
      <c r="J28" s="80" t="s">
        <v>173</v>
      </c>
      <c r="K28" s="80" t="s">
        <v>173</v>
      </c>
      <c r="L28" s="80" t="s">
        <v>173</v>
      </c>
      <c r="M28" s="80" t="s">
        <v>173</v>
      </c>
      <c r="N28" s="80" t="s">
        <v>173</v>
      </c>
      <c r="O28" s="80" t="s">
        <v>173</v>
      </c>
      <c r="P28" s="80" t="s">
        <v>173</v>
      </c>
      <c r="Q28" s="80" t="s">
        <v>173</v>
      </c>
      <c r="R28" s="80" t="s">
        <v>173</v>
      </c>
      <c r="S28" s="28"/>
      <c r="T28" s="28"/>
      <c r="U28" s="28"/>
      <c r="V28" s="28"/>
      <c r="W28" s="28"/>
      <c r="X28" s="28" t="s">
        <v>170</v>
      </c>
      <c r="Y28" s="28" t="s">
        <v>170</v>
      </c>
      <c r="Z28" s="28"/>
      <c r="AA28" s="28" t="s">
        <v>170</v>
      </c>
      <c r="AB28" s="28"/>
      <c r="AC28" s="28"/>
      <c r="AD28" s="28"/>
      <c r="AE28" s="28"/>
      <c r="AF28" s="28"/>
      <c r="AG28" s="28" t="s">
        <v>170</v>
      </c>
      <c r="AH28" s="28" t="s">
        <v>170</v>
      </c>
      <c r="AJ28" s="28" t="s">
        <v>170</v>
      </c>
      <c r="AK28" s="28" t="s">
        <v>170</v>
      </c>
      <c r="AL28" s="28" t="s">
        <v>170</v>
      </c>
      <c r="AM28" s="28" t="s">
        <v>170</v>
      </c>
      <c r="AN28" s="28" t="s">
        <v>170</v>
      </c>
      <c r="AO28" s="28" t="s">
        <v>173</v>
      </c>
      <c r="AP28" s="28" t="s">
        <v>170</v>
      </c>
      <c r="AQ28" s="28" t="s">
        <v>170</v>
      </c>
      <c r="AR28" s="28" t="s">
        <v>170</v>
      </c>
      <c r="AS28" s="28" t="s">
        <v>170</v>
      </c>
      <c r="AT28" s="28" t="s">
        <v>170</v>
      </c>
      <c r="AU28" s="28" t="s">
        <v>170</v>
      </c>
      <c r="AV28" s="28" t="s">
        <v>170</v>
      </c>
      <c r="AW28" s="28" t="s">
        <v>170</v>
      </c>
      <c r="AX28" s="28" t="s">
        <v>170</v>
      </c>
      <c r="AY28" s="28" t="s">
        <v>170</v>
      </c>
      <c r="AZ28" s="28" t="s">
        <v>170</v>
      </c>
      <c r="BA28" s="28" t="s">
        <v>170</v>
      </c>
      <c r="BB28" s="28" t="s">
        <v>170</v>
      </c>
    </row>
    <row r="29" spans="1:54" x14ac:dyDescent="0.25">
      <c r="A29" s="26" t="s">
        <v>174</v>
      </c>
      <c r="B29" s="28" t="s">
        <v>173</v>
      </c>
      <c r="C29" s="80" t="s">
        <v>173</v>
      </c>
      <c r="D29" s="80" t="s">
        <v>173</v>
      </c>
      <c r="E29" s="80" t="s">
        <v>173</v>
      </c>
      <c r="F29" s="80" t="s">
        <v>173</v>
      </c>
      <c r="G29" s="80" t="s">
        <v>173</v>
      </c>
      <c r="H29" s="80" t="s">
        <v>173</v>
      </c>
      <c r="I29" s="80" t="s">
        <v>173</v>
      </c>
      <c r="J29" s="80" t="s">
        <v>173</v>
      </c>
      <c r="K29" s="80" t="s">
        <v>173</v>
      </c>
      <c r="L29" s="80" t="s">
        <v>173</v>
      </c>
      <c r="M29" s="80" t="s">
        <v>173</v>
      </c>
      <c r="N29" s="80" t="s">
        <v>173</v>
      </c>
      <c r="O29" s="80" t="s">
        <v>173</v>
      </c>
      <c r="P29" s="80" t="s">
        <v>173</v>
      </c>
      <c r="Q29" s="80" t="s">
        <v>173</v>
      </c>
      <c r="R29" s="80" t="s">
        <v>173</v>
      </c>
      <c r="S29" s="28"/>
      <c r="T29" s="28"/>
      <c r="U29" s="28"/>
      <c r="V29" s="28"/>
      <c r="W29" s="28"/>
      <c r="X29" s="28" t="s">
        <v>173</v>
      </c>
      <c r="Y29" s="28" t="s">
        <v>173</v>
      </c>
      <c r="Z29" s="28"/>
      <c r="AA29" s="28" t="s">
        <v>173</v>
      </c>
      <c r="AB29" s="28"/>
      <c r="AC29" s="28"/>
      <c r="AD29" s="28"/>
      <c r="AE29" s="28"/>
      <c r="AF29" s="28"/>
      <c r="AG29" s="28" t="s">
        <v>173</v>
      </c>
      <c r="AH29" s="28" t="s">
        <v>173</v>
      </c>
      <c r="AJ29" s="28" t="s">
        <v>173</v>
      </c>
      <c r="AK29" s="28" t="s">
        <v>173</v>
      </c>
      <c r="AL29" s="28" t="s">
        <v>173</v>
      </c>
      <c r="AM29" s="28" t="s">
        <v>173</v>
      </c>
      <c r="AN29" s="28" t="s">
        <v>173</v>
      </c>
      <c r="AO29" s="28" t="s">
        <v>173</v>
      </c>
      <c r="AP29" s="28" t="s">
        <v>173</v>
      </c>
      <c r="AQ29" s="28" t="s">
        <v>173</v>
      </c>
      <c r="AR29" s="28" t="s">
        <v>173</v>
      </c>
      <c r="AS29" s="28" t="s">
        <v>173</v>
      </c>
      <c r="AT29" s="28" t="s">
        <v>173</v>
      </c>
      <c r="AU29" s="28" t="s">
        <v>173</v>
      </c>
      <c r="AV29" s="28" t="s">
        <v>173</v>
      </c>
      <c r="AW29" s="28" t="s">
        <v>173</v>
      </c>
      <c r="AX29" s="28" t="s">
        <v>173</v>
      </c>
      <c r="AY29" s="28" t="s">
        <v>173</v>
      </c>
      <c r="AZ29" s="28" t="s">
        <v>173</v>
      </c>
      <c r="BA29" s="28" t="s">
        <v>173</v>
      </c>
      <c r="BB29" s="28" t="s">
        <v>173</v>
      </c>
    </row>
    <row r="30" spans="1:54" x14ac:dyDescent="0.25">
      <c r="A30" s="26" t="s">
        <v>175</v>
      </c>
      <c r="B30" s="28" t="s">
        <v>198</v>
      </c>
      <c r="C30" s="80" t="s">
        <v>198</v>
      </c>
      <c r="D30" s="80" t="s">
        <v>198</v>
      </c>
      <c r="E30" s="80" t="s">
        <v>198</v>
      </c>
      <c r="F30" s="80" t="s">
        <v>198</v>
      </c>
      <c r="G30" s="80" t="s">
        <v>198</v>
      </c>
      <c r="H30" s="80" t="s">
        <v>198</v>
      </c>
      <c r="I30" s="80" t="s">
        <v>198</v>
      </c>
      <c r="J30" s="80" t="s">
        <v>198</v>
      </c>
      <c r="K30" s="80" t="s">
        <v>198</v>
      </c>
      <c r="L30" s="80" t="s">
        <v>198</v>
      </c>
      <c r="M30" s="80" t="s">
        <v>198</v>
      </c>
      <c r="N30" s="80" t="s">
        <v>198</v>
      </c>
      <c r="O30" s="80" t="s">
        <v>198</v>
      </c>
      <c r="P30" s="80" t="s">
        <v>198</v>
      </c>
      <c r="Q30" s="80" t="s">
        <v>198</v>
      </c>
      <c r="R30" s="80" t="s">
        <v>198</v>
      </c>
      <c r="S30" s="28"/>
      <c r="T30" s="28"/>
      <c r="U30" s="28"/>
      <c r="V30" s="28"/>
      <c r="W30" s="28"/>
      <c r="X30" s="28" t="s">
        <v>198</v>
      </c>
      <c r="Y30" s="28" t="s">
        <v>199</v>
      </c>
      <c r="Z30" s="28"/>
      <c r="AA30" s="28" t="s">
        <v>199</v>
      </c>
      <c r="AB30" s="28"/>
      <c r="AC30" s="28"/>
      <c r="AD30" s="28"/>
      <c r="AE30" s="28"/>
      <c r="AF30" s="28"/>
      <c r="AG30" s="28" t="s">
        <v>198</v>
      </c>
      <c r="AH30" s="28" t="s">
        <v>198</v>
      </c>
      <c r="AJ30" s="28" t="s">
        <v>199</v>
      </c>
      <c r="AK30" s="28" t="s">
        <v>198</v>
      </c>
      <c r="AL30" s="28" t="s">
        <v>198</v>
      </c>
      <c r="AM30" s="28" t="s">
        <v>198</v>
      </c>
      <c r="AN30" s="28" t="s">
        <v>198</v>
      </c>
      <c r="AO30" s="28" t="s">
        <v>397</v>
      </c>
      <c r="AP30" s="28" t="s">
        <v>198</v>
      </c>
      <c r="AQ30" s="28" t="s">
        <v>198</v>
      </c>
      <c r="AR30" s="28" t="s">
        <v>198</v>
      </c>
      <c r="AS30" s="28" t="s">
        <v>198</v>
      </c>
      <c r="AT30" s="28" t="s">
        <v>198</v>
      </c>
      <c r="AU30" s="28" t="s">
        <v>198</v>
      </c>
      <c r="AV30" s="28" t="s">
        <v>198</v>
      </c>
      <c r="AW30" s="28" t="s">
        <v>198</v>
      </c>
      <c r="AX30" s="28" t="s">
        <v>198</v>
      </c>
      <c r="AY30" s="28" t="s">
        <v>198</v>
      </c>
      <c r="AZ30" s="28" t="s">
        <v>198</v>
      </c>
      <c r="BA30" s="28" t="s">
        <v>198</v>
      </c>
      <c r="BB30" s="28" t="s">
        <v>199</v>
      </c>
    </row>
    <row r="31" spans="1:54" x14ac:dyDescent="0.25">
      <c r="A31" s="26" t="s">
        <v>176</v>
      </c>
      <c r="B31" s="30">
        <v>0.5</v>
      </c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30"/>
      <c r="T31" s="30"/>
      <c r="U31" s="30"/>
      <c r="V31" s="30"/>
      <c r="W31" s="30"/>
      <c r="X31" s="30">
        <v>0.5</v>
      </c>
      <c r="Y31" s="30">
        <v>-0.5</v>
      </c>
      <c r="Z31" s="30"/>
      <c r="AA31" s="30">
        <v>-0.5</v>
      </c>
      <c r="AB31" s="30"/>
      <c r="AC31" s="30"/>
      <c r="AD31" s="30"/>
      <c r="AE31" s="30"/>
      <c r="AF31" s="30"/>
      <c r="AG31" s="30">
        <f>4/3</f>
        <v>1.3333333333333333</v>
      </c>
      <c r="AH31" s="30">
        <f>4/3</f>
        <v>1.3333333333333333</v>
      </c>
      <c r="AJ31" s="30">
        <v>-0.5</v>
      </c>
      <c r="AK31" s="30">
        <v>1</v>
      </c>
      <c r="AL31" s="30">
        <f>AVERAGE(0.5,0.5,0.5,1)</f>
        <v>0.625</v>
      </c>
      <c r="AM31" s="30">
        <v>0.5</v>
      </c>
      <c r="AN31" s="30">
        <v>0.5</v>
      </c>
      <c r="AO31" s="30">
        <v>-6</v>
      </c>
      <c r="AP31" s="30">
        <v>1</v>
      </c>
      <c r="AQ31" s="30">
        <v>0.5</v>
      </c>
      <c r="AR31" s="30">
        <v>0.5</v>
      </c>
      <c r="AS31" s="30">
        <v>0.5</v>
      </c>
      <c r="AT31" s="30">
        <v>0.5</v>
      </c>
      <c r="AU31" s="30">
        <v>0.5</v>
      </c>
      <c r="AV31" s="30">
        <f>4/3</f>
        <v>1.3333333333333333</v>
      </c>
      <c r="AW31" s="30">
        <f>4/3</f>
        <v>1.3333333333333333</v>
      </c>
      <c r="AX31" s="30">
        <v>1</v>
      </c>
      <c r="AY31" s="30">
        <v>0.5</v>
      </c>
      <c r="AZ31" s="30">
        <v>0.5</v>
      </c>
      <c r="BA31" s="30">
        <v>1</v>
      </c>
      <c r="BB31" s="30">
        <v>-0.5</v>
      </c>
    </row>
    <row r="32" spans="1:54" x14ac:dyDescent="0.25">
      <c r="A32" s="26" t="s">
        <v>177</v>
      </c>
      <c r="B32" s="28" t="s">
        <v>181</v>
      </c>
      <c r="C32" s="80" t="s">
        <v>341</v>
      </c>
      <c r="D32" s="80" t="s">
        <v>341</v>
      </c>
      <c r="E32" s="80" t="s">
        <v>341</v>
      </c>
      <c r="F32" s="80" t="s">
        <v>341</v>
      </c>
      <c r="G32" s="80" t="s">
        <v>341</v>
      </c>
      <c r="H32" s="80" t="s">
        <v>341</v>
      </c>
      <c r="I32" s="80" t="s">
        <v>341</v>
      </c>
      <c r="J32" s="80" t="s">
        <v>341</v>
      </c>
      <c r="K32" s="80" t="s">
        <v>341</v>
      </c>
      <c r="L32" s="80" t="s">
        <v>341</v>
      </c>
      <c r="M32" s="80" t="s">
        <v>341</v>
      </c>
      <c r="N32" s="80" t="s">
        <v>341</v>
      </c>
      <c r="O32" s="80" t="s">
        <v>341</v>
      </c>
      <c r="P32" s="80" t="s">
        <v>341</v>
      </c>
      <c r="Q32" s="80" t="s">
        <v>341</v>
      </c>
      <c r="R32" s="80" t="s">
        <v>341</v>
      </c>
      <c r="S32" s="28"/>
      <c r="T32" s="28"/>
      <c r="U32" s="28"/>
      <c r="V32" s="28"/>
      <c r="W32" s="28"/>
      <c r="X32" s="28" t="s">
        <v>181</v>
      </c>
      <c r="Y32" s="28" t="s">
        <v>181</v>
      </c>
      <c r="Z32" s="28"/>
      <c r="AA32" s="28" t="s">
        <v>181</v>
      </c>
      <c r="AB32" s="28"/>
      <c r="AC32" s="28"/>
      <c r="AD32" s="28"/>
      <c r="AE32" s="28"/>
      <c r="AF32" s="28"/>
      <c r="AG32" s="28" t="s">
        <v>181</v>
      </c>
      <c r="AH32" s="28" t="s">
        <v>181</v>
      </c>
      <c r="AJ32" s="28" t="s">
        <v>181</v>
      </c>
      <c r="AK32" s="28" t="s">
        <v>181</v>
      </c>
      <c r="AL32" s="28" t="s">
        <v>181</v>
      </c>
      <c r="AM32" s="28" t="s">
        <v>181</v>
      </c>
      <c r="AN32" s="28" t="s">
        <v>181</v>
      </c>
      <c r="AO32" s="28" t="s">
        <v>181</v>
      </c>
      <c r="AP32" s="28" t="s">
        <v>181</v>
      </c>
      <c r="AQ32" s="28" t="s">
        <v>181</v>
      </c>
      <c r="AR32" s="28" t="s">
        <v>181</v>
      </c>
      <c r="AS32" s="28" t="s">
        <v>181</v>
      </c>
      <c r="AT32" s="28" t="s">
        <v>181</v>
      </c>
      <c r="AU32" s="28" t="s">
        <v>181</v>
      </c>
      <c r="AV32" s="28" t="s">
        <v>181</v>
      </c>
      <c r="AW32" s="28" t="s">
        <v>181</v>
      </c>
      <c r="AX32" s="28" t="s">
        <v>181</v>
      </c>
      <c r="AY32" s="28" t="s">
        <v>181</v>
      </c>
      <c r="AZ32" s="28" t="s">
        <v>181</v>
      </c>
      <c r="BA32" s="28" t="s">
        <v>181</v>
      </c>
      <c r="BB32" s="28" t="s">
        <v>181</v>
      </c>
    </row>
    <row r="33" spans="1:54" x14ac:dyDescent="0.25">
      <c r="A33" s="26" t="s">
        <v>182</v>
      </c>
      <c r="B33" s="30">
        <v>2</v>
      </c>
      <c r="C33" s="82">
        <v>0</v>
      </c>
      <c r="D33" s="82">
        <v>0</v>
      </c>
      <c r="E33" s="82">
        <v>0</v>
      </c>
      <c r="F33" s="82">
        <v>0</v>
      </c>
      <c r="G33" s="82">
        <v>0</v>
      </c>
      <c r="H33" s="82">
        <v>0</v>
      </c>
      <c r="I33" s="82">
        <v>0</v>
      </c>
      <c r="J33" s="82">
        <v>0</v>
      </c>
      <c r="K33" s="82">
        <v>0</v>
      </c>
      <c r="L33" s="82">
        <v>0</v>
      </c>
      <c r="M33" s="82">
        <v>0</v>
      </c>
      <c r="N33" s="82">
        <v>0</v>
      </c>
      <c r="O33" s="82">
        <v>0</v>
      </c>
      <c r="P33" s="82">
        <v>0</v>
      </c>
      <c r="Q33" s="82">
        <v>0</v>
      </c>
      <c r="R33" s="82">
        <v>0</v>
      </c>
      <c r="S33" s="30"/>
      <c r="T33" s="30"/>
      <c r="U33" s="30"/>
      <c r="V33" s="30"/>
      <c r="W33" s="30"/>
      <c r="X33" s="30">
        <v>2</v>
      </c>
      <c r="Y33" s="30">
        <v>2</v>
      </c>
      <c r="Z33" s="30"/>
      <c r="AA33" s="30">
        <v>2</v>
      </c>
      <c r="AB33" s="30"/>
      <c r="AC33" s="30"/>
      <c r="AD33" s="30"/>
      <c r="AE33" s="30"/>
      <c r="AF33" s="30"/>
      <c r="AG33" s="30">
        <v>2</v>
      </c>
      <c r="AH33" s="30">
        <v>2</v>
      </c>
      <c r="AJ33" s="30">
        <v>2</v>
      </c>
      <c r="AK33" s="30">
        <v>2</v>
      </c>
      <c r="AL33" s="30">
        <v>2</v>
      </c>
      <c r="AM33" s="30">
        <v>2</v>
      </c>
      <c r="AN33" s="30">
        <v>2</v>
      </c>
      <c r="AO33" s="30">
        <v>2</v>
      </c>
      <c r="AP33" s="30">
        <v>2</v>
      </c>
      <c r="AQ33" s="30">
        <v>2</v>
      </c>
      <c r="AR33" s="30">
        <v>2</v>
      </c>
      <c r="AS33" s="30">
        <v>2</v>
      </c>
      <c r="AT33" s="30">
        <v>2</v>
      </c>
      <c r="AU33" s="30">
        <v>2</v>
      </c>
      <c r="AV33" s="30">
        <v>2</v>
      </c>
      <c r="AW33" s="30">
        <v>2</v>
      </c>
      <c r="AX33" s="30">
        <v>2</v>
      </c>
      <c r="AY33" s="30">
        <v>2</v>
      </c>
      <c r="AZ33" s="30">
        <v>2</v>
      </c>
      <c r="BA33" s="30">
        <v>2</v>
      </c>
      <c r="BB33" s="30">
        <v>2</v>
      </c>
    </row>
    <row r="35" spans="1:54" x14ac:dyDescent="0.25">
      <c r="A35" s="26" t="s">
        <v>159</v>
      </c>
      <c r="B35" s="28" t="s">
        <v>247</v>
      </c>
      <c r="C35" s="28" t="s">
        <v>248</v>
      </c>
      <c r="D35" s="28" t="s">
        <v>248</v>
      </c>
      <c r="E35" s="28" t="s">
        <v>248</v>
      </c>
      <c r="F35" s="28" t="s">
        <v>248</v>
      </c>
      <c r="G35" s="86" t="s">
        <v>248</v>
      </c>
      <c r="H35" s="28" t="s">
        <v>248</v>
      </c>
      <c r="I35" s="28" t="s">
        <v>248</v>
      </c>
      <c r="J35" s="28" t="s">
        <v>248</v>
      </c>
      <c r="K35" s="28" t="s">
        <v>248</v>
      </c>
      <c r="L35" s="28" t="s">
        <v>248</v>
      </c>
      <c r="M35" s="28" t="s">
        <v>248</v>
      </c>
      <c r="N35" s="28" t="s">
        <v>248</v>
      </c>
      <c r="O35" s="28" t="s">
        <v>248</v>
      </c>
      <c r="P35" s="28" t="s">
        <v>248</v>
      </c>
      <c r="Q35" s="28" t="s">
        <v>248</v>
      </c>
      <c r="R35" s="83"/>
      <c r="S35" s="28"/>
      <c r="T35" s="28"/>
      <c r="U35" s="28"/>
      <c r="V35" s="28"/>
      <c r="W35" s="28"/>
      <c r="X35" s="28" t="s">
        <v>252</v>
      </c>
      <c r="Y35" s="177" t="s">
        <v>341</v>
      </c>
      <c r="Z35" s="28"/>
      <c r="AA35" s="177" t="s">
        <v>341</v>
      </c>
      <c r="AB35" s="28"/>
      <c r="AC35" s="28"/>
      <c r="AD35" s="28"/>
      <c r="AE35" s="28"/>
      <c r="AF35" s="28"/>
      <c r="AG35" s="28" t="s">
        <v>812</v>
      </c>
      <c r="AH35" s="28" t="s">
        <v>812</v>
      </c>
      <c r="AJ35" s="28" t="s">
        <v>631</v>
      </c>
      <c r="AK35" s="28" t="s">
        <v>631</v>
      </c>
      <c r="AL35" s="28" t="s">
        <v>631</v>
      </c>
      <c r="AM35" s="28" t="s">
        <v>631</v>
      </c>
      <c r="AN35" s="28" t="s">
        <v>631</v>
      </c>
      <c r="AO35" s="28" t="s">
        <v>631</v>
      </c>
      <c r="AP35" s="28" t="s">
        <v>631</v>
      </c>
      <c r="AQ35" s="28" t="s">
        <v>631</v>
      </c>
      <c r="AR35" s="28" t="s">
        <v>631</v>
      </c>
      <c r="AS35" s="28" t="s">
        <v>631</v>
      </c>
      <c r="AT35" s="28" t="s">
        <v>631</v>
      </c>
      <c r="AU35" s="28" t="s">
        <v>631</v>
      </c>
      <c r="AV35" s="28" t="s">
        <v>631</v>
      </c>
      <c r="AW35" s="28" t="s">
        <v>631</v>
      </c>
      <c r="AX35" s="28" t="s">
        <v>812</v>
      </c>
      <c r="AY35" s="28" t="s">
        <v>252</v>
      </c>
      <c r="AZ35" s="28" t="s">
        <v>252</v>
      </c>
      <c r="BA35" s="28" t="s">
        <v>252</v>
      </c>
      <c r="BB35" s="28" t="s">
        <v>192</v>
      </c>
    </row>
    <row r="36" spans="1:54" x14ac:dyDescent="0.25">
      <c r="A36" s="26" t="s">
        <v>165</v>
      </c>
      <c r="B36" s="28" t="s">
        <v>254</v>
      </c>
      <c r="C36" s="28" t="s">
        <v>256</v>
      </c>
      <c r="D36" s="28" t="s">
        <v>256</v>
      </c>
      <c r="E36" s="28" t="s">
        <v>257</v>
      </c>
      <c r="F36" s="28" t="s">
        <v>258</v>
      </c>
      <c r="G36" s="86" t="s">
        <v>258</v>
      </c>
      <c r="H36" s="28" t="s">
        <v>259</v>
      </c>
      <c r="I36" s="28" t="s">
        <v>256</v>
      </c>
      <c r="J36" s="28" t="s">
        <v>258</v>
      </c>
      <c r="K36" s="28" t="s">
        <v>260</v>
      </c>
      <c r="L36" s="28" t="s">
        <v>260</v>
      </c>
      <c r="M36" s="28" t="s">
        <v>260</v>
      </c>
      <c r="N36" s="28" t="s">
        <v>260</v>
      </c>
      <c r="O36" s="28" t="s">
        <v>260</v>
      </c>
      <c r="P36" s="28" t="s">
        <v>261</v>
      </c>
      <c r="Q36" s="28" t="s">
        <v>261</v>
      </c>
      <c r="R36" s="85"/>
      <c r="S36" s="29"/>
      <c r="T36" s="29"/>
      <c r="U36" s="29"/>
      <c r="V36" s="29"/>
      <c r="W36" s="29"/>
      <c r="X36" s="28" t="s">
        <v>254</v>
      </c>
      <c r="Y36" s="178" t="s">
        <v>341</v>
      </c>
      <c r="Z36" s="29"/>
      <c r="AA36" s="178" t="s">
        <v>341</v>
      </c>
      <c r="AB36" s="29"/>
      <c r="AC36" s="29"/>
      <c r="AD36" s="29"/>
      <c r="AE36" s="29"/>
      <c r="AF36" s="29"/>
      <c r="AG36" s="28" t="s">
        <v>254</v>
      </c>
      <c r="AH36" s="28" t="s">
        <v>254</v>
      </c>
      <c r="AJ36" s="28" t="s">
        <v>254</v>
      </c>
      <c r="AK36" s="28" t="s">
        <v>254</v>
      </c>
      <c r="AL36" s="28" t="s">
        <v>254</v>
      </c>
      <c r="AM36" s="28" t="s">
        <v>254</v>
      </c>
      <c r="AN36" s="28" t="s">
        <v>254</v>
      </c>
      <c r="AO36" s="28" t="s">
        <v>254</v>
      </c>
      <c r="AP36" s="28" t="s">
        <v>254</v>
      </c>
      <c r="AQ36" s="28" t="s">
        <v>254</v>
      </c>
      <c r="AR36" s="28" t="s">
        <v>254</v>
      </c>
      <c r="AS36" s="28" t="s">
        <v>254</v>
      </c>
      <c r="AT36" s="28" t="s">
        <v>254</v>
      </c>
      <c r="AU36" s="28" t="s">
        <v>254</v>
      </c>
      <c r="AV36" s="28" t="s">
        <v>254</v>
      </c>
      <c r="AW36" s="28" t="s">
        <v>254</v>
      </c>
      <c r="AX36" s="28" t="s">
        <v>254</v>
      </c>
      <c r="AY36" s="28" t="s">
        <v>254</v>
      </c>
      <c r="AZ36" s="28" t="s">
        <v>254</v>
      </c>
      <c r="BA36" s="28" t="s">
        <v>254</v>
      </c>
      <c r="BB36" s="29" t="s">
        <v>195</v>
      </c>
    </row>
    <row r="37" spans="1:54" x14ac:dyDescent="0.25">
      <c r="A37" s="131" t="s">
        <v>168</v>
      </c>
      <c r="B37" s="157">
        <v>19</v>
      </c>
      <c r="C37" s="157">
        <v>50</v>
      </c>
      <c r="D37" s="157">
        <v>50</v>
      </c>
      <c r="E37" s="157">
        <v>102</v>
      </c>
      <c r="F37" s="157">
        <v>44</v>
      </c>
      <c r="G37" s="161">
        <v>44</v>
      </c>
      <c r="H37" s="157">
        <v>46</v>
      </c>
      <c r="I37" s="157">
        <v>50</v>
      </c>
      <c r="J37" s="157">
        <v>44</v>
      </c>
      <c r="K37" s="157">
        <v>52</v>
      </c>
      <c r="L37" s="157">
        <v>52</v>
      </c>
      <c r="M37" s="157">
        <v>52</v>
      </c>
      <c r="N37" s="157">
        <v>52</v>
      </c>
      <c r="O37" s="157">
        <v>52</v>
      </c>
      <c r="P37" s="157">
        <v>48</v>
      </c>
      <c r="Q37" s="157">
        <v>48</v>
      </c>
      <c r="R37" s="158"/>
      <c r="S37" s="157"/>
      <c r="T37" s="157"/>
      <c r="U37" s="157"/>
      <c r="V37" s="157"/>
      <c r="W37" s="157"/>
      <c r="X37" s="157">
        <v>19</v>
      </c>
      <c r="Y37" s="198"/>
      <c r="Z37" s="157"/>
      <c r="AA37" s="198"/>
      <c r="AB37" s="157"/>
      <c r="AC37" s="157"/>
      <c r="AD37" s="157"/>
      <c r="AE37" s="157"/>
      <c r="AF37" s="157"/>
      <c r="AG37" s="157">
        <v>19</v>
      </c>
      <c r="AH37" s="157">
        <v>19</v>
      </c>
      <c r="AJ37" s="157">
        <v>19</v>
      </c>
      <c r="AK37" s="157">
        <v>19</v>
      </c>
      <c r="AL37" s="157">
        <v>19</v>
      </c>
      <c r="AM37" s="157">
        <v>19</v>
      </c>
      <c r="AN37" s="157">
        <v>19</v>
      </c>
      <c r="AO37" s="157">
        <v>19</v>
      </c>
      <c r="AP37" s="157">
        <v>19</v>
      </c>
      <c r="AQ37" s="157">
        <v>19</v>
      </c>
      <c r="AR37" s="157">
        <v>19</v>
      </c>
      <c r="AS37" s="157">
        <v>19</v>
      </c>
      <c r="AT37" s="157">
        <v>19</v>
      </c>
      <c r="AU37" s="157">
        <v>19</v>
      </c>
      <c r="AV37" s="157">
        <v>19</v>
      </c>
      <c r="AW37" s="157">
        <v>19</v>
      </c>
      <c r="AX37" s="157">
        <v>19</v>
      </c>
      <c r="AY37" s="157">
        <v>19</v>
      </c>
      <c r="AZ37" s="157">
        <v>19</v>
      </c>
      <c r="BA37" s="157">
        <v>19</v>
      </c>
      <c r="BB37" s="157">
        <v>5</v>
      </c>
    </row>
    <row r="38" spans="1:54" x14ac:dyDescent="0.25">
      <c r="A38" s="26" t="s">
        <v>169</v>
      </c>
      <c r="B38" s="29" t="s">
        <v>170</v>
      </c>
      <c r="C38" s="28" t="s">
        <v>170</v>
      </c>
      <c r="D38" s="28" t="s">
        <v>170</v>
      </c>
      <c r="E38" s="28" t="s">
        <v>170</v>
      </c>
      <c r="F38" s="28" t="s">
        <v>170</v>
      </c>
      <c r="G38" s="28" t="s">
        <v>170</v>
      </c>
      <c r="H38" s="29" t="s">
        <v>170</v>
      </c>
      <c r="I38" s="29" t="s">
        <v>170</v>
      </c>
      <c r="J38" s="29" t="s">
        <v>170</v>
      </c>
      <c r="K38" s="29" t="s">
        <v>170</v>
      </c>
      <c r="L38" s="29" t="s">
        <v>170</v>
      </c>
      <c r="M38" s="29" t="s">
        <v>170</v>
      </c>
      <c r="N38" s="29" t="s">
        <v>170</v>
      </c>
      <c r="O38" s="29" t="s">
        <v>170</v>
      </c>
      <c r="P38" s="29" t="s">
        <v>170</v>
      </c>
      <c r="Q38" s="29" t="s">
        <v>170</v>
      </c>
      <c r="R38" s="28"/>
      <c r="S38" s="28"/>
      <c r="T38" s="28"/>
      <c r="U38" s="28"/>
      <c r="V38" s="28"/>
      <c r="W38" s="28"/>
      <c r="X38" s="29" t="s">
        <v>170</v>
      </c>
      <c r="Y38" s="80" t="s">
        <v>173</v>
      </c>
      <c r="Z38" s="28"/>
      <c r="AA38" s="80" t="s">
        <v>173</v>
      </c>
      <c r="AB38" s="28"/>
      <c r="AC38" s="29"/>
      <c r="AD38" s="28"/>
      <c r="AE38" s="29"/>
      <c r="AF38" s="28"/>
      <c r="AG38" s="29" t="s">
        <v>170</v>
      </c>
      <c r="AH38" s="29" t="s">
        <v>170</v>
      </c>
      <c r="AJ38" s="29" t="s">
        <v>170</v>
      </c>
      <c r="AK38" s="29" t="s">
        <v>170</v>
      </c>
      <c r="AL38" s="29" t="s">
        <v>170</v>
      </c>
      <c r="AM38" s="29" t="s">
        <v>170</v>
      </c>
      <c r="AN38" s="29" t="s">
        <v>170</v>
      </c>
      <c r="AO38" s="29" t="s">
        <v>170</v>
      </c>
      <c r="AP38" s="29" t="s">
        <v>170</v>
      </c>
      <c r="AQ38" s="29" t="s">
        <v>170</v>
      </c>
      <c r="AR38" s="29" t="s">
        <v>170</v>
      </c>
      <c r="AS38" s="29" t="s">
        <v>170</v>
      </c>
      <c r="AT38" s="29" t="s">
        <v>170</v>
      </c>
      <c r="AU38" s="29" t="s">
        <v>170</v>
      </c>
      <c r="AV38" s="29" t="s">
        <v>170</v>
      </c>
      <c r="AW38" s="29" t="s">
        <v>170</v>
      </c>
      <c r="AX38" s="29" t="s">
        <v>170</v>
      </c>
      <c r="AY38" s="29" t="s">
        <v>170</v>
      </c>
      <c r="AZ38" s="29" t="s">
        <v>170</v>
      </c>
      <c r="BA38" s="29" t="s">
        <v>170</v>
      </c>
      <c r="BB38" s="28" t="s">
        <v>170</v>
      </c>
    </row>
    <row r="39" spans="1:54" x14ac:dyDescent="0.25">
      <c r="A39" s="26" t="s">
        <v>171</v>
      </c>
      <c r="B39" s="28" t="s">
        <v>173</v>
      </c>
      <c r="C39" s="28" t="s">
        <v>173</v>
      </c>
      <c r="D39" s="28" t="s">
        <v>173</v>
      </c>
      <c r="E39" s="28" t="s">
        <v>173</v>
      </c>
      <c r="F39" s="28" t="s">
        <v>173</v>
      </c>
      <c r="G39" s="28" t="s">
        <v>173</v>
      </c>
      <c r="H39" s="28" t="s">
        <v>173</v>
      </c>
      <c r="I39" s="28" t="s">
        <v>173</v>
      </c>
      <c r="J39" s="28" t="s">
        <v>173</v>
      </c>
      <c r="K39" s="28" t="s">
        <v>173</v>
      </c>
      <c r="L39" s="28" t="s">
        <v>173</v>
      </c>
      <c r="M39" s="28" t="s">
        <v>173</v>
      </c>
      <c r="N39" s="28" t="s">
        <v>173</v>
      </c>
      <c r="O39" s="28" t="s">
        <v>173</v>
      </c>
      <c r="P39" s="28" t="s">
        <v>173</v>
      </c>
      <c r="Q39" s="28" t="s">
        <v>173</v>
      </c>
      <c r="R39" s="28"/>
      <c r="S39" s="28"/>
      <c r="T39" s="28"/>
      <c r="U39" s="28"/>
      <c r="V39" s="28"/>
      <c r="W39" s="28"/>
      <c r="X39" s="28" t="s">
        <v>173</v>
      </c>
      <c r="Y39" s="80" t="s">
        <v>173</v>
      </c>
      <c r="Z39" s="28"/>
      <c r="AA39" s="80" t="s">
        <v>173</v>
      </c>
      <c r="AB39" s="28"/>
      <c r="AC39" s="28"/>
      <c r="AD39" s="28"/>
      <c r="AE39" s="28"/>
      <c r="AF39" s="28"/>
      <c r="AG39" s="28" t="s">
        <v>173</v>
      </c>
      <c r="AH39" s="28" t="s">
        <v>173</v>
      </c>
      <c r="AJ39" s="28" t="s">
        <v>173</v>
      </c>
      <c r="AK39" s="28" t="s">
        <v>173</v>
      </c>
      <c r="AL39" s="28" t="s">
        <v>173</v>
      </c>
      <c r="AM39" s="28" t="s">
        <v>173</v>
      </c>
      <c r="AN39" s="28" t="s">
        <v>173</v>
      </c>
      <c r="AO39" s="28" t="s">
        <v>173</v>
      </c>
      <c r="AP39" s="28" t="s">
        <v>173</v>
      </c>
      <c r="AQ39" s="28" t="s">
        <v>173</v>
      </c>
      <c r="AR39" s="28" t="s">
        <v>173</v>
      </c>
      <c r="AS39" s="28" t="s">
        <v>173</v>
      </c>
      <c r="AT39" s="28" t="s">
        <v>173</v>
      </c>
      <c r="AU39" s="28" t="s">
        <v>173</v>
      </c>
      <c r="AV39" s="28" t="s">
        <v>173</v>
      </c>
      <c r="AW39" s="28" t="s">
        <v>173</v>
      </c>
      <c r="AX39" s="28" t="s">
        <v>173</v>
      </c>
      <c r="AY39" s="28" t="s">
        <v>173</v>
      </c>
      <c r="AZ39" s="28" t="s">
        <v>173</v>
      </c>
      <c r="BA39" s="28" t="s">
        <v>173</v>
      </c>
      <c r="BB39" s="28" t="s">
        <v>173</v>
      </c>
    </row>
    <row r="40" spans="1:54" x14ac:dyDescent="0.25">
      <c r="A40" s="26" t="s">
        <v>172</v>
      </c>
      <c r="B40" s="28" t="s">
        <v>173</v>
      </c>
      <c r="C40" s="28" t="s">
        <v>170</v>
      </c>
      <c r="D40" s="28" t="s">
        <v>170</v>
      </c>
      <c r="E40" s="130" t="s">
        <v>266</v>
      </c>
      <c r="F40" s="28" t="s">
        <v>173</v>
      </c>
      <c r="G40" s="28" t="s">
        <v>173</v>
      </c>
      <c r="H40" s="28" t="s">
        <v>170</v>
      </c>
      <c r="I40" s="28" t="s">
        <v>170</v>
      </c>
      <c r="J40" s="28" t="s">
        <v>173</v>
      </c>
      <c r="K40" s="28" t="s">
        <v>170</v>
      </c>
      <c r="L40" s="28" t="s">
        <v>170</v>
      </c>
      <c r="M40" s="28" t="s">
        <v>170</v>
      </c>
      <c r="N40" s="28" t="s">
        <v>170</v>
      </c>
      <c r="O40" s="28" t="s">
        <v>170</v>
      </c>
      <c r="P40" s="28" t="s">
        <v>170</v>
      </c>
      <c r="Q40" s="28" t="s">
        <v>170</v>
      </c>
      <c r="R40" s="28"/>
      <c r="S40" s="28"/>
      <c r="T40" s="28"/>
      <c r="U40" s="28"/>
      <c r="V40" s="28"/>
      <c r="W40" s="28"/>
      <c r="X40" s="28" t="s">
        <v>173</v>
      </c>
      <c r="Y40" s="80" t="s">
        <v>173</v>
      </c>
      <c r="Z40" s="28"/>
      <c r="AA40" s="80" t="s">
        <v>173</v>
      </c>
      <c r="AB40" s="28"/>
      <c r="AC40" s="28"/>
      <c r="AD40" s="28"/>
      <c r="AE40" s="28"/>
      <c r="AF40" s="28"/>
      <c r="AG40" s="28" t="s">
        <v>173</v>
      </c>
      <c r="AH40" s="28" t="s">
        <v>173</v>
      </c>
      <c r="AJ40" s="28" t="s">
        <v>173</v>
      </c>
      <c r="AK40" s="28" t="s">
        <v>173</v>
      </c>
      <c r="AL40" s="28" t="s">
        <v>173</v>
      </c>
      <c r="AM40" s="28" t="s">
        <v>173</v>
      </c>
      <c r="AN40" s="28" t="s">
        <v>173</v>
      </c>
      <c r="AO40" s="28" t="s">
        <v>173</v>
      </c>
      <c r="AP40" s="28" t="s">
        <v>173</v>
      </c>
      <c r="AQ40" s="28" t="s">
        <v>173</v>
      </c>
      <c r="AR40" s="28" t="s">
        <v>173</v>
      </c>
      <c r="AS40" s="28" t="s">
        <v>173</v>
      </c>
      <c r="AT40" s="28" t="s">
        <v>173</v>
      </c>
      <c r="AU40" s="28" t="s">
        <v>173</v>
      </c>
      <c r="AV40" s="28" t="s">
        <v>173</v>
      </c>
      <c r="AW40" s="28" t="s">
        <v>173</v>
      </c>
      <c r="AX40" s="28" t="s">
        <v>173</v>
      </c>
      <c r="AY40" s="28" t="s">
        <v>173</v>
      </c>
      <c r="AZ40" s="28" t="s">
        <v>173</v>
      </c>
      <c r="BA40" s="28" t="s">
        <v>173</v>
      </c>
      <c r="BB40" s="28" t="s">
        <v>173</v>
      </c>
    </row>
    <row r="41" spans="1:54" x14ac:dyDescent="0.25">
      <c r="A41" s="26" t="s">
        <v>174</v>
      </c>
      <c r="B41" s="28" t="s">
        <v>173</v>
      </c>
      <c r="C41" s="28" t="s">
        <v>173</v>
      </c>
      <c r="D41" s="28" t="s">
        <v>173</v>
      </c>
      <c r="E41" s="28" t="s">
        <v>173</v>
      </c>
      <c r="F41" s="28" t="s">
        <v>173</v>
      </c>
      <c r="G41" s="28" t="s">
        <v>173</v>
      </c>
      <c r="H41" s="28" t="s">
        <v>173</v>
      </c>
      <c r="I41" s="28" t="s">
        <v>173</v>
      </c>
      <c r="J41" s="28" t="s">
        <v>173</v>
      </c>
      <c r="K41" s="28" t="s">
        <v>173</v>
      </c>
      <c r="L41" s="28" t="s">
        <v>173</v>
      </c>
      <c r="M41" s="28" t="s">
        <v>173</v>
      </c>
      <c r="N41" s="28" t="s">
        <v>173</v>
      </c>
      <c r="O41" s="28" t="s">
        <v>173</v>
      </c>
      <c r="P41" s="28" t="s">
        <v>173</v>
      </c>
      <c r="Q41" s="28" t="s">
        <v>173</v>
      </c>
      <c r="R41" s="28"/>
      <c r="S41" s="28"/>
      <c r="T41" s="28"/>
      <c r="U41" s="28"/>
      <c r="V41" s="28"/>
      <c r="W41" s="28"/>
      <c r="X41" s="28" t="s">
        <v>173</v>
      </c>
      <c r="Y41" s="80" t="s">
        <v>173</v>
      </c>
      <c r="Z41" s="28"/>
      <c r="AA41" s="80" t="s">
        <v>173</v>
      </c>
      <c r="AB41" s="28"/>
      <c r="AC41" s="28"/>
      <c r="AD41" s="28"/>
      <c r="AE41" s="28"/>
      <c r="AF41" s="28"/>
      <c r="AG41" s="28" t="s">
        <v>173</v>
      </c>
      <c r="AH41" s="28" t="s">
        <v>173</v>
      </c>
      <c r="AJ41" s="28" t="s">
        <v>173</v>
      </c>
      <c r="AK41" s="28" t="s">
        <v>173</v>
      </c>
      <c r="AL41" s="28" t="s">
        <v>173</v>
      </c>
      <c r="AM41" s="28" t="s">
        <v>173</v>
      </c>
      <c r="AN41" s="28" t="s">
        <v>173</v>
      </c>
      <c r="AO41" s="28" t="s">
        <v>173</v>
      </c>
      <c r="AP41" s="28" t="s">
        <v>173</v>
      </c>
      <c r="AQ41" s="28" t="s">
        <v>173</v>
      </c>
      <c r="AR41" s="28" t="s">
        <v>173</v>
      </c>
      <c r="AS41" s="28" t="s">
        <v>173</v>
      </c>
      <c r="AT41" s="28" t="s">
        <v>173</v>
      </c>
      <c r="AU41" s="28" t="s">
        <v>173</v>
      </c>
      <c r="AV41" s="28" t="s">
        <v>173</v>
      </c>
      <c r="AW41" s="28" t="s">
        <v>173</v>
      </c>
      <c r="AX41" s="28" t="s">
        <v>173</v>
      </c>
      <c r="AY41" s="28" t="s">
        <v>173</v>
      </c>
      <c r="AZ41" s="28" t="s">
        <v>173</v>
      </c>
      <c r="BA41" s="28" t="s">
        <v>173</v>
      </c>
      <c r="BB41" s="28" t="s">
        <v>173</v>
      </c>
    </row>
    <row r="42" spans="1:54" x14ac:dyDescent="0.25">
      <c r="A42" s="26" t="s">
        <v>175</v>
      </c>
      <c r="B42" s="28" t="s">
        <v>267</v>
      </c>
      <c r="C42" s="28" t="s">
        <v>198</v>
      </c>
      <c r="D42" s="28" t="s">
        <v>198</v>
      </c>
      <c r="E42" s="28" t="s">
        <v>198</v>
      </c>
      <c r="F42" s="28" t="s">
        <v>198</v>
      </c>
      <c r="G42" s="28" t="s">
        <v>198</v>
      </c>
      <c r="H42" s="28" t="s">
        <v>198</v>
      </c>
      <c r="I42" s="28" t="s">
        <v>198</v>
      </c>
      <c r="J42" s="28" t="s">
        <v>198</v>
      </c>
      <c r="K42" s="28" t="s">
        <v>198</v>
      </c>
      <c r="L42" s="28" t="s">
        <v>198</v>
      </c>
      <c r="M42" s="28" t="s">
        <v>198</v>
      </c>
      <c r="N42" s="28" t="s">
        <v>198</v>
      </c>
      <c r="O42" s="28" t="s">
        <v>198</v>
      </c>
      <c r="P42" s="28" t="s">
        <v>198</v>
      </c>
      <c r="Q42" s="28" t="s">
        <v>198</v>
      </c>
      <c r="R42" s="28"/>
      <c r="S42" s="28"/>
      <c r="T42" s="28"/>
      <c r="U42" s="28"/>
      <c r="V42" s="28"/>
      <c r="W42" s="28"/>
      <c r="X42" s="28" t="s">
        <v>267</v>
      </c>
      <c r="Y42" s="80" t="s">
        <v>199</v>
      </c>
      <c r="Z42" s="28"/>
      <c r="AA42" s="80" t="s">
        <v>199</v>
      </c>
      <c r="AB42" s="28"/>
      <c r="AC42" s="28"/>
      <c r="AD42" s="28"/>
      <c r="AE42" s="28"/>
      <c r="AF42" s="28"/>
      <c r="AG42" s="28" t="s">
        <v>267</v>
      </c>
      <c r="AH42" s="28" t="s">
        <v>267</v>
      </c>
      <c r="AJ42" s="28" t="s">
        <v>267</v>
      </c>
      <c r="AK42" s="28" t="s">
        <v>267</v>
      </c>
      <c r="AL42" s="28" t="s">
        <v>267</v>
      </c>
      <c r="AM42" s="28" t="s">
        <v>267</v>
      </c>
      <c r="AN42" s="28" t="s">
        <v>267</v>
      </c>
      <c r="AO42" s="28" t="s">
        <v>267</v>
      </c>
      <c r="AP42" s="28" t="s">
        <v>267</v>
      </c>
      <c r="AQ42" s="28" t="s">
        <v>267</v>
      </c>
      <c r="AR42" s="28" t="s">
        <v>267</v>
      </c>
      <c r="AS42" s="28" t="s">
        <v>267</v>
      </c>
      <c r="AT42" s="28" t="s">
        <v>267</v>
      </c>
      <c r="AU42" s="28" t="s">
        <v>267</v>
      </c>
      <c r="AV42" s="28" t="s">
        <v>267</v>
      </c>
      <c r="AW42" s="28" t="s">
        <v>267</v>
      </c>
      <c r="AX42" s="28" t="s">
        <v>267</v>
      </c>
      <c r="AY42" s="28" t="s">
        <v>267</v>
      </c>
      <c r="AZ42" s="28" t="s">
        <v>267</v>
      </c>
      <c r="BA42" s="28" t="s">
        <v>267</v>
      </c>
      <c r="BB42" s="28" t="s">
        <v>198</v>
      </c>
    </row>
    <row r="43" spans="1:54" x14ac:dyDescent="0.25">
      <c r="A43" s="26" t="s">
        <v>176</v>
      </c>
      <c r="B43" s="30">
        <v>-3</v>
      </c>
      <c r="C43" s="30">
        <v>1</v>
      </c>
      <c r="D43" s="30">
        <v>1</v>
      </c>
      <c r="E43" s="30">
        <f>AVERAGE(2,2,1)</f>
        <v>1.6666666666666667</v>
      </c>
      <c r="F43" s="30">
        <v>2</v>
      </c>
      <c r="G43" s="30">
        <v>2</v>
      </c>
      <c r="H43" s="30">
        <f>5/3</f>
        <v>1.6666666666666667</v>
      </c>
      <c r="I43" s="30">
        <v>1</v>
      </c>
      <c r="J43" s="30">
        <v>2</v>
      </c>
      <c r="K43" s="30">
        <v>0.5</v>
      </c>
      <c r="L43" s="30">
        <v>0.5</v>
      </c>
      <c r="M43" s="30">
        <v>0.5</v>
      </c>
      <c r="N43" s="30">
        <v>0.5</v>
      </c>
      <c r="O43" s="30">
        <v>0.5</v>
      </c>
      <c r="P43" s="30">
        <f>4/3</f>
        <v>1.3333333333333333</v>
      </c>
      <c r="Q43" s="30">
        <f>4/3</f>
        <v>1.3333333333333333</v>
      </c>
      <c r="R43" s="30"/>
      <c r="S43" s="30"/>
      <c r="T43" s="30"/>
      <c r="U43" s="30"/>
      <c r="V43" s="30"/>
      <c r="W43" s="30"/>
      <c r="X43" s="30">
        <v>-3</v>
      </c>
      <c r="Y43" s="82">
        <v>-2</v>
      </c>
      <c r="Z43" s="30"/>
      <c r="AA43" s="82">
        <v>-2</v>
      </c>
      <c r="AB43" s="30"/>
      <c r="AC43" s="30"/>
      <c r="AD43" s="30"/>
      <c r="AE43" s="30"/>
      <c r="AF43" s="30"/>
      <c r="AG43" s="30">
        <v>-3</v>
      </c>
      <c r="AH43" s="30">
        <v>-3</v>
      </c>
      <c r="AJ43" s="30">
        <v>-3</v>
      </c>
      <c r="AK43" s="30">
        <v>-3</v>
      </c>
      <c r="AL43" s="30">
        <v>-3</v>
      </c>
      <c r="AM43" s="30">
        <v>-3</v>
      </c>
      <c r="AN43" s="30">
        <v>-3</v>
      </c>
      <c r="AO43" s="30">
        <v>-3</v>
      </c>
      <c r="AP43" s="30">
        <v>-3</v>
      </c>
      <c r="AQ43" s="30">
        <v>-3</v>
      </c>
      <c r="AR43" s="30">
        <v>-3</v>
      </c>
      <c r="AS43" s="30">
        <v>-3</v>
      </c>
      <c r="AT43" s="30">
        <v>-3</v>
      </c>
      <c r="AU43" s="30">
        <v>-3</v>
      </c>
      <c r="AV43" s="30">
        <v>-3</v>
      </c>
      <c r="AW43" s="30">
        <v>-3</v>
      </c>
      <c r="AX43" s="30">
        <v>-3</v>
      </c>
      <c r="AY43" s="30">
        <v>-3</v>
      </c>
      <c r="AZ43" s="30">
        <v>-3</v>
      </c>
      <c r="BA43" s="30">
        <v>-3</v>
      </c>
      <c r="BB43" s="30">
        <f t="shared" ref="BB43" si="0">5/3</f>
        <v>1.6666666666666667</v>
      </c>
    </row>
    <row r="44" spans="1:54" x14ac:dyDescent="0.25">
      <c r="A44" s="26" t="s">
        <v>177</v>
      </c>
      <c r="B44" s="28" t="s">
        <v>178</v>
      </c>
      <c r="C44" s="28" t="s">
        <v>181</v>
      </c>
      <c r="D44" s="28" t="s">
        <v>181</v>
      </c>
      <c r="E44" s="28" t="s">
        <v>181</v>
      </c>
      <c r="F44" s="28" t="s">
        <v>181</v>
      </c>
      <c r="G44" s="28" t="s">
        <v>181</v>
      </c>
      <c r="H44" s="28" t="s">
        <v>181</v>
      </c>
      <c r="I44" s="28" t="s">
        <v>181</v>
      </c>
      <c r="J44" s="28" t="s">
        <v>181</v>
      </c>
      <c r="K44" s="28" t="s">
        <v>181</v>
      </c>
      <c r="L44" s="28" t="s">
        <v>181</v>
      </c>
      <c r="M44" s="28" t="s">
        <v>181</v>
      </c>
      <c r="N44" s="28" t="s">
        <v>181</v>
      </c>
      <c r="O44" s="28" t="s">
        <v>181</v>
      </c>
      <c r="P44" s="28" t="s">
        <v>181</v>
      </c>
      <c r="Q44" s="28" t="s">
        <v>181</v>
      </c>
      <c r="R44" s="28"/>
      <c r="S44" s="28"/>
      <c r="T44" s="28"/>
      <c r="U44" s="28"/>
      <c r="V44" s="28"/>
      <c r="W44" s="28"/>
      <c r="X44" s="28" t="s">
        <v>178</v>
      </c>
      <c r="Y44" s="80" t="s">
        <v>341</v>
      </c>
      <c r="Z44" s="28"/>
      <c r="AA44" s="80" t="s">
        <v>341</v>
      </c>
      <c r="AB44" s="28"/>
      <c r="AC44" s="28"/>
      <c r="AD44" s="28"/>
      <c r="AE44" s="28"/>
      <c r="AF44" s="28"/>
      <c r="AG44" s="28" t="s">
        <v>178</v>
      </c>
      <c r="AH44" s="28" t="s">
        <v>178</v>
      </c>
      <c r="AJ44" s="28" t="s">
        <v>178</v>
      </c>
      <c r="AK44" s="28" t="s">
        <v>178</v>
      </c>
      <c r="AL44" s="28" t="s">
        <v>178</v>
      </c>
      <c r="AM44" s="28" t="s">
        <v>178</v>
      </c>
      <c r="AN44" s="28" t="s">
        <v>178</v>
      </c>
      <c r="AO44" s="28" t="s">
        <v>178</v>
      </c>
      <c r="AP44" s="28" t="s">
        <v>178</v>
      </c>
      <c r="AQ44" s="28" t="s">
        <v>178</v>
      </c>
      <c r="AR44" s="28" t="s">
        <v>178</v>
      </c>
      <c r="AS44" s="28" t="s">
        <v>178</v>
      </c>
      <c r="AT44" s="28" t="s">
        <v>178</v>
      </c>
      <c r="AU44" s="28" t="s">
        <v>178</v>
      </c>
      <c r="AV44" s="28" t="s">
        <v>178</v>
      </c>
      <c r="AW44" s="28" t="s">
        <v>178</v>
      </c>
      <c r="AX44" s="28" t="s">
        <v>178</v>
      </c>
      <c r="AY44" s="28" t="s">
        <v>178</v>
      </c>
      <c r="AZ44" s="28" t="s">
        <v>178</v>
      </c>
      <c r="BA44" s="28" t="s">
        <v>178</v>
      </c>
      <c r="BB44" s="28" t="s">
        <v>178</v>
      </c>
    </row>
    <row r="45" spans="1:54" x14ac:dyDescent="0.25">
      <c r="A45" s="26" t="s">
        <v>182</v>
      </c>
      <c r="B45" s="30">
        <v>4</v>
      </c>
      <c r="C45" s="30">
        <v>2</v>
      </c>
      <c r="D45" s="30">
        <v>2</v>
      </c>
      <c r="E45" s="30">
        <v>2</v>
      </c>
      <c r="F45" s="30">
        <v>2</v>
      </c>
      <c r="G45" s="30">
        <v>2</v>
      </c>
      <c r="H45" s="30">
        <v>2</v>
      </c>
      <c r="I45" s="30">
        <v>2</v>
      </c>
      <c r="J45" s="30">
        <v>2</v>
      </c>
      <c r="K45" s="30">
        <v>2</v>
      </c>
      <c r="L45" s="30">
        <v>2</v>
      </c>
      <c r="M45" s="30">
        <v>2</v>
      </c>
      <c r="N45" s="30">
        <v>2</v>
      </c>
      <c r="O45" s="30">
        <v>2</v>
      </c>
      <c r="P45" s="30">
        <v>2</v>
      </c>
      <c r="Q45" s="30">
        <v>2</v>
      </c>
      <c r="R45" s="30"/>
      <c r="S45" s="30"/>
      <c r="T45" s="30"/>
      <c r="U45" s="30"/>
      <c r="V45" s="30"/>
      <c r="W45" s="30"/>
      <c r="X45" s="30">
        <v>4</v>
      </c>
      <c r="Y45" s="82">
        <v>0</v>
      </c>
      <c r="Z45" s="30"/>
      <c r="AA45" s="82">
        <v>0</v>
      </c>
      <c r="AB45" s="30"/>
      <c r="AC45" s="30"/>
      <c r="AD45" s="30"/>
      <c r="AE45" s="30"/>
      <c r="AF45" s="30"/>
      <c r="AG45" s="30">
        <v>4</v>
      </c>
      <c r="AH45" s="30">
        <v>4</v>
      </c>
      <c r="AJ45" s="30">
        <v>4</v>
      </c>
      <c r="AK45" s="30">
        <v>4</v>
      </c>
      <c r="AL45" s="30">
        <v>4</v>
      </c>
      <c r="AM45" s="30">
        <v>4</v>
      </c>
      <c r="AN45" s="30">
        <v>4</v>
      </c>
      <c r="AO45" s="30">
        <v>4</v>
      </c>
      <c r="AP45" s="30">
        <v>4</v>
      </c>
      <c r="AQ45" s="30">
        <v>4</v>
      </c>
      <c r="AR45" s="30">
        <v>4</v>
      </c>
      <c r="AS45" s="30">
        <v>4</v>
      </c>
      <c r="AT45" s="30">
        <v>4</v>
      </c>
      <c r="AU45" s="30">
        <v>4</v>
      </c>
      <c r="AV45" s="30">
        <v>4</v>
      </c>
      <c r="AW45" s="30">
        <v>4</v>
      </c>
      <c r="AX45" s="30">
        <v>4</v>
      </c>
      <c r="AY45" s="30">
        <v>4</v>
      </c>
      <c r="AZ45" s="30">
        <v>4</v>
      </c>
      <c r="BA45" s="30">
        <v>4</v>
      </c>
      <c r="BB45" s="30">
        <v>4</v>
      </c>
    </row>
    <row r="46" spans="1:54" x14ac:dyDescent="0.25">
      <c r="C46" s="78" t="s">
        <v>813</v>
      </c>
      <c r="AJ46" s="78" t="s">
        <v>814</v>
      </c>
    </row>
    <row r="47" spans="1:54" x14ac:dyDescent="0.25">
      <c r="A47" s="31" t="s">
        <v>183</v>
      </c>
    </row>
    <row r="48" spans="1:54" x14ac:dyDescent="0.25">
      <c r="A48" s="241" t="s">
        <v>815</v>
      </c>
      <c r="B48" s="96" t="s">
        <v>816</v>
      </c>
    </row>
    <row r="49" spans="1:2" x14ac:dyDescent="0.25">
      <c r="A49" s="241"/>
      <c r="B49" s="96" t="s">
        <v>274</v>
      </c>
    </row>
    <row r="50" spans="1:2" x14ac:dyDescent="0.25">
      <c r="A50" s="241"/>
      <c r="B50" s="96" t="s">
        <v>817</v>
      </c>
    </row>
    <row r="51" spans="1:2" x14ac:dyDescent="0.25">
      <c r="A51" s="241"/>
      <c r="B51" s="96" t="s">
        <v>818</v>
      </c>
    </row>
    <row r="52" spans="1:2" x14ac:dyDescent="0.25">
      <c r="A52" s="235" t="s">
        <v>819</v>
      </c>
      <c r="B52" s="95" t="s">
        <v>820</v>
      </c>
    </row>
    <row r="53" spans="1:2" x14ac:dyDescent="0.25">
      <c r="A53" s="235"/>
      <c r="B53" s="96" t="s">
        <v>805</v>
      </c>
    </row>
    <row r="54" spans="1:2" x14ac:dyDescent="0.25">
      <c r="A54" s="235"/>
      <c r="B54" s="96" t="s">
        <v>787</v>
      </c>
    </row>
  </sheetData>
  <mergeCells count="7">
    <mergeCell ref="F3:O3"/>
    <mergeCell ref="F4:O5"/>
    <mergeCell ref="A48:A51"/>
    <mergeCell ref="A52:A54"/>
    <mergeCell ref="B3:D3"/>
    <mergeCell ref="B4:D4"/>
    <mergeCell ref="B5:D5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33060-3BC0-4BA8-A692-2CBEA88ACC10}">
  <dimension ref="A1:AY53"/>
  <sheetViews>
    <sheetView topLeftCell="D13" workbookViewId="0">
      <selection activeCell="E25" sqref="E25"/>
    </sheetView>
  </sheetViews>
  <sheetFormatPr defaultColWidth="9.140625" defaultRowHeight="15" x14ac:dyDescent="0.25"/>
  <cols>
    <col min="1" max="1" width="23.28515625" style="26" bestFit="1" customWidth="1"/>
    <col min="2" max="52" width="5.7109375" style="26" customWidth="1"/>
    <col min="53" max="16384" width="9.140625" style="26"/>
  </cols>
  <sheetData>
    <row r="1" spans="1:51" x14ac:dyDescent="0.25">
      <c r="A1" s="25" t="s">
        <v>116</v>
      </c>
      <c r="D1" s="25" t="s">
        <v>117</v>
      </c>
      <c r="I1" s="25" t="s">
        <v>549</v>
      </c>
    </row>
    <row r="3" spans="1:51" ht="18" x14ac:dyDescent="0.25">
      <c r="A3" s="25" t="s">
        <v>119</v>
      </c>
      <c r="B3" s="215">
        <v>50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51" ht="18" x14ac:dyDescent="0.25">
      <c r="A4" s="25" t="s">
        <v>121</v>
      </c>
      <c r="B4" s="215" t="s">
        <v>791</v>
      </c>
      <c r="C4" s="215"/>
      <c r="D4" s="215"/>
      <c r="F4" s="216" t="s">
        <v>821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51" ht="18" x14ac:dyDescent="0.25">
      <c r="A5" s="25" t="s">
        <v>124</v>
      </c>
      <c r="B5" s="215" t="s">
        <v>822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51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65" t="s">
        <v>138</v>
      </c>
      <c r="O7" s="65" t="s">
        <v>139</v>
      </c>
      <c r="P7" s="67" t="s">
        <v>140</v>
      </c>
      <c r="Q7" s="67" t="s">
        <v>141</v>
      </c>
      <c r="R7" s="66" t="s">
        <v>142</v>
      </c>
      <c r="S7" s="68" t="s">
        <v>143</v>
      </c>
      <c r="T7" s="69" t="s">
        <v>144</v>
      </c>
      <c r="U7" s="69" t="s">
        <v>145</v>
      </c>
      <c r="V7" s="70" t="s">
        <v>146</v>
      </c>
      <c r="W7" s="70" t="s">
        <v>147</v>
      </c>
      <c r="X7" s="71" t="s">
        <v>148</v>
      </c>
      <c r="Y7" s="71" t="s">
        <v>149</v>
      </c>
      <c r="Z7" s="72" t="s">
        <v>150</v>
      </c>
      <c r="AA7" s="72" t="s">
        <v>151</v>
      </c>
      <c r="AB7" s="73" t="s">
        <v>152</v>
      </c>
      <c r="AC7" s="73" t="s">
        <v>153</v>
      </c>
      <c r="AD7" s="73" t="s">
        <v>154</v>
      </c>
      <c r="AE7" s="74" t="s">
        <v>155</v>
      </c>
      <c r="AF7" s="75" t="s">
        <v>156</v>
      </c>
      <c r="AG7" s="76" t="s">
        <v>157</v>
      </c>
      <c r="AH7" s="76" t="s">
        <v>158</v>
      </c>
      <c r="AJ7" s="40" t="s">
        <v>138</v>
      </c>
      <c r="AK7" s="67" t="s">
        <v>140</v>
      </c>
      <c r="AL7" s="67" t="s">
        <v>141</v>
      </c>
      <c r="AM7" s="66" t="s">
        <v>142</v>
      </c>
      <c r="AN7" s="68" t="s">
        <v>143</v>
      </c>
      <c r="AO7" s="70" t="s">
        <v>146</v>
      </c>
      <c r="AP7" s="70" t="s">
        <v>147</v>
      </c>
      <c r="AT7" s="26" t="s">
        <v>823</v>
      </c>
      <c r="AU7" s="26" t="s">
        <v>824</v>
      </c>
      <c r="AV7" s="26" t="s">
        <v>825</v>
      </c>
      <c r="AW7" s="26" t="s">
        <v>826</v>
      </c>
      <c r="AX7" s="26" t="s">
        <v>827</v>
      </c>
    </row>
    <row r="8" spans="1:51" x14ac:dyDescent="0.25">
      <c r="A8" s="26" t="s">
        <v>159</v>
      </c>
      <c r="B8" s="199"/>
      <c r="C8" s="83" t="s">
        <v>744</v>
      </c>
      <c r="D8" s="28" t="s">
        <v>744</v>
      </c>
      <c r="E8" s="28" t="s">
        <v>744</v>
      </c>
      <c r="F8" s="28" t="s">
        <v>744</v>
      </c>
      <c r="G8" s="28" t="s">
        <v>744</v>
      </c>
      <c r="H8" s="86" t="s">
        <v>744</v>
      </c>
      <c r="I8" s="28" t="s">
        <v>744</v>
      </c>
      <c r="J8" s="28" t="s">
        <v>744</v>
      </c>
      <c r="K8" s="28" t="s">
        <v>744</v>
      </c>
      <c r="L8" s="28" t="s">
        <v>744</v>
      </c>
      <c r="M8" s="86" t="s">
        <v>744</v>
      </c>
      <c r="N8" s="28" t="s">
        <v>744</v>
      </c>
      <c r="O8" s="28" t="s">
        <v>744</v>
      </c>
      <c r="P8" s="28" t="s">
        <v>745</v>
      </c>
      <c r="Q8" s="28" t="s">
        <v>745</v>
      </c>
      <c r="R8" s="80" t="s">
        <v>341</v>
      </c>
      <c r="S8" s="28" t="s">
        <v>746</v>
      </c>
      <c r="T8" s="80" t="s">
        <v>341</v>
      </c>
      <c r="U8" s="80" t="s">
        <v>341</v>
      </c>
      <c r="V8" s="80" t="s">
        <v>341</v>
      </c>
      <c r="W8" s="80" t="s">
        <v>341</v>
      </c>
      <c r="X8" s="28" t="s">
        <v>556</v>
      </c>
      <c r="Y8" s="80" t="s">
        <v>341</v>
      </c>
      <c r="Z8" s="80" t="s">
        <v>341</v>
      </c>
      <c r="AA8" s="80" t="s">
        <v>341</v>
      </c>
      <c r="AB8" s="80" t="s">
        <v>341</v>
      </c>
      <c r="AC8" s="80" t="s">
        <v>341</v>
      </c>
      <c r="AD8" s="80" t="s">
        <v>341</v>
      </c>
      <c r="AE8" s="80" t="s">
        <v>341</v>
      </c>
      <c r="AF8" s="80" t="s">
        <v>341</v>
      </c>
      <c r="AG8" s="80" t="s">
        <v>341</v>
      </c>
      <c r="AH8" s="80" t="s">
        <v>341</v>
      </c>
      <c r="AJ8" s="28" t="s">
        <v>744</v>
      </c>
      <c r="AK8" s="86" t="s">
        <v>745</v>
      </c>
      <c r="AL8" s="28" t="s">
        <v>745</v>
      </c>
      <c r="AM8" s="80" t="s">
        <v>341</v>
      </c>
      <c r="AN8" s="28" t="s">
        <v>746</v>
      </c>
      <c r="AO8" s="80" t="s">
        <v>341</v>
      </c>
      <c r="AP8" s="80" t="s">
        <v>341</v>
      </c>
      <c r="AT8" s="26" t="s">
        <v>828</v>
      </c>
      <c r="AU8" s="26" t="s">
        <v>829</v>
      </c>
      <c r="AV8" s="26" t="s">
        <v>830</v>
      </c>
      <c r="AW8" s="26" t="s">
        <v>831</v>
      </c>
    </row>
    <row r="9" spans="1:51" x14ac:dyDescent="0.25">
      <c r="A9" s="26" t="s">
        <v>165</v>
      </c>
      <c r="B9" s="200"/>
      <c r="C9" s="29" t="s">
        <v>556</v>
      </c>
      <c r="D9" s="28" t="s">
        <v>747</v>
      </c>
      <c r="E9" s="28" t="s">
        <v>748</v>
      </c>
      <c r="F9" s="28" t="s">
        <v>748</v>
      </c>
      <c r="G9" s="29" t="s">
        <v>749</v>
      </c>
      <c r="H9" s="91" t="s">
        <v>750</v>
      </c>
      <c r="I9" s="28" t="s">
        <v>749</v>
      </c>
      <c r="J9" s="28" t="s">
        <v>749</v>
      </c>
      <c r="K9" s="28" t="s">
        <v>751</v>
      </c>
      <c r="L9" s="28" t="s">
        <v>749</v>
      </c>
      <c r="M9" s="86" t="s">
        <v>752</v>
      </c>
      <c r="N9" s="28" t="s">
        <v>744</v>
      </c>
      <c r="O9" s="28" t="s">
        <v>744</v>
      </c>
      <c r="P9" s="28" t="s">
        <v>744</v>
      </c>
      <c r="Q9" s="28" t="s">
        <v>744</v>
      </c>
      <c r="R9" s="80" t="s">
        <v>341</v>
      </c>
      <c r="S9" s="28" t="s">
        <v>749</v>
      </c>
      <c r="T9" s="80" t="s">
        <v>341</v>
      </c>
      <c r="U9" s="80" t="s">
        <v>341</v>
      </c>
      <c r="V9" s="80" t="s">
        <v>341</v>
      </c>
      <c r="W9" s="80" t="s">
        <v>341</v>
      </c>
      <c r="X9" s="28" t="s">
        <v>556</v>
      </c>
      <c r="Y9" s="80" t="s">
        <v>341</v>
      </c>
      <c r="Z9" s="80" t="s">
        <v>341</v>
      </c>
      <c r="AA9" s="80" t="s">
        <v>341</v>
      </c>
      <c r="AB9" s="80" t="s">
        <v>341</v>
      </c>
      <c r="AC9" s="80" t="s">
        <v>341</v>
      </c>
      <c r="AD9" s="80" t="s">
        <v>341</v>
      </c>
      <c r="AE9" s="80" t="s">
        <v>341</v>
      </c>
      <c r="AF9" s="80" t="s">
        <v>341</v>
      </c>
      <c r="AG9" s="80" t="s">
        <v>341</v>
      </c>
      <c r="AH9" s="80" t="s">
        <v>341</v>
      </c>
      <c r="AJ9" s="28" t="s">
        <v>744</v>
      </c>
      <c r="AK9" s="86" t="s">
        <v>744</v>
      </c>
      <c r="AL9" s="28" t="s">
        <v>744</v>
      </c>
      <c r="AM9" s="80" t="s">
        <v>341</v>
      </c>
      <c r="AN9" s="28" t="s">
        <v>749</v>
      </c>
      <c r="AO9" s="80" t="s">
        <v>341</v>
      </c>
      <c r="AP9" s="80" t="s">
        <v>341</v>
      </c>
      <c r="AT9" s="26" t="s">
        <v>832</v>
      </c>
      <c r="AU9" s="26" t="s">
        <v>833</v>
      </c>
      <c r="AW9" s="26" t="s">
        <v>834</v>
      </c>
      <c r="AX9" s="26" t="s">
        <v>835</v>
      </c>
    </row>
    <row r="10" spans="1:51" x14ac:dyDescent="0.25">
      <c r="A10" s="131" t="s">
        <v>168</v>
      </c>
      <c r="B10" s="198"/>
      <c r="C10" s="157">
        <v>501</v>
      </c>
      <c r="D10" s="157">
        <v>502</v>
      </c>
      <c r="E10" s="157">
        <v>508</v>
      </c>
      <c r="F10" s="157">
        <v>508</v>
      </c>
      <c r="G10" s="157">
        <v>504</v>
      </c>
      <c r="H10" s="161">
        <v>550</v>
      </c>
      <c r="I10" s="157">
        <v>504</v>
      </c>
      <c r="J10" s="157">
        <v>504</v>
      </c>
      <c r="K10" s="157">
        <v>515</v>
      </c>
      <c r="L10" s="157">
        <v>504</v>
      </c>
      <c r="M10" s="161">
        <v>514</v>
      </c>
      <c r="N10" s="157">
        <v>503</v>
      </c>
      <c r="O10" s="157">
        <v>503</v>
      </c>
      <c r="P10" s="157">
        <v>503</v>
      </c>
      <c r="Q10" s="157">
        <v>503</v>
      </c>
      <c r="R10" s="198"/>
      <c r="S10" s="157">
        <v>504</v>
      </c>
      <c r="T10" s="198"/>
      <c r="U10" s="198"/>
      <c r="V10" s="198"/>
      <c r="W10" s="198"/>
      <c r="X10" s="157">
        <v>501</v>
      </c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J10" s="157">
        <v>503</v>
      </c>
      <c r="AK10" s="161">
        <v>503</v>
      </c>
      <c r="AL10" s="157">
        <v>503</v>
      </c>
      <c r="AM10" s="198"/>
      <c r="AN10" s="157">
        <v>504</v>
      </c>
      <c r="AO10" s="198"/>
      <c r="AP10" s="198"/>
      <c r="AT10" s="26" t="s">
        <v>836</v>
      </c>
    </row>
    <row r="11" spans="1:51" x14ac:dyDescent="0.25">
      <c r="A11" s="26" t="s">
        <v>753</v>
      </c>
      <c r="B11" s="199"/>
      <c r="C11" s="28" t="s">
        <v>173</v>
      </c>
      <c r="D11" s="28" t="s">
        <v>173</v>
      </c>
      <c r="E11" s="28" t="s">
        <v>173</v>
      </c>
      <c r="F11" s="28" t="s">
        <v>173</v>
      </c>
      <c r="G11" s="28" t="s">
        <v>173</v>
      </c>
      <c r="H11" s="86" t="s">
        <v>173</v>
      </c>
      <c r="I11" s="28" t="s">
        <v>173</v>
      </c>
      <c r="J11" s="28" t="s">
        <v>173</v>
      </c>
      <c r="K11" s="28" t="s">
        <v>173</v>
      </c>
      <c r="L11" s="28" t="s">
        <v>173</v>
      </c>
      <c r="M11" s="86" t="s">
        <v>173</v>
      </c>
      <c r="N11" s="28" t="s">
        <v>173</v>
      </c>
      <c r="O11" s="28" t="s">
        <v>173</v>
      </c>
      <c r="P11" s="28" t="s">
        <v>173</v>
      </c>
      <c r="Q11" s="28" t="s">
        <v>173</v>
      </c>
      <c r="R11" s="80" t="s">
        <v>173</v>
      </c>
      <c r="S11" s="28" t="s">
        <v>173</v>
      </c>
      <c r="T11" s="80" t="s">
        <v>173</v>
      </c>
      <c r="U11" s="80" t="s">
        <v>173</v>
      </c>
      <c r="V11" s="80" t="s">
        <v>173</v>
      </c>
      <c r="W11" s="80" t="s">
        <v>173</v>
      </c>
      <c r="X11" s="28" t="s">
        <v>173</v>
      </c>
      <c r="Y11" s="80" t="s">
        <v>173</v>
      </c>
      <c r="Z11" s="80" t="s">
        <v>173</v>
      </c>
      <c r="AA11" s="80" t="s">
        <v>173</v>
      </c>
      <c r="AB11" s="80" t="s">
        <v>173</v>
      </c>
      <c r="AC11" s="80" t="s">
        <v>173</v>
      </c>
      <c r="AD11" s="80" t="s">
        <v>173</v>
      </c>
      <c r="AE11" s="80" t="s">
        <v>173</v>
      </c>
      <c r="AF11" s="80" t="s">
        <v>173</v>
      </c>
      <c r="AG11" s="80" t="s">
        <v>173</v>
      </c>
      <c r="AH11" s="80" t="s">
        <v>173</v>
      </c>
      <c r="AJ11" s="28" t="s">
        <v>173</v>
      </c>
      <c r="AK11" s="86" t="s">
        <v>173</v>
      </c>
      <c r="AL11" s="28" t="s">
        <v>173</v>
      </c>
      <c r="AM11" s="80" t="s">
        <v>173</v>
      </c>
      <c r="AN11" s="28" t="s">
        <v>173</v>
      </c>
      <c r="AO11" s="80" t="s">
        <v>173</v>
      </c>
      <c r="AP11" s="80" t="s">
        <v>173</v>
      </c>
      <c r="AT11" s="26" t="s">
        <v>837</v>
      </c>
      <c r="AU11" s="26" t="s">
        <v>838</v>
      </c>
      <c r="AV11" s="26" t="s">
        <v>839</v>
      </c>
      <c r="AW11" s="26" t="s">
        <v>840</v>
      </c>
      <c r="AX11" s="26" t="s">
        <v>841</v>
      </c>
    </row>
    <row r="12" spans="1:51" x14ac:dyDescent="0.25">
      <c r="A12" s="26" t="s">
        <v>754</v>
      </c>
      <c r="B12" s="199"/>
      <c r="C12" s="28" t="s">
        <v>173</v>
      </c>
      <c r="D12" s="28" t="s">
        <v>173</v>
      </c>
      <c r="E12" s="28" t="s">
        <v>173</v>
      </c>
      <c r="F12" s="28" t="s">
        <v>173</v>
      </c>
      <c r="G12" s="28" t="s">
        <v>173</v>
      </c>
      <c r="H12" s="86" t="s">
        <v>173</v>
      </c>
      <c r="I12" s="28" t="s">
        <v>173</v>
      </c>
      <c r="J12" s="28" t="s">
        <v>173</v>
      </c>
      <c r="K12" s="28" t="s">
        <v>173</v>
      </c>
      <c r="L12" s="28" t="s">
        <v>173</v>
      </c>
      <c r="M12" s="86" t="s">
        <v>173</v>
      </c>
      <c r="N12" s="28" t="s">
        <v>173</v>
      </c>
      <c r="O12" s="28" t="s">
        <v>173</v>
      </c>
      <c r="P12" s="28" t="s">
        <v>173</v>
      </c>
      <c r="Q12" s="28" t="s">
        <v>173</v>
      </c>
      <c r="R12" s="80" t="s">
        <v>173</v>
      </c>
      <c r="S12" s="28" t="s">
        <v>173</v>
      </c>
      <c r="T12" s="80" t="s">
        <v>173</v>
      </c>
      <c r="U12" s="80" t="s">
        <v>173</v>
      </c>
      <c r="V12" s="80" t="s">
        <v>173</v>
      </c>
      <c r="W12" s="80" t="s">
        <v>173</v>
      </c>
      <c r="X12" s="28" t="s">
        <v>173</v>
      </c>
      <c r="Y12" s="80" t="s">
        <v>173</v>
      </c>
      <c r="Z12" s="80" t="s">
        <v>173</v>
      </c>
      <c r="AA12" s="80" t="s">
        <v>173</v>
      </c>
      <c r="AB12" s="80" t="s">
        <v>173</v>
      </c>
      <c r="AC12" s="80" t="s">
        <v>173</v>
      </c>
      <c r="AD12" s="80" t="s">
        <v>173</v>
      </c>
      <c r="AE12" s="80" t="s">
        <v>173</v>
      </c>
      <c r="AF12" s="80" t="s">
        <v>173</v>
      </c>
      <c r="AG12" s="80" t="s">
        <v>173</v>
      </c>
      <c r="AH12" s="80" t="s">
        <v>173</v>
      </c>
      <c r="AJ12" s="28" t="s">
        <v>173</v>
      </c>
      <c r="AK12" s="86" t="s">
        <v>173</v>
      </c>
      <c r="AL12" s="28" t="s">
        <v>173</v>
      </c>
      <c r="AM12" s="80" t="s">
        <v>173</v>
      </c>
      <c r="AN12" s="28" t="s">
        <v>173</v>
      </c>
      <c r="AO12" s="80" t="s">
        <v>173</v>
      </c>
      <c r="AP12" s="80" t="s">
        <v>173</v>
      </c>
      <c r="AT12" s="26" t="s">
        <v>842</v>
      </c>
      <c r="AX12" s="26" t="s">
        <v>843</v>
      </c>
      <c r="AY12" s="26" t="s">
        <v>844</v>
      </c>
    </row>
    <row r="13" spans="1:51" x14ac:dyDescent="0.25">
      <c r="A13" s="26" t="s">
        <v>755</v>
      </c>
      <c r="B13" s="199"/>
      <c r="C13" s="28" t="s">
        <v>170</v>
      </c>
      <c r="D13" s="28" t="s">
        <v>170</v>
      </c>
      <c r="E13" s="28" t="s">
        <v>170</v>
      </c>
      <c r="F13" s="28" t="s">
        <v>170</v>
      </c>
      <c r="G13" s="28" t="s">
        <v>170</v>
      </c>
      <c r="H13" s="86" t="s">
        <v>170</v>
      </c>
      <c r="I13" s="28" t="s">
        <v>170</v>
      </c>
      <c r="J13" s="28" t="s">
        <v>170</v>
      </c>
      <c r="K13" s="28" t="s">
        <v>170</v>
      </c>
      <c r="L13" s="28" t="s">
        <v>170</v>
      </c>
      <c r="M13" s="86" t="s">
        <v>170</v>
      </c>
      <c r="N13" s="28" t="s">
        <v>170</v>
      </c>
      <c r="O13" s="28" t="s">
        <v>170</v>
      </c>
      <c r="P13" s="28" t="s">
        <v>170</v>
      </c>
      <c r="Q13" s="28" t="s">
        <v>170</v>
      </c>
      <c r="R13" s="80" t="s">
        <v>173</v>
      </c>
      <c r="S13" s="28" t="s">
        <v>170</v>
      </c>
      <c r="T13" s="80" t="s">
        <v>173</v>
      </c>
      <c r="U13" s="80" t="s">
        <v>173</v>
      </c>
      <c r="V13" s="80" t="s">
        <v>173</v>
      </c>
      <c r="W13" s="80" t="s">
        <v>173</v>
      </c>
      <c r="X13" s="28" t="s">
        <v>170</v>
      </c>
      <c r="Y13" s="80" t="s">
        <v>173</v>
      </c>
      <c r="Z13" s="80" t="s">
        <v>173</v>
      </c>
      <c r="AA13" s="80" t="s">
        <v>173</v>
      </c>
      <c r="AB13" s="80" t="s">
        <v>173</v>
      </c>
      <c r="AC13" s="80" t="s">
        <v>173</v>
      </c>
      <c r="AD13" s="80" t="s">
        <v>173</v>
      </c>
      <c r="AE13" s="80" t="s">
        <v>173</v>
      </c>
      <c r="AF13" s="80" t="s">
        <v>173</v>
      </c>
      <c r="AG13" s="80" t="s">
        <v>173</v>
      </c>
      <c r="AH13" s="80" t="s">
        <v>173</v>
      </c>
      <c r="AJ13" s="28" t="s">
        <v>170</v>
      </c>
      <c r="AK13" s="86" t="s">
        <v>170</v>
      </c>
      <c r="AL13" s="28" t="s">
        <v>170</v>
      </c>
      <c r="AM13" s="80" t="s">
        <v>173</v>
      </c>
      <c r="AN13" s="28" t="s">
        <v>170</v>
      </c>
      <c r="AO13" s="80" t="s">
        <v>173</v>
      </c>
      <c r="AP13" s="80" t="s">
        <v>173</v>
      </c>
      <c r="AT13" s="26" t="s">
        <v>845</v>
      </c>
      <c r="AU13" s="26" t="s">
        <v>846</v>
      </c>
      <c r="AV13" s="26" t="s">
        <v>847</v>
      </c>
      <c r="AW13" s="26" t="s">
        <v>848</v>
      </c>
    </row>
    <row r="14" spans="1:51" x14ac:dyDescent="0.25">
      <c r="A14" s="26" t="s">
        <v>756</v>
      </c>
      <c r="B14" s="199"/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86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86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80" t="s">
        <v>173</v>
      </c>
      <c r="S14" s="28" t="s">
        <v>173</v>
      </c>
      <c r="T14" s="80" t="s">
        <v>173</v>
      </c>
      <c r="U14" s="80" t="s">
        <v>173</v>
      </c>
      <c r="V14" s="80" t="s">
        <v>173</v>
      </c>
      <c r="W14" s="80" t="s">
        <v>173</v>
      </c>
      <c r="X14" s="28" t="s">
        <v>173</v>
      </c>
      <c r="Y14" s="80" t="s">
        <v>173</v>
      </c>
      <c r="Z14" s="80" t="s">
        <v>173</v>
      </c>
      <c r="AA14" s="80" t="s">
        <v>173</v>
      </c>
      <c r="AB14" s="80" t="s">
        <v>173</v>
      </c>
      <c r="AC14" s="80" t="s">
        <v>173</v>
      </c>
      <c r="AD14" s="80" t="s">
        <v>173</v>
      </c>
      <c r="AE14" s="80" t="s">
        <v>173</v>
      </c>
      <c r="AF14" s="80" t="s">
        <v>173</v>
      </c>
      <c r="AG14" s="80" t="s">
        <v>173</v>
      </c>
      <c r="AH14" s="80" t="s">
        <v>173</v>
      </c>
      <c r="AJ14" s="28" t="s">
        <v>173</v>
      </c>
      <c r="AK14" s="86" t="s">
        <v>173</v>
      </c>
      <c r="AL14" s="28" t="s">
        <v>173</v>
      </c>
      <c r="AM14" s="80" t="s">
        <v>173</v>
      </c>
      <c r="AN14" s="28" t="s">
        <v>173</v>
      </c>
      <c r="AO14" s="80" t="s">
        <v>173</v>
      </c>
      <c r="AP14" s="80" t="s">
        <v>173</v>
      </c>
      <c r="AT14" s="26" t="s">
        <v>849</v>
      </c>
      <c r="AW14" s="26" t="s">
        <v>850</v>
      </c>
    </row>
    <row r="15" spans="1:51" x14ac:dyDescent="0.25">
      <c r="A15" s="26" t="s">
        <v>757</v>
      </c>
      <c r="B15" s="199"/>
      <c r="C15" s="28" t="s">
        <v>173</v>
      </c>
      <c r="D15" s="28" t="s">
        <v>173</v>
      </c>
      <c r="E15" s="28" t="s">
        <v>173</v>
      </c>
      <c r="F15" s="28" t="s">
        <v>173</v>
      </c>
      <c r="G15" s="28" t="s">
        <v>173</v>
      </c>
      <c r="H15" s="86" t="s">
        <v>173</v>
      </c>
      <c r="I15" s="28" t="s">
        <v>173</v>
      </c>
      <c r="J15" s="28" t="s">
        <v>173</v>
      </c>
      <c r="K15" s="28" t="s">
        <v>173</v>
      </c>
      <c r="L15" s="28" t="s">
        <v>173</v>
      </c>
      <c r="M15" s="86" t="s">
        <v>173</v>
      </c>
      <c r="N15" s="28" t="s">
        <v>173</v>
      </c>
      <c r="O15" s="28" t="s">
        <v>173</v>
      </c>
      <c r="P15" s="28" t="s">
        <v>173</v>
      </c>
      <c r="Q15" s="28" t="s">
        <v>173</v>
      </c>
      <c r="R15" s="80" t="s">
        <v>173</v>
      </c>
      <c r="S15" s="28" t="s">
        <v>173</v>
      </c>
      <c r="T15" s="80" t="s">
        <v>173</v>
      </c>
      <c r="U15" s="80" t="s">
        <v>173</v>
      </c>
      <c r="V15" s="80" t="s">
        <v>173</v>
      </c>
      <c r="W15" s="80" t="s">
        <v>173</v>
      </c>
      <c r="X15" s="28" t="s">
        <v>173</v>
      </c>
      <c r="Y15" s="80" t="s">
        <v>173</v>
      </c>
      <c r="Z15" s="80" t="s">
        <v>173</v>
      </c>
      <c r="AA15" s="80" t="s">
        <v>173</v>
      </c>
      <c r="AB15" s="80" t="s">
        <v>173</v>
      </c>
      <c r="AC15" s="80" t="s">
        <v>173</v>
      </c>
      <c r="AD15" s="80" t="s">
        <v>173</v>
      </c>
      <c r="AE15" s="80" t="s">
        <v>173</v>
      </c>
      <c r="AF15" s="80" t="s">
        <v>173</v>
      </c>
      <c r="AG15" s="80" t="s">
        <v>173</v>
      </c>
      <c r="AH15" s="80" t="s">
        <v>173</v>
      </c>
      <c r="AJ15" s="28" t="s">
        <v>173</v>
      </c>
      <c r="AK15" s="86" t="s">
        <v>173</v>
      </c>
      <c r="AL15" s="28" t="s">
        <v>173</v>
      </c>
      <c r="AM15" s="80" t="s">
        <v>173</v>
      </c>
      <c r="AN15" s="28" t="s">
        <v>173</v>
      </c>
      <c r="AO15" s="80" t="s">
        <v>173</v>
      </c>
      <c r="AP15" s="80" t="s">
        <v>173</v>
      </c>
      <c r="AT15" s="26" t="s">
        <v>851</v>
      </c>
      <c r="AU15" s="26" t="s">
        <v>852</v>
      </c>
      <c r="AV15" s="26" t="s">
        <v>853</v>
      </c>
    </row>
    <row r="16" spans="1:51" x14ac:dyDescent="0.25">
      <c r="A16" s="26" t="s">
        <v>758</v>
      </c>
      <c r="B16" s="199"/>
      <c r="C16" s="28" t="s">
        <v>173</v>
      </c>
      <c r="D16" s="28" t="s">
        <v>173</v>
      </c>
      <c r="E16" s="28" t="s">
        <v>173</v>
      </c>
      <c r="F16" s="28" t="s">
        <v>173</v>
      </c>
      <c r="G16" s="28" t="s">
        <v>173</v>
      </c>
      <c r="H16" s="28" t="s">
        <v>173</v>
      </c>
      <c r="I16" s="28" t="s">
        <v>173</v>
      </c>
      <c r="J16" s="28" t="s">
        <v>173</v>
      </c>
      <c r="K16" s="28" t="s">
        <v>173</v>
      </c>
      <c r="L16" s="28" t="s">
        <v>173</v>
      </c>
      <c r="M16" s="86" t="s">
        <v>173</v>
      </c>
      <c r="N16" s="28" t="s">
        <v>173</v>
      </c>
      <c r="O16" s="28" t="s">
        <v>173</v>
      </c>
      <c r="P16" s="28" t="s">
        <v>173</v>
      </c>
      <c r="Q16" s="28" t="s">
        <v>173</v>
      </c>
      <c r="R16" s="80" t="s">
        <v>173</v>
      </c>
      <c r="S16" s="28" t="s">
        <v>173</v>
      </c>
      <c r="T16" s="80" t="s">
        <v>173</v>
      </c>
      <c r="U16" s="80" t="s">
        <v>173</v>
      </c>
      <c r="V16" s="80" t="s">
        <v>173</v>
      </c>
      <c r="W16" s="80" t="s">
        <v>173</v>
      </c>
      <c r="X16" s="28" t="s">
        <v>173</v>
      </c>
      <c r="Y16" s="80" t="s">
        <v>173</v>
      </c>
      <c r="Z16" s="80" t="s">
        <v>173</v>
      </c>
      <c r="AA16" s="80" t="s">
        <v>173</v>
      </c>
      <c r="AB16" s="80" t="s">
        <v>173</v>
      </c>
      <c r="AC16" s="80" t="s">
        <v>173</v>
      </c>
      <c r="AD16" s="80" t="s">
        <v>173</v>
      </c>
      <c r="AE16" s="80" t="s">
        <v>173</v>
      </c>
      <c r="AF16" s="80" t="s">
        <v>173</v>
      </c>
      <c r="AG16" s="80" t="s">
        <v>173</v>
      </c>
      <c r="AH16" s="80" t="s">
        <v>173</v>
      </c>
      <c r="AJ16" s="28" t="s">
        <v>173</v>
      </c>
      <c r="AK16" s="86" t="s">
        <v>173</v>
      </c>
      <c r="AL16" s="28" t="s">
        <v>173</v>
      </c>
      <c r="AM16" s="80" t="s">
        <v>173</v>
      </c>
      <c r="AN16" s="28" t="s">
        <v>173</v>
      </c>
      <c r="AO16" s="80" t="s">
        <v>173</v>
      </c>
      <c r="AP16" s="80" t="s">
        <v>173</v>
      </c>
      <c r="AT16" s="26" t="s">
        <v>854</v>
      </c>
      <c r="AW16" s="26" t="s">
        <v>855</v>
      </c>
    </row>
    <row r="17" spans="1:51" x14ac:dyDescent="0.25">
      <c r="A17" s="26" t="s">
        <v>759</v>
      </c>
      <c r="B17" s="201"/>
      <c r="C17" s="30" t="s">
        <v>760</v>
      </c>
      <c r="D17" s="30" t="s">
        <v>760</v>
      </c>
      <c r="E17" s="28" t="s">
        <v>760</v>
      </c>
      <c r="F17" s="28" t="s">
        <v>760</v>
      </c>
      <c r="G17" s="30" t="s">
        <v>760</v>
      </c>
      <c r="H17" s="92" t="s">
        <v>760</v>
      </c>
      <c r="I17" s="30" t="s">
        <v>760</v>
      </c>
      <c r="J17" s="30" t="s">
        <v>760</v>
      </c>
      <c r="K17" s="30" t="s">
        <v>760</v>
      </c>
      <c r="L17" s="30" t="s">
        <v>760</v>
      </c>
      <c r="M17" s="92" t="s">
        <v>760</v>
      </c>
      <c r="N17" s="30"/>
      <c r="O17" s="30" t="s">
        <v>760</v>
      </c>
      <c r="P17" s="30" t="s">
        <v>761</v>
      </c>
      <c r="Q17" s="30" t="s">
        <v>761</v>
      </c>
      <c r="R17" s="80" t="s">
        <v>341</v>
      </c>
      <c r="S17" s="30" t="s">
        <v>760</v>
      </c>
      <c r="T17" s="80" t="s">
        <v>341</v>
      </c>
      <c r="U17" s="80" t="s">
        <v>341</v>
      </c>
      <c r="V17" s="80" t="s">
        <v>341</v>
      </c>
      <c r="W17" s="80" t="s">
        <v>341</v>
      </c>
      <c r="X17" s="28" t="s">
        <v>760</v>
      </c>
      <c r="Y17" s="80" t="s">
        <v>341</v>
      </c>
      <c r="Z17" s="80" t="s">
        <v>341</v>
      </c>
      <c r="AA17" s="80" t="s">
        <v>341</v>
      </c>
      <c r="AB17" s="80" t="s">
        <v>341</v>
      </c>
      <c r="AC17" s="80" t="s">
        <v>341</v>
      </c>
      <c r="AD17" s="80" t="s">
        <v>341</v>
      </c>
      <c r="AE17" s="80" t="s">
        <v>341</v>
      </c>
      <c r="AF17" s="80" t="s">
        <v>341</v>
      </c>
      <c r="AG17" s="80" t="s">
        <v>341</v>
      </c>
      <c r="AH17" s="80" t="s">
        <v>341</v>
      </c>
      <c r="AJ17" s="30"/>
      <c r="AK17" s="92" t="s">
        <v>761</v>
      </c>
      <c r="AL17" s="30" t="s">
        <v>761</v>
      </c>
      <c r="AM17" s="80" t="s">
        <v>341</v>
      </c>
      <c r="AN17" s="30" t="s">
        <v>760</v>
      </c>
      <c r="AO17" s="80" t="s">
        <v>341</v>
      </c>
      <c r="AP17" s="80" t="s">
        <v>341</v>
      </c>
      <c r="AT17" s="26" t="s">
        <v>856</v>
      </c>
    </row>
    <row r="18" spans="1:51" x14ac:dyDescent="0.25">
      <c r="A18" s="26" t="s">
        <v>762</v>
      </c>
      <c r="B18" s="201"/>
      <c r="C18" s="28" t="s">
        <v>763</v>
      </c>
      <c r="D18" s="28" t="s">
        <v>763</v>
      </c>
      <c r="E18" s="28" t="s">
        <v>763</v>
      </c>
      <c r="F18" s="28" t="s">
        <v>763</v>
      </c>
      <c r="G18" s="30" t="s">
        <v>764</v>
      </c>
      <c r="H18" s="92" t="s">
        <v>764</v>
      </c>
      <c r="I18" s="30" t="s">
        <v>764</v>
      </c>
      <c r="J18" s="30" t="s">
        <v>764</v>
      </c>
      <c r="K18" s="30" t="s">
        <v>764</v>
      </c>
      <c r="L18" s="30" t="s">
        <v>764</v>
      </c>
      <c r="M18" s="92" t="s">
        <v>764</v>
      </c>
      <c r="N18" s="28" t="s">
        <v>764</v>
      </c>
      <c r="O18" s="28" t="s">
        <v>764</v>
      </c>
      <c r="P18" s="28" t="s">
        <v>764</v>
      </c>
      <c r="Q18" s="28" t="s">
        <v>764</v>
      </c>
      <c r="R18" s="82" t="s">
        <v>764</v>
      </c>
      <c r="S18" s="30" t="s">
        <v>764</v>
      </c>
      <c r="T18" s="82" t="s">
        <v>764</v>
      </c>
      <c r="U18" s="82" t="s">
        <v>764</v>
      </c>
      <c r="V18" s="82" t="s">
        <v>764</v>
      </c>
      <c r="W18" s="82" t="s">
        <v>764</v>
      </c>
      <c r="X18" s="28" t="s">
        <v>763</v>
      </c>
      <c r="Y18" s="82" t="s">
        <v>764</v>
      </c>
      <c r="Z18" s="82" t="s">
        <v>764</v>
      </c>
      <c r="AA18" s="82" t="s">
        <v>764</v>
      </c>
      <c r="AB18" s="82" t="s">
        <v>764</v>
      </c>
      <c r="AC18" s="82" t="s">
        <v>764</v>
      </c>
      <c r="AD18" s="82" t="s">
        <v>764</v>
      </c>
      <c r="AE18" s="82" t="s">
        <v>764</v>
      </c>
      <c r="AF18" s="82" t="s">
        <v>764</v>
      </c>
      <c r="AG18" s="82" t="s">
        <v>764</v>
      </c>
      <c r="AH18" s="82" t="s">
        <v>764</v>
      </c>
      <c r="AJ18" s="28" t="s">
        <v>764</v>
      </c>
      <c r="AK18" s="86" t="s">
        <v>764</v>
      </c>
      <c r="AL18" s="28" t="s">
        <v>764</v>
      </c>
      <c r="AM18" s="82" t="s">
        <v>764</v>
      </c>
      <c r="AN18" s="30" t="s">
        <v>764</v>
      </c>
      <c r="AO18" s="82" t="s">
        <v>764</v>
      </c>
      <c r="AP18" s="82" t="s">
        <v>764</v>
      </c>
      <c r="AT18" s="26" t="s">
        <v>857</v>
      </c>
      <c r="AU18" s="26" t="s">
        <v>858</v>
      </c>
      <c r="AV18" s="26" t="s">
        <v>859</v>
      </c>
      <c r="AW18" s="26" t="s">
        <v>860</v>
      </c>
      <c r="AX18" s="26" t="s">
        <v>861</v>
      </c>
    </row>
    <row r="19" spans="1:51" x14ac:dyDescent="0.25">
      <c r="A19" s="26" t="s">
        <v>765</v>
      </c>
      <c r="B19" s="199"/>
      <c r="C19" s="30">
        <v>6</v>
      </c>
      <c r="D19" s="30">
        <v>5</v>
      </c>
      <c r="E19" s="30">
        <v>5</v>
      </c>
      <c r="F19" s="30">
        <v>5</v>
      </c>
      <c r="G19" s="30">
        <v>3</v>
      </c>
      <c r="H19" s="30">
        <f>AVERAGE(3,2)</f>
        <v>2.5</v>
      </c>
      <c r="I19" s="120">
        <v>3</v>
      </c>
      <c r="J19" s="120">
        <v>3</v>
      </c>
      <c r="K19" s="120">
        <v>2</v>
      </c>
      <c r="L19" s="120">
        <v>3</v>
      </c>
      <c r="M19" s="120">
        <v>3</v>
      </c>
      <c r="N19" s="120">
        <v>4</v>
      </c>
      <c r="O19" s="120">
        <v>4</v>
      </c>
      <c r="P19" s="120">
        <v>4</v>
      </c>
      <c r="Q19" s="120">
        <v>4</v>
      </c>
      <c r="R19" s="81">
        <v>3</v>
      </c>
      <c r="S19" s="120">
        <v>3</v>
      </c>
      <c r="T19" s="81">
        <v>3</v>
      </c>
      <c r="U19" s="81">
        <v>3</v>
      </c>
      <c r="V19" s="81">
        <v>3</v>
      </c>
      <c r="W19" s="81">
        <v>3</v>
      </c>
      <c r="X19" s="120">
        <v>6</v>
      </c>
      <c r="Y19" s="81">
        <v>3</v>
      </c>
      <c r="Z19" s="81">
        <v>3</v>
      </c>
      <c r="AA19" s="81">
        <v>3</v>
      </c>
      <c r="AB19" s="81">
        <v>3</v>
      </c>
      <c r="AC19" s="81">
        <v>3</v>
      </c>
      <c r="AD19" s="81">
        <v>3</v>
      </c>
      <c r="AE19" s="81">
        <v>3</v>
      </c>
      <c r="AF19" s="81">
        <v>3</v>
      </c>
      <c r="AG19" s="81">
        <v>3</v>
      </c>
      <c r="AH19" s="81">
        <v>3</v>
      </c>
      <c r="AJ19" s="120">
        <v>4</v>
      </c>
      <c r="AK19" s="205">
        <v>4</v>
      </c>
      <c r="AL19" s="30">
        <v>4</v>
      </c>
      <c r="AM19" s="80">
        <v>3</v>
      </c>
      <c r="AN19" s="30">
        <v>3</v>
      </c>
      <c r="AO19" s="80">
        <v>3</v>
      </c>
      <c r="AP19" s="80">
        <v>3</v>
      </c>
      <c r="AT19" s="26" t="s">
        <v>862</v>
      </c>
      <c r="AU19" s="26" t="s">
        <v>863</v>
      </c>
      <c r="AV19" s="26" t="s">
        <v>864</v>
      </c>
      <c r="AW19" s="26" t="s">
        <v>865</v>
      </c>
    </row>
    <row r="20" spans="1:51" x14ac:dyDescent="0.25">
      <c r="A20" s="26" t="s">
        <v>766</v>
      </c>
      <c r="B20" s="199"/>
      <c r="C20" s="28" t="s">
        <v>767</v>
      </c>
      <c r="D20" s="28" t="s">
        <v>767</v>
      </c>
      <c r="E20" s="28" t="s">
        <v>767</v>
      </c>
      <c r="F20" s="28" t="s">
        <v>767</v>
      </c>
      <c r="G20" s="28" t="s">
        <v>767</v>
      </c>
      <c r="H20" s="28" t="s">
        <v>767</v>
      </c>
      <c r="I20" s="28" t="s">
        <v>767</v>
      </c>
      <c r="J20" s="28" t="s">
        <v>767</v>
      </c>
      <c r="K20" s="28" t="s">
        <v>768</v>
      </c>
      <c r="L20" s="28" t="s">
        <v>767</v>
      </c>
      <c r="M20" s="28" t="s">
        <v>768</v>
      </c>
      <c r="N20" s="28" t="s">
        <v>767</v>
      </c>
      <c r="O20" s="28" t="s">
        <v>767</v>
      </c>
      <c r="P20" s="28" t="s">
        <v>767</v>
      </c>
      <c r="Q20" s="28" t="s">
        <v>767</v>
      </c>
      <c r="R20" s="80" t="s">
        <v>768</v>
      </c>
      <c r="S20" s="28" t="s">
        <v>767</v>
      </c>
      <c r="T20" s="80" t="s">
        <v>768</v>
      </c>
      <c r="U20" s="80" t="s">
        <v>768</v>
      </c>
      <c r="V20" s="80" t="s">
        <v>768</v>
      </c>
      <c r="W20" s="80" t="s">
        <v>768</v>
      </c>
      <c r="X20" s="28" t="s">
        <v>767</v>
      </c>
      <c r="Y20" s="80" t="s">
        <v>768</v>
      </c>
      <c r="Z20" s="80" t="s">
        <v>768</v>
      </c>
      <c r="AA20" s="80" t="s">
        <v>768</v>
      </c>
      <c r="AB20" s="80" t="s">
        <v>768</v>
      </c>
      <c r="AC20" s="80" t="s">
        <v>768</v>
      </c>
      <c r="AD20" s="80" t="s">
        <v>768</v>
      </c>
      <c r="AE20" s="80" t="s">
        <v>768</v>
      </c>
      <c r="AF20" s="80" t="s">
        <v>768</v>
      </c>
      <c r="AG20" s="80" t="s">
        <v>768</v>
      </c>
      <c r="AH20" s="80" t="s">
        <v>768</v>
      </c>
      <c r="AJ20" s="28" t="s">
        <v>767</v>
      </c>
      <c r="AK20" s="28" t="s">
        <v>767</v>
      </c>
      <c r="AL20" s="29" t="s">
        <v>767</v>
      </c>
      <c r="AM20" s="81" t="s">
        <v>768</v>
      </c>
      <c r="AN20" s="29" t="s">
        <v>767</v>
      </c>
      <c r="AO20" s="81" t="s">
        <v>768</v>
      </c>
      <c r="AP20" s="81" t="s">
        <v>768</v>
      </c>
      <c r="AT20" s="26" t="s">
        <v>866</v>
      </c>
      <c r="AV20" s="26" t="s">
        <v>867</v>
      </c>
      <c r="AX20" s="26" t="s">
        <v>868</v>
      </c>
    </row>
    <row r="21" spans="1:51" x14ac:dyDescent="0.25">
      <c r="A21" s="26" t="s">
        <v>769</v>
      </c>
      <c r="B21" s="201"/>
      <c r="C21" s="30">
        <v>1</v>
      </c>
      <c r="D21" s="30">
        <v>1</v>
      </c>
      <c r="E21" s="30">
        <v>0.5</v>
      </c>
      <c r="F21" s="30">
        <v>0.5</v>
      </c>
      <c r="G21" s="30">
        <v>1</v>
      </c>
      <c r="H21" s="30">
        <v>1</v>
      </c>
      <c r="I21" s="30">
        <v>1</v>
      </c>
      <c r="J21" s="30">
        <v>1</v>
      </c>
      <c r="K21" s="30">
        <v>0</v>
      </c>
      <c r="L21" s="30">
        <v>1</v>
      </c>
      <c r="M21" s="30">
        <v>0</v>
      </c>
      <c r="N21" s="30">
        <v>1</v>
      </c>
      <c r="O21" s="30">
        <v>1</v>
      </c>
      <c r="P21" s="30">
        <v>1</v>
      </c>
      <c r="Q21" s="30">
        <v>1</v>
      </c>
      <c r="R21" s="82">
        <v>0</v>
      </c>
      <c r="S21" s="30">
        <v>1</v>
      </c>
      <c r="T21" s="82">
        <v>0</v>
      </c>
      <c r="U21" s="82">
        <v>0</v>
      </c>
      <c r="V21" s="82">
        <v>0</v>
      </c>
      <c r="W21" s="82">
        <v>0</v>
      </c>
      <c r="X21" s="30">
        <v>1</v>
      </c>
      <c r="Y21" s="82">
        <v>0</v>
      </c>
      <c r="Z21" s="82">
        <v>0</v>
      </c>
      <c r="AA21" s="82">
        <v>0</v>
      </c>
      <c r="AB21" s="82">
        <v>0</v>
      </c>
      <c r="AC21" s="82">
        <v>0</v>
      </c>
      <c r="AD21" s="82">
        <v>0</v>
      </c>
      <c r="AE21" s="82">
        <v>0</v>
      </c>
      <c r="AF21" s="82">
        <v>0</v>
      </c>
      <c r="AG21" s="82">
        <v>0</v>
      </c>
      <c r="AH21" s="82">
        <v>0</v>
      </c>
      <c r="AJ21" s="30">
        <v>1</v>
      </c>
      <c r="AK21" s="30">
        <v>1</v>
      </c>
      <c r="AL21" s="30">
        <v>1</v>
      </c>
      <c r="AM21" s="82">
        <v>0</v>
      </c>
      <c r="AN21" s="30">
        <v>1</v>
      </c>
      <c r="AO21" s="82">
        <v>0</v>
      </c>
      <c r="AP21" s="82">
        <v>0</v>
      </c>
      <c r="AT21" s="26" t="s">
        <v>869</v>
      </c>
      <c r="AW21" s="26" t="s">
        <v>870</v>
      </c>
      <c r="AY21" s="26" t="s">
        <v>871</v>
      </c>
    </row>
    <row r="22" spans="1:51" x14ac:dyDescent="0.25">
      <c r="A22" s="31"/>
      <c r="AT22" s="26" t="s">
        <v>872</v>
      </c>
      <c r="AX22" s="26" t="s">
        <v>873</v>
      </c>
      <c r="AY22" s="26" t="s">
        <v>874</v>
      </c>
    </row>
    <row r="23" spans="1:51" x14ac:dyDescent="0.25">
      <c r="A23" s="26" t="s">
        <v>159</v>
      </c>
      <c r="B23" s="28" t="s">
        <v>414</v>
      </c>
      <c r="C23" s="28" t="s">
        <v>256</v>
      </c>
      <c r="D23" s="28" t="s">
        <v>256</v>
      </c>
      <c r="E23" s="28" t="s">
        <v>256</v>
      </c>
      <c r="F23" s="28" t="s">
        <v>256</v>
      </c>
      <c r="G23" s="28" t="s">
        <v>256</v>
      </c>
      <c r="H23" s="28" t="s">
        <v>256</v>
      </c>
      <c r="I23" s="28" t="s">
        <v>256</v>
      </c>
      <c r="J23" s="28" t="s">
        <v>256</v>
      </c>
      <c r="K23" s="28" t="s">
        <v>256</v>
      </c>
      <c r="L23" s="28" t="s">
        <v>256</v>
      </c>
      <c r="M23" s="28" t="s">
        <v>256</v>
      </c>
      <c r="N23" s="28" t="s">
        <v>256</v>
      </c>
      <c r="O23" s="28" t="s">
        <v>256</v>
      </c>
      <c r="P23" s="177" t="s">
        <v>341</v>
      </c>
      <c r="Q23" s="177" t="s">
        <v>341</v>
      </c>
      <c r="R23" s="86" t="s">
        <v>256</v>
      </c>
      <c r="S23" s="177" t="s">
        <v>341</v>
      </c>
      <c r="T23" s="28" t="s">
        <v>256</v>
      </c>
      <c r="U23" s="28" t="s">
        <v>256</v>
      </c>
      <c r="V23" s="28" t="s">
        <v>256</v>
      </c>
      <c r="W23" s="28" t="s">
        <v>256</v>
      </c>
      <c r="X23" s="83" t="s">
        <v>256</v>
      </c>
      <c r="Y23" s="28" t="s">
        <v>256</v>
      </c>
      <c r="Z23" s="28" t="s">
        <v>256</v>
      </c>
      <c r="AA23" s="28" t="s">
        <v>256</v>
      </c>
      <c r="AB23" s="28" t="s">
        <v>256</v>
      </c>
      <c r="AC23" s="28" t="s">
        <v>256</v>
      </c>
      <c r="AD23" s="28" t="s">
        <v>256</v>
      </c>
      <c r="AE23" s="28" t="s">
        <v>256</v>
      </c>
      <c r="AF23" s="28" t="s">
        <v>256</v>
      </c>
      <c r="AG23" s="28" t="s">
        <v>256</v>
      </c>
      <c r="AH23" s="83" t="s">
        <v>256</v>
      </c>
      <c r="AJ23" s="28" t="s">
        <v>256</v>
      </c>
      <c r="AK23" s="177" t="s">
        <v>341</v>
      </c>
      <c r="AL23" s="177" t="s">
        <v>341</v>
      </c>
      <c r="AM23" s="86" t="s">
        <v>256</v>
      </c>
      <c r="AN23" s="177" t="s">
        <v>341</v>
      </c>
      <c r="AO23" s="28" t="s">
        <v>256</v>
      </c>
      <c r="AP23" s="28" t="s">
        <v>256</v>
      </c>
    </row>
    <row r="24" spans="1:51" ht="15.75" customHeight="1" x14ac:dyDescent="0.25">
      <c r="A24" s="26" t="s">
        <v>165</v>
      </c>
      <c r="B24" s="29" t="s">
        <v>260</v>
      </c>
      <c r="C24" s="28" t="s">
        <v>283</v>
      </c>
      <c r="D24" s="29" t="s">
        <v>256</v>
      </c>
      <c r="E24" s="113" t="s">
        <v>417</v>
      </c>
      <c r="F24" s="28" t="s">
        <v>260</v>
      </c>
      <c r="G24" s="28" t="s">
        <v>260</v>
      </c>
      <c r="H24" s="28" t="s">
        <v>395</v>
      </c>
      <c r="I24" s="29" t="s">
        <v>256</v>
      </c>
      <c r="J24" s="28" t="s">
        <v>260</v>
      </c>
      <c r="K24" s="28" t="s">
        <v>260</v>
      </c>
      <c r="L24" s="28" t="s">
        <v>260</v>
      </c>
      <c r="M24" s="28" t="s">
        <v>260</v>
      </c>
      <c r="N24" s="28" t="s">
        <v>260</v>
      </c>
      <c r="O24" s="28" t="s">
        <v>260</v>
      </c>
      <c r="P24" s="178" t="s">
        <v>341</v>
      </c>
      <c r="Q24" s="178" t="s">
        <v>341</v>
      </c>
      <c r="R24" s="86" t="s">
        <v>261</v>
      </c>
      <c r="S24" s="178" t="s">
        <v>341</v>
      </c>
      <c r="T24" s="28" t="s">
        <v>770</v>
      </c>
      <c r="U24" s="28" t="s">
        <v>260</v>
      </c>
      <c r="V24" s="28" t="s">
        <v>283</v>
      </c>
      <c r="W24" s="28" t="s">
        <v>771</v>
      </c>
      <c r="X24" s="83" t="s">
        <v>260</v>
      </c>
      <c r="Y24" s="113" t="s">
        <v>416</v>
      </c>
      <c r="Z24" s="28" t="s">
        <v>256</v>
      </c>
      <c r="AA24" s="28" t="s">
        <v>256</v>
      </c>
      <c r="AB24" s="28" t="s">
        <v>256</v>
      </c>
      <c r="AC24" s="28" t="s">
        <v>283</v>
      </c>
      <c r="AD24" s="28" t="s">
        <v>256</v>
      </c>
      <c r="AE24" s="28" t="s">
        <v>772</v>
      </c>
      <c r="AF24" s="28" t="s">
        <v>260</v>
      </c>
      <c r="AG24" s="28" t="s">
        <v>261</v>
      </c>
      <c r="AH24" s="85" t="s">
        <v>261</v>
      </c>
      <c r="AJ24" s="28" t="s">
        <v>260</v>
      </c>
      <c r="AK24" s="178" t="s">
        <v>341</v>
      </c>
      <c r="AL24" s="178" t="s">
        <v>341</v>
      </c>
      <c r="AM24" s="180" t="s">
        <v>794</v>
      </c>
      <c r="AN24" s="178" t="s">
        <v>341</v>
      </c>
      <c r="AO24" s="28" t="s">
        <v>283</v>
      </c>
      <c r="AP24" s="28" t="s">
        <v>771</v>
      </c>
    </row>
    <row r="25" spans="1:51" x14ac:dyDescent="0.25">
      <c r="A25" s="131" t="s">
        <v>168</v>
      </c>
      <c r="B25" s="157">
        <v>52</v>
      </c>
      <c r="C25" s="157">
        <v>56</v>
      </c>
      <c r="D25" s="157">
        <v>50</v>
      </c>
      <c r="E25" s="157">
        <v>122</v>
      </c>
      <c r="F25" s="157">
        <v>52</v>
      </c>
      <c r="G25" s="157">
        <v>52</v>
      </c>
      <c r="H25" s="157">
        <v>68</v>
      </c>
      <c r="I25" s="157">
        <v>50</v>
      </c>
      <c r="J25" s="157">
        <v>52</v>
      </c>
      <c r="K25" s="157">
        <v>52</v>
      </c>
      <c r="L25" s="157">
        <v>52</v>
      </c>
      <c r="M25" s="157">
        <v>52</v>
      </c>
      <c r="N25" s="157">
        <v>52</v>
      </c>
      <c r="O25" s="157">
        <v>52</v>
      </c>
      <c r="P25" s="198"/>
      <c r="Q25" s="198"/>
      <c r="R25" s="161">
        <v>48</v>
      </c>
      <c r="S25" s="198"/>
      <c r="T25" s="157">
        <v>159</v>
      </c>
      <c r="U25" s="157">
        <v>52</v>
      </c>
      <c r="V25" s="157">
        <v>56</v>
      </c>
      <c r="W25" s="157">
        <v>103</v>
      </c>
      <c r="X25" s="158">
        <v>52</v>
      </c>
      <c r="Y25" s="157">
        <v>118</v>
      </c>
      <c r="Z25" s="157">
        <v>50</v>
      </c>
      <c r="AA25" s="157">
        <v>50</v>
      </c>
      <c r="AB25" s="157">
        <v>50</v>
      </c>
      <c r="AC25" s="157">
        <v>56</v>
      </c>
      <c r="AD25" s="157">
        <v>50</v>
      </c>
      <c r="AE25" s="157">
        <v>160</v>
      </c>
      <c r="AF25" s="157">
        <v>52</v>
      </c>
      <c r="AG25" s="157">
        <v>48</v>
      </c>
      <c r="AH25" s="158">
        <v>48</v>
      </c>
      <c r="AJ25" s="157">
        <v>52</v>
      </c>
      <c r="AK25" s="198"/>
      <c r="AL25" s="198"/>
      <c r="AM25" s="161">
        <v>162</v>
      </c>
      <c r="AN25" s="198"/>
      <c r="AO25" s="157">
        <v>56</v>
      </c>
      <c r="AP25" s="157">
        <v>103</v>
      </c>
    </row>
    <row r="26" spans="1:51" x14ac:dyDescent="0.25">
      <c r="A26" s="26" t="s">
        <v>169</v>
      </c>
      <c r="B26" s="29" t="s">
        <v>170</v>
      </c>
      <c r="C26" s="28" t="s">
        <v>170</v>
      </c>
      <c r="D26" s="28" t="s">
        <v>170</v>
      </c>
      <c r="E26" s="28" t="s">
        <v>170</v>
      </c>
      <c r="F26" s="28" t="s">
        <v>170</v>
      </c>
      <c r="G26" s="29" t="s">
        <v>170</v>
      </c>
      <c r="H26" s="29" t="s">
        <v>170</v>
      </c>
      <c r="I26" s="29" t="s">
        <v>170</v>
      </c>
      <c r="J26" s="28" t="s">
        <v>170</v>
      </c>
      <c r="K26" s="29" t="s">
        <v>170</v>
      </c>
      <c r="L26" s="29" t="s">
        <v>170</v>
      </c>
      <c r="M26" s="29" t="s">
        <v>170</v>
      </c>
      <c r="N26" s="28" t="s">
        <v>170</v>
      </c>
      <c r="O26" s="28" t="s">
        <v>170</v>
      </c>
      <c r="P26" s="80" t="s">
        <v>173</v>
      </c>
      <c r="Q26" s="80" t="s">
        <v>173</v>
      </c>
      <c r="R26" s="29" t="s">
        <v>170</v>
      </c>
      <c r="S26" s="80" t="s">
        <v>173</v>
      </c>
      <c r="T26" s="29" t="s">
        <v>170</v>
      </c>
      <c r="U26" s="29" t="s">
        <v>170</v>
      </c>
      <c r="V26" s="28" t="s">
        <v>170</v>
      </c>
      <c r="W26" s="28" t="s">
        <v>170</v>
      </c>
      <c r="X26" s="28" t="s">
        <v>170</v>
      </c>
      <c r="Y26" s="28" t="s">
        <v>170</v>
      </c>
      <c r="Z26" s="28" t="s">
        <v>170</v>
      </c>
      <c r="AA26" s="28" t="s">
        <v>170</v>
      </c>
      <c r="AB26" s="28" t="s">
        <v>170</v>
      </c>
      <c r="AC26" s="28" t="s">
        <v>170</v>
      </c>
      <c r="AD26" s="28" t="s">
        <v>170</v>
      </c>
      <c r="AE26" s="28" t="s">
        <v>170</v>
      </c>
      <c r="AF26" s="28" t="s">
        <v>170</v>
      </c>
      <c r="AG26" s="28" t="s">
        <v>170</v>
      </c>
      <c r="AH26" s="85" t="s">
        <v>170</v>
      </c>
      <c r="AJ26" s="28" t="s">
        <v>170</v>
      </c>
      <c r="AK26" s="80" t="s">
        <v>173</v>
      </c>
      <c r="AL26" s="80" t="s">
        <v>173</v>
      </c>
      <c r="AM26" s="29" t="s">
        <v>170</v>
      </c>
      <c r="AN26" s="80" t="s">
        <v>173</v>
      </c>
      <c r="AO26" s="28" t="s">
        <v>170</v>
      </c>
      <c r="AP26" s="28" t="s">
        <v>170</v>
      </c>
    </row>
    <row r="27" spans="1:51" x14ac:dyDescent="0.25">
      <c r="A27" s="26" t="s">
        <v>171</v>
      </c>
      <c r="B27" s="28" t="s">
        <v>173</v>
      </c>
      <c r="C27" s="28" t="s">
        <v>173</v>
      </c>
      <c r="D27" s="28" t="s">
        <v>173</v>
      </c>
      <c r="E27" s="28" t="s">
        <v>173</v>
      </c>
      <c r="F27" s="28" t="s">
        <v>173</v>
      </c>
      <c r="G27" s="28" t="s">
        <v>173</v>
      </c>
      <c r="H27" s="29" t="s">
        <v>170</v>
      </c>
      <c r="I27" s="28" t="s">
        <v>173</v>
      </c>
      <c r="J27" s="28" t="s">
        <v>173</v>
      </c>
      <c r="K27" s="28" t="s">
        <v>173</v>
      </c>
      <c r="L27" s="28" t="s">
        <v>173</v>
      </c>
      <c r="M27" s="28" t="s">
        <v>173</v>
      </c>
      <c r="N27" s="28" t="s">
        <v>173</v>
      </c>
      <c r="O27" s="28" t="s">
        <v>173</v>
      </c>
      <c r="P27" s="80" t="s">
        <v>173</v>
      </c>
      <c r="Q27" s="80" t="s">
        <v>173</v>
      </c>
      <c r="R27" s="28" t="s">
        <v>173</v>
      </c>
      <c r="S27" s="80" t="s">
        <v>173</v>
      </c>
      <c r="T27" s="28" t="s">
        <v>173</v>
      </c>
      <c r="U27" s="28" t="s">
        <v>173</v>
      </c>
      <c r="V27" s="28" t="s">
        <v>173</v>
      </c>
      <c r="W27" s="28" t="s">
        <v>173</v>
      </c>
      <c r="X27" s="29" t="s">
        <v>173</v>
      </c>
      <c r="Y27" s="29" t="s">
        <v>173</v>
      </c>
      <c r="Z27" s="28" t="s">
        <v>173</v>
      </c>
      <c r="AA27" s="28" t="s">
        <v>173</v>
      </c>
      <c r="AB27" s="28" t="s">
        <v>173</v>
      </c>
      <c r="AC27" s="28" t="s">
        <v>173</v>
      </c>
      <c r="AD27" s="28" t="s">
        <v>173</v>
      </c>
      <c r="AE27" s="28" t="s">
        <v>173</v>
      </c>
      <c r="AF27" s="28" t="s">
        <v>173</v>
      </c>
      <c r="AG27" s="28" t="s">
        <v>173</v>
      </c>
      <c r="AH27" s="83" t="s">
        <v>173</v>
      </c>
      <c r="AJ27" s="28" t="s">
        <v>173</v>
      </c>
      <c r="AK27" s="80" t="s">
        <v>173</v>
      </c>
      <c r="AL27" s="80" t="s">
        <v>173</v>
      </c>
      <c r="AM27" s="87" t="s">
        <v>173</v>
      </c>
      <c r="AN27" s="80" t="s">
        <v>173</v>
      </c>
      <c r="AO27" s="28" t="s">
        <v>173</v>
      </c>
      <c r="AP27" s="28" t="s">
        <v>173</v>
      </c>
    </row>
    <row r="28" spans="1:51" x14ac:dyDescent="0.25">
      <c r="A28" s="26" t="s">
        <v>172</v>
      </c>
      <c r="B28" s="28" t="s">
        <v>170</v>
      </c>
      <c r="C28" s="28" t="s">
        <v>170</v>
      </c>
      <c r="D28" s="28" t="s">
        <v>170</v>
      </c>
      <c r="E28" s="28" t="s">
        <v>170</v>
      </c>
      <c r="F28" s="28" t="s">
        <v>170</v>
      </c>
      <c r="G28" s="28" t="s">
        <v>170</v>
      </c>
      <c r="H28" s="28" t="s">
        <v>173</v>
      </c>
      <c r="I28" s="28" t="s">
        <v>170</v>
      </c>
      <c r="J28" s="28" t="s">
        <v>170</v>
      </c>
      <c r="K28" s="28" t="s">
        <v>170</v>
      </c>
      <c r="L28" s="28" t="s">
        <v>170</v>
      </c>
      <c r="M28" s="28" t="s">
        <v>170</v>
      </c>
      <c r="N28" s="28" t="s">
        <v>170</v>
      </c>
      <c r="O28" s="28" t="s">
        <v>170</v>
      </c>
      <c r="P28" s="80" t="s">
        <v>173</v>
      </c>
      <c r="Q28" s="80" t="s">
        <v>173</v>
      </c>
      <c r="R28" s="28" t="s">
        <v>170</v>
      </c>
      <c r="S28" s="80" t="s">
        <v>173</v>
      </c>
      <c r="T28" s="28" t="s">
        <v>170</v>
      </c>
      <c r="U28" s="28" t="s">
        <v>170</v>
      </c>
      <c r="V28" s="28" t="s">
        <v>170</v>
      </c>
      <c r="W28" s="28" t="s">
        <v>170</v>
      </c>
      <c r="X28" s="28" t="s">
        <v>170</v>
      </c>
      <c r="Y28" s="28" t="s">
        <v>170</v>
      </c>
      <c r="Z28" s="28" t="s">
        <v>170</v>
      </c>
      <c r="AA28" s="28" t="s">
        <v>170</v>
      </c>
      <c r="AB28" s="28" t="s">
        <v>170</v>
      </c>
      <c r="AC28" s="28" t="s">
        <v>170</v>
      </c>
      <c r="AD28" s="28" t="s">
        <v>170</v>
      </c>
      <c r="AE28" s="28" t="s">
        <v>170</v>
      </c>
      <c r="AF28" s="28" t="s">
        <v>170</v>
      </c>
      <c r="AG28" s="28" t="s">
        <v>170</v>
      </c>
      <c r="AH28" s="83" t="s">
        <v>170</v>
      </c>
      <c r="AJ28" s="28" t="s">
        <v>170</v>
      </c>
      <c r="AK28" s="80" t="s">
        <v>173</v>
      </c>
      <c r="AL28" s="80" t="s">
        <v>173</v>
      </c>
      <c r="AM28" s="181" t="s">
        <v>355</v>
      </c>
      <c r="AN28" s="80" t="s">
        <v>173</v>
      </c>
      <c r="AO28" s="28" t="s">
        <v>170</v>
      </c>
      <c r="AP28" s="28" t="s">
        <v>170</v>
      </c>
    </row>
    <row r="29" spans="1:51" x14ac:dyDescent="0.25">
      <c r="A29" s="26" t="s">
        <v>174</v>
      </c>
      <c r="B29" s="28" t="s">
        <v>173</v>
      </c>
      <c r="C29" s="28" t="s">
        <v>173</v>
      </c>
      <c r="D29" s="28" t="s">
        <v>173</v>
      </c>
      <c r="E29" s="28" t="s">
        <v>173</v>
      </c>
      <c r="F29" s="28" t="s">
        <v>173</v>
      </c>
      <c r="G29" s="28" t="s">
        <v>173</v>
      </c>
      <c r="H29" s="28" t="s">
        <v>173</v>
      </c>
      <c r="I29" s="28" t="s">
        <v>173</v>
      </c>
      <c r="J29" s="28" t="s">
        <v>173</v>
      </c>
      <c r="K29" s="28" t="s">
        <v>173</v>
      </c>
      <c r="L29" s="28" t="s">
        <v>173</v>
      </c>
      <c r="M29" s="28" t="s">
        <v>173</v>
      </c>
      <c r="N29" s="28" t="s">
        <v>173</v>
      </c>
      <c r="O29" s="28" t="s">
        <v>173</v>
      </c>
      <c r="P29" s="80" t="s">
        <v>173</v>
      </c>
      <c r="Q29" s="80" t="s">
        <v>173</v>
      </c>
      <c r="R29" s="28" t="s">
        <v>173</v>
      </c>
      <c r="S29" s="80" t="s">
        <v>173</v>
      </c>
      <c r="T29" s="28" t="s">
        <v>173</v>
      </c>
      <c r="U29" s="28" t="s">
        <v>173</v>
      </c>
      <c r="V29" s="28" t="s">
        <v>173</v>
      </c>
      <c r="W29" s="28" t="s">
        <v>173</v>
      </c>
      <c r="X29" s="28" t="s">
        <v>173</v>
      </c>
      <c r="Y29" s="28" t="s">
        <v>173</v>
      </c>
      <c r="Z29" s="28" t="s">
        <v>173</v>
      </c>
      <c r="AA29" s="28" t="s">
        <v>173</v>
      </c>
      <c r="AB29" s="28" t="s">
        <v>173</v>
      </c>
      <c r="AC29" s="28" t="s">
        <v>173</v>
      </c>
      <c r="AD29" s="28" t="s">
        <v>173</v>
      </c>
      <c r="AE29" s="28" t="s">
        <v>173</v>
      </c>
      <c r="AF29" s="28" t="s">
        <v>173</v>
      </c>
      <c r="AG29" s="28" t="s">
        <v>173</v>
      </c>
      <c r="AH29" s="83" t="s">
        <v>173</v>
      </c>
      <c r="AJ29" s="28" t="s">
        <v>173</v>
      </c>
      <c r="AK29" s="80" t="s">
        <v>173</v>
      </c>
      <c r="AL29" s="80" t="s">
        <v>173</v>
      </c>
      <c r="AM29" s="28" t="s">
        <v>173</v>
      </c>
      <c r="AN29" s="80" t="s">
        <v>173</v>
      </c>
      <c r="AO29" s="28" t="s">
        <v>173</v>
      </c>
      <c r="AP29" s="28" t="s">
        <v>173</v>
      </c>
    </row>
    <row r="30" spans="1:51" x14ac:dyDescent="0.25">
      <c r="A30" s="26" t="s">
        <v>175</v>
      </c>
      <c r="B30" s="28" t="s">
        <v>198</v>
      </c>
      <c r="C30" s="28" t="s">
        <v>199</v>
      </c>
      <c r="D30" s="28" t="s">
        <v>198</v>
      </c>
      <c r="E30" s="28" t="s">
        <v>198</v>
      </c>
      <c r="F30" s="28" t="s">
        <v>198</v>
      </c>
      <c r="G30" s="28" t="s">
        <v>198</v>
      </c>
      <c r="H30" s="28" t="s">
        <v>397</v>
      </c>
      <c r="I30" s="28" t="s">
        <v>198</v>
      </c>
      <c r="J30" s="28" t="s">
        <v>198</v>
      </c>
      <c r="K30" s="28" t="s">
        <v>198</v>
      </c>
      <c r="L30" s="28" t="s">
        <v>198</v>
      </c>
      <c r="M30" s="28" t="s">
        <v>198</v>
      </c>
      <c r="N30" s="28" t="s">
        <v>198</v>
      </c>
      <c r="O30" s="28" t="s">
        <v>198</v>
      </c>
      <c r="P30" s="80" t="s">
        <v>198</v>
      </c>
      <c r="Q30" s="80" t="s">
        <v>198</v>
      </c>
      <c r="R30" s="28" t="s">
        <v>198</v>
      </c>
      <c r="S30" s="80" t="s">
        <v>198</v>
      </c>
      <c r="T30" s="28" t="s">
        <v>198</v>
      </c>
      <c r="U30" s="28" t="s">
        <v>198</v>
      </c>
      <c r="V30" s="28" t="s">
        <v>199</v>
      </c>
      <c r="W30" s="28" t="s">
        <v>370</v>
      </c>
      <c r="X30" s="28" t="s">
        <v>198</v>
      </c>
      <c r="Y30" s="28" t="s">
        <v>198</v>
      </c>
      <c r="Z30" s="28" t="s">
        <v>198</v>
      </c>
      <c r="AA30" s="28" t="s">
        <v>198</v>
      </c>
      <c r="AB30" s="28" t="s">
        <v>198</v>
      </c>
      <c r="AC30" s="28" t="s">
        <v>199</v>
      </c>
      <c r="AD30" s="28" t="s">
        <v>198</v>
      </c>
      <c r="AE30" s="28" t="s">
        <v>370</v>
      </c>
      <c r="AF30" s="28" t="s">
        <v>198</v>
      </c>
      <c r="AG30" s="28" t="s">
        <v>198</v>
      </c>
      <c r="AH30" s="83" t="s">
        <v>198</v>
      </c>
      <c r="AJ30" s="28" t="s">
        <v>198</v>
      </c>
      <c r="AK30" s="80" t="s">
        <v>198</v>
      </c>
      <c r="AL30" s="80" t="s">
        <v>198</v>
      </c>
      <c r="AM30" s="114" t="s">
        <v>795</v>
      </c>
      <c r="AN30" s="80" t="s">
        <v>198</v>
      </c>
      <c r="AO30" s="28" t="s">
        <v>199</v>
      </c>
      <c r="AP30" s="28" t="s">
        <v>370</v>
      </c>
    </row>
    <row r="31" spans="1:51" x14ac:dyDescent="0.25">
      <c r="A31" s="26" t="s">
        <v>176</v>
      </c>
      <c r="B31" s="30">
        <v>0.5</v>
      </c>
      <c r="C31" s="30">
        <v>-0.5</v>
      </c>
      <c r="D31" s="30">
        <v>1</v>
      </c>
      <c r="E31" s="30">
        <f>AVERAGE(0.5,0.5,0.5,1)</f>
        <v>0.625</v>
      </c>
      <c r="F31" s="30">
        <v>0.5</v>
      </c>
      <c r="G31" s="30">
        <v>0.5</v>
      </c>
      <c r="H31" s="30">
        <v>-6</v>
      </c>
      <c r="I31" s="30">
        <v>1</v>
      </c>
      <c r="J31" s="30">
        <v>0.5</v>
      </c>
      <c r="K31" s="30">
        <v>0.5</v>
      </c>
      <c r="L31" s="30">
        <v>0.5</v>
      </c>
      <c r="M31" s="30">
        <v>0.5</v>
      </c>
      <c r="N31" s="30">
        <v>0.5</v>
      </c>
      <c r="O31" s="30">
        <v>0.5</v>
      </c>
      <c r="P31" s="82">
        <v>0</v>
      </c>
      <c r="Q31" s="82">
        <v>0</v>
      </c>
      <c r="R31" s="30">
        <f>4/3</f>
        <v>1.3333333333333333</v>
      </c>
      <c r="S31" s="82">
        <v>0</v>
      </c>
      <c r="T31" s="30">
        <f>AVERAGE(1,1,-0.5)</f>
        <v>0.5</v>
      </c>
      <c r="U31" s="30">
        <v>0.5</v>
      </c>
      <c r="V31" s="30">
        <v>-0.5</v>
      </c>
      <c r="W31" s="30">
        <f>AVERAGE(0.5,-0.5)</f>
        <v>0</v>
      </c>
      <c r="X31" s="30">
        <v>0.5</v>
      </c>
      <c r="Y31" s="30">
        <f>AVERAGE(1,1,1,0.5)</f>
        <v>0.875</v>
      </c>
      <c r="Z31" s="30">
        <v>1</v>
      </c>
      <c r="AA31" s="30">
        <v>1</v>
      </c>
      <c r="AB31" s="30">
        <v>1</v>
      </c>
      <c r="AC31" s="30">
        <v>-0.5</v>
      </c>
      <c r="AD31" s="30">
        <v>1</v>
      </c>
      <c r="AE31" s="30">
        <f>AVERAGE(1,-0.5)</f>
        <v>0.25</v>
      </c>
      <c r="AF31" s="30">
        <v>0.5</v>
      </c>
      <c r="AG31" s="30">
        <f>4/3</f>
        <v>1.3333333333333333</v>
      </c>
      <c r="AH31" s="88">
        <f>4/3</f>
        <v>1.3333333333333333</v>
      </c>
      <c r="AJ31" s="30">
        <v>0.5</v>
      </c>
      <c r="AK31" s="82">
        <v>0</v>
      </c>
      <c r="AL31" s="82">
        <v>0</v>
      </c>
      <c r="AM31" s="30">
        <f>AVERAGE(4/3,-0.5,-6)</f>
        <v>-1.7222222222222223</v>
      </c>
      <c r="AN31" s="82">
        <v>0</v>
      </c>
      <c r="AO31" s="30">
        <v>-0.5</v>
      </c>
      <c r="AP31" s="30">
        <f>AVERAGE(0.5,-0.5)</f>
        <v>0</v>
      </c>
    </row>
    <row r="32" spans="1:51" x14ac:dyDescent="0.25">
      <c r="A32" s="26" t="s">
        <v>177</v>
      </c>
      <c r="B32" s="28" t="s">
        <v>181</v>
      </c>
      <c r="C32" s="28" t="s">
        <v>181</v>
      </c>
      <c r="D32" s="28" t="s">
        <v>181</v>
      </c>
      <c r="E32" s="28" t="s">
        <v>181</v>
      </c>
      <c r="F32" s="28" t="s">
        <v>181</v>
      </c>
      <c r="G32" s="28" t="s">
        <v>181</v>
      </c>
      <c r="H32" s="28" t="s">
        <v>181</v>
      </c>
      <c r="I32" s="28" t="s">
        <v>181</v>
      </c>
      <c r="J32" s="28" t="s">
        <v>181</v>
      </c>
      <c r="K32" s="28" t="s">
        <v>181</v>
      </c>
      <c r="L32" s="28" t="s">
        <v>181</v>
      </c>
      <c r="M32" s="28" t="s">
        <v>181</v>
      </c>
      <c r="N32" s="28" t="s">
        <v>181</v>
      </c>
      <c r="O32" s="28" t="s">
        <v>181</v>
      </c>
      <c r="P32" s="80" t="s">
        <v>341</v>
      </c>
      <c r="Q32" s="80" t="s">
        <v>341</v>
      </c>
      <c r="R32" s="28" t="s">
        <v>181</v>
      </c>
      <c r="S32" s="80" t="s">
        <v>341</v>
      </c>
      <c r="T32" s="28" t="s">
        <v>181</v>
      </c>
      <c r="U32" s="28" t="s">
        <v>181</v>
      </c>
      <c r="V32" s="28" t="s">
        <v>181</v>
      </c>
      <c r="W32" s="28" t="s">
        <v>181</v>
      </c>
      <c r="X32" s="28" t="s">
        <v>181</v>
      </c>
      <c r="Y32" s="28" t="s">
        <v>181</v>
      </c>
      <c r="Z32" s="28" t="s">
        <v>181</v>
      </c>
      <c r="AA32" s="28" t="s">
        <v>181</v>
      </c>
      <c r="AB32" s="28" t="s">
        <v>181</v>
      </c>
      <c r="AC32" s="28" t="s">
        <v>181</v>
      </c>
      <c r="AD32" s="28" t="s">
        <v>181</v>
      </c>
      <c r="AE32" s="28" t="s">
        <v>181</v>
      </c>
      <c r="AF32" s="28" t="s">
        <v>181</v>
      </c>
      <c r="AG32" s="28" t="s">
        <v>181</v>
      </c>
      <c r="AH32" s="83" t="s">
        <v>181</v>
      </c>
      <c r="AJ32" s="28" t="s">
        <v>181</v>
      </c>
      <c r="AK32" s="80" t="s">
        <v>341</v>
      </c>
      <c r="AL32" s="80" t="s">
        <v>341</v>
      </c>
      <c r="AM32" s="28" t="s">
        <v>181</v>
      </c>
      <c r="AN32" s="80" t="s">
        <v>341</v>
      </c>
      <c r="AO32" s="28" t="s">
        <v>181</v>
      </c>
      <c r="AP32" s="28" t="s">
        <v>181</v>
      </c>
    </row>
    <row r="33" spans="1:42" x14ac:dyDescent="0.25">
      <c r="A33" s="26" t="s">
        <v>182</v>
      </c>
      <c r="B33" s="30">
        <v>2</v>
      </c>
      <c r="C33" s="30">
        <v>2</v>
      </c>
      <c r="D33" s="30">
        <v>2</v>
      </c>
      <c r="E33" s="30">
        <v>2</v>
      </c>
      <c r="F33" s="30">
        <v>2</v>
      </c>
      <c r="G33" s="30">
        <v>2</v>
      </c>
      <c r="H33" s="30">
        <v>2</v>
      </c>
      <c r="I33" s="30">
        <v>2</v>
      </c>
      <c r="J33" s="30">
        <v>2</v>
      </c>
      <c r="K33" s="30">
        <v>2</v>
      </c>
      <c r="L33" s="30">
        <v>2</v>
      </c>
      <c r="M33" s="30">
        <v>2</v>
      </c>
      <c r="N33" s="30">
        <v>2</v>
      </c>
      <c r="O33" s="30">
        <v>2</v>
      </c>
      <c r="P33" s="82">
        <v>0</v>
      </c>
      <c r="Q33" s="82">
        <v>0</v>
      </c>
      <c r="R33" s="30">
        <v>2</v>
      </c>
      <c r="S33" s="82">
        <v>0</v>
      </c>
      <c r="T33" s="30">
        <v>2</v>
      </c>
      <c r="U33" s="30">
        <v>2</v>
      </c>
      <c r="V33" s="30">
        <v>2</v>
      </c>
      <c r="W33" s="30">
        <v>2</v>
      </c>
      <c r="X33" s="30">
        <v>2</v>
      </c>
      <c r="Y33" s="30">
        <v>2</v>
      </c>
      <c r="Z33" s="30">
        <v>2</v>
      </c>
      <c r="AA33" s="30">
        <v>2</v>
      </c>
      <c r="AB33" s="30">
        <v>2</v>
      </c>
      <c r="AC33" s="30">
        <v>2</v>
      </c>
      <c r="AD33" s="30">
        <v>2</v>
      </c>
      <c r="AE33" s="30">
        <v>2</v>
      </c>
      <c r="AF33" s="30">
        <v>2</v>
      </c>
      <c r="AG33" s="30">
        <v>2</v>
      </c>
      <c r="AH33" s="88">
        <v>2</v>
      </c>
      <c r="AJ33" s="30">
        <v>2</v>
      </c>
      <c r="AK33" s="82">
        <v>0</v>
      </c>
      <c r="AL33" s="82">
        <v>0</v>
      </c>
      <c r="AM33" s="30">
        <v>2</v>
      </c>
      <c r="AN33" s="82">
        <v>0</v>
      </c>
      <c r="AO33" s="30">
        <v>2</v>
      </c>
      <c r="AP33" s="30">
        <v>2</v>
      </c>
    </row>
    <row r="35" spans="1:42" x14ac:dyDescent="0.25">
      <c r="A35" s="26" t="s">
        <v>159</v>
      </c>
      <c r="B35" s="28" t="s">
        <v>247</v>
      </c>
      <c r="C35" s="28" t="s">
        <v>248</v>
      </c>
      <c r="D35" s="28" t="s">
        <v>248</v>
      </c>
      <c r="E35" s="28" t="s">
        <v>248</v>
      </c>
      <c r="F35" s="28" t="s">
        <v>248</v>
      </c>
      <c r="G35" s="28" t="s">
        <v>248</v>
      </c>
      <c r="H35" s="28" t="s">
        <v>248</v>
      </c>
      <c r="I35" s="28" t="s">
        <v>248</v>
      </c>
      <c r="J35" s="28" t="s">
        <v>248</v>
      </c>
      <c r="K35" s="28" t="s">
        <v>248</v>
      </c>
      <c r="L35" s="28" t="s">
        <v>248</v>
      </c>
      <c r="M35" s="28" t="s">
        <v>248</v>
      </c>
      <c r="N35" s="28" t="s">
        <v>248</v>
      </c>
      <c r="O35" s="28" t="s">
        <v>248</v>
      </c>
      <c r="P35" s="28" t="s">
        <v>248</v>
      </c>
      <c r="Q35" s="28" t="s">
        <v>248</v>
      </c>
      <c r="R35" s="28" t="s">
        <v>248</v>
      </c>
      <c r="S35" s="28" t="s">
        <v>248</v>
      </c>
      <c r="T35" s="28" t="s">
        <v>248</v>
      </c>
      <c r="U35" s="28" t="s">
        <v>248</v>
      </c>
      <c r="V35" s="28" t="s">
        <v>248</v>
      </c>
      <c r="W35" s="28" t="s">
        <v>248</v>
      </c>
      <c r="X35" s="28" t="s">
        <v>248</v>
      </c>
      <c r="Y35" s="28" t="s">
        <v>248</v>
      </c>
      <c r="Z35" s="28" t="s">
        <v>248</v>
      </c>
      <c r="AA35" s="28" t="s">
        <v>248</v>
      </c>
      <c r="AB35" s="28" t="s">
        <v>248</v>
      </c>
      <c r="AC35" s="28" t="s">
        <v>248</v>
      </c>
      <c r="AD35" s="28" t="s">
        <v>248</v>
      </c>
      <c r="AE35" s="28" t="s">
        <v>248</v>
      </c>
      <c r="AF35" s="28" t="s">
        <v>248</v>
      </c>
      <c r="AG35" s="28" t="s">
        <v>248</v>
      </c>
      <c r="AH35" s="28" t="s">
        <v>248</v>
      </c>
      <c r="AJ35" s="113" t="s">
        <v>279</v>
      </c>
      <c r="AK35" s="28" t="s">
        <v>252</v>
      </c>
      <c r="AL35" s="28" t="s">
        <v>252</v>
      </c>
      <c r="AM35" s="28" t="s">
        <v>252</v>
      </c>
      <c r="AN35" s="28" t="s">
        <v>252</v>
      </c>
      <c r="AO35" s="28" t="s">
        <v>252</v>
      </c>
      <c r="AP35" s="28" t="s">
        <v>281</v>
      </c>
    </row>
    <row r="36" spans="1:42" x14ac:dyDescent="0.25">
      <c r="A36" s="26" t="s">
        <v>165</v>
      </c>
      <c r="B36" s="28" t="s">
        <v>254</v>
      </c>
      <c r="C36" s="28" t="s">
        <v>254</v>
      </c>
      <c r="D36" s="28" t="s">
        <v>254</v>
      </c>
      <c r="E36" s="28" t="s">
        <v>254</v>
      </c>
      <c r="F36" s="28" t="s">
        <v>254</v>
      </c>
      <c r="G36" s="28" t="s">
        <v>254</v>
      </c>
      <c r="H36" s="28" t="s">
        <v>254</v>
      </c>
      <c r="I36" s="28" t="s">
        <v>254</v>
      </c>
      <c r="J36" s="28" t="s">
        <v>254</v>
      </c>
      <c r="K36" s="28" t="s">
        <v>254</v>
      </c>
      <c r="L36" s="28" t="s">
        <v>254</v>
      </c>
      <c r="M36" s="28" t="s">
        <v>254</v>
      </c>
      <c r="N36" s="28" t="s">
        <v>254</v>
      </c>
      <c r="O36" s="28" t="s">
        <v>254</v>
      </c>
      <c r="P36" s="28" t="s">
        <v>254</v>
      </c>
      <c r="Q36" s="28" t="s">
        <v>254</v>
      </c>
      <c r="R36" s="28" t="s">
        <v>254</v>
      </c>
      <c r="S36" s="28" t="s">
        <v>254</v>
      </c>
      <c r="T36" s="28" t="s">
        <v>254</v>
      </c>
      <c r="U36" s="28" t="s">
        <v>254</v>
      </c>
      <c r="V36" s="28" t="s">
        <v>254</v>
      </c>
      <c r="W36" s="28" t="s">
        <v>254</v>
      </c>
      <c r="X36" s="28" t="s">
        <v>254</v>
      </c>
      <c r="Y36" s="28" t="s">
        <v>254</v>
      </c>
      <c r="Z36" s="28" t="s">
        <v>254</v>
      </c>
      <c r="AA36" s="28" t="s">
        <v>254</v>
      </c>
      <c r="AB36" s="28" t="s">
        <v>254</v>
      </c>
      <c r="AC36" s="28" t="s">
        <v>254</v>
      </c>
      <c r="AD36" s="28" t="s">
        <v>254</v>
      </c>
      <c r="AE36" s="28" t="s">
        <v>254</v>
      </c>
      <c r="AF36" s="28" t="s">
        <v>254</v>
      </c>
      <c r="AG36" s="28" t="s">
        <v>254</v>
      </c>
      <c r="AH36" s="28" t="s">
        <v>254</v>
      </c>
      <c r="AJ36" s="111" t="s">
        <v>282</v>
      </c>
      <c r="AK36" s="29" t="s">
        <v>283</v>
      </c>
      <c r="AL36" s="29" t="s">
        <v>283</v>
      </c>
      <c r="AM36" s="112" t="s">
        <v>796</v>
      </c>
      <c r="AN36" s="29" t="s">
        <v>284</v>
      </c>
      <c r="AO36" s="29" t="s">
        <v>285</v>
      </c>
      <c r="AP36" s="29" t="s">
        <v>286</v>
      </c>
    </row>
    <row r="37" spans="1:42" x14ac:dyDescent="0.25">
      <c r="A37" s="131" t="s">
        <v>168</v>
      </c>
      <c r="B37" s="157">
        <v>19</v>
      </c>
      <c r="C37" s="157">
        <v>19</v>
      </c>
      <c r="D37" s="157">
        <v>19</v>
      </c>
      <c r="E37" s="157">
        <v>19</v>
      </c>
      <c r="F37" s="157">
        <v>19</v>
      </c>
      <c r="G37" s="157">
        <v>19</v>
      </c>
      <c r="H37" s="157">
        <v>19</v>
      </c>
      <c r="I37" s="157">
        <v>19</v>
      </c>
      <c r="J37" s="157">
        <v>19</v>
      </c>
      <c r="K37" s="157">
        <v>19</v>
      </c>
      <c r="L37" s="157">
        <v>19</v>
      </c>
      <c r="M37" s="157">
        <v>19</v>
      </c>
      <c r="N37" s="157">
        <v>19</v>
      </c>
      <c r="O37" s="157">
        <v>19</v>
      </c>
      <c r="P37" s="157">
        <v>19</v>
      </c>
      <c r="Q37" s="157">
        <v>19</v>
      </c>
      <c r="R37" s="157">
        <v>19</v>
      </c>
      <c r="S37" s="157">
        <v>19</v>
      </c>
      <c r="T37" s="157">
        <v>19</v>
      </c>
      <c r="U37" s="157">
        <v>19</v>
      </c>
      <c r="V37" s="157">
        <v>19</v>
      </c>
      <c r="W37" s="157">
        <v>19</v>
      </c>
      <c r="X37" s="157">
        <v>19</v>
      </c>
      <c r="Y37" s="157">
        <v>19</v>
      </c>
      <c r="Z37" s="157">
        <v>19</v>
      </c>
      <c r="AA37" s="157">
        <v>19</v>
      </c>
      <c r="AB37" s="157">
        <v>19</v>
      </c>
      <c r="AC37" s="157">
        <v>19</v>
      </c>
      <c r="AD37" s="157">
        <v>19</v>
      </c>
      <c r="AE37" s="157">
        <v>19</v>
      </c>
      <c r="AF37" s="157">
        <v>19</v>
      </c>
      <c r="AG37" s="157">
        <v>19</v>
      </c>
      <c r="AH37" s="157">
        <v>19</v>
      </c>
      <c r="AJ37" s="157">
        <v>105</v>
      </c>
      <c r="AK37" s="157">
        <v>56</v>
      </c>
      <c r="AL37" s="157">
        <v>56</v>
      </c>
      <c r="AM37" s="157">
        <v>163</v>
      </c>
      <c r="AN37" s="132">
        <v>106</v>
      </c>
      <c r="AO37" s="132">
        <v>150</v>
      </c>
      <c r="AP37" s="132">
        <v>152</v>
      </c>
    </row>
    <row r="38" spans="1:42" x14ac:dyDescent="0.25">
      <c r="A38" s="26" t="s">
        <v>169</v>
      </c>
      <c r="B38" s="29" t="s">
        <v>170</v>
      </c>
      <c r="C38" s="29" t="s">
        <v>170</v>
      </c>
      <c r="D38" s="29" t="s">
        <v>170</v>
      </c>
      <c r="E38" s="29" t="s">
        <v>170</v>
      </c>
      <c r="F38" s="29" t="s">
        <v>170</v>
      </c>
      <c r="G38" s="29" t="s">
        <v>170</v>
      </c>
      <c r="H38" s="29" t="s">
        <v>170</v>
      </c>
      <c r="I38" s="29" t="s">
        <v>170</v>
      </c>
      <c r="J38" s="29" t="s">
        <v>170</v>
      </c>
      <c r="K38" s="29" t="s">
        <v>170</v>
      </c>
      <c r="L38" s="29" t="s">
        <v>170</v>
      </c>
      <c r="M38" s="29" t="s">
        <v>170</v>
      </c>
      <c r="N38" s="29" t="s">
        <v>170</v>
      </c>
      <c r="O38" s="29" t="s">
        <v>170</v>
      </c>
      <c r="P38" s="29" t="s">
        <v>170</v>
      </c>
      <c r="Q38" s="29" t="s">
        <v>170</v>
      </c>
      <c r="R38" s="29" t="s">
        <v>170</v>
      </c>
      <c r="S38" s="29" t="s">
        <v>170</v>
      </c>
      <c r="T38" s="29" t="s">
        <v>170</v>
      </c>
      <c r="U38" s="29" t="s">
        <v>170</v>
      </c>
      <c r="V38" s="29" t="s">
        <v>170</v>
      </c>
      <c r="W38" s="29" t="s">
        <v>170</v>
      </c>
      <c r="X38" s="29" t="s">
        <v>170</v>
      </c>
      <c r="Y38" s="29" t="s">
        <v>170</v>
      </c>
      <c r="Z38" s="29" t="s">
        <v>170</v>
      </c>
      <c r="AA38" s="29" t="s">
        <v>170</v>
      </c>
      <c r="AB38" s="29" t="s">
        <v>170</v>
      </c>
      <c r="AC38" s="29" t="s">
        <v>170</v>
      </c>
      <c r="AD38" s="29" t="s">
        <v>170</v>
      </c>
      <c r="AE38" s="29" t="s">
        <v>170</v>
      </c>
      <c r="AF38" s="29" t="s">
        <v>170</v>
      </c>
      <c r="AG38" s="29" t="s">
        <v>170</v>
      </c>
      <c r="AH38" s="29" t="s">
        <v>170</v>
      </c>
      <c r="AJ38" s="28" t="s">
        <v>170</v>
      </c>
      <c r="AK38" s="28" t="s">
        <v>170</v>
      </c>
      <c r="AL38" s="28" t="s">
        <v>170</v>
      </c>
      <c r="AM38" s="29" t="s">
        <v>170</v>
      </c>
      <c r="AN38" s="28" t="s">
        <v>170</v>
      </c>
      <c r="AO38" s="28" t="s">
        <v>170</v>
      </c>
      <c r="AP38" s="28" t="s">
        <v>170</v>
      </c>
    </row>
    <row r="39" spans="1:42" x14ac:dyDescent="0.25">
      <c r="A39" s="26" t="s">
        <v>171</v>
      </c>
      <c r="B39" s="28" t="s">
        <v>173</v>
      </c>
      <c r="C39" s="28" t="s">
        <v>173</v>
      </c>
      <c r="D39" s="28" t="s">
        <v>173</v>
      </c>
      <c r="E39" s="28" t="s">
        <v>173</v>
      </c>
      <c r="F39" s="28" t="s">
        <v>173</v>
      </c>
      <c r="G39" s="28" t="s">
        <v>173</v>
      </c>
      <c r="H39" s="28" t="s">
        <v>173</v>
      </c>
      <c r="I39" s="28" t="s">
        <v>173</v>
      </c>
      <c r="J39" s="28" t="s">
        <v>173</v>
      </c>
      <c r="K39" s="28" t="s">
        <v>173</v>
      </c>
      <c r="L39" s="28" t="s">
        <v>173</v>
      </c>
      <c r="M39" s="28" t="s">
        <v>173</v>
      </c>
      <c r="N39" s="28" t="s">
        <v>173</v>
      </c>
      <c r="O39" s="28" t="s">
        <v>173</v>
      </c>
      <c r="P39" s="28" t="s">
        <v>173</v>
      </c>
      <c r="Q39" s="28" t="s">
        <v>173</v>
      </c>
      <c r="R39" s="28" t="s">
        <v>173</v>
      </c>
      <c r="S39" s="28" t="s">
        <v>173</v>
      </c>
      <c r="T39" s="28" t="s">
        <v>173</v>
      </c>
      <c r="U39" s="28" t="s">
        <v>173</v>
      </c>
      <c r="V39" s="28" t="s">
        <v>173</v>
      </c>
      <c r="W39" s="28" t="s">
        <v>173</v>
      </c>
      <c r="X39" s="28" t="s">
        <v>173</v>
      </c>
      <c r="Y39" s="28" t="s">
        <v>173</v>
      </c>
      <c r="Z39" s="28" t="s">
        <v>173</v>
      </c>
      <c r="AA39" s="28" t="s">
        <v>173</v>
      </c>
      <c r="AB39" s="28" t="s">
        <v>173</v>
      </c>
      <c r="AC39" s="28" t="s">
        <v>173</v>
      </c>
      <c r="AD39" s="28" t="s">
        <v>173</v>
      </c>
      <c r="AE39" s="28" t="s">
        <v>173</v>
      </c>
      <c r="AF39" s="28" t="s">
        <v>173</v>
      </c>
      <c r="AG39" s="28" t="s">
        <v>173</v>
      </c>
      <c r="AH39" s="28" t="s">
        <v>173</v>
      </c>
      <c r="AJ39" s="28" t="s">
        <v>173</v>
      </c>
      <c r="AK39" s="28" t="s">
        <v>173</v>
      </c>
      <c r="AL39" s="28" t="s">
        <v>173</v>
      </c>
      <c r="AM39" s="28" t="s">
        <v>173</v>
      </c>
      <c r="AN39" s="87" t="s">
        <v>173</v>
      </c>
      <c r="AO39" s="28" t="s">
        <v>173</v>
      </c>
      <c r="AP39" s="28" t="s">
        <v>173</v>
      </c>
    </row>
    <row r="40" spans="1:42" x14ac:dyDescent="0.25">
      <c r="A40" s="26" t="s">
        <v>172</v>
      </c>
      <c r="B40" s="28" t="s">
        <v>173</v>
      </c>
      <c r="C40" s="28" t="s">
        <v>173</v>
      </c>
      <c r="D40" s="28" t="s">
        <v>173</v>
      </c>
      <c r="E40" s="28" t="s">
        <v>173</v>
      </c>
      <c r="F40" s="28" t="s">
        <v>173</v>
      </c>
      <c r="G40" s="28" t="s">
        <v>173</v>
      </c>
      <c r="H40" s="28" t="s">
        <v>173</v>
      </c>
      <c r="I40" s="28" t="s">
        <v>173</v>
      </c>
      <c r="J40" s="28" t="s">
        <v>173</v>
      </c>
      <c r="K40" s="28" t="s">
        <v>173</v>
      </c>
      <c r="L40" s="28" t="s">
        <v>173</v>
      </c>
      <c r="M40" s="28" t="s">
        <v>173</v>
      </c>
      <c r="N40" s="28" t="s">
        <v>173</v>
      </c>
      <c r="O40" s="28" t="s">
        <v>173</v>
      </c>
      <c r="P40" s="28" t="s">
        <v>173</v>
      </c>
      <c r="Q40" s="28" t="s">
        <v>173</v>
      </c>
      <c r="R40" s="28" t="s">
        <v>173</v>
      </c>
      <c r="S40" s="28" t="s">
        <v>173</v>
      </c>
      <c r="T40" s="28" t="s">
        <v>173</v>
      </c>
      <c r="U40" s="28" t="s">
        <v>173</v>
      </c>
      <c r="V40" s="28" t="s">
        <v>173</v>
      </c>
      <c r="W40" s="28" t="s">
        <v>173</v>
      </c>
      <c r="X40" s="28" t="s">
        <v>173</v>
      </c>
      <c r="Y40" s="28" t="s">
        <v>173</v>
      </c>
      <c r="Z40" s="28" t="s">
        <v>173</v>
      </c>
      <c r="AA40" s="28" t="s">
        <v>173</v>
      </c>
      <c r="AB40" s="28" t="s">
        <v>173</v>
      </c>
      <c r="AC40" s="28" t="s">
        <v>173</v>
      </c>
      <c r="AD40" s="28" t="s">
        <v>173</v>
      </c>
      <c r="AE40" s="28" t="s">
        <v>173</v>
      </c>
      <c r="AF40" s="28" t="s">
        <v>173</v>
      </c>
      <c r="AG40" s="28" t="s">
        <v>173</v>
      </c>
      <c r="AH40" s="28" t="s">
        <v>173</v>
      </c>
      <c r="AJ40" s="28" t="s">
        <v>287</v>
      </c>
      <c r="AK40" s="28" t="s">
        <v>170</v>
      </c>
      <c r="AL40" s="28" t="s">
        <v>170</v>
      </c>
      <c r="AM40" s="172" t="s">
        <v>797</v>
      </c>
      <c r="AN40" s="116" t="s">
        <v>288</v>
      </c>
      <c r="AO40" s="28" t="s">
        <v>173</v>
      </c>
      <c r="AP40" s="28" t="s">
        <v>287</v>
      </c>
    </row>
    <row r="41" spans="1:42" x14ac:dyDescent="0.25">
      <c r="A41" s="26" t="s">
        <v>174</v>
      </c>
      <c r="B41" s="28" t="s">
        <v>173</v>
      </c>
      <c r="C41" s="28" t="s">
        <v>173</v>
      </c>
      <c r="D41" s="28" t="s">
        <v>173</v>
      </c>
      <c r="E41" s="28" t="s">
        <v>173</v>
      </c>
      <c r="F41" s="28" t="s">
        <v>173</v>
      </c>
      <c r="G41" s="28" t="s">
        <v>173</v>
      </c>
      <c r="H41" s="28" t="s">
        <v>173</v>
      </c>
      <c r="I41" s="28" t="s">
        <v>173</v>
      </c>
      <c r="J41" s="28" t="s">
        <v>173</v>
      </c>
      <c r="K41" s="28" t="s">
        <v>173</v>
      </c>
      <c r="L41" s="28" t="s">
        <v>173</v>
      </c>
      <c r="M41" s="28" t="s">
        <v>173</v>
      </c>
      <c r="N41" s="28" t="s">
        <v>173</v>
      </c>
      <c r="O41" s="28" t="s">
        <v>173</v>
      </c>
      <c r="P41" s="28" t="s">
        <v>173</v>
      </c>
      <c r="Q41" s="28" t="s">
        <v>173</v>
      </c>
      <c r="R41" s="28" t="s">
        <v>173</v>
      </c>
      <c r="S41" s="28" t="s">
        <v>173</v>
      </c>
      <c r="T41" s="28" t="s">
        <v>173</v>
      </c>
      <c r="U41" s="28" t="s">
        <v>173</v>
      </c>
      <c r="V41" s="28" t="s">
        <v>173</v>
      </c>
      <c r="W41" s="28" t="s">
        <v>173</v>
      </c>
      <c r="X41" s="28" t="s">
        <v>173</v>
      </c>
      <c r="Y41" s="28" t="s">
        <v>173</v>
      </c>
      <c r="Z41" s="28" t="s">
        <v>173</v>
      </c>
      <c r="AA41" s="28" t="s">
        <v>173</v>
      </c>
      <c r="AB41" s="28" t="s">
        <v>173</v>
      </c>
      <c r="AC41" s="28" t="s">
        <v>173</v>
      </c>
      <c r="AD41" s="28" t="s">
        <v>173</v>
      </c>
      <c r="AE41" s="28" t="s">
        <v>173</v>
      </c>
      <c r="AF41" s="28" t="s">
        <v>173</v>
      </c>
      <c r="AG41" s="28" t="s">
        <v>173</v>
      </c>
      <c r="AH41" s="28" t="s">
        <v>173</v>
      </c>
      <c r="AJ41" s="28" t="s">
        <v>173</v>
      </c>
      <c r="AK41" s="28" t="s">
        <v>173</v>
      </c>
      <c r="AL41" s="28" t="s">
        <v>173</v>
      </c>
      <c r="AM41" s="28" t="s">
        <v>173</v>
      </c>
      <c r="AN41" s="29" t="s">
        <v>173</v>
      </c>
      <c r="AO41" s="28" t="s">
        <v>173</v>
      </c>
      <c r="AP41" s="28" t="s">
        <v>173</v>
      </c>
    </row>
    <row r="42" spans="1:42" x14ac:dyDescent="0.25">
      <c r="A42" s="26" t="s">
        <v>175</v>
      </c>
      <c r="B42" s="28" t="s">
        <v>267</v>
      </c>
      <c r="C42" s="28" t="s">
        <v>267</v>
      </c>
      <c r="D42" s="28" t="s">
        <v>267</v>
      </c>
      <c r="E42" s="28" t="s">
        <v>267</v>
      </c>
      <c r="F42" s="28" t="s">
        <v>267</v>
      </c>
      <c r="G42" s="28" t="s">
        <v>267</v>
      </c>
      <c r="H42" s="28" t="s">
        <v>267</v>
      </c>
      <c r="I42" s="28" t="s">
        <v>267</v>
      </c>
      <c r="J42" s="28" t="s">
        <v>267</v>
      </c>
      <c r="K42" s="28" t="s">
        <v>267</v>
      </c>
      <c r="L42" s="28" t="s">
        <v>267</v>
      </c>
      <c r="M42" s="28" t="s">
        <v>267</v>
      </c>
      <c r="N42" s="28" t="s">
        <v>267</v>
      </c>
      <c r="O42" s="28" t="s">
        <v>267</v>
      </c>
      <c r="P42" s="28" t="s">
        <v>267</v>
      </c>
      <c r="Q42" s="28" t="s">
        <v>267</v>
      </c>
      <c r="R42" s="28" t="s">
        <v>267</v>
      </c>
      <c r="S42" s="28" t="s">
        <v>267</v>
      </c>
      <c r="T42" s="28" t="s">
        <v>267</v>
      </c>
      <c r="U42" s="28" t="s">
        <v>267</v>
      </c>
      <c r="V42" s="28" t="s">
        <v>267</v>
      </c>
      <c r="W42" s="28" t="s">
        <v>267</v>
      </c>
      <c r="X42" s="28" t="s">
        <v>267</v>
      </c>
      <c r="Y42" s="28" t="s">
        <v>267</v>
      </c>
      <c r="Z42" s="28" t="s">
        <v>267</v>
      </c>
      <c r="AA42" s="28" t="s">
        <v>267</v>
      </c>
      <c r="AB42" s="28" t="s">
        <v>267</v>
      </c>
      <c r="AC42" s="28" t="s">
        <v>267</v>
      </c>
      <c r="AD42" s="28" t="s">
        <v>267</v>
      </c>
      <c r="AE42" s="28" t="s">
        <v>267</v>
      </c>
      <c r="AF42" s="28" t="s">
        <v>267</v>
      </c>
      <c r="AG42" s="28" t="s">
        <v>267</v>
      </c>
      <c r="AH42" s="28" t="s">
        <v>267</v>
      </c>
      <c r="AJ42" s="113" t="s">
        <v>289</v>
      </c>
      <c r="AK42" s="28" t="s">
        <v>199</v>
      </c>
      <c r="AL42" s="28" t="s">
        <v>199</v>
      </c>
      <c r="AM42" s="114" t="s">
        <v>798</v>
      </c>
      <c r="AN42" s="28" t="s">
        <v>268</v>
      </c>
      <c r="AO42" s="28" t="s">
        <v>290</v>
      </c>
      <c r="AP42" s="28" t="s">
        <v>199</v>
      </c>
    </row>
    <row r="43" spans="1:42" x14ac:dyDescent="0.25">
      <c r="A43" s="26" t="s">
        <v>176</v>
      </c>
      <c r="B43" s="30">
        <v>-3</v>
      </c>
      <c r="C43" s="30">
        <v>-3</v>
      </c>
      <c r="D43" s="30">
        <v>-3</v>
      </c>
      <c r="E43" s="30">
        <v>-3</v>
      </c>
      <c r="F43" s="30">
        <v>-3</v>
      </c>
      <c r="G43" s="30">
        <v>-3</v>
      </c>
      <c r="H43" s="30">
        <v>-3</v>
      </c>
      <c r="I43" s="30">
        <v>-3</v>
      </c>
      <c r="J43" s="30">
        <v>-3</v>
      </c>
      <c r="K43" s="30">
        <v>-3</v>
      </c>
      <c r="L43" s="30">
        <v>-3</v>
      </c>
      <c r="M43" s="30">
        <v>-3</v>
      </c>
      <c r="N43" s="30">
        <v>-3</v>
      </c>
      <c r="O43" s="30">
        <v>-3</v>
      </c>
      <c r="P43" s="30">
        <v>-3</v>
      </c>
      <c r="Q43" s="30">
        <v>-3</v>
      </c>
      <c r="R43" s="30">
        <v>-3</v>
      </c>
      <c r="S43" s="30">
        <v>-3</v>
      </c>
      <c r="T43" s="30">
        <v>-3</v>
      </c>
      <c r="U43" s="30">
        <v>-3</v>
      </c>
      <c r="V43" s="30">
        <v>-3</v>
      </c>
      <c r="W43" s="30">
        <v>-3</v>
      </c>
      <c r="X43" s="30">
        <v>-3</v>
      </c>
      <c r="Y43" s="30">
        <v>-3</v>
      </c>
      <c r="Z43" s="30">
        <v>-3</v>
      </c>
      <c r="AA43" s="30">
        <v>-3</v>
      </c>
      <c r="AB43" s="30">
        <v>-3</v>
      </c>
      <c r="AC43" s="30">
        <v>-3</v>
      </c>
      <c r="AD43" s="30">
        <v>-3</v>
      </c>
      <c r="AE43" s="30">
        <v>-3</v>
      </c>
      <c r="AF43" s="30">
        <v>-3</v>
      </c>
      <c r="AG43" s="30">
        <v>-3</v>
      </c>
      <c r="AH43" s="30">
        <v>-3</v>
      </c>
      <c r="AJ43" s="30">
        <f>AVERAGE(3,3,1)</f>
        <v>2.3333333333333335</v>
      </c>
      <c r="AK43" s="30">
        <v>-0.5</v>
      </c>
      <c r="AL43" s="30">
        <v>-0.5</v>
      </c>
      <c r="AM43" s="30">
        <f>AVERAGE(-0.5,-3,-6)</f>
        <v>-3.1666666666666665</v>
      </c>
      <c r="AN43" s="30">
        <f>AVERAGE(-0.5,2)</f>
        <v>0.75</v>
      </c>
      <c r="AO43" s="30">
        <v>-2.5</v>
      </c>
      <c r="AP43" s="30">
        <f>AVERAGE(-2,-0.5)</f>
        <v>-1.25</v>
      </c>
    </row>
    <row r="44" spans="1:42" x14ac:dyDescent="0.25">
      <c r="A44" s="26" t="s">
        <v>177</v>
      </c>
      <c r="B44" s="28" t="s">
        <v>178</v>
      </c>
      <c r="C44" s="28" t="s">
        <v>178</v>
      </c>
      <c r="D44" s="28" t="s">
        <v>178</v>
      </c>
      <c r="E44" s="28" t="s">
        <v>178</v>
      </c>
      <c r="F44" s="28" t="s">
        <v>178</v>
      </c>
      <c r="G44" s="28" t="s">
        <v>178</v>
      </c>
      <c r="H44" s="28" t="s">
        <v>178</v>
      </c>
      <c r="I44" s="28" t="s">
        <v>178</v>
      </c>
      <c r="J44" s="28" t="s">
        <v>178</v>
      </c>
      <c r="K44" s="28" t="s">
        <v>178</v>
      </c>
      <c r="L44" s="28" t="s">
        <v>178</v>
      </c>
      <c r="M44" s="28" t="s">
        <v>178</v>
      </c>
      <c r="N44" s="28" t="s">
        <v>178</v>
      </c>
      <c r="O44" s="28" t="s">
        <v>178</v>
      </c>
      <c r="P44" s="28" t="s">
        <v>178</v>
      </c>
      <c r="Q44" s="28" t="s">
        <v>178</v>
      </c>
      <c r="R44" s="28" t="s">
        <v>178</v>
      </c>
      <c r="S44" s="28" t="s">
        <v>178</v>
      </c>
      <c r="T44" s="28" t="s">
        <v>178</v>
      </c>
      <c r="U44" s="28" t="s">
        <v>178</v>
      </c>
      <c r="V44" s="28" t="s">
        <v>178</v>
      </c>
      <c r="W44" s="28" t="s">
        <v>178</v>
      </c>
      <c r="X44" s="28" t="s">
        <v>178</v>
      </c>
      <c r="Y44" s="28" t="s">
        <v>178</v>
      </c>
      <c r="Z44" s="28" t="s">
        <v>178</v>
      </c>
      <c r="AA44" s="28" t="s">
        <v>178</v>
      </c>
      <c r="AB44" s="28" t="s">
        <v>178</v>
      </c>
      <c r="AC44" s="28" t="s">
        <v>178</v>
      </c>
      <c r="AD44" s="28" t="s">
        <v>178</v>
      </c>
      <c r="AE44" s="28" t="s">
        <v>178</v>
      </c>
      <c r="AF44" s="28" t="s">
        <v>178</v>
      </c>
      <c r="AG44" s="28" t="s">
        <v>178</v>
      </c>
      <c r="AH44" s="28" t="s">
        <v>178</v>
      </c>
      <c r="AJ44" s="113" t="s">
        <v>291</v>
      </c>
      <c r="AK44" s="28" t="s">
        <v>181</v>
      </c>
      <c r="AL44" s="28" t="s">
        <v>181</v>
      </c>
      <c r="AM44" s="28" t="s">
        <v>799</v>
      </c>
      <c r="AN44" s="28" t="s">
        <v>292</v>
      </c>
      <c r="AO44" s="28" t="s">
        <v>178</v>
      </c>
      <c r="AP44" s="28" t="s">
        <v>293</v>
      </c>
    </row>
    <row r="45" spans="1:42" x14ac:dyDescent="0.25">
      <c r="A45" s="26" t="s">
        <v>182</v>
      </c>
      <c r="B45" s="30">
        <v>4</v>
      </c>
      <c r="C45" s="30">
        <v>4</v>
      </c>
      <c r="D45" s="30">
        <v>4</v>
      </c>
      <c r="E45" s="30">
        <v>4</v>
      </c>
      <c r="F45" s="30">
        <v>4</v>
      </c>
      <c r="G45" s="30">
        <v>4</v>
      </c>
      <c r="H45" s="30">
        <v>4</v>
      </c>
      <c r="I45" s="30">
        <v>4</v>
      </c>
      <c r="J45" s="30">
        <v>4</v>
      </c>
      <c r="K45" s="30">
        <v>4</v>
      </c>
      <c r="L45" s="30">
        <v>4</v>
      </c>
      <c r="M45" s="30">
        <v>4</v>
      </c>
      <c r="N45" s="30">
        <v>4</v>
      </c>
      <c r="O45" s="30">
        <v>4</v>
      </c>
      <c r="P45" s="30">
        <v>4</v>
      </c>
      <c r="Q45" s="30">
        <v>4</v>
      </c>
      <c r="R45" s="30">
        <v>4</v>
      </c>
      <c r="S45" s="30">
        <v>4</v>
      </c>
      <c r="T45" s="30">
        <v>4</v>
      </c>
      <c r="U45" s="30">
        <v>4</v>
      </c>
      <c r="V45" s="30">
        <v>4</v>
      </c>
      <c r="W45" s="30">
        <v>4</v>
      </c>
      <c r="X45" s="30">
        <v>4</v>
      </c>
      <c r="Y45" s="30">
        <v>4</v>
      </c>
      <c r="Z45" s="30">
        <v>4</v>
      </c>
      <c r="AA45" s="30">
        <v>4</v>
      </c>
      <c r="AB45" s="30">
        <v>4</v>
      </c>
      <c r="AC45" s="30">
        <v>4</v>
      </c>
      <c r="AD45" s="30">
        <v>4</v>
      </c>
      <c r="AE45" s="30">
        <v>4</v>
      </c>
      <c r="AF45" s="30">
        <v>4</v>
      </c>
      <c r="AG45" s="30">
        <v>4</v>
      </c>
      <c r="AH45" s="30">
        <v>4</v>
      </c>
      <c r="AJ45" s="30">
        <f>AVERAGE(4,4,3)</f>
        <v>3.6666666666666665</v>
      </c>
      <c r="AK45" s="30">
        <v>2</v>
      </c>
      <c r="AL45" s="30">
        <v>2</v>
      </c>
      <c r="AM45" s="30">
        <f>AVERAGE(2,4,2)</f>
        <v>2.6666666666666665</v>
      </c>
      <c r="AN45" s="30">
        <f>AVERAGE(3,2)</f>
        <v>2.5</v>
      </c>
      <c r="AO45" s="30">
        <v>4</v>
      </c>
      <c r="AP45" s="30">
        <f>AVERAGE(4,3)</f>
        <v>3.5</v>
      </c>
    </row>
    <row r="46" spans="1:42" ht="15.75" customHeight="1" x14ac:dyDescent="0.25">
      <c r="N46" s="78" t="s">
        <v>875</v>
      </c>
      <c r="P46" s="242" t="s">
        <v>875</v>
      </c>
      <c r="Q46" s="242"/>
      <c r="R46" s="242"/>
      <c r="S46" s="242"/>
      <c r="V46" s="242" t="s">
        <v>875</v>
      </c>
      <c r="W46" s="242"/>
      <c r="AJ46" s="223" t="s">
        <v>876</v>
      </c>
      <c r="AK46" s="223"/>
      <c r="AL46" s="223"/>
      <c r="AM46" s="223"/>
      <c r="AN46" s="223"/>
      <c r="AO46" s="223"/>
      <c r="AP46" s="223"/>
    </row>
    <row r="47" spans="1:42" x14ac:dyDescent="0.25">
      <c r="A47" s="31" t="s">
        <v>183</v>
      </c>
    </row>
    <row r="48" spans="1:42" x14ac:dyDescent="0.25">
      <c r="A48" s="235" t="s">
        <v>877</v>
      </c>
      <c r="B48" s="93" t="s">
        <v>803</v>
      </c>
    </row>
    <row r="49" spans="1:2" x14ac:dyDescent="0.25">
      <c r="A49" s="235"/>
      <c r="B49" s="93" t="s">
        <v>807</v>
      </c>
    </row>
    <row r="50" spans="1:2" x14ac:dyDescent="0.25">
      <c r="A50" s="235"/>
      <c r="B50" s="93" t="s">
        <v>878</v>
      </c>
    </row>
    <row r="51" spans="1:2" x14ac:dyDescent="0.25">
      <c r="A51" s="235" t="s">
        <v>879</v>
      </c>
      <c r="B51" s="93" t="s">
        <v>803</v>
      </c>
    </row>
    <row r="52" spans="1:2" x14ac:dyDescent="0.25">
      <c r="A52" s="235"/>
      <c r="B52" s="93" t="s">
        <v>804</v>
      </c>
    </row>
    <row r="53" spans="1:2" x14ac:dyDescent="0.25">
      <c r="A53" s="235"/>
      <c r="B53" s="93" t="s">
        <v>878</v>
      </c>
    </row>
  </sheetData>
  <mergeCells count="10">
    <mergeCell ref="AJ46:AP46"/>
    <mergeCell ref="V46:W46"/>
    <mergeCell ref="P46:S46"/>
    <mergeCell ref="F3:O3"/>
    <mergeCell ref="F4:O5"/>
    <mergeCell ref="A48:A50"/>
    <mergeCell ref="A51:A53"/>
    <mergeCell ref="B3:D3"/>
    <mergeCell ref="B4:D4"/>
    <mergeCell ref="B5:D5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9A4AF-3A32-4C8E-89AB-7FA17ADF2AB9}">
  <dimension ref="A1:AH62"/>
  <sheetViews>
    <sheetView topLeftCell="A18" workbookViewId="0">
      <selection activeCell="E25" sqref="E25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117</v>
      </c>
      <c r="I1" s="25" t="s">
        <v>880</v>
      </c>
    </row>
    <row r="3" spans="1:34" ht="18" x14ac:dyDescent="0.25">
      <c r="A3" s="25" t="s">
        <v>119</v>
      </c>
      <c r="B3" s="215">
        <v>51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881</v>
      </c>
      <c r="C4" s="215"/>
      <c r="D4" s="215"/>
      <c r="F4" s="216" t="s">
        <v>882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377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72" t="s">
        <v>150</v>
      </c>
      <c r="AA7" s="72" t="s">
        <v>151</v>
      </c>
      <c r="AB7" s="73" t="s">
        <v>152</v>
      </c>
      <c r="AC7" s="73" t="s">
        <v>153</v>
      </c>
      <c r="AD7" s="73" t="s">
        <v>154</v>
      </c>
      <c r="AE7" s="74" t="s">
        <v>155</v>
      </c>
      <c r="AF7" s="75" t="s">
        <v>156</v>
      </c>
      <c r="AG7" s="76" t="s">
        <v>157</v>
      </c>
      <c r="AH7" s="76" t="s">
        <v>158</v>
      </c>
    </row>
    <row r="8" spans="1:34" x14ac:dyDescent="0.25">
      <c r="A8" s="26" t="s">
        <v>159</v>
      </c>
      <c r="B8" s="199"/>
      <c r="C8" s="83" t="s">
        <v>744</v>
      </c>
      <c r="D8" s="28" t="s">
        <v>744</v>
      </c>
      <c r="E8" s="28" t="s">
        <v>744</v>
      </c>
      <c r="F8" s="28" t="s">
        <v>744</v>
      </c>
      <c r="G8" s="28" t="s">
        <v>744</v>
      </c>
      <c r="H8" s="86" t="s">
        <v>744</v>
      </c>
      <c r="I8" s="28" t="s">
        <v>744</v>
      </c>
      <c r="J8" s="28" t="s">
        <v>744</v>
      </c>
      <c r="K8" s="28" t="s">
        <v>744</v>
      </c>
      <c r="L8" s="28" t="s">
        <v>744</v>
      </c>
      <c r="M8" s="28" t="s">
        <v>744</v>
      </c>
      <c r="N8" s="28" t="s">
        <v>744</v>
      </c>
      <c r="O8" s="28" t="s">
        <v>744</v>
      </c>
      <c r="P8" s="28" t="s">
        <v>745</v>
      </c>
      <c r="Q8" s="28" t="s">
        <v>745</v>
      </c>
      <c r="R8" s="177" t="s">
        <v>341</v>
      </c>
      <c r="S8" s="28" t="s">
        <v>746</v>
      </c>
      <c r="T8" s="177" t="s">
        <v>341</v>
      </c>
      <c r="U8" s="177" t="s">
        <v>341</v>
      </c>
      <c r="V8" s="177" t="s">
        <v>341</v>
      </c>
      <c r="W8" s="177" t="s">
        <v>341</v>
      </c>
      <c r="X8" s="28" t="s">
        <v>556</v>
      </c>
      <c r="Y8" s="177" t="s">
        <v>341</v>
      </c>
      <c r="Z8" s="80" t="s">
        <v>341</v>
      </c>
      <c r="AA8" s="80" t="s">
        <v>341</v>
      </c>
      <c r="AB8" s="80" t="s">
        <v>341</v>
      </c>
      <c r="AC8" s="80" t="s">
        <v>341</v>
      </c>
      <c r="AD8" s="80" t="s">
        <v>341</v>
      </c>
      <c r="AE8" s="80" t="s">
        <v>341</v>
      </c>
      <c r="AF8" s="80" t="s">
        <v>341</v>
      </c>
      <c r="AG8" s="80" t="s">
        <v>341</v>
      </c>
      <c r="AH8" s="80" t="s">
        <v>341</v>
      </c>
    </row>
    <row r="9" spans="1:34" x14ac:dyDescent="0.25">
      <c r="A9" s="26" t="s">
        <v>165</v>
      </c>
      <c r="B9" s="200"/>
      <c r="C9" s="29" t="s">
        <v>556</v>
      </c>
      <c r="D9" s="28" t="s">
        <v>747</v>
      </c>
      <c r="E9" s="28" t="s">
        <v>748</v>
      </c>
      <c r="F9" s="28" t="s">
        <v>748</v>
      </c>
      <c r="G9" s="29" t="s">
        <v>749</v>
      </c>
      <c r="H9" s="91" t="s">
        <v>750</v>
      </c>
      <c r="I9" s="28" t="s">
        <v>749</v>
      </c>
      <c r="J9" s="28" t="s">
        <v>749</v>
      </c>
      <c r="K9" s="28" t="s">
        <v>751</v>
      </c>
      <c r="L9" s="28" t="s">
        <v>749</v>
      </c>
      <c r="M9" s="28" t="s">
        <v>752</v>
      </c>
      <c r="N9" s="28" t="s">
        <v>744</v>
      </c>
      <c r="O9" s="28" t="s">
        <v>744</v>
      </c>
      <c r="P9" s="28" t="s">
        <v>744</v>
      </c>
      <c r="Q9" s="28" t="s">
        <v>744</v>
      </c>
      <c r="R9" s="178" t="s">
        <v>341</v>
      </c>
      <c r="S9" s="28" t="s">
        <v>749</v>
      </c>
      <c r="T9" s="178" t="s">
        <v>341</v>
      </c>
      <c r="U9" s="178" t="s">
        <v>341</v>
      </c>
      <c r="V9" s="178" t="s">
        <v>341</v>
      </c>
      <c r="W9" s="178" t="s">
        <v>341</v>
      </c>
      <c r="X9" s="29" t="s">
        <v>556</v>
      </c>
      <c r="Y9" s="178" t="s">
        <v>341</v>
      </c>
      <c r="Z9" s="80" t="s">
        <v>341</v>
      </c>
      <c r="AA9" s="80" t="s">
        <v>341</v>
      </c>
      <c r="AB9" s="80" t="s">
        <v>341</v>
      </c>
      <c r="AC9" s="80" t="s">
        <v>341</v>
      </c>
      <c r="AD9" s="80" t="s">
        <v>341</v>
      </c>
      <c r="AE9" s="80" t="s">
        <v>341</v>
      </c>
      <c r="AF9" s="80" t="s">
        <v>341</v>
      </c>
      <c r="AG9" s="80" t="s">
        <v>341</v>
      </c>
      <c r="AH9" s="80" t="s">
        <v>341</v>
      </c>
    </row>
    <row r="10" spans="1:34" x14ac:dyDescent="0.25">
      <c r="A10" s="131" t="s">
        <v>168</v>
      </c>
      <c r="B10" s="198"/>
      <c r="C10" s="157">
        <v>501</v>
      </c>
      <c r="D10" s="157">
        <v>502</v>
      </c>
      <c r="E10" s="157">
        <v>508</v>
      </c>
      <c r="F10" s="157">
        <v>508</v>
      </c>
      <c r="G10" s="157">
        <v>504</v>
      </c>
      <c r="H10" s="161">
        <v>550</v>
      </c>
      <c r="I10" s="157">
        <v>504</v>
      </c>
      <c r="J10" s="157">
        <v>504</v>
      </c>
      <c r="K10" s="157">
        <v>515</v>
      </c>
      <c r="L10" s="157">
        <v>504</v>
      </c>
      <c r="M10" s="157">
        <v>514</v>
      </c>
      <c r="N10" s="157">
        <v>503</v>
      </c>
      <c r="O10" s="157">
        <v>503</v>
      </c>
      <c r="P10" s="157">
        <v>503</v>
      </c>
      <c r="Q10" s="157">
        <v>503</v>
      </c>
      <c r="R10" s="198"/>
      <c r="S10" s="157">
        <v>504</v>
      </c>
      <c r="T10" s="198"/>
      <c r="U10" s="198"/>
      <c r="V10" s="198"/>
      <c r="W10" s="198"/>
      <c r="X10" s="157">
        <v>501</v>
      </c>
      <c r="Y10" s="204"/>
      <c r="Z10" s="198"/>
      <c r="AA10" s="198"/>
      <c r="AB10" s="198"/>
      <c r="AC10" s="198"/>
      <c r="AD10" s="198"/>
      <c r="AE10" s="198"/>
      <c r="AF10" s="198"/>
      <c r="AG10" s="198"/>
      <c r="AH10" s="198"/>
    </row>
    <row r="11" spans="1:34" x14ac:dyDescent="0.25">
      <c r="A11" s="26" t="s">
        <v>753</v>
      </c>
      <c r="B11" s="199"/>
      <c r="C11" s="28" t="s">
        <v>173</v>
      </c>
      <c r="D11" s="28" t="s">
        <v>173</v>
      </c>
      <c r="E11" s="28" t="s">
        <v>173</v>
      </c>
      <c r="F11" s="28" t="s">
        <v>173</v>
      </c>
      <c r="G11" s="28" t="s">
        <v>173</v>
      </c>
      <c r="H11" s="86" t="s">
        <v>173</v>
      </c>
      <c r="I11" s="28" t="s">
        <v>173</v>
      </c>
      <c r="J11" s="28" t="s">
        <v>173</v>
      </c>
      <c r="K11" s="28" t="s">
        <v>173</v>
      </c>
      <c r="L11" s="28" t="s">
        <v>173</v>
      </c>
      <c r="M11" s="28" t="s">
        <v>173</v>
      </c>
      <c r="N11" s="28" t="s">
        <v>173</v>
      </c>
      <c r="O11" s="28" t="s">
        <v>173</v>
      </c>
      <c r="P11" s="28" t="s">
        <v>173</v>
      </c>
      <c r="Q11" s="28" t="s">
        <v>173</v>
      </c>
      <c r="R11" s="80" t="s">
        <v>173</v>
      </c>
      <c r="S11" s="28" t="s">
        <v>173</v>
      </c>
      <c r="T11" s="80" t="s">
        <v>173</v>
      </c>
      <c r="U11" s="80" t="s">
        <v>173</v>
      </c>
      <c r="V11" s="80" t="s">
        <v>173</v>
      </c>
      <c r="W11" s="80" t="s">
        <v>173</v>
      </c>
      <c r="X11" s="28" t="s">
        <v>173</v>
      </c>
      <c r="Y11" s="177" t="s">
        <v>173</v>
      </c>
      <c r="Z11" s="80" t="s">
        <v>173</v>
      </c>
      <c r="AA11" s="80" t="s">
        <v>173</v>
      </c>
      <c r="AB11" s="80" t="s">
        <v>173</v>
      </c>
      <c r="AC11" s="80" t="s">
        <v>173</v>
      </c>
      <c r="AD11" s="80" t="s">
        <v>173</v>
      </c>
      <c r="AE11" s="80" t="s">
        <v>173</v>
      </c>
      <c r="AF11" s="80" t="s">
        <v>173</v>
      </c>
      <c r="AG11" s="80" t="s">
        <v>173</v>
      </c>
      <c r="AH11" s="80" t="s">
        <v>173</v>
      </c>
    </row>
    <row r="12" spans="1:34" x14ac:dyDescent="0.25">
      <c r="A12" s="26" t="s">
        <v>754</v>
      </c>
      <c r="B12" s="199"/>
      <c r="C12" s="28" t="s">
        <v>173</v>
      </c>
      <c r="D12" s="28" t="s">
        <v>173</v>
      </c>
      <c r="E12" s="28" t="s">
        <v>173</v>
      </c>
      <c r="F12" s="28" t="s">
        <v>173</v>
      </c>
      <c r="G12" s="28" t="s">
        <v>173</v>
      </c>
      <c r="H12" s="86" t="s">
        <v>173</v>
      </c>
      <c r="I12" s="28" t="s">
        <v>173</v>
      </c>
      <c r="J12" s="28" t="s">
        <v>173</v>
      </c>
      <c r="K12" s="28" t="s">
        <v>173</v>
      </c>
      <c r="L12" s="28" t="s">
        <v>173</v>
      </c>
      <c r="M12" s="28" t="s">
        <v>173</v>
      </c>
      <c r="N12" s="28" t="s">
        <v>173</v>
      </c>
      <c r="O12" s="28" t="s">
        <v>173</v>
      </c>
      <c r="P12" s="28" t="s">
        <v>173</v>
      </c>
      <c r="Q12" s="28" t="s">
        <v>173</v>
      </c>
      <c r="R12" s="80" t="s">
        <v>173</v>
      </c>
      <c r="S12" s="28" t="s">
        <v>173</v>
      </c>
      <c r="T12" s="80" t="s">
        <v>173</v>
      </c>
      <c r="U12" s="80" t="s">
        <v>173</v>
      </c>
      <c r="V12" s="80" t="s">
        <v>173</v>
      </c>
      <c r="W12" s="80" t="s">
        <v>173</v>
      </c>
      <c r="X12" s="28" t="s">
        <v>173</v>
      </c>
      <c r="Y12" s="177" t="s">
        <v>173</v>
      </c>
      <c r="Z12" s="80" t="s">
        <v>173</v>
      </c>
      <c r="AA12" s="80" t="s">
        <v>173</v>
      </c>
      <c r="AB12" s="80" t="s">
        <v>173</v>
      </c>
      <c r="AC12" s="80" t="s">
        <v>173</v>
      </c>
      <c r="AD12" s="80" t="s">
        <v>173</v>
      </c>
      <c r="AE12" s="80" t="s">
        <v>173</v>
      </c>
      <c r="AF12" s="80" t="s">
        <v>173</v>
      </c>
      <c r="AG12" s="80" t="s">
        <v>173</v>
      </c>
      <c r="AH12" s="80" t="s">
        <v>173</v>
      </c>
    </row>
    <row r="13" spans="1:34" x14ac:dyDescent="0.25">
      <c r="A13" s="26" t="s">
        <v>755</v>
      </c>
      <c r="B13" s="199"/>
      <c r="C13" s="28" t="s">
        <v>170</v>
      </c>
      <c r="D13" s="28" t="s">
        <v>170</v>
      </c>
      <c r="E13" s="28" t="s">
        <v>170</v>
      </c>
      <c r="F13" s="28" t="s">
        <v>170</v>
      </c>
      <c r="G13" s="28" t="s">
        <v>170</v>
      </c>
      <c r="H13" s="86" t="s">
        <v>170</v>
      </c>
      <c r="I13" s="28" t="s">
        <v>170</v>
      </c>
      <c r="J13" s="28" t="s">
        <v>170</v>
      </c>
      <c r="K13" s="28" t="s">
        <v>170</v>
      </c>
      <c r="L13" s="28" t="s">
        <v>170</v>
      </c>
      <c r="M13" s="28" t="s">
        <v>170</v>
      </c>
      <c r="N13" s="28" t="s">
        <v>170</v>
      </c>
      <c r="O13" s="28" t="s">
        <v>170</v>
      </c>
      <c r="P13" s="28" t="s">
        <v>170</v>
      </c>
      <c r="Q13" s="28" t="s">
        <v>170</v>
      </c>
      <c r="R13" s="80" t="s">
        <v>173</v>
      </c>
      <c r="S13" s="28" t="s">
        <v>170</v>
      </c>
      <c r="T13" s="80" t="s">
        <v>173</v>
      </c>
      <c r="U13" s="80" t="s">
        <v>173</v>
      </c>
      <c r="V13" s="80" t="s">
        <v>173</v>
      </c>
      <c r="W13" s="80" t="s">
        <v>173</v>
      </c>
      <c r="X13" s="28" t="s">
        <v>170</v>
      </c>
      <c r="Y13" s="177" t="s">
        <v>173</v>
      </c>
      <c r="Z13" s="80" t="s">
        <v>173</v>
      </c>
      <c r="AA13" s="80" t="s">
        <v>173</v>
      </c>
      <c r="AB13" s="80" t="s">
        <v>173</v>
      </c>
      <c r="AC13" s="80" t="s">
        <v>173</v>
      </c>
      <c r="AD13" s="80" t="s">
        <v>173</v>
      </c>
      <c r="AE13" s="80" t="s">
        <v>173</v>
      </c>
      <c r="AF13" s="80" t="s">
        <v>173</v>
      </c>
      <c r="AG13" s="80" t="s">
        <v>173</v>
      </c>
      <c r="AH13" s="80" t="s">
        <v>173</v>
      </c>
    </row>
    <row r="14" spans="1:34" x14ac:dyDescent="0.25">
      <c r="A14" s="26" t="s">
        <v>756</v>
      </c>
      <c r="B14" s="199"/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86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80" t="s">
        <v>173</v>
      </c>
      <c r="S14" s="28" t="s">
        <v>173</v>
      </c>
      <c r="T14" s="80" t="s">
        <v>173</v>
      </c>
      <c r="U14" s="80" t="s">
        <v>173</v>
      </c>
      <c r="V14" s="80" t="s">
        <v>173</v>
      </c>
      <c r="W14" s="80" t="s">
        <v>173</v>
      </c>
      <c r="X14" s="28" t="s">
        <v>173</v>
      </c>
      <c r="Y14" s="177" t="s">
        <v>173</v>
      </c>
      <c r="Z14" s="80" t="s">
        <v>173</v>
      </c>
      <c r="AA14" s="80" t="s">
        <v>173</v>
      </c>
      <c r="AB14" s="80" t="s">
        <v>173</v>
      </c>
      <c r="AC14" s="80" t="s">
        <v>173</v>
      </c>
      <c r="AD14" s="80" t="s">
        <v>173</v>
      </c>
      <c r="AE14" s="80" t="s">
        <v>173</v>
      </c>
      <c r="AF14" s="80" t="s">
        <v>173</v>
      </c>
      <c r="AG14" s="80" t="s">
        <v>173</v>
      </c>
      <c r="AH14" s="80" t="s">
        <v>173</v>
      </c>
    </row>
    <row r="15" spans="1:34" x14ac:dyDescent="0.25">
      <c r="A15" s="26" t="s">
        <v>757</v>
      </c>
      <c r="B15" s="199"/>
      <c r="C15" s="28" t="s">
        <v>173</v>
      </c>
      <c r="D15" s="28" t="s">
        <v>173</v>
      </c>
      <c r="E15" s="28" t="s">
        <v>173</v>
      </c>
      <c r="F15" s="28" t="s">
        <v>173</v>
      </c>
      <c r="G15" s="28" t="s">
        <v>173</v>
      </c>
      <c r="H15" s="86" t="s">
        <v>173</v>
      </c>
      <c r="I15" s="28" t="s">
        <v>173</v>
      </c>
      <c r="J15" s="28" t="s">
        <v>173</v>
      </c>
      <c r="K15" s="28" t="s">
        <v>173</v>
      </c>
      <c r="L15" s="28" t="s">
        <v>173</v>
      </c>
      <c r="M15" s="28" t="s">
        <v>173</v>
      </c>
      <c r="N15" s="28" t="s">
        <v>173</v>
      </c>
      <c r="O15" s="28" t="s">
        <v>173</v>
      </c>
      <c r="P15" s="28" t="s">
        <v>173</v>
      </c>
      <c r="Q15" s="28" t="s">
        <v>173</v>
      </c>
      <c r="R15" s="80" t="s">
        <v>173</v>
      </c>
      <c r="S15" s="28" t="s">
        <v>173</v>
      </c>
      <c r="T15" s="80" t="s">
        <v>173</v>
      </c>
      <c r="U15" s="80" t="s">
        <v>173</v>
      </c>
      <c r="V15" s="80" t="s">
        <v>173</v>
      </c>
      <c r="W15" s="80" t="s">
        <v>173</v>
      </c>
      <c r="X15" s="28" t="s">
        <v>173</v>
      </c>
      <c r="Y15" s="177" t="s">
        <v>173</v>
      </c>
      <c r="Z15" s="80" t="s">
        <v>173</v>
      </c>
      <c r="AA15" s="80" t="s">
        <v>173</v>
      </c>
      <c r="AB15" s="80" t="s">
        <v>173</v>
      </c>
      <c r="AC15" s="80" t="s">
        <v>173</v>
      </c>
      <c r="AD15" s="80" t="s">
        <v>173</v>
      </c>
      <c r="AE15" s="80" t="s">
        <v>173</v>
      </c>
      <c r="AF15" s="80" t="s">
        <v>173</v>
      </c>
      <c r="AG15" s="80" t="s">
        <v>173</v>
      </c>
      <c r="AH15" s="80" t="s">
        <v>173</v>
      </c>
    </row>
    <row r="16" spans="1:34" x14ac:dyDescent="0.25">
      <c r="A16" s="26" t="s">
        <v>758</v>
      </c>
      <c r="B16" s="199"/>
      <c r="C16" s="28" t="s">
        <v>173</v>
      </c>
      <c r="D16" s="28" t="s">
        <v>173</v>
      </c>
      <c r="E16" s="28" t="s">
        <v>173</v>
      </c>
      <c r="F16" s="28" t="s">
        <v>173</v>
      </c>
      <c r="G16" s="28" t="s">
        <v>173</v>
      </c>
      <c r="H16" s="28" t="s">
        <v>173</v>
      </c>
      <c r="I16" s="28" t="s">
        <v>173</v>
      </c>
      <c r="J16" s="28" t="s">
        <v>173</v>
      </c>
      <c r="K16" s="28" t="s">
        <v>173</v>
      </c>
      <c r="L16" s="28" t="s">
        <v>173</v>
      </c>
      <c r="M16" s="28" t="s">
        <v>173</v>
      </c>
      <c r="N16" s="28" t="s">
        <v>173</v>
      </c>
      <c r="O16" s="28" t="s">
        <v>173</v>
      </c>
      <c r="P16" s="28" t="s">
        <v>173</v>
      </c>
      <c r="Q16" s="28" t="s">
        <v>173</v>
      </c>
      <c r="R16" s="80" t="s">
        <v>173</v>
      </c>
      <c r="S16" s="28" t="s">
        <v>173</v>
      </c>
      <c r="T16" s="80" t="s">
        <v>173</v>
      </c>
      <c r="U16" s="80" t="s">
        <v>173</v>
      </c>
      <c r="V16" s="80" t="s">
        <v>173</v>
      </c>
      <c r="W16" s="80" t="s">
        <v>173</v>
      </c>
      <c r="X16" s="28" t="s">
        <v>173</v>
      </c>
      <c r="Y16" s="177" t="s">
        <v>173</v>
      </c>
      <c r="Z16" s="80" t="s">
        <v>173</v>
      </c>
      <c r="AA16" s="80" t="s">
        <v>173</v>
      </c>
      <c r="AB16" s="80" t="s">
        <v>173</v>
      </c>
      <c r="AC16" s="80" t="s">
        <v>173</v>
      </c>
      <c r="AD16" s="80" t="s">
        <v>173</v>
      </c>
      <c r="AE16" s="80" t="s">
        <v>173</v>
      </c>
      <c r="AF16" s="80" t="s">
        <v>173</v>
      </c>
      <c r="AG16" s="80" t="s">
        <v>173</v>
      </c>
      <c r="AH16" s="80" t="s">
        <v>173</v>
      </c>
    </row>
    <row r="17" spans="1:34" x14ac:dyDescent="0.25">
      <c r="A17" s="26" t="s">
        <v>759</v>
      </c>
      <c r="B17" s="201"/>
      <c r="C17" s="30" t="s">
        <v>760</v>
      </c>
      <c r="D17" s="30" t="s">
        <v>760</v>
      </c>
      <c r="E17" s="28" t="s">
        <v>760</v>
      </c>
      <c r="F17" s="28" t="s">
        <v>760</v>
      </c>
      <c r="G17" s="30" t="s">
        <v>760</v>
      </c>
      <c r="H17" s="92" t="s">
        <v>760</v>
      </c>
      <c r="I17" s="30" t="s">
        <v>760</v>
      </c>
      <c r="J17" s="30" t="s">
        <v>760</v>
      </c>
      <c r="K17" s="30" t="s">
        <v>760</v>
      </c>
      <c r="L17" s="30" t="s">
        <v>760</v>
      </c>
      <c r="M17" s="30" t="s">
        <v>760</v>
      </c>
      <c r="N17" s="30"/>
      <c r="O17" s="30" t="s">
        <v>760</v>
      </c>
      <c r="P17" s="30" t="s">
        <v>761</v>
      </c>
      <c r="Q17" s="30" t="s">
        <v>761</v>
      </c>
      <c r="R17" s="178" t="s">
        <v>341</v>
      </c>
      <c r="S17" s="30" t="s">
        <v>760</v>
      </c>
      <c r="T17" s="178" t="s">
        <v>341</v>
      </c>
      <c r="U17" s="178" t="s">
        <v>341</v>
      </c>
      <c r="V17" s="178" t="s">
        <v>341</v>
      </c>
      <c r="W17" s="178" t="s">
        <v>341</v>
      </c>
      <c r="X17" s="28" t="s">
        <v>760</v>
      </c>
      <c r="Y17" s="178" t="s">
        <v>341</v>
      </c>
      <c r="Z17" s="80" t="s">
        <v>341</v>
      </c>
      <c r="AA17" s="80" t="s">
        <v>341</v>
      </c>
      <c r="AB17" s="80" t="s">
        <v>341</v>
      </c>
      <c r="AC17" s="80" t="s">
        <v>341</v>
      </c>
      <c r="AD17" s="80" t="s">
        <v>341</v>
      </c>
      <c r="AE17" s="80" t="s">
        <v>341</v>
      </c>
      <c r="AF17" s="80" t="s">
        <v>341</v>
      </c>
      <c r="AG17" s="80" t="s">
        <v>341</v>
      </c>
      <c r="AH17" s="80" t="s">
        <v>341</v>
      </c>
    </row>
    <row r="18" spans="1:34" x14ac:dyDescent="0.25">
      <c r="A18" s="26" t="s">
        <v>762</v>
      </c>
      <c r="B18" s="201"/>
      <c r="C18" s="28" t="s">
        <v>763</v>
      </c>
      <c r="D18" s="28" t="s">
        <v>763</v>
      </c>
      <c r="E18" s="28" t="s">
        <v>763</v>
      </c>
      <c r="F18" s="28" t="s">
        <v>763</v>
      </c>
      <c r="G18" s="30" t="s">
        <v>764</v>
      </c>
      <c r="H18" s="92" t="s">
        <v>764</v>
      </c>
      <c r="I18" s="30" t="s">
        <v>764</v>
      </c>
      <c r="J18" s="30" t="s">
        <v>764</v>
      </c>
      <c r="K18" s="30" t="s">
        <v>764</v>
      </c>
      <c r="L18" s="30" t="s">
        <v>764</v>
      </c>
      <c r="M18" s="30" t="s">
        <v>764</v>
      </c>
      <c r="N18" s="28" t="s">
        <v>764</v>
      </c>
      <c r="O18" s="28" t="s">
        <v>764</v>
      </c>
      <c r="P18" s="28" t="s">
        <v>764</v>
      </c>
      <c r="Q18" s="28" t="s">
        <v>764</v>
      </c>
      <c r="R18" s="82" t="s">
        <v>764</v>
      </c>
      <c r="S18" s="30" t="s">
        <v>764</v>
      </c>
      <c r="T18" s="82" t="s">
        <v>764</v>
      </c>
      <c r="U18" s="82" t="s">
        <v>764</v>
      </c>
      <c r="V18" s="82" t="s">
        <v>764</v>
      </c>
      <c r="W18" s="82" t="s">
        <v>764</v>
      </c>
      <c r="X18" s="28" t="s">
        <v>763</v>
      </c>
      <c r="Y18" s="203" t="s">
        <v>764</v>
      </c>
      <c r="Z18" s="82" t="s">
        <v>764</v>
      </c>
      <c r="AA18" s="82" t="s">
        <v>764</v>
      </c>
      <c r="AB18" s="82" t="s">
        <v>764</v>
      </c>
      <c r="AC18" s="82" t="s">
        <v>764</v>
      </c>
      <c r="AD18" s="82" t="s">
        <v>764</v>
      </c>
      <c r="AE18" s="82" t="s">
        <v>764</v>
      </c>
      <c r="AF18" s="82" t="s">
        <v>764</v>
      </c>
      <c r="AG18" s="82" t="s">
        <v>764</v>
      </c>
      <c r="AH18" s="82" t="s">
        <v>764</v>
      </c>
    </row>
    <row r="19" spans="1:34" x14ac:dyDescent="0.25">
      <c r="A19" s="26" t="s">
        <v>765</v>
      </c>
      <c r="B19" s="199"/>
      <c r="C19" s="30">
        <v>6</v>
      </c>
      <c r="D19" s="30">
        <v>5</v>
      </c>
      <c r="E19" s="30">
        <v>5</v>
      </c>
      <c r="F19" s="30">
        <v>5</v>
      </c>
      <c r="G19" s="30">
        <v>3</v>
      </c>
      <c r="H19" s="30">
        <f>AVERAGE(3,2)</f>
        <v>2.5</v>
      </c>
      <c r="I19" s="120">
        <v>3</v>
      </c>
      <c r="J19" s="120">
        <v>3</v>
      </c>
      <c r="K19" s="120">
        <v>2</v>
      </c>
      <c r="L19" s="120">
        <v>3</v>
      </c>
      <c r="M19" s="120">
        <v>3</v>
      </c>
      <c r="N19" s="120">
        <v>4</v>
      </c>
      <c r="O19" s="120">
        <v>4</v>
      </c>
      <c r="P19" s="120">
        <v>4</v>
      </c>
      <c r="Q19" s="120">
        <v>4</v>
      </c>
      <c r="R19" s="81">
        <v>3</v>
      </c>
      <c r="S19" s="120">
        <v>3</v>
      </c>
      <c r="T19" s="81">
        <v>3</v>
      </c>
      <c r="U19" s="81">
        <v>3</v>
      </c>
      <c r="V19" s="81">
        <v>3</v>
      </c>
      <c r="W19" s="81">
        <v>3</v>
      </c>
      <c r="X19" s="30">
        <v>6</v>
      </c>
      <c r="Y19" s="178">
        <v>3</v>
      </c>
      <c r="Z19" s="80">
        <v>3</v>
      </c>
      <c r="AA19" s="80">
        <v>3</v>
      </c>
      <c r="AB19" s="80">
        <v>3</v>
      </c>
      <c r="AC19" s="80">
        <v>3</v>
      </c>
      <c r="AD19" s="80">
        <v>3</v>
      </c>
      <c r="AE19" s="80">
        <v>3</v>
      </c>
      <c r="AF19" s="80">
        <v>3</v>
      </c>
      <c r="AG19" s="80">
        <v>3</v>
      </c>
      <c r="AH19" s="80">
        <v>3</v>
      </c>
    </row>
    <row r="20" spans="1:34" x14ac:dyDescent="0.25">
      <c r="A20" s="26" t="s">
        <v>766</v>
      </c>
      <c r="B20" s="199"/>
      <c r="C20" s="28" t="s">
        <v>767</v>
      </c>
      <c r="D20" s="28" t="s">
        <v>767</v>
      </c>
      <c r="E20" s="28" t="s">
        <v>767</v>
      </c>
      <c r="F20" s="28" t="s">
        <v>767</v>
      </c>
      <c r="G20" s="28" t="s">
        <v>767</v>
      </c>
      <c r="H20" s="28" t="s">
        <v>767</v>
      </c>
      <c r="I20" s="28" t="s">
        <v>767</v>
      </c>
      <c r="J20" s="28" t="s">
        <v>767</v>
      </c>
      <c r="K20" s="28" t="s">
        <v>768</v>
      </c>
      <c r="L20" s="28" t="s">
        <v>767</v>
      </c>
      <c r="M20" s="28" t="s">
        <v>768</v>
      </c>
      <c r="N20" s="28" t="s">
        <v>767</v>
      </c>
      <c r="O20" s="28" t="s">
        <v>767</v>
      </c>
      <c r="P20" s="28" t="s">
        <v>767</v>
      </c>
      <c r="Q20" s="28" t="s">
        <v>767</v>
      </c>
      <c r="R20" s="80" t="s">
        <v>768</v>
      </c>
      <c r="S20" s="28" t="s">
        <v>767</v>
      </c>
      <c r="T20" s="80" t="s">
        <v>768</v>
      </c>
      <c r="U20" s="80" t="s">
        <v>768</v>
      </c>
      <c r="V20" s="80" t="s">
        <v>768</v>
      </c>
      <c r="W20" s="80" t="s">
        <v>768</v>
      </c>
      <c r="X20" s="28" t="s">
        <v>767</v>
      </c>
      <c r="Y20" s="80" t="s">
        <v>768</v>
      </c>
      <c r="Z20" s="81" t="s">
        <v>768</v>
      </c>
      <c r="AA20" s="81" t="s">
        <v>768</v>
      </c>
      <c r="AB20" s="81" t="s">
        <v>768</v>
      </c>
      <c r="AC20" s="81" t="s">
        <v>768</v>
      </c>
      <c r="AD20" s="81" t="s">
        <v>768</v>
      </c>
      <c r="AE20" s="81" t="s">
        <v>768</v>
      </c>
      <c r="AF20" s="81" t="s">
        <v>768</v>
      </c>
      <c r="AG20" s="81" t="s">
        <v>768</v>
      </c>
      <c r="AH20" s="81" t="s">
        <v>768</v>
      </c>
    </row>
    <row r="21" spans="1:34" x14ac:dyDescent="0.25">
      <c r="A21" s="26" t="s">
        <v>769</v>
      </c>
      <c r="B21" s="201"/>
      <c r="C21" s="30">
        <v>1</v>
      </c>
      <c r="D21" s="30">
        <v>1</v>
      </c>
      <c r="E21" s="30">
        <v>0.5</v>
      </c>
      <c r="F21" s="30">
        <v>0.5</v>
      </c>
      <c r="G21" s="30">
        <v>1</v>
      </c>
      <c r="H21" s="30">
        <v>1</v>
      </c>
      <c r="I21" s="30">
        <v>1</v>
      </c>
      <c r="J21" s="30">
        <v>1</v>
      </c>
      <c r="K21" s="30">
        <v>0</v>
      </c>
      <c r="L21" s="30">
        <v>1</v>
      </c>
      <c r="M21" s="30">
        <v>0</v>
      </c>
      <c r="N21" s="30">
        <v>1</v>
      </c>
      <c r="O21" s="30">
        <v>1</v>
      </c>
      <c r="P21" s="30">
        <v>1</v>
      </c>
      <c r="Q21" s="30">
        <v>1</v>
      </c>
      <c r="R21" s="82">
        <v>0</v>
      </c>
      <c r="S21" s="30">
        <v>1</v>
      </c>
      <c r="T21" s="82">
        <v>0</v>
      </c>
      <c r="U21" s="82">
        <v>0</v>
      </c>
      <c r="V21" s="82">
        <v>0</v>
      </c>
      <c r="W21" s="82">
        <v>0</v>
      </c>
      <c r="X21" s="30">
        <v>1</v>
      </c>
      <c r="Y21" s="82">
        <v>0</v>
      </c>
      <c r="Z21" s="82">
        <v>0</v>
      </c>
      <c r="AA21" s="82">
        <v>0</v>
      </c>
      <c r="AB21" s="82">
        <v>0</v>
      </c>
      <c r="AC21" s="82">
        <v>0</v>
      </c>
      <c r="AD21" s="82">
        <v>0</v>
      </c>
      <c r="AE21" s="82">
        <v>0</v>
      </c>
      <c r="AF21" s="82">
        <v>0</v>
      </c>
      <c r="AG21" s="82">
        <v>0</v>
      </c>
      <c r="AH21" s="82">
        <v>0</v>
      </c>
    </row>
    <row r="23" spans="1:34" x14ac:dyDescent="0.25">
      <c r="A23" s="26" t="s">
        <v>159</v>
      </c>
      <c r="B23" s="28" t="s">
        <v>414</v>
      </c>
      <c r="C23" s="28" t="s">
        <v>256</v>
      </c>
      <c r="D23" s="28" t="s">
        <v>256</v>
      </c>
      <c r="E23" s="28" t="s">
        <v>256</v>
      </c>
      <c r="F23" s="28" t="s">
        <v>256</v>
      </c>
      <c r="G23" s="28" t="s">
        <v>256</v>
      </c>
      <c r="H23" s="28" t="s">
        <v>256</v>
      </c>
      <c r="I23" s="28" t="s">
        <v>256</v>
      </c>
      <c r="J23" s="28" t="s">
        <v>256</v>
      </c>
      <c r="K23" s="28" t="s">
        <v>256</v>
      </c>
      <c r="L23" s="28" t="s">
        <v>256</v>
      </c>
      <c r="M23" s="28" t="s">
        <v>256</v>
      </c>
      <c r="N23" s="28" t="s">
        <v>256</v>
      </c>
      <c r="O23" s="28" t="s">
        <v>256</v>
      </c>
      <c r="P23" s="177" t="s">
        <v>341</v>
      </c>
      <c r="Q23" s="177" t="s">
        <v>341</v>
      </c>
      <c r="R23" s="86" t="s">
        <v>256</v>
      </c>
      <c r="S23" s="177" t="s">
        <v>341</v>
      </c>
      <c r="T23" s="28" t="s">
        <v>256</v>
      </c>
      <c r="U23" s="28" t="s">
        <v>256</v>
      </c>
      <c r="V23" s="28" t="s">
        <v>256</v>
      </c>
      <c r="W23" s="28" t="s">
        <v>256</v>
      </c>
      <c r="X23" s="83" t="s">
        <v>256</v>
      </c>
      <c r="Y23" s="28" t="s">
        <v>256</v>
      </c>
      <c r="Z23" s="28" t="s">
        <v>256</v>
      </c>
      <c r="AA23" s="28" t="s">
        <v>256</v>
      </c>
      <c r="AB23" s="28" t="s">
        <v>256</v>
      </c>
      <c r="AC23" s="28" t="s">
        <v>256</v>
      </c>
      <c r="AD23" s="28" t="s">
        <v>256</v>
      </c>
      <c r="AE23" s="28" t="s">
        <v>256</v>
      </c>
      <c r="AF23" s="28" t="s">
        <v>256</v>
      </c>
      <c r="AG23" s="28" t="s">
        <v>256</v>
      </c>
      <c r="AH23" s="83" t="s">
        <v>256</v>
      </c>
    </row>
    <row r="24" spans="1:34" x14ac:dyDescent="0.25">
      <c r="A24" s="26" t="s">
        <v>165</v>
      </c>
      <c r="B24" s="29" t="s">
        <v>260</v>
      </c>
      <c r="C24" s="28" t="s">
        <v>283</v>
      </c>
      <c r="D24" s="29" t="s">
        <v>256</v>
      </c>
      <c r="E24" s="113" t="s">
        <v>417</v>
      </c>
      <c r="F24" s="28" t="s">
        <v>260</v>
      </c>
      <c r="G24" s="28" t="s">
        <v>260</v>
      </c>
      <c r="H24" s="28" t="s">
        <v>395</v>
      </c>
      <c r="I24" s="29" t="s">
        <v>256</v>
      </c>
      <c r="J24" s="28" t="s">
        <v>260</v>
      </c>
      <c r="K24" s="28" t="s">
        <v>260</v>
      </c>
      <c r="L24" s="28" t="s">
        <v>260</v>
      </c>
      <c r="M24" s="28" t="s">
        <v>260</v>
      </c>
      <c r="N24" s="28" t="s">
        <v>260</v>
      </c>
      <c r="O24" s="28" t="s">
        <v>260</v>
      </c>
      <c r="P24" s="178" t="s">
        <v>341</v>
      </c>
      <c r="Q24" s="178" t="s">
        <v>341</v>
      </c>
      <c r="R24" s="86" t="s">
        <v>261</v>
      </c>
      <c r="S24" s="178" t="s">
        <v>341</v>
      </c>
      <c r="T24" s="28" t="s">
        <v>770</v>
      </c>
      <c r="U24" s="28" t="s">
        <v>260</v>
      </c>
      <c r="V24" s="28" t="s">
        <v>283</v>
      </c>
      <c r="W24" s="28" t="s">
        <v>771</v>
      </c>
      <c r="X24" s="83" t="s">
        <v>260</v>
      </c>
      <c r="Y24" s="113" t="s">
        <v>416</v>
      </c>
      <c r="Z24" s="28" t="s">
        <v>256</v>
      </c>
      <c r="AA24" s="28" t="s">
        <v>256</v>
      </c>
      <c r="AB24" s="28" t="s">
        <v>256</v>
      </c>
      <c r="AC24" s="28" t="s">
        <v>283</v>
      </c>
      <c r="AD24" s="28" t="s">
        <v>256</v>
      </c>
      <c r="AE24" s="28" t="s">
        <v>772</v>
      </c>
      <c r="AF24" s="28" t="s">
        <v>260</v>
      </c>
      <c r="AG24" s="28" t="s">
        <v>261</v>
      </c>
      <c r="AH24" s="85" t="s">
        <v>261</v>
      </c>
    </row>
    <row r="25" spans="1:34" x14ac:dyDescent="0.25">
      <c r="A25" s="131" t="s">
        <v>168</v>
      </c>
      <c r="B25" s="157">
        <v>52</v>
      </c>
      <c r="C25" s="157">
        <v>56</v>
      </c>
      <c r="D25" s="157">
        <v>50</v>
      </c>
      <c r="E25" s="157">
        <v>122</v>
      </c>
      <c r="F25" s="157">
        <v>52</v>
      </c>
      <c r="G25" s="157">
        <v>52</v>
      </c>
      <c r="H25" s="157">
        <v>68</v>
      </c>
      <c r="I25" s="157">
        <v>50</v>
      </c>
      <c r="J25" s="157">
        <v>52</v>
      </c>
      <c r="K25" s="157">
        <v>52</v>
      </c>
      <c r="L25" s="157">
        <v>52</v>
      </c>
      <c r="M25" s="157">
        <v>52</v>
      </c>
      <c r="N25" s="157">
        <v>52</v>
      </c>
      <c r="O25" s="157">
        <v>52</v>
      </c>
      <c r="P25" s="198"/>
      <c r="Q25" s="198"/>
      <c r="R25" s="161">
        <v>48</v>
      </c>
      <c r="S25" s="198"/>
      <c r="T25" s="157">
        <v>159</v>
      </c>
      <c r="U25" s="157">
        <v>52</v>
      </c>
      <c r="V25" s="157">
        <v>56</v>
      </c>
      <c r="W25" s="157">
        <v>103</v>
      </c>
      <c r="X25" s="158">
        <v>52</v>
      </c>
      <c r="Y25" s="157">
        <v>118</v>
      </c>
      <c r="Z25" s="157">
        <v>50</v>
      </c>
      <c r="AA25" s="157">
        <v>50</v>
      </c>
      <c r="AB25" s="157">
        <v>50</v>
      </c>
      <c r="AC25" s="157">
        <v>56</v>
      </c>
      <c r="AD25" s="157">
        <v>50</v>
      </c>
      <c r="AE25" s="157">
        <v>160</v>
      </c>
      <c r="AF25" s="157">
        <v>52</v>
      </c>
      <c r="AG25" s="157">
        <v>48</v>
      </c>
      <c r="AH25" s="158">
        <v>48</v>
      </c>
    </row>
    <row r="26" spans="1:34" x14ac:dyDescent="0.25">
      <c r="A26" s="26" t="s">
        <v>169</v>
      </c>
      <c r="B26" s="29" t="s">
        <v>170</v>
      </c>
      <c r="C26" s="28" t="s">
        <v>170</v>
      </c>
      <c r="D26" s="28" t="s">
        <v>170</v>
      </c>
      <c r="E26" s="28" t="s">
        <v>170</v>
      </c>
      <c r="F26" s="28" t="s">
        <v>170</v>
      </c>
      <c r="G26" s="29" t="s">
        <v>170</v>
      </c>
      <c r="H26" s="29" t="s">
        <v>170</v>
      </c>
      <c r="I26" s="29" t="s">
        <v>170</v>
      </c>
      <c r="J26" s="28" t="s">
        <v>170</v>
      </c>
      <c r="K26" s="29" t="s">
        <v>170</v>
      </c>
      <c r="L26" s="29" t="s">
        <v>170</v>
      </c>
      <c r="M26" s="29" t="s">
        <v>170</v>
      </c>
      <c r="N26" s="28" t="s">
        <v>170</v>
      </c>
      <c r="O26" s="28" t="s">
        <v>170</v>
      </c>
      <c r="P26" s="80" t="s">
        <v>173</v>
      </c>
      <c r="Q26" s="80" t="s">
        <v>173</v>
      </c>
      <c r="R26" s="29" t="s">
        <v>170</v>
      </c>
      <c r="S26" s="80" t="s">
        <v>173</v>
      </c>
      <c r="T26" s="29" t="s">
        <v>170</v>
      </c>
      <c r="U26" s="29" t="s">
        <v>170</v>
      </c>
      <c r="V26" s="28" t="s">
        <v>170</v>
      </c>
      <c r="W26" s="28" t="s">
        <v>170</v>
      </c>
      <c r="X26" s="28" t="s">
        <v>170</v>
      </c>
      <c r="Y26" s="28" t="s">
        <v>170</v>
      </c>
      <c r="Z26" s="28" t="s">
        <v>170</v>
      </c>
      <c r="AA26" s="28" t="s">
        <v>170</v>
      </c>
      <c r="AB26" s="28" t="s">
        <v>170</v>
      </c>
      <c r="AC26" s="28" t="s">
        <v>170</v>
      </c>
      <c r="AD26" s="28" t="s">
        <v>170</v>
      </c>
      <c r="AE26" s="28" t="s">
        <v>170</v>
      </c>
      <c r="AF26" s="28" t="s">
        <v>170</v>
      </c>
      <c r="AG26" s="28" t="s">
        <v>170</v>
      </c>
      <c r="AH26" s="85" t="s">
        <v>170</v>
      </c>
    </row>
    <row r="27" spans="1:34" x14ac:dyDescent="0.25">
      <c r="A27" s="26" t="s">
        <v>171</v>
      </c>
      <c r="B27" s="28" t="s">
        <v>173</v>
      </c>
      <c r="C27" s="28" t="s">
        <v>173</v>
      </c>
      <c r="D27" s="28" t="s">
        <v>173</v>
      </c>
      <c r="E27" s="28" t="s">
        <v>173</v>
      </c>
      <c r="F27" s="28" t="s">
        <v>173</v>
      </c>
      <c r="G27" s="28" t="s">
        <v>173</v>
      </c>
      <c r="H27" s="29" t="s">
        <v>170</v>
      </c>
      <c r="I27" s="28" t="s">
        <v>173</v>
      </c>
      <c r="J27" s="28" t="s">
        <v>173</v>
      </c>
      <c r="K27" s="28" t="s">
        <v>173</v>
      </c>
      <c r="L27" s="28" t="s">
        <v>173</v>
      </c>
      <c r="M27" s="28" t="s">
        <v>173</v>
      </c>
      <c r="N27" s="28" t="s">
        <v>173</v>
      </c>
      <c r="O27" s="28" t="s">
        <v>173</v>
      </c>
      <c r="P27" s="80" t="s">
        <v>173</v>
      </c>
      <c r="Q27" s="80" t="s">
        <v>173</v>
      </c>
      <c r="R27" s="28" t="s">
        <v>173</v>
      </c>
      <c r="S27" s="80" t="s">
        <v>173</v>
      </c>
      <c r="T27" s="28" t="s">
        <v>173</v>
      </c>
      <c r="U27" s="28" t="s">
        <v>173</v>
      </c>
      <c r="V27" s="28" t="s">
        <v>173</v>
      </c>
      <c r="W27" s="28" t="s">
        <v>173</v>
      </c>
      <c r="X27" s="29" t="s">
        <v>173</v>
      </c>
      <c r="Y27" s="29" t="s">
        <v>173</v>
      </c>
      <c r="Z27" s="28" t="s">
        <v>173</v>
      </c>
      <c r="AA27" s="28" t="s">
        <v>173</v>
      </c>
      <c r="AB27" s="28" t="s">
        <v>173</v>
      </c>
      <c r="AC27" s="28" t="s">
        <v>173</v>
      </c>
      <c r="AD27" s="28" t="s">
        <v>173</v>
      </c>
      <c r="AE27" s="28" t="s">
        <v>173</v>
      </c>
      <c r="AF27" s="28" t="s">
        <v>173</v>
      </c>
      <c r="AG27" s="28" t="s">
        <v>173</v>
      </c>
      <c r="AH27" s="83" t="s">
        <v>173</v>
      </c>
    </row>
    <row r="28" spans="1:34" x14ac:dyDescent="0.25">
      <c r="A28" s="26" t="s">
        <v>172</v>
      </c>
      <c r="B28" s="28" t="s">
        <v>170</v>
      </c>
      <c r="C28" s="28" t="s">
        <v>170</v>
      </c>
      <c r="D28" s="28" t="s">
        <v>170</v>
      </c>
      <c r="E28" s="28" t="s">
        <v>170</v>
      </c>
      <c r="F28" s="28" t="s">
        <v>170</v>
      </c>
      <c r="G28" s="28" t="s">
        <v>170</v>
      </c>
      <c r="H28" s="28" t="s">
        <v>173</v>
      </c>
      <c r="I28" s="28" t="s">
        <v>170</v>
      </c>
      <c r="J28" s="28" t="s">
        <v>170</v>
      </c>
      <c r="K28" s="28" t="s">
        <v>170</v>
      </c>
      <c r="L28" s="28" t="s">
        <v>170</v>
      </c>
      <c r="M28" s="28" t="s">
        <v>170</v>
      </c>
      <c r="N28" s="28" t="s">
        <v>170</v>
      </c>
      <c r="O28" s="28" t="s">
        <v>170</v>
      </c>
      <c r="P28" s="80" t="s">
        <v>173</v>
      </c>
      <c r="Q28" s="80" t="s">
        <v>173</v>
      </c>
      <c r="R28" s="28" t="s">
        <v>170</v>
      </c>
      <c r="S28" s="80" t="s">
        <v>173</v>
      </c>
      <c r="T28" s="28" t="s">
        <v>170</v>
      </c>
      <c r="U28" s="28" t="s">
        <v>170</v>
      </c>
      <c r="V28" s="28" t="s">
        <v>170</v>
      </c>
      <c r="W28" s="28" t="s">
        <v>170</v>
      </c>
      <c r="X28" s="28" t="s">
        <v>170</v>
      </c>
      <c r="Y28" s="28" t="s">
        <v>170</v>
      </c>
      <c r="Z28" s="28" t="s">
        <v>170</v>
      </c>
      <c r="AA28" s="28" t="s">
        <v>170</v>
      </c>
      <c r="AB28" s="28" t="s">
        <v>170</v>
      </c>
      <c r="AC28" s="28" t="s">
        <v>170</v>
      </c>
      <c r="AD28" s="28" t="s">
        <v>170</v>
      </c>
      <c r="AE28" s="28" t="s">
        <v>170</v>
      </c>
      <c r="AF28" s="28" t="s">
        <v>170</v>
      </c>
      <c r="AG28" s="28" t="s">
        <v>170</v>
      </c>
      <c r="AH28" s="83" t="s">
        <v>170</v>
      </c>
    </row>
    <row r="29" spans="1:34" x14ac:dyDescent="0.25">
      <c r="A29" s="26" t="s">
        <v>174</v>
      </c>
      <c r="B29" s="28" t="s">
        <v>173</v>
      </c>
      <c r="C29" s="28" t="s">
        <v>173</v>
      </c>
      <c r="D29" s="28" t="s">
        <v>173</v>
      </c>
      <c r="E29" s="28" t="s">
        <v>173</v>
      </c>
      <c r="F29" s="28" t="s">
        <v>173</v>
      </c>
      <c r="G29" s="28" t="s">
        <v>173</v>
      </c>
      <c r="H29" s="28" t="s">
        <v>173</v>
      </c>
      <c r="I29" s="28" t="s">
        <v>173</v>
      </c>
      <c r="J29" s="28" t="s">
        <v>173</v>
      </c>
      <c r="K29" s="28" t="s">
        <v>173</v>
      </c>
      <c r="L29" s="28" t="s">
        <v>173</v>
      </c>
      <c r="M29" s="28" t="s">
        <v>173</v>
      </c>
      <c r="N29" s="28" t="s">
        <v>173</v>
      </c>
      <c r="O29" s="28" t="s">
        <v>173</v>
      </c>
      <c r="P29" s="80" t="s">
        <v>173</v>
      </c>
      <c r="Q29" s="80" t="s">
        <v>173</v>
      </c>
      <c r="R29" s="28" t="s">
        <v>173</v>
      </c>
      <c r="S29" s="80" t="s">
        <v>173</v>
      </c>
      <c r="T29" s="28" t="s">
        <v>173</v>
      </c>
      <c r="U29" s="28" t="s">
        <v>173</v>
      </c>
      <c r="V29" s="28" t="s">
        <v>173</v>
      </c>
      <c r="W29" s="28" t="s">
        <v>173</v>
      </c>
      <c r="X29" s="28" t="s">
        <v>173</v>
      </c>
      <c r="Y29" s="28" t="s">
        <v>173</v>
      </c>
      <c r="Z29" s="28" t="s">
        <v>173</v>
      </c>
      <c r="AA29" s="28" t="s">
        <v>173</v>
      </c>
      <c r="AB29" s="28" t="s">
        <v>173</v>
      </c>
      <c r="AC29" s="28" t="s">
        <v>173</v>
      </c>
      <c r="AD29" s="28" t="s">
        <v>173</v>
      </c>
      <c r="AE29" s="28" t="s">
        <v>173</v>
      </c>
      <c r="AF29" s="28" t="s">
        <v>173</v>
      </c>
      <c r="AG29" s="28" t="s">
        <v>173</v>
      </c>
      <c r="AH29" s="83" t="s">
        <v>173</v>
      </c>
    </row>
    <row r="30" spans="1:34" x14ac:dyDescent="0.25">
      <c r="A30" s="26" t="s">
        <v>175</v>
      </c>
      <c r="B30" s="28" t="s">
        <v>198</v>
      </c>
      <c r="C30" s="28" t="s">
        <v>199</v>
      </c>
      <c r="D30" s="28" t="s">
        <v>198</v>
      </c>
      <c r="E30" s="28" t="s">
        <v>198</v>
      </c>
      <c r="F30" s="28" t="s">
        <v>198</v>
      </c>
      <c r="G30" s="28" t="s">
        <v>198</v>
      </c>
      <c r="H30" s="28" t="s">
        <v>397</v>
      </c>
      <c r="I30" s="28" t="s">
        <v>198</v>
      </c>
      <c r="J30" s="28" t="s">
        <v>198</v>
      </c>
      <c r="K30" s="28" t="s">
        <v>198</v>
      </c>
      <c r="L30" s="28" t="s">
        <v>198</v>
      </c>
      <c r="M30" s="28" t="s">
        <v>198</v>
      </c>
      <c r="N30" s="28" t="s">
        <v>198</v>
      </c>
      <c r="O30" s="28" t="s">
        <v>198</v>
      </c>
      <c r="P30" s="80" t="s">
        <v>198</v>
      </c>
      <c r="Q30" s="80" t="s">
        <v>198</v>
      </c>
      <c r="R30" s="28" t="s">
        <v>198</v>
      </c>
      <c r="S30" s="80" t="s">
        <v>198</v>
      </c>
      <c r="T30" s="28" t="s">
        <v>198</v>
      </c>
      <c r="U30" s="28" t="s">
        <v>198</v>
      </c>
      <c r="V30" s="28" t="s">
        <v>199</v>
      </c>
      <c r="W30" s="28" t="s">
        <v>370</v>
      </c>
      <c r="X30" s="28" t="s">
        <v>198</v>
      </c>
      <c r="Y30" s="28" t="s">
        <v>198</v>
      </c>
      <c r="Z30" s="28" t="s">
        <v>198</v>
      </c>
      <c r="AA30" s="28" t="s">
        <v>198</v>
      </c>
      <c r="AB30" s="28" t="s">
        <v>198</v>
      </c>
      <c r="AC30" s="28" t="s">
        <v>199</v>
      </c>
      <c r="AD30" s="28" t="s">
        <v>198</v>
      </c>
      <c r="AE30" s="28" t="s">
        <v>370</v>
      </c>
      <c r="AF30" s="28" t="s">
        <v>198</v>
      </c>
      <c r="AG30" s="28" t="s">
        <v>198</v>
      </c>
      <c r="AH30" s="83" t="s">
        <v>198</v>
      </c>
    </row>
    <row r="31" spans="1:34" x14ac:dyDescent="0.25">
      <c r="A31" s="26" t="s">
        <v>176</v>
      </c>
      <c r="B31" s="30">
        <v>0.5</v>
      </c>
      <c r="C31" s="30">
        <v>-0.5</v>
      </c>
      <c r="D31" s="30">
        <v>1</v>
      </c>
      <c r="E31" s="30">
        <f>AVERAGE(0.5,0.5,0.5,1)</f>
        <v>0.625</v>
      </c>
      <c r="F31" s="30">
        <v>0.5</v>
      </c>
      <c r="G31" s="30">
        <v>0.5</v>
      </c>
      <c r="H31" s="30">
        <v>-6</v>
      </c>
      <c r="I31" s="30">
        <v>1</v>
      </c>
      <c r="J31" s="30">
        <v>0.5</v>
      </c>
      <c r="K31" s="30">
        <v>0.5</v>
      </c>
      <c r="L31" s="30">
        <v>0.5</v>
      </c>
      <c r="M31" s="30">
        <v>0.5</v>
      </c>
      <c r="N31" s="30">
        <v>0.5</v>
      </c>
      <c r="O31" s="30">
        <v>0.5</v>
      </c>
      <c r="P31" s="82">
        <v>0</v>
      </c>
      <c r="Q31" s="82">
        <v>0</v>
      </c>
      <c r="R31" s="30">
        <f>4/3</f>
        <v>1.3333333333333333</v>
      </c>
      <c r="S31" s="82">
        <v>0</v>
      </c>
      <c r="T31" s="30">
        <f>AVERAGE(1,1,-0.5)</f>
        <v>0.5</v>
      </c>
      <c r="U31" s="30">
        <v>0.5</v>
      </c>
      <c r="V31" s="30">
        <v>-0.5</v>
      </c>
      <c r="W31" s="30">
        <f>AVERAGE(0.5,-0.5)</f>
        <v>0</v>
      </c>
      <c r="X31" s="30">
        <v>0.5</v>
      </c>
      <c r="Y31" s="30">
        <f>AVERAGE(1,1,1,0.5)</f>
        <v>0.875</v>
      </c>
      <c r="Z31" s="30">
        <v>1</v>
      </c>
      <c r="AA31" s="30">
        <v>1</v>
      </c>
      <c r="AB31" s="30">
        <v>1</v>
      </c>
      <c r="AC31" s="30">
        <v>-0.5</v>
      </c>
      <c r="AD31" s="30">
        <v>1</v>
      </c>
      <c r="AE31" s="30">
        <f>AVERAGE(1,-0.5)</f>
        <v>0.25</v>
      </c>
      <c r="AF31" s="30">
        <v>0.5</v>
      </c>
      <c r="AG31" s="30">
        <f>4/3</f>
        <v>1.3333333333333333</v>
      </c>
      <c r="AH31" s="88">
        <f>4/3</f>
        <v>1.3333333333333333</v>
      </c>
    </row>
    <row r="32" spans="1:34" x14ac:dyDescent="0.25">
      <c r="A32" s="26" t="s">
        <v>177</v>
      </c>
      <c r="B32" s="28" t="s">
        <v>181</v>
      </c>
      <c r="C32" s="28" t="s">
        <v>181</v>
      </c>
      <c r="D32" s="28" t="s">
        <v>181</v>
      </c>
      <c r="E32" s="28" t="s">
        <v>181</v>
      </c>
      <c r="F32" s="28" t="s">
        <v>181</v>
      </c>
      <c r="G32" s="28" t="s">
        <v>181</v>
      </c>
      <c r="H32" s="28" t="s">
        <v>181</v>
      </c>
      <c r="I32" s="28" t="s">
        <v>181</v>
      </c>
      <c r="J32" s="28" t="s">
        <v>181</v>
      </c>
      <c r="K32" s="28" t="s">
        <v>181</v>
      </c>
      <c r="L32" s="28" t="s">
        <v>181</v>
      </c>
      <c r="M32" s="28" t="s">
        <v>181</v>
      </c>
      <c r="N32" s="28" t="s">
        <v>181</v>
      </c>
      <c r="O32" s="28" t="s">
        <v>181</v>
      </c>
      <c r="P32" s="80" t="s">
        <v>341</v>
      </c>
      <c r="Q32" s="80" t="s">
        <v>341</v>
      </c>
      <c r="R32" s="28" t="s">
        <v>181</v>
      </c>
      <c r="S32" s="80" t="s">
        <v>341</v>
      </c>
      <c r="T32" s="28" t="s">
        <v>181</v>
      </c>
      <c r="U32" s="28" t="s">
        <v>181</v>
      </c>
      <c r="V32" s="28" t="s">
        <v>181</v>
      </c>
      <c r="W32" s="28" t="s">
        <v>181</v>
      </c>
      <c r="X32" s="28" t="s">
        <v>181</v>
      </c>
      <c r="Y32" s="28" t="s">
        <v>181</v>
      </c>
      <c r="Z32" s="28" t="s">
        <v>181</v>
      </c>
      <c r="AA32" s="28" t="s">
        <v>181</v>
      </c>
      <c r="AB32" s="28" t="s">
        <v>181</v>
      </c>
      <c r="AC32" s="28" t="s">
        <v>181</v>
      </c>
      <c r="AD32" s="28" t="s">
        <v>181</v>
      </c>
      <c r="AE32" s="28" t="s">
        <v>181</v>
      </c>
      <c r="AF32" s="28" t="s">
        <v>181</v>
      </c>
      <c r="AG32" s="28" t="s">
        <v>181</v>
      </c>
      <c r="AH32" s="83" t="s">
        <v>181</v>
      </c>
    </row>
    <row r="33" spans="1:34" x14ac:dyDescent="0.25">
      <c r="A33" s="26" t="s">
        <v>182</v>
      </c>
      <c r="B33" s="30">
        <v>2</v>
      </c>
      <c r="C33" s="30">
        <v>2</v>
      </c>
      <c r="D33" s="30">
        <v>2</v>
      </c>
      <c r="E33" s="30">
        <v>2</v>
      </c>
      <c r="F33" s="30">
        <v>2</v>
      </c>
      <c r="G33" s="30">
        <v>2</v>
      </c>
      <c r="H33" s="30">
        <v>2</v>
      </c>
      <c r="I33" s="30">
        <v>2</v>
      </c>
      <c r="J33" s="30">
        <v>2</v>
      </c>
      <c r="K33" s="30">
        <v>2</v>
      </c>
      <c r="L33" s="30">
        <v>2</v>
      </c>
      <c r="M33" s="30">
        <v>2</v>
      </c>
      <c r="N33" s="30">
        <v>2</v>
      </c>
      <c r="O33" s="30">
        <v>2</v>
      </c>
      <c r="P33" s="82">
        <v>0</v>
      </c>
      <c r="Q33" s="82">
        <v>0</v>
      </c>
      <c r="R33" s="30">
        <v>2</v>
      </c>
      <c r="S33" s="82">
        <v>0</v>
      </c>
      <c r="T33" s="30">
        <v>2</v>
      </c>
      <c r="U33" s="30">
        <v>2</v>
      </c>
      <c r="V33" s="30">
        <v>2</v>
      </c>
      <c r="W33" s="30">
        <v>2</v>
      </c>
      <c r="X33" s="30">
        <v>2</v>
      </c>
      <c r="Y33" s="30">
        <v>2</v>
      </c>
      <c r="Z33" s="30">
        <v>2</v>
      </c>
      <c r="AA33" s="30">
        <v>2</v>
      </c>
      <c r="AB33" s="30">
        <v>2</v>
      </c>
      <c r="AC33" s="30">
        <v>2</v>
      </c>
      <c r="AD33" s="30">
        <v>2</v>
      </c>
      <c r="AE33" s="30">
        <v>2</v>
      </c>
      <c r="AF33" s="30">
        <v>2</v>
      </c>
      <c r="AG33" s="30">
        <v>2</v>
      </c>
      <c r="AH33" s="88">
        <v>2</v>
      </c>
    </row>
    <row r="34" spans="1:34" x14ac:dyDescent="0.25">
      <c r="A34" s="31"/>
    </row>
    <row r="35" spans="1:34" x14ac:dyDescent="0.25">
      <c r="A35" s="26" t="s">
        <v>159</v>
      </c>
      <c r="B35" s="28" t="s">
        <v>191</v>
      </c>
      <c r="C35" s="28" t="s">
        <v>192</v>
      </c>
      <c r="D35" s="28" t="s">
        <v>192</v>
      </c>
      <c r="E35" s="28" t="s">
        <v>192</v>
      </c>
      <c r="F35" s="28" t="s">
        <v>192</v>
      </c>
      <c r="G35" s="28" t="s">
        <v>192</v>
      </c>
      <c r="H35" s="28" t="s">
        <v>192</v>
      </c>
      <c r="I35" s="28" t="s">
        <v>192</v>
      </c>
      <c r="J35" s="28" t="s">
        <v>192</v>
      </c>
      <c r="K35" s="28" t="s">
        <v>192</v>
      </c>
      <c r="L35" s="28" t="s">
        <v>192</v>
      </c>
      <c r="M35" s="28" t="s">
        <v>192</v>
      </c>
      <c r="N35" s="28" t="s">
        <v>192</v>
      </c>
      <c r="O35" s="28" t="s">
        <v>192</v>
      </c>
      <c r="P35" s="28" t="s">
        <v>192</v>
      </c>
      <c r="Q35" s="28" t="s">
        <v>192</v>
      </c>
      <c r="R35" s="28" t="s">
        <v>192</v>
      </c>
      <c r="S35" s="28" t="s">
        <v>192</v>
      </c>
      <c r="T35" s="28" t="s">
        <v>192</v>
      </c>
      <c r="U35" s="28" t="s">
        <v>192</v>
      </c>
      <c r="V35" s="28" t="s">
        <v>192</v>
      </c>
      <c r="W35" s="28" t="s">
        <v>192</v>
      </c>
      <c r="X35" s="28" t="s">
        <v>192</v>
      </c>
      <c r="Y35" s="28" t="s">
        <v>192</v>
      </c>
      <c r="Z35" s="28" t="s">
        <v>192</v>
      </c>
      <c r="AA35" s="28" t="s">
        <v>192</v>
      </c>
      <c r="AB35" s="28" t="s">
        <v>192</v>
      </c>
      <c r="AC35" s="28" t="s">
        <v>192</v>
      </c>
      <c r="AD35" s="28" t="s">
        <v>192</v>
      </c>
      <c r="AE35" s="28" t="s">
        <v>192</v>
      </c>
      <c r="AF35" s="28" t="s">
        <v>192</v>
      </c>
      <c r="AG35" s="28" t="s">
        <v>192</v>
      </c>
      <c r="AH35" s="28" t="s">
        <v>192</v>
      </c>
    </row>
    <row r="36" spans="1:34" x14ac:dyDescent="0.25">
      <c r="A36" s="26" t="s">
        <v>165</v>
      </c>
      <c r="B36" s="28" t="s">
        <v>195</v>
      </c>
      <c r="C36" s="28" t="s">
        <v>195</v>
      </c>
      <c r="D36" s="28" t="s">
        <v>195</v>
      </c>
      <c r="E36" s="28" t="s">
        <v>195</v>
      </c>
      <c r="F36" s="28" t="s">
        <v>195</v>
      </c>
      <c r="G36" s="28" t="s">
        <v>195</v>
      </c>
      <c r="H36" s="28" t="s">
        <v>195</v>
      </c>
      <c r="I36" s="28" t="s">
        <v>195</v>
      </c>
      <c r="J36" s="28" t="s">
        <v>195</v>
      </c>
      <c r="K36" s="28" t="s">
        <v>195</v>
      </c>
      <c r="L36" s="28" t="s">
        <v>195</v>
      </c>
      <c r="M36" s="28" t="s">
        <v>195</v>
      </c>
      <c r="N36" s="28" t="s">
        <v>195</v>
      </c>
      <c r="O36" s="28" t="s">
        <v>195</v>
      </c>
      <c r="P36" s="28" t="s">
        <v>195</v>
      </c>
      <c r="Q36" s="28" t="s">
        <v>195</v>
      </c>
      <c r="R36" s="28" t="s">
        <v>195</v>
      </c>
      <c r="S36" s="28" t="s">
        <v>195</v>
      </c>
      <c r="T36" s="28" t="s">
        <v>195</v>
      </c>
      <c r="U36" s="28" t="s">
        <v>195</v>
      </c>
      <c r="V36" s="28" t="s">
        <v>195</v>
      </c>
      <c r="W36" s="28" t="s">
        <v>195</v>
      </c>
      <c r="X36" s="28" t="s">
        <v>195</v>
      </c>
      <c r="Y36" s="28" t="s">
        <v>195</v>
      </c>
      <c r="Z36" s="28" t="s">
        <v>195</v>
      </c>
      <c r="AA36" s="28" t="s">
        <v>195</v>
      </c>
      <c r="AB36" s="28" t="s">
        <v>195</v>
      </c>
      <c r="AC36" s="28" t="s">
        <v>195</v>
      </c>
      <c r="AD36" s="28" t="s">
        <v>195</v>
      </c>
      <c r="AE36" s="28" t="s">
        <v>590</v>
      </c>
      <c r="AF36" s="28" t="s">
        <v>195</v>
      </c>
      <c r="AG36" s="28" t="s">
        <v>195</v>
      </c>
      <c r="AH36" s="28" t="s">
        <v>195</v>
      </c>
    </row>
    <row r="37" spans="1:34" x14ac:dyDescent="0.25">
      <c r="A37" s="131" t="s">
        <v>168</v>
      </c>
      <c r="B37" s="157">
        <v>5</v>
      </c>
      <c r="C37" s="157">
        <v>5</v>
      </c>
      <c r="D37" s="157">
        <v>5</v>
      </c>
      <c r="E37" s="157">
        <v>5</v>
      </c>
      <c r="F37" s="157">
        <v>5</v>
      </c>
      <c r="G37" s="157">
        <v>5</v>
      </c>
      <c r="H37" s="157">
        <v>5</v>
      </c>
      <c r="I37" s="157">
        <v>5</v>
      </c>
      <c r="J37" s="157">
        <v>5</v>
      </c>
      <c r="K37" s="157">
        <v>5</v>
      </c>
      <c r="L37" s="157">
        <v>5</v>
      </c>
      <c r="M37" s="157">
        <v>5</v>
      </c>
      <c r="N37" s="157">
        <v>5</v>
      </c>
      <c r="O37" s="157">
        <v>5</v>
      </c>
      <c r="P37" s="157">
        <v>5</v>
      </c>
      <c r="Q37" s="157">
        <v>5</v>
      </c>
      <c r="R37" s="157">
        <v>5</v>
      </c>
      <c r="S37" s="157">
        <v>5</v>
      </c>
      <c r="T37" s="157">
        <v>5</v>
      </c>
      <c r="U37" s="157">
        <v>5</v>
      </c>
      <c r="V37" s="157">
        <v>5</v>
      </c>
      <c r="W37" s="157">
        <v>5</v>
      </c>
      <c r="X37" s="157">
        <v>5</v>
      </c>
      <c r="Y37" s="157">
        <v>5</v>
      </c>
      <c r="Z37" s="157">
        <v>5</v>
      </c>
      <c r="AA37" s="157">
        <v>5</v>
      </c>
      <c r="AB37" s="157">
        <v>5</v>
      </c>
      <c r="AC37" s="157">
        <v>5</v>
      </c>
      <c r="AD37" s="157">
        <v>5</v>
      </c>
      <c r="AE37" s="168">
        <v>13</v>
      </c>
      <c r="AF37" s="157">
        <v>5</v>
      </c>
      <c r="AG37" s="157">
        <v>5</v>
      </c>
      <c r="AH37" s="157">
        <v>5</v>
      </c>
    </row>
    <row r="38" spans="1:34" x14ac:dyDescent="0.25">
      <c r="A38" s="26" t="s">
        <v>169</v>
      </c>
      <c r="B38" s="29" t="s">
        <v>170</v>
      </c>
      <c r="C38" s="29" t="s">
        <v>170</v>
      </c>
      <c r="D38" s="29" t="s">
        <v>170</v>
      </c>
      <c r="E38" s="29" t="s">
        <v>170</v>
      </c>
      <c r="F38" s="29" t="s">
        <v>170</v>
      </c>
      <c r="G38" s="29" t="s">
        <v>170</v>
      </c>
      <c r="H38" s="29" t="s">
        <v>170</v>
      </c>
      <c r="I38" s="29" t="s">
        <v>170</v>
      </c>
      <c r="J38" s="29" t="s">
        <v>170</v>
      </c>
      <c r="K38" s="29" t="s">
        <v>170</v>
      </c>
      <c r="L38" s="29" t="s">
        <v>170</v>
      </c>
      <c r="M38" s="29" t="s">
        <v>170</v>
      </c>
      <c r="N38" s="29" t="s">
        <v>170</v>
      </c>
      <c r="O38" s="29" t="s">
        <v>170</v>
      </c>
      <c r="P38" s="29" t="s">
        <v>170</v>
      </c>
      <c r="Q38" s="29" t="s">
        <v>170</v>
      </c>
      <c r="R38" s="29" t="s">
        <v>170</v>
      </c>
      <c r="S38" s="29" t="s">
        <v>170</v>
      </c>
      <c r="T38" s="29" t="s">
        <v>170</v>
      </c>
      <c r="U38" s="29" t="s">
        <v>170</v>
      </c>
      <c r="V38" s="29" t="s">
        <v>170</v>
      </c>
      <c r="W38" s="29" t="s">
        <v>170</v>
      </c>
      <c r="X38" s="29" t="s">
        <v>170</v>
      </c>
      <c r="Y38" s="29" t="s">
        <v>170</v>
      </c>
      <c r="Z38" s="29" t="s">
        <v>170</v>
      </c>
      <c r="AA38" s="29" t="s">
        <v>170</v>
      </c>
      <c r="AB38" s="29" t="s">
        <v>170</v>
      </c>
      <c r="AC38" s="29" t="s">
        <v>170</v>
      </c>
      <c r="AD38" s="29" t="s">
        <v>170</v>
      </c>
      <c r="AE38" s="91" t="s">
        <v>170</v>
      </c>
      <c r="AF38" s="29" t="s">
        <v>170</v>
      </c>
      <c r="AG38" s="29" t="s">
        <v>170</v>
      </c>
      <c r="AH38" s="29" t="s">
        <v>170</v>
      </c>
    </row>
    <row r="39" spans="1:34" x14ac:dyDescent="0.25">
      <c r="A39" s="26" t="s">
        <v>171</v>
      </c>
      <c r="B39" s="28" t="s">
        <v>173</v>
      </c>
      <c r="C39" s="28" t="s">
        <v>173</v>
      </c>
      <c r="D39" s="28" t="s">
        <v>173</v>
      </c>
      <c r="E39" s="28" t="s">
        <v>173</v>
      </c>
      <c r="F39" s="28" t="s">
        <v>173</v>
      </c>
      <c r="G39" s="28" t="s">
        <v>173</v>
      </c>
      <c r="H39" s="28" t="s">
        <v>173</v>
      </c>
      <c r="I39" s="28" t="s">
        <v>173</v>
      </c>
      <c r="J39" s="28" t="s">
        <v>173</v>
      </c>
      <c r="K39" s="28" t="s">
        <v>173</v>
      </c>
      <c r="L39" s="28" t="s">
        <v>173</v>
      </c>
      <c r="M39" s="28" t="s">
        <v>173</v>
      </c>
      <c r="N39" s="28" t="s">
        <v>173</v>
      </c>
      <c r="O39" s="28" t="s">
        <v>173</v>
      </c>
      <c r="P39" s="28" t="s">
        <v>173</v>
      </c>
      <c r="Q39" s="28" t="s">
        <v>173</v>
      </c>
      <c r="R39" s="28" t="s">
        <v>173</v>
      </c>
      <c r="S39" s="28" t="s">
        <v>173</v>
      </c>
      <c r="T39" s="28" t="s">
        <v>173</v>
      </c>
      <c r="U39" s="28" t="s">
        <v>173</v>
      </c>
      <c r="V39" s="28" t="s">
        <v>173</v>
      </c>
      <c r="W39" s="28" t="s">
        <v>173</v>
      </c>
      <c r="X39" s="28" t="s">
        <v>173</v>
      </c>
      <c r="Y39" s="28" t="s">
        <v>173</v>
      </c>
      <c r="Z39" s="28" t="s">
        <v>173</v>
      </c>
      <c r="AA39" s="28" t="s">
        <v>173</v>
      </c>
      <c r="AB39" s="28" t="s">
        <v>173</v>
      </c>
      <c r="AC39" s="28" t="s">
        <v>173</v>
      </c>
      <c r="AD39" s="28" t="s">
        <v>173</v>
      </c>
      <c r="AE39" s="86" t="s">
        <v>173</v>
      </c>
      <c r="AF39" s="28" t="s">
        <v>173</v>
      </c>
      <c r="AG39" s="28" t="s">
        <v>173</v>
      </c>
      <c r="AH39" s="28" t="s">
        <v>173</v>
      </c>
    </row>
    <row r="40" spans="1:34" x14ac:dyDescent="0.25">
      <c r="A40" s="26" t="s">
        <v>172</v>
      </c>
      <c r="B40" s="28" t="s">
        <v>173</v>
      </c>
      <c r="C40" s="28" t="s">
        <v>173</v>
      </c>
      <c r="D40" s="28" t="s">
        <v>173</v>
      </c>
      <c r="E40" s="28" t="s">
        <v>173</v>
      </c>
      <c r="F40" s="28" t="s">
        <v>173</v>
      </c>
      <c r="G40" s="28" t="s">
        <v>173</v>
      </c>
      <c r="H40" s="28" t="s">
        <v>173</v>
      </c>
      <c r="I40" s="28" t="s">
        <v>173</v>
      </c>
      <c r="J40" s="28" t="s">
        <v>173</v>
      </c>
      <c r="K40" s="28" t="s">
        <v>173</v>
      </c>
      <c r="L40" s="28" t="s">
        <v>173</v>
      </c>
      <c r="M40" s="28" t="s">
        <v>173</v>
      </c>
      <c r="N40" s="28" t="s">
        <v>173</v>
      </c>
      <c r="O40" s="28" t="s">
        <v>173</v>
      </c>
      <c r="P40" s="28" t="s">
        <v>173</v>
      </c>
      <c r="Q40" s="28" t="s">
        <v>173</v>
      </c>
      <c r="R40" s="28" t="s">
        <v>173</v>
      </c>
      <c r="S40" s="28" t="s">
        <v>173</v>
      </c>
      <c r="T40" s="28" t="s">
        <v>173</v>
      </c>
      <c r="U40" s="28" t="s">
        <v>173</v>
      </c>
      <c r="V40" s="28" t="s">
        <v>173</v>
      </c>
      <c r="W40" s="28" t="s">
        <v>173</v>
      </c>
      <c r="X40" s="28" t="s">
        <v>173</v>
      </c>
      <c r="Y40" s="28" t="s">
        <v>173</v>
      </c>
      <c r="Z40" s="28" t="s">
        <v>173</v>
      </c>
      <c r="AA40" s="28" t="s">
        <v>173</v>
      </c>
      <c r="AB40" s="28" t="s">
        <v>173</v>
      </c>
      <c r="AC40" s="28" t="s">
        <v>173</v>
      </c>
      <c r="AD40" s="28" t="s">
        <v>173</v>
      </c>
      <c r="AE40" s="86" t="s">
        <v>173</v>
      </c>
      <c r="AF40" s="28" t="s">
        <v>173</v>
      </c>
      <c r="AG40" s="28" t="s">
        <v>173</v>
      </c>
      <c r="AH40" s="28" t="s">
        <v>173</v>
      </c>
    </row>
    <row r="41" spans="1:34" x14ac:dyDescent="0.25">
      <c r="A41" s="26" t="s">
        <v>174</v>
      </c>
      <c r="B41" s="28" t="s">
        <v>173</v>
      </c>
      <c r="C41" s="28" t="s">
        <v>173</v>
      </c>
      <c r="D41" s="28" t="s">
        <v>173</v>
      </c>
      <c r="E41" s="28" t="s">
        <v>173</v>
      </c>
      <c r="F41" s="28" t="s">
        <v>173</v>
      </c>
      <c r="G41" s="28" t="s">
        <v>173</v>
      </c>
      <c r="H41" s="28" t="s">
        <v>173</v>
      </c>
      <c r="I41" s="28" t="s">
        <v>173</v>
      </c>
      <c r="J41" s="28" t="s">
        <v>173</v>
      </c>
      <c r="K41" s="28" t="s">
        <v>173</v>
      </c>
      <c r="L41" s="28" t="s">
        <v>173</v>
      </c>
      <c r="M41" s="28" t="s">
        <v>173</v>
      </c>
      <c r="N41" s="28" t="s">
        <v>173</v>
      </c>
      <c r="O41" s="28" t="s">
        <v>173</v>
      </c>
      <c r="P41" s="28" t="s">
        <v>173</v>
      </c>
      <c r="Q41" s="28" t="s">
        <v>173</v>
      </c>
      <c r="R41" s="28" t="s">
        <v>173</v>
      </c>
      <c r="S41" s="28" t="s">
        <v>173</v>
      </c>
      <c r="T41" s="28" t="s">
        <v>173</v>
      </c>
      <c r="U41" s="28" t="s">
        <v>173</v>
      </c>
      <c r="V41" s="28" t="s">
        <v>173</v>
      </c>
      <c r="W41" s="28" t="s">
        <v>173</v>
      </c>
      <c r="X41" s="28" t="s">
        <v>173</v>
      </c>
      <c r="Y41" s="28" t="s">
        <v>173</v>
      </c>
      <c r="Z41" s="28" t="s">
        <v>173</v>
      </c>
      <c r="AA41" s="28" t="s">
        <v>173</v>
      </c>
      <c r="AB41" s="28" t="s">
        <v>173</v>
      </c>
      <c r="AC41" s="28" t="s">
        <v>173</v>
      </c>
      <c r="AD41" s="28" t="s">
        <v>173</v>
      </c>
      <c r="AE41" s="86" t="s">
        <v>173</v>
      </c>
      <c r="AF41" s="28" t="s">
        <v>173</v>
      </c>
      <c r="AG41" s="28" t="s">
        <v>173</v>
      </c>
      <c r="AH41" s="28" t="s">
        <v>173</v>
      </c>
    </row>
    <row r="42" spans="1:34" x14ac:dyDescent="0.25">
      <c r="A42" s="26" t="s">
        <v>175</v>
      </c>
      <c r="B42" s="28" t="s">
        <v>198</v>
      </c>
      <c r="C42" s="28" t="s">
        <v>198</v>
      </c>
      <c r="D42" s="28" t="s">
        <v>198</v>
      </c>
      <c r="E42" s="28" t="s">
        <v>198</v>
      </c>
      <c r="F42" s="28" t="s">
        <v>198</v>
      </c>
      <c r="G42" s="28" t="s">
        <v>198</v>
      </c>
      <c r="H42" s="28" t="s">
        <v>198</v>
      </c>
      <c r="I42" s="28" t="s">
        <v>198</v>
      </c>
      <c r="J42" s="28" t="s">
        <v>198</v>
      </c>
      <c r="K42" s="28" t="s">
        <v>198</v>
      </c>
      <c r="L42" s="28" t="s">
        <v>198</v>
      </c>
      <c r="M42" s="28" t="s">
        <v>198</v>
      </c>
      <c r="N42" s="28" t="s">
        <v>198</v>
      </c>
      <c r="O42" s="28" t="s">
        <v>198</v>
      </c>
      <c r="P42" s="28" t="s">
        <v>198</v>
      </c>
      <c r="Q42" s="28" t="s">
        <v>198</v>
      </c>
      <c r="R42" s="28" t="s">
        <v>198</v>
      </c>
      <c r="S42" s="28" t="s">
        <v>198</v>
      </c>
      <c r="T42" s="28" t="s">
        <v>198</v>
      </c>
      <c r="U42" s="28" t="s">
        <v>198</v>
      </c>
      <c r="V42" s="28" t="s">
        <v>198</v>
      </c>
      <c r="W42" s="28" t="s">
        <v>198</v>
      </c>
      <c r="X42" s="28" t="s">
        <v>198</v>
      </c>
      <c r="Y42" s="28" t="s">
        <v>198</v>
      </c>
      <c r="Z42" s="28" t="s">
        <v>198</v>
      </c>
      <c r="AA42" s="28" t="s">
        <v>198</v>
      </c>
      <c r="AB42" s="28" t="s">
        <v>198</v>
      </c>
      <c r="AC42" s="28" t="s">
        <v>198</v>
      </c>
      <c r="AD42" s="28" t="s">
        <v>198</v>
      </c>
      <c r="AE42" s="86" t="s">
        <v>199</v>
      </c>
      <c r="AF42" s="28" t="s">
        <v>198</v>
      </c>
      <c r="AG42" s="28" t="s">
        <v>198</v>
      </c>
      <c r="AH42" s="28" t="s">
        <v>198</v>
      </c>
    </row>
    <row r="43" spans="1:34" x14ac:dyDescent="0.25">
      <c r="A43" s="26" t="s">
        <v>176</v>
      </c>
      <c r="B43" s="30">
        <f>5/3</f>
        <v>1.6666666666666667</v>
      </c>
      <c r="C43" s="30">
        <f t="shared" ref="C43:O43" si="0">5/3</f>
        <v>1.6666666666666667</v>
      </c>
      <c r="D43" s="30">
        <f t="shared" si="0"/>
        <v>1.6666666666666667</v>
      </c>
      <c r="E43" s="30">
        <f t="shared" si="0"/>
        <v>1.6666666666666667</v>
      </c>
      <c r="F43" s="30">
        <f t="shared" si="0"/>
        <v>1.6666666666666667</v>
      </c>
      <c r="G43" s="30">
        <f t="shared" si="0"/>
        <v>1.6666666666666667</v>
      </c>
      <c r="H43" s="30">
        <f t="shared" si="0"/>
        <v>1.6666666666666667</v>
      </c>
      <c r="I43" s="30">
        <f t="shared" si="0"/>
        <v>1.6666666666666667</v>
      </c>
      <c r="J43" s="30">
        <f t="shared" si="0"/>
        <v>1.6666666666666667</v>
      </c>
      <c r="K43" s="30">
        <f t="shared" si="0"/>
        <v>1.6666666666666667</v>
      </c>
      <c r="L43" s="30">
        <f t="shared" si="0"/>
        <v>1.6666666666666667</v>
      </c>
      <c r="M43" s="30">
        <f t="shared" si="0"/>
        <v>1.6666666666666667</v>
      </c>
      <c r="N43" s="30">
        <f t="shared" si="0"/>
        <v>1.6666666666666667</v>
      </c>
      <c r="O43" s="30">
        <f t="shared" si="0"/>
        <v>1.6666666666666667</v>
      </c>
      <c r="P43" s="30">
        <f t="shared" ref="P43:U43" si="1">5/3</f>
        <v>1.6666666666666667</v>
      </c>
      <c r="Q43" s="30">
        <f t="shared" si="1"/>
        <v>1.6666666666666667</v>
      </c>
      <c r="R43" s="30">
        <f t="shared" si="1"/>
        <v>1.6666666666666667</v>
      </c>
      <c r="S43" s="30">
        <f t="shared" si="1"/>
        <v>1.6666666666666667</v>
      </c>
      <c r="T43" s="30">
        <f t="shared" si="1"/>
        <v>1.6666666666666667</v>
      </c>
      <c r="U43" s="30">
        <f t="shared" si="1"/>
        <v>1.6666666666666667</v>
      </c>
      <c r="V43" s="30">
        <f t="shared" ref="V43:Y43" si="2">5/3</f>
        <v>1.6666666666666667</v>
      </c>
      <c r="W43" s="30">
        <f t="shared" si="2"/>
        <v>1.6666666666666667</v>
      </c>
      <c r="X43" s="30">
        <f t="shared" si="2"/>
        <v>1.6666666666666667</v>
      </c>
      <c r="Y43" s="30">
        <f t="shared" si="2"/>
        <v>1.6666666666666667</v>
      </c>
      <c r="Z43" s="30">
        <f>5/3</f>
        <v>1.6666666666666667</v>
      </c>
      <c r="AA43" s="30">
        <f t="shared" ref="AA43:AD43" si="3">5/3</f>
        <v>1.6666666666666667</v>
      </c>
      <c r="AB43" s="30">
        <f t="shared" si="3"/>
        <v>1.6666666666666667</v>
      </c>
      <c r="AC43" s="30">
        <f t="shared" si="3"/>
        <v>1.6666666666666667</v>
      </c>
      <c r="AD43" s="30">
        <f t="shared" si="3"/>
        <v>1.6666666666666667</v>
      </c>
      <c r="AE43" s="92">
        <v>-1.25</v>
      </c>
      <c r="AF43" s="30">
        <f>5/3</f>
        <v>1.6666666666666667</v>
      </c>
      <c r="AG43" s="30">
        <f>5/3</f>
        <v>1.6666666666666667</v>
      </c>
      <c r="AH43" s="30">
        <f>5/3</f>
        <v>1.6666666666666667</v>
      </c>
    </row>
    <row r="44" spans="1:34" x14ac:dyDescent="0.25">
      <c r="A44" s="26" t="s">
        <v>177</v>
      </c>
      <c r="B44" s="28" t="s">
        <v>178</v>
      </c>
      <c r="C44" s="28" t="s">
        <v>178</v>
      </c>
      <c r="D44" s="28" t="s">
        <v>178</v>
      </c>
      <c r="E44" s="28" t="s">
        <v>178</v>
      </c>
      <c r="F44" s="28" t="s">
        <v>178</v>
      </c>
      <c r="G44" s="28" t="s">
        <v>178</v>
      </c>
      <c r="H44" s="28" t="s">
        <v>178</v>
      </c>
      <c r="I44" s="28" t="s">
        <v>178</v>
      </c>
      <c r="J44" s="28" t="s">
        <v>178</v>
      </c>
      <c r="K44" s="28" t="s">
        <v>178</v>
      </c>
      <c r="L44" s="28" t="s">
        <v>178</v>
      </c>
      <c r="M44" s="28" t="s">
        <v>178</v>
      </c>
      <c r="N44" s="28" t="s">
        <v>178</v>
      </c>
      <c r="O44" s="28" t="s">
        <v>178</v>
      </c>
      <c r="P44" s="28" t="s">
        <v>178</v>
      </c>
      <c r="Q44" s="28" t="s">
        <v>178</v>
      </c>
      <c r="R44" s="28" t="s">
        <v>178</v>
      </c>
      <c r="S44" s="28" t="s">
        <v>178</v>
      </c>
      <c r="T44" s="28" t="s">
        <v>178</v>
      </c>
      <c r="U44" s="28" t="s">
        <v>178</v>
      </c>
      <c r="V44" s="28" t="s">
        <v>178</v>
      </c>
      <c r="W44" s="28" t="s">
        <v>178</v>
      </c>
      <c r="X44" s="28" t="s">
        <v>178</v>
      </c>
      <c r="Y44" s="28" t="s">
        <v>178</v>
      </c>
      <c r="Z44" s="28" t="s">
        <v>178</v>
      </c>
      <c r="AA44" s="28" t="s">
        <v>178</v>
      </c>
      <c r="AB44" s="28" t="s">
        <v>178</v>
      </c>
      <c r="AC44" s="28" t="s">
        <v>178</v>
      </c>
      <c r="AD44" s="28" t="s">
        <v>178</v>
      </c>
      <c r="AE44" s="86" t="s">
        <v>178</v>
      </c>
      <c r="AF44" s="28" t="s">
        <v>178</v>
      </c>
      <c r="AG44" s="28" t="s">
        <v>178</v>
      </c>
      <c r="AH44" s="28" t="s">
        <v>178</v>
      </c>
    </row>
    <row r="45" spans="1:34" x14ac:dyDescent="0.25">
      <c r="A45" s="26" t="s">
        <v>182</v>
      </c>
      <c r="B45" s="30">
        <v>4</v>
      </c>
      <c r="C45" s="30">
        <v>4</v>
      </c>
      <c r="D45" s="30">
        <v>4</v>
      </c>
      <c r="E45" s="30">
        <v>4</v>
      </c>
      <c r="F45" s="30">
        <v>4</v>
      </c>
      <c r="G45" s="30">
        <v>4</v>
      </c>
      <c r="H45" s="30">
        <v>4</v>
      </c>
      <c r="I45" s="30">
        <v>4</v>
      </c>
      <c r="J45" s="30">
        <v>4</v>
      </c>
      <c r="K45" s="30">
        <v>4</v>
      </c>
      <c r="L45" s="30">
        <v>4</v>
      </c>
      <c r="M45" s="30">
        <v>4</v>
      </c>
      <c r="N45" s="30">
        <v>4</v>
      </c>
      <c r="O45" s="30">
        <v>4</v>
      </c>
      <c r="P45" s="30">
        <v>4</v>
      </c>
      <c r="Q45" s="30">
        <v>4</v>
      </c>
      <c r="R45" s="30">
        <v>4</v>
      </c>
      <c r="S45" s="30">
        <v>4</v>
      </c>
      <c r="T45" s="30">
        <v>4</v>
      </c>
      <c r="U45" s="30">
        <v>4</v>
      </c>
      <c r="V45" s="30">
        <v>4</v>
      </c>
      <c r="W45" s="30">
        <v>4</v>
      </c>
      <c r="X45" s="30">
        <v>4</v>
      </c>
      <c r="Y45" s="30">
        <v>4</v>
      </c>
      <c r="Z45" s="30">
        <v>4</v>
      </c>
      <c r="AA45" s="30">
        <v>4</v>
      </c>
      <c r="AB45" s="30">
        <v>4</v>
      </c>
      <c r="AC45" s="30">
        <v>4</v>
      </c>
      <c r="AD45" s="30">
        <v>4</v>
      </c>
      <c r="AE45" s="92">
        <v>4</v>
      </c>
      <c r="AF45" s="30">
        <v>4</v>
      </c>
      <c r="AG45" s="30">
        <v>4</v>
      </c>
      <c r="AH45" s="30">
        <v>4</v>
      </c>
    </row>
    <row r="46" spans="1:34" x14ac:dyDescent="0.25">
      <c r="B46" s="56"/>
    </row>
    <row r="47" spans="1:34" ht="15.75" customHeight="1" x14ac:dyDescent="0.25">
      <c r="A47" s="26" t="s">
        <v>159</v>
      </c>
      <c r="B47" s="28" t="s">
        <v>447</v>
      </c>
      <c r="C47" s="28" t="s">
        <v>448</v>
      </c>
      <c r="D47" s="28" t="s">
        <v>448</v>
      </c>
      <c r="E47" s="28" t="s">
        <v>448</v>
      </c>
      <c r="F47" s="28" t="s">
        <v>448</v>
      </c>
      <c r="G47" s="28" t="s">
        <v>448</v>
      </c>
      <c r="H47" s="28" t="s">
        <v>448</v>
      </c>
      <c r="I47" s="28" t="s">
        <v>448</v>
      </c>
      <c r="J47" s="28" t="s">
        <v>448</v>
      </c>
      <c r="K47" s="28" t="s">
        <v>448</v>
      </c>
      <c r="L47" s="28" t="s">
        <v>448</v>
      </c>
      <c r="M47" s="28" t="s">
        <v>448</v>
      </c>
      <c r="N47" s="28" t="s">
        <v>448</v>
      </c>
      <c r="O47" s="28" t="s">
        <v>448</v>
      </c>
      <c r="P47" s="28" t="s">
        <v>448</v>
      </c>
      <c r="Q47" s="28" t="s">
        <v>448</v>
      </c>
      <c r="R47" s="28" t="s">
        <v>448</v>
      </c>
      <c r="S47" s="28" t="s">
        <v>448</v>
      </c>
      <c r="T47" s="28" t="s">
        <v>448</v>
      </c>
      <c r="U47" s="28" t="s">
        <v>448</v>
      </c>
      <c r="V47" s="28" t="s">
        <v>448</v>
      </c>
      <c r="W47" s="28" t="s">
        <v>448</v>
      </c>
      <c r="X47" s="28" t="s">
        <v>448</v>
      </c>
      <c r="Y47" s="28" t="s">
        <v>448</v>
      </c>
      <c r="Z47" s="28" t="s">
        <v>448</v>
      </c>
      <c r="AA47" s="28" t="s">
        <v>448</v>
      </c>
      <c r="AB47" s="28" t="s">
        <v>448</v>
      </c>
      <c r="AC47" s="28" t="s">
        <v>448</v>
      </c>
      <c r="AD47" s="28" t="s">
        <v>448</v>
      </c>
      <c r="AE47" s="28" t="s">
        <v>448</v>
      </c>
      <c r="AF47" s="28" t="s">
        <v>448</v>
      </c>
      <c r="AG47" s="28" t="s">
        <v>448</v>
      </c>
      <c r="AH47" s="28" t="s">
        <v>448</v>
      </c>
    </row>
    <row r="48" spans="1:34" ht="15.75" customHeight="1" x14ac:dyDescent="0.25">
      <c r="A48" s="26" t="s">
        <v>165</v>
      </c>
      <c r="B48" s="29" t="s">
        <v>561</v>
      </c>
      <c r="C48" s="29" t="s">
        <v>561</v>
      </c>
      <c r="D48" s="29" t="s">
        <v>561</v>
      </c>
      <c r="E48" s="29" t="s">
        <v>561</v>
      </c>
      <c r="F48" s="29" t="s">
        <v>561</v>
      </c>
      <c r="G48" s="29" t="s">
        <v>561</v>
      </c>
      <c r="H48" s="29" t="s">
        <v>561</v>
      </c>
      <c r="I48" s="29" t="s">
        <v>561</v>
      </c>
      <c r="J48" s="29" t="s">
        <v>561</v>
      </c>
      <c r="K48" s="29" t="s">
        <v>561</v>
      </c>
      <c r="L48" s="29" t="s">
        <v>561</v>
      </c>
      <c r="M48" s="29" t="s">
        <v>561</v>
      </c>
      <c r="N48" s="113" t="s">
        <v>572</v>
      </c>
      <c r="O48" s="29" t="s">
        <v>561</v>
      </c>
      <c r="P48" s="113" t="s">
        <v>453</v>
      </c>
      <c r="Q48" s="113" t="s">
        <v>453</v>
      </c>
      <c r="R48" s="29" t="s">
        <v>454</v>
      </c>
      <c r="S48" s="113" t="s">
        <v>572</v>
      </c>
      <c r="T48" s="29" t="s">
        <v>561</v>
      </c>
      <c r="U48" s="29" t="s">
        <v>561</v>
      </c>
      <c r="V48" s="29" t="s">
        <v>561</v>
      </c>
      <c r="W48" s="29" t="s">
        <v>561</v>
      </c>
      <c r="X48" s="29" t="s">
        <v>561</v>
      </c>
      <c r="Y48" s="29" t="s">
        <v>561</v>
      </c>
      <c r="Z48" s="29" t="s">
        <v>561</v>
      </c>
      <c r="AA48" s="29" t="s">
        <v>561</v>
      </c>
      <c r="AB48" s="29" t="s">
        <v>561</v>
      </c>
      <c r="AC48" s="29" t="s">
        <v>561</v>
      </c>
      <c r="AD48" s="29" t="s">
        <v>561</v>
      </c>
      <c r="AE48" s="29" t="s">
        <v>883</v>
      </c>
      <c r="AF48" s="29" t="s">
        <v>561</v>
      </c>
      <c r="AG48" s="28" t="s">
        <v>457</v>
      </c>
      <c r="AH48" s="28" t="s">
        <v>457</v>
      </c>
    </row>
    <row r="49" spans="1:34" ht="15.75" customHeight="1" x14ac:dyDescent="0.25">
      <c r="A49" s="131" t="s">
        <v>168</v>
      </c>
      <c r="B49" s="157">
        <v>83</v>
      </c>
      <c r="C49" s="157">
        <v>83</v>
      </c>
      <c r="D49" s="157">
        <v>83</v>
      </c>
      <c r="E49" s="157">
        <v>83</v>
      </c>
      <c r="F49" s="157">
        <v>83</v>
      </c>
      <c r="G49" s="157">
        <v>83</v>
      </c>
      <c r="H49" s="157">
        <v>83</v>
      </c>
      <c r="I49" s="157">
        <v>83</v>
      </c>
      <c r="J49" s="157">
        <v>83</v>
      </c>
      <c r="K49" s="157">
        <v>83</v>
      </c>
      <c r="L49" s="157">
        <v>83</v>
      </c>
      <c r="M49" s="157">
        <v>83</v>
      </c>
      <c r="N49" s="157">
        <v>143</v>
      </c>
      <c r="O49" s="157">
        <v>83</v>
      </c>
      <c r="P49" s="157">
        <v>142</v>
      </c>
      <c r="Q49" s="157">
        <v>142</v>
      </c>
      <c r="R49" s="157">
        <v>81</v>
      </c>
      <c r="S49" s="157">
        <v>143</v>
      </c>
      <c r="T49" s="157">
        <v>83</v>
      </c>
      <c r="U49" s="157">
        <v>83</v>
      </c>
      <c r="V49" s="157">
        <v>83</v>
      </c>
      <c r="W49" s="157">
        <v>83</v>
      </c>
      <c r="X49" s="157">
        <v>83</v>
      </c>
      <c r="Y49" s="157">
        <v>83</v>
      </c>
      <c r="Z49" s="157">
        <v>83</v>
      </c>
      <c r="AA49" s="157">
        <v>83</v>
      </c>
      <c r="AB49" s="157">
        <v>83</v>
      </c>
      <c r="AC49" s="157">
        <v>83</v>
      </c>
      <c r="AD49" s="157">
        <v>83</v>
      </c>
      <c r="AE49" s="157">
        <v>144</v>
      </c>
      <c r="AF49" s="157">
        <v>83</v>
      </c>
      <c r="AG49" s="157">
        <v>82</v>
      </c>
      <c r="AH49" s="157">
        <v>82</v>
      </c>
    </row>
    <row r="50" spans="1:34" ht="15.75" customHeight="1" x14ac:dyDescent="0.25">
      <c r="A50" s="26" t="s">
        <v>169</v>
      </c>
      <c r="B50" s="28" t="s">
        <v>170</v>
      </c>
      <c r="C50" s="28" t="s">
        <v>170</v>
      </c>
      <c r="D50" s="28" t="s">
        <v>170</v>
      </c>
      <c r="E50" s="28" t="s">
        <v>170</v>
      </c>
      <c r="F50" s="28" t="s">
        <v>170</v>
      </c>
      <c r="G50" s="28" t="s">
        <v>170</v>
      </c>
      <c r="H50" s="28" t="s">
        <v>170</v>
      </c>
      <c r="I50" s="28" t="s">
        <v>170</v>
      </c>
      <c r="J50" s="28" t="s">
        <v>170</v>
      </c>
      <c r="K50" s="28" t="s">
        <v>170</v>
      </c>
      <c r="L50" s="28" t="s">
        <v>170</v>
      </c>
      <c r="M50" s="28" t="s">
        <v>170</v>
      </c>
      <c r="N50" s="28" t="s">
        <v>170</v>
      </c>
      <c r="O50" s="28" t="s">
        <v>170</v>
      </c>
      <c r="P50" s="28" t="s">
        <v>170</v>
      </c>
      <c r="Q50" s="28" t="s">
        <v>170</v>
      </c>
      <c r="R50" s="28" t="s">
        <v>170</v>
      </c>
      <c r="S50" s="28" t="s">
        <v>170</v>
      </c>
      <c r="T50" s="28" t="s">
        <v>170</v>
      </c>
      <c r="U50" s="28" t="s">
        <v>170</v>
      </c>
      <c r="V50" s="28" t="s">
        <v>170</v>
      </c>
      <c r="W50" s="28" t="s">
        <v>170</v>
      </c>
      <c r="X50" s="28" t="s">
        <v>170</v>
      </c>
      <c r="Y50" s="28" t="s">
        <v>170</v>
      </c>
      <c r="Z50" s="28" t="s">
        <v>170</v>
      </c>
      <c r="AA50" s="28" t="s">
        <v>170</v>
      </c>
      <c r="AB50" s="28" t="s">
        <v>170</v>
      </c>
      <c r="AC50" s="28" t="s">
        <v>170</v>
      </c>
      <c r="AD50" s="28" t="s">
        <v>170</v>
      </c>
      <c r="AE50" s="28" t="s">
        <v>266</v>
      </c>
      <c r="AF50" s="28" t="s">
        <v>170</v>
      </c>
      <c r="AG50" s="28" t="s">
        <v>170</v>
      </c>
      <c r="AH50" s="28" t="s">
        <v>170</v>
      </c>
    </row>
    <row r="51" spans="1:34" ht="15.75" customHeight="1" x14ac:dyDescent="0.25">
      <c r="A51" s="26" t="s">
        <v>171</v>
      </c>
      <c r="B51" s="28" t="s">
        <v>170</v>
      </c>
      <c r="C51" s="28" t="s">
        <v>170</v>
      </c>
      <c r="D51" s="28" t="s">
        <v>170</v>
      </c>
      <c r="E51" s="28" t="s">
        <v>170</v>
      </c>
      <c r="F51" s="28" t="s">
        <v>170</v>
      </c>
      <c r="G51" s="28" t="s">
        <v>170</v>
      </c>
      <c r="H51" s="28" t="s">
        <v>170</v>
      </c>
      <c r="I51" s="28" t="s">
        <v>170</v>
      </c>
      <c r="J51" s="28" t="s">
        <v>170</v>
      </c>
      <c r="K51" s="28" t="s">
        <v>170</v>
      </c>
      <c r="L51" s="28" t="s">
        <v>170</v>
      </c>
      <c r="M51" s="28" t="s">
        <v>170</v>
      </c>
      <c r="N51" s="28" t="s">
        <v>170</v>
      </c>
      <c r="O51" s="28" t="s">
        <v>170</v>
      </c>
      <c r="P51" s="28" t="s">
        <v>170</v>
      </c>
      <c r="Q51" s="28" t="s">
        <v>170</v>
      </c>
      <c r="R51" s="28" t="s">
        <v>170</v>
      </c>
      <c r="S51" s="28" t="s">
        <v>170</v>
      </c>
      <c r="T51" s="28" t="s">
        <v>170</v>
      </c>
      <c r="U51" s="28" t="s">
        <v>170</v>
      </c>
      <c r="V51" s="28" t="s">
        <v>170</v>
      </c>
      <c r="W51" s="28" t="s">
        <v>170</v>
      </c>
      <c r="X51" s="28" t="s">
        <v>170</v>
      </c>
      <c r="Y51" s="28" t="s">
        <v>170</v>
      </c>
      <c r="Z51" s="28" t="s">
        <v>170</v>
      </c>
      <c r="AA51" s="28" t="s">
        <v>170</v>
      </c>
      <c r="AB51" s="28" t="s">
        <v>170</v>
      </c>
      <c r="AC51" s="28" t="s">
        <v>170</v>
      </c>
      <c r="AD51" s="28" t="s">
        <v>170</v>
      </c>
      <c r="AE51" s="28" t="s">
        <v>266</v>
      </c>
      <c r="AF51" s="28" t="s">
        <v>170</v>
      </c>
      <c r="AG51" s="28" t="s">
        <v>170</v>
      </c>
      <c r="AH51" s="28" t="s">
        <v>170</v>
      </c>
    </row>
    <row r="52" spans="1:34" ht="15.75" customHeight="1" x14ac:dyDescent="0.25">
      <c r="A52" s="26" t="s">
        <v>172</v>
      </c>
      <c r="B52" s="28" t="s">
        <v>173</v>
      </c>
      <c r="C52" s="28" t="s">
        <v>173</v>
      </c>
      <c r="D52" s="28" t="s">
        <v>173</v>
      </c>
      <c r="E52" s="28" t="s">
        <v>173</v>
      </c>
      <c r="F52" s="28" t="s">
        <v>173</v>
      </c>
      <c r="G52" s="28" t="s">
        <v>173</v>
      </c>
      <c r="H52" s="28" t="s">
        <v>173</v>
      </c>
      <c r="I52" s="28" t="s">
        <v>173</v>
      </c>
      <c r="J52" s="28" t="s">
        <v>173</v>
      </c>
      <c r="K52" s="28" t="s">
        <v>173</v>
      </c>
      <c r="L52" s="28" t="s">
        <v>173</v>
      </c>
      <c r="M52" s="28" t="s">
        <v>173</v>
      </c>
      <c r="N52" s="28" t="s">
        <v>173</v>
      </c>
      <c r="O52" s="28" t="s">
        <v>173</v>
      </c>
      <c r="P52" s="28" t="s">
        <v>173</v>
      </c>
      <c r="Q52" s="28" t="s">
        <v>173</v>
      </c>
      <c r="R52" s="28" t="s">
        <v>173</v>
      </c>
      <c r="S52" s="28" t="s">
        <v>173</v>
      </c>
      <c r="T52" s="28" t="s">
        <v>173</v>
      </c>
      <c r="U52" s="28" t="s">
        <v>173</v>
      </c>
      <c r="V52" s="28" t="s">
        <v>173</v>
      </c>
      <c r="W52" s="28" t="s">
        <v>173</v>
      </c>
      <c r="X52" s="28" t="s">
        <v>173</v>
      </c>
      <c r="Y52" s="28" t="s">
        <v>173</v>
      </c>
      <c r="Z52" s="28" t="s">
        <v>173</v>
      </c>
      <c r="AA52" s="28" t="s">
        <v>173</v>
      </c>
      <c r="AB52" s="28" t="s">
        <v>173</v>
      </c>
      <c r="AC52" s="28" t="s">
        <v>173</v>
      </c>
      <c r="AD52" s="28" t="s">
        <v>173</v>
      </c>
      <c r="AE52" s="28" t="s">
        <v>173</v>
      </c>
      <c r="AF52" s="28" t="s">
        <v>173</v>
      </c>
      <c r="AG52" s="28" t="s">
        <v>173</v>
      </c>
      <c r="AH52" s="28" t="s">
        <v>173</v>
      </c>
    </row>
    <row r="53" spans="1:34" ht="15.75" customHeight="1" x14ac:dyDescent="0.25">
      <c r="A53" s="26" t="s">
        <v>174</v>
      </c>
      <c r="B53" s="28" t="s">
        <v>173</v>
      </c>
      <c r="C53" s="28" t="s">
        <v>173</v>
      </c>
      <c r="D53" s="28" t="s">
        <v>173</v>
      </c>
      <c r="E53" s="28" t="s">
        <v>173</v>
      </c>
      <c r="F53" s="28" t="s">
        <v>173</v>
      </c>
      <c r="G53" s="28" t="s">
        <v>173</v>
      </c>
      <c r="H53" s="28" t="s">
        <v>173</v>
      </c>
      <c r="I53" s="28" t="s">
        <v>173</v>
      </c>
      <c r="J53" s="28" t="s">
        <v>173</v>
      </c>
      <c r="K53" s="28" t="s">
        <v>173</v>
      </c>
      <c r="L53" s="28" t="s">
        <v>173</v>
      </c>
      <c r="M53" s="28" t="s">
        <v>173</v>
      </c>
      <c r="N53" s="28" t="s">
        <v>173</v>
      </c>
      <c r="O53" s="28" t="s">
        <v>173</v>
      </c>
      <c r="P53" s="28" t="s">
        <v>173</v>
      </c>
      <c r="Q53" s="28" t="s">
        <v>173</v>
      </c>
      <c r="R53" s="28" t="s">
        <v>173</v>
      </c>
      <c r="S53" s="28" t="s">
        <v>173</v>
      </c>
      <c r="T53" s="28" t="s">
        <v>173</v>
      </c>
      <c r="U53" s="28" t="s">
        <v>173</v>
      </c>
      <c r="V53" s="28" t="s">
        <v>173</v>
      </c>
      <c r="W53" s="28" t="s">
        <v>173</v>
      </c>
      <c r="X53" s="28" t="s">
        <v>173</v>
      </c>
      <c r="Y53" s="28" t="s">
        <v>173</v>
      </c>
      <c r="Z53" s="28" t="s">
        <v>173</v>
      </c>
      <c r="AA53" s="28" t="s">
        <v>173</v>
      </c>
      <c r="AB53" s="28" t="s">
        <v>173</v>
      </c>
      <c r="AC53" s="28" t="s">
        <v>173</v>
      </c>
      <c r="AD53" s="28" t="s">
        <v>173</v>
      </c>
      <c r="AE53" s="28" t="s">
        <v>173</v>
      </c>
      <c r="AF53" s="28" t="s">
        <v>173</v>
      </c>
      <c r="AG53" s="28" t="s">
        <v>173</v>
      </c>
      <c r="AH53" s="28" t="s">
        <v>173</v>
      </c>
    </row>
    <row r="54" spans="1:34" ht="15.75" customHeight="1" x14ac:dyDescent="0.25">
      <c r="A54" s="26" t="s">
        <v>175</v>
      </c>
      <c r="B54" s="28" t="s">
        <v>198</v>
      </c>
      <c r="C54" s="28" t="s">
        <v>198</v>
      </c>
      <c r="D54" s="28" t="s">
        <v>198</v>
      </c>
      <c r="E54" s="28" t="s">
        <v>198</v>
      </c>
      <c r="F54" s="28" t="s">
        <v>198</v>
      </c>
      <c r="G54" s="28" t="s">
        <v>198</v>
      </c>
      <c r="H54" s="28" t="s">
        <v>198</v>
      </c>
      <c r="I54" s="28" t="s">
        <v>198</v>
      </c>
      <c r="J54" s="28" t="s">
        <v>198</v>
      </c>
      <c r="K54" s="28" t="s">
        <v>198</v>
      </c>
      <c r="L54" s="28" t="s">
        <v>198</v>
      </c>
      <c r="M54" s="28" t="s">
        <v>198</v>
      </c>
      <c r="N54" s="113" t="s">
        <v>460</v>
      </c>
      <c r="O54" s="28" t="s">
        <v>198</v>
      </c>
      <c r="P54" s="28" t="s">
        <v>461</v>
      </c>
      <c r="Q54" s="28" t="s">
        <v>461</v>
      </c>
      <c r="R54" s="28" t="s">
        <v>461</v>
      </c>
      <c r="S54" s="113" t="s">
        <v>460</v>
      </c>
      <c r="T54" s="28" t="s">
        <v>198</v>
      </c>
      <c r="U54" s="28" t="s">
        <v>198</v>
      </c>
      <c r="V54" s="28" t="s">
        <v>198</v>
      </c>
      <c r="W54" s="28" t="s">
        <v>198</v>
      </c>
      <c r="X54" s="28" t="s">
        <v>198</v>
      </c>
      <c r="Y54" s="28" t="s">
        <v>198</v>
      </c>
      <c r="Z54" s="28" t="s">
        <v>198</v>
      </c>
      <c r="AA54" s="28" t="s">
        <v>198</v>
      </c>
      <c r="AB54" s="28" t="s">
        <v>198</v>
      </c>
      <c r="AC54" s="28" t="s">
        <v>198</v>
      </c>
      <c r="AD54" s="28" t="s">
        <v>198</v>
      </c>
      <c r="AE54" s="28" t="s">
        <v>199</v>
      </c>
      <c r="AF54" s="28" t="s">
        <v>198</v>
      </c>
      <c r="AG54" s="28" t="s">
        <v>198</v>
      </c>
      <c r="AH54" s="28" t="s">
        <v>198</v>
      </c>
    </row>
    <row r="55" spans="1:34" ht="15.75" customHeight="1" x14ac:dyDescent="0.25">
      <c r="A55" s="26" t="s">
        <v>176</v>
      </c>
      <c r="B55" s="30">
        <v>0.75</v>
      </c>
      <c r="C55" s="30">
        <v>0.75</v>
      </c>
      <c r="D55" s="30">
        <v>0.75</v>
      </c>
      <c r="E55" s="30">
        <v>0.75</v>
      </c>
      <c r="F55" s="30">
        <v>0.75</v>
      </c>
      <c r="G55" s="30">
        <v>0.75</v>
      </c>
      <c r="H55" s="30">
        <v>0.75</v>
      </c>
      <c r="I55" s="30">
        <v>0.75</v>
      </c>
      <c r="J55" s="30">
        <v>0.75</v>
      </c>
      <c r="K55" s="30">
        <v>0.75</v>
      </c>
      <c r="L55" s="30">
        <v>0.75</v>
      </c>
      <c r="M55" s="30">
        <v>0.75</v>
      </c>
      <c r="N55" s="30">
        <f>AVERAGE(0.75,0.75,-4)</f>
        <v>-0.83333333333333337</v>
      </c>
      <c r="O55" s="30">
        <v>0.75</v>
      </c>
      <c r="P55" s="30">
        <v>-4</v>
      </c>
      <c r="Q55" s="30">
        <v>-4</v>
      </c>
      <c r="R55" s="30">
        <v>-4</v>
      </c>
      <c r="S55" s="30">
        <f>AVERAGE(0.75,0.75,-4)</f>
        <v>-0.83333333333333337</v>
      </c>
      <c r="T55" s="30">
        <v>0.75</v>
      </c>
      <c r="U55" s="30">
        <v>0.75</v>
      </c>
      <c r="V55" s="30">
        <v>0.75</v>
      </c>
      <c r="W55" s="30">
        <v>0.75</v>
      </c>
      <c r="X55" s="30">
        <v>0.75</v>
      </c>
      <c r="Y55" s="30">
        <v>0.75</v>
      </c>
      <c r="Z55" s="30">
        <v>0.75</v>
      </c>
      <c r="AA55" s="30">
        <v>0.75</v>
      </c>
      <c r="AB55" s="30">
        <v>0.75</v>
      </c>
      <c r="AC55" s="30">
        <v>0.75</v>
      </c>
      <c r="AD55" s="30">
        <v>0.75</v>
      </c>
      <c r="AE55" s="30">
        <v>-1.25</v>
      </c>
      <c r="AF55" s="30">
        <v>0.75</v>
      </c>
      <c r="AG55" s="30">
        <f>5/3</f>
        <v>1.6666666666666667</v>
      </c>
      <c r="AH55" s="30">
        <f>5/3</f>
        <v>1.6666666666666667</v>
      </c>
    </row>
    <row r="56" spans="1:34" ht="15.75" customHeight="1" x14ac:dyDescent="0.25">
      <c r="A56" s="26" t="s">
        <v>177</v>
      </c>
      <c r="B56" s="28" t="s">
        <v>462</v>
      </c>
      <c r="C56" s="28" t="s">
        <v>462</v>
      </c>
      <c r="D56" s="28" t="s">
        <v>462</v>
      </c>
      <c r="E56" s="28" t="s">
        <v>462</v>
      </c>
      <c r="F56" s="28" t="s">
        <v>462</v>
      </c>
      <c r="G56" s="28" t="s">
        <v>462</v>
      </c>
      <c r="H56" s="28" t="s">
        <v>462</v>
      </c>
      <c r="I56" s="28" t="s">
        <v>462</v>
      </c>
      <c r="J56" s="28" t="s">
        <v>462</v>
      </c>
      <c r="K56" s="28" t="s">
        <v>462</v>
      </c>
      <c r="L56" s="28" t="s">
        <v>462</v>
      </c>
      <c r="M56" s="28" t="s">
        <v>462</v>
      </c>
      <c r="N56" s="28" t="s">
        <v>462</v>
      </c>
      <c r="O56" s="28" t="s">
        <v>462</v>
      </c>
      <c r="P56" s="113" t="s">
        <v>464</v>
      </c>
      <c r="Q56" s="113" t="s">
        <v>464</v>
      </c>
      <c r="R56" s="28" t="s">
        <v>462</v>
      </c>
      <c r="S56" s="28" t="s">
        <v>462</v>
      </c>
      <c r="T56" s="28" t="s">
        <v>462</v>
      </c>
      <c r="U56" s="28" t="s">
        <v>462</v>
      </c>
      <c r="V56" s="28" t="s">
        <v>462</v>
      </c>
      <c r="W56" s="28" t="s">
        <v>462</v>
      </c>
      <c r="X56" s="28" t="s">
        <v>462</v>
      </c>
      <c r="Y56" s="28" t="s">
        <v>462</v>
      </c>
      <c r="Z56" s="28" t="s">
        <v>462</v>
      </c>
      <c r="AA56" s="28" t="s">
        <v>462</v>
      </c>
      <c r="AB56" s="28" t="s">
        <v>462</v>
      </c>
      <c r="AC56" s="28" t="s">
        <v>462</v>
      </c>
      <c r="AD56" s="28" t="s">
        <v>462</v>
      </c>
      <c r="AE56" s="28" t="s">
        <v>884</v>
      </c>
      <c r="AF56" s="28" t="s">
        <v>462</v>
      </c>
      <c r="AG56" s="28" t="s">
        <v>462</v>
      </c>
      <c r="AH56" s="28" t="s">
        <v>462</v>
      </c>
    </row>
    <row r="57" spans="1:34" ht="15.75" customHeight="1" x14ac:dyDescent="0.25">
      <c r="A57" s="26" t="s">
        <v>182</v>
      </c>
      <c r="B57" s="30">
        <v>1</v>
      </c>
      <c r="C57" s="30">
        <v>1</v>
      </c>
      <c r="D57" s="30">
        <v>1</v>
      </c>
      <c r="E57" s="30">
        <v>1</v>
      </c>
      <c r="F57" s="30">
        <v>1</v>
      </c>
      <c r="G57" s="30">
        <v>1</v>
      </c>
      <c r="H57" s="30">
        <v>1</v>
      </c>
      <c r="I57" s="30">
        <v>1</v>
      </c>
      <c r="J57" s="30">
        <v>1</v>
      </c>
      <c r="K57" s="30">
        <v>1</v>
      </c>
      <c r="L57" s="30">
        <v>1</v>
      </c>
      <c r="M57" s="30">
        <v>1</v>
      </c>
      <c r="N57" s="30">
        <f>AVERAGE(1,1,1.25)</f>
        <v>1.0833333333333333</v>
      </c>
      <c r="O57" s="30">
        <v>1</v>
      </c>
      <c r="P57" s="30">
        <f>AVERAGE(2,2,1.25)</f>
        <v>1.75</v>
      </c>
      <c r="Q57" s="30">
        <f>AVERAGE(2,2,1.25)</f>
        <v>1.75</v>
      </c>
      <c r="R57" s="30">
        <v>1.25</v>
      </c>
      <c r="S57" s="30">
        <f>AVERAGE(1,1,1.25)</f>
        <v>1.0833333333333333</v>
      </c>
      <c r="T57" s="30">
        <v>1</v>
      </c>
      <c r="U57" s="30">
        <v>1</v>
      </c>
      <c r="V57" s="30">
        <v>1</v>
      </c>
      <c r="W57" s="30">
        <v>1</v>
      </c>
      <c r="X57" s="30">
        <v>1</v>
      </c>
      <c r="Y57" s="30">
        <v>1</v>
      </c>
      <c r="Z57" s="30">
        <v>1</v>
      </c>
      <c r="AA57" s="30">
        <v>1</v>
      </c>
      <c r="AB57" s="30">
        <v>1</v>
      </c>
      <c r="AC57" s="30">
        <v>1</v>
      </c>
      <c r="AD57" s="30">
        <v>1</v>
      </c>
      <c r="AE57" s="30">
        <v>1</v>
      </c>
      <c r="AF57" s="30">
        <v>1</v>
      </c>
      <c r="AG57" s="30">
        <v>1</v>
      </c>
      <c r="AH57" s="30">
        <v>1</v>
      </c>
    </row>
    <row r="59" spans="1:34" x14ac:dyDescent="0.25">
      <c r="A59" s="31" t="s">
        <v>183</v>
      </c>
    </row>
    <row r="60" spans="1:34" x14ac:dyDescent="0.25">
      <c r="A60" s="235" t="s">
        <v>885</v>
      </c>
      <c r="B60" s="56" t="s">
        <v>886</v>
      </c>
    </row>
    <row r="61" spans="1:34" x14ac:dyDescent="0.25">
      <c r="A61" s="235"/>
      <c r="B61" s="93" t="s">
        <v>887</v>
      </c>
    </row>
    <row r="62" spans="1:34" x14ac:dyDescent="0.25">
      <c r="A62" s="235"/>
      <c r="B62" s="93" t="s">
        <v>888</v>
      </c>
    </row>
  </sheetData>
  <mergeCells count="6">
    <mergeCell ref="F3:O3"/>
    <mergeCell ref="F4:O5"/>
    <mergeCell ref="A60:A62"/>
    <mergeCell ref="B3:D3"/>
    <mergeCell ref="B4:D4"/>
    <mergeCell ref="B5:D5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4F558-0BBC-449C-8F9D-CB4FD1A5B11F}">
  <dimension ref="A1:AH62"/>
  <sheetViews>
    <sheetView topLeftCell="A18" workbookViewId="0">
      <selection activeCell="E25" sqref="E25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117</v>
      </c>
      <c r="I1" s="25" t="s">
        <v>880</v>
      </c>
    </row>
    <row r="3" spans="1:34" ht="18" x14ac:dyDescent="0.25">
      <c r="A3" s="25" t="s">
        <v>119</v>
      </c>
      <c r="B3" s="215">
        <v>52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889</v>
      </c>
      <c r="C4" s="215"/>
      <c r="D4" s="215"/>
      <c r="F4" s="216" t="s">
        <v>890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377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74" t="s">
        <v>155</v>
      </c>
      <c r="AF7" s="75" t="s">
        <v>156</v>
      </c>
      <c r="AG7" s="76" t="s">
        <v>157</v>
      </c>
      <c r="AH7" s="76" t="s">
        <v>158</v>
      </c>
    </row>
    <row r="8" spans="1:34" x14ac:dyDescent="0.25">
      <c r="A8" s="26" t="s">
        <v>159</v>
      </c>
      <c r="B8" s="199"/>
      <c r="C8" s="83" t="s">
        <v>744</v>
      </c>
      <c r="D8" s="28" t="s">
        <v>744</v>
      </c>
      <c r="E8" s="28" t="s">
        <v>744</v>
      </c>
      <c r="F8" s="28" t="s">
        <v>744</v>
      </c>
      <c r="G8" s="28" t="s">
        <v>744</v>
      </c>
      <c r="H8" s="86" t="s">
        <v>744</v>
      </c>
      <c r="I8" s="28" t="s">
        <v>744</v>
      </c>
      <c r="J8" s="28" t="s">
        <v>744</v>
      </c>
      <c r="K8" s="28" t="s">
        <v>744</v>
      </c>
      <c r="L8" s="28" t="s">
        <v>744</v>
      </c>
      <c r="M8" s="28" t="s">
        <v>744</v>
      </c>
      <c r="N8" s="28" t="s">
        <v>744</v>
      </c>
      <c r="O8" s="28" t="s">
        <v>744</v>
      </c>
      <c r="P8" s="28" t="s">
        <v>745</v>
      </c>
      <c r="Q8" s="28" t="s">
        <v>745</v>
      </c>
      <c r="R8" s="177" t="s">
        <v>341</v>
      </c>
      <c r="S8" s="28" t="s">
        <v>746</v>
      </c>
      <c r="T8" s="177" t="s">
        <v>341</v>
      </c>
      <c r="U8" s="177" t="s">
        <v>341</v>
      </c>
      <c r="V8" s="177" t="s">
        <v>341</v>
      </c>
      <c r="W8" s="177" t="s">
        <v>341</v>
      </c>
      <c r="X8" s="28" t="s">
        <v>556</v>
      </c>
      <c r="Y8" s="177" t="s">
        <v>341</v>
      </c>
      <c r="Z8" s="177" t="s">
        <v>341</v>
      </c>
      <c r="AA8" s="177" t="s">
        <v>341</v>
      </c>
      <c r="AB8" s="177" t="s">
        <v>341</v>
      </c>
      <c r="AC8" s="177" t="s">
        <v>341</v>
      </c>
      <c r="AD8" s="177" t="s">
        <v>341</v>
      </c>
      <c r="AE8" s="80" t="s">
        <v>341</v>
      </c>
      <c r="AF8" s="80" t="s">
        <v>341</v>
      </c>
      <c r="AG8" s="80" t="s">
        <v>341</v>
      </c>
      <c r="AH8" s="80" t="s">
        <v>341</v>
      </c>
    </row>
    <row r="9" spans="1:34" x14ac:dyDescent="0.25">
      <c r="A9" s="26" t="s">
        <v>165</v>
      </c>
      <c r="B9" s="200"/>
      <c r="C9" s="29" t="s">
        <v>556</v>
      </c>
      <c r="D9" s="28" t="s">
        <v>747</v>
      </c>
      <c r="E9" s="28" t="s">
        <v>748</v>
      </c>
      <c r="F9" s="28" t="s">
        <v>748</v>
      </c>
      <c r="G9" s="29" t="s">
        <v>749</v>
      </c>
      <c r="H9" s="91" t="s">
        <v>750</v>
      </c>
      <c r="I9" s="28" t="s">
        <v>749</v>
      </c>
      <c r="J9" s="28" t="s">
        <v>749</v>
      </c>
      <c r="K9" s="28" t="s">
        <v>751</v>
      </c>
      <c r="L9" s="28" t="s">
        <v>749</v>
      </c>
      <c r="M9" s="28" t="s">
        <v>752</v>
      </c>
      <c r="N9" s="28" t="s">
        <v>744</v>
      </c>
      <c r="O9" s="28" t="s">
        <v>744</v>
      </c>
      <c r="P9" s="28" t="s">
        <v>744</v>
      </c>
      <c r="Q9" s="28" t="s">
        <v>744</v>
      </c>
      <c r="R9" s="178" t="s">
        <v>341</v>
      </c>
      <c r="S9" s="28" t="s">
        <v>749</v>
      </c>
      <c r="T9" s="178" t="s">
        <v>341</v>
      </c>
      <c r="U9" s="178" t="s">
        <v>341</v>
      </c>
      <c r="V9" s="178" t="s">
        <v>341</v>
      </c>
      <c r="W9" s="178" t="s">
        <v>341</v>
      </c>
      <c r="X9" s="29" t="s">
        <v>556</v>
      </c>
      <c r="Y9" s="178" t="s">
        <v>341</v>
      </c>
      <c r="Z9" s="178" t="s">
        <v>341</v>
      </c>
      <c r="AA9" s="178" t="s">
        <v>341</v>
      </c>
      <c r="AB9" s="178" t="s">
        <v>341</v>
      </c>
      <c r="AC9" s="178" t="s">
        <v>341</v>
      </c>
      <c r="AD9" s="178" t="s">
        <v>341</v>
      </c>
      <c r="AE9" s="80" t="s">
        <v>341</v>
      </c>
      <c r="AF9" s="80" t="s">
        <v>341</v>
      </c>
      <c r="AG9" s="80" t="s">
        <v>341</v>
      </c>
      <c r="AH9" s="80" t="s">
        <v>341</v>
      </c>
    </row>
    <row r="10" spans="1:34" x14ac:dyDescent="0.25">
      <c r="A10" s="131" t="s">
        <v>168</v>
      </c>
      <c r="B10" s="198"/>
      <c r="C10" s="157">
        <v>501</v>
      </c>
      <c r="D10" s="157">
        <v>502</v>
      </c>
      <c r="E10" s="157">
        <v>508</v>
      </c>
      <c r="F10" s="157">
        <v>508</v>
      </c>
      <c r="G10" s="157">
        <v>504</v>
      </c>
      <c r="H10" s="161">
        <v>550</v>
      </c>
      <c r="I10" s="157">
        <v>504</v>
      </c>
      <c r="J10" s="157">
        <v>504</v>
      </c>
      <c r="K10" s="157">
        <v>515</v>
      </c>
      <c r="L10" s="157">
        <v>504</v>
      </c>
      <c r="M10" s="157">
        <v>514</v>
      </c>
      <c r="N10" s="157">
        <v>503</v>
      </c>
      <c r="O10" s="157">
        <v>503</v>
      </c>
      <c r="P10" s="157">
        <v>503</v>
      </c>
      <c r="Q10" s="157">
        <v>503</v>
      </c>
      <c r="R10" s="198"/>
      <c r="S10" s="157">
        <v>504</v>
      </c>
      <c r="T10" s="198"/>
      <c r="U10" s="198"/>
      <c r="V10" s="198"/>
      <c r="W10" s="198"/>
      <c r="X10" s="157">
        <v>501</v>
      </c>
      <c r="Y10" s="198"/>
      <c r="Z10" s="198"/>
      <c r="AA10" s="198"/>
      <c r="AB10" s="198"/>
      <c r="AC10" s="198"/>
      <c r="AD10" s="204"/>
      <c r="AE10" s="198"/>
      <c r="AF10" s="198"/>
      <c r="AG10" s="198"/>
      <c r="AH10" s="198"/>
    </row>
    <row r="11" spans="1:34" x14ac:dyDescent="0.25">
      <c r="A11" s="26" t="s">
        <v>753</v>
      </c>
      <c r="B11" s="199"/>
      <c r="C11" s="28" t="s">
        <v>173</v>
      </c>
      <c r="D11" s="28" t="s">
        <v>173</v>
      </c>
      <c r="E11" s="28" t="s">
        <v>173</v>
      </c>
      <c r="F11" s="28" t="s">
        <v>173</v>
      </c>
      <c r="G11" s="28" t="s">
        <v>173</v>
      </c>
      <c r="H11" s="86" t="s">
        <v>173</v>
      </c>
      <c r="I11" s="28" t="s">
        <v>173</v>
      </c>
      <c r="J11" s="28" t="s">
        <v>173</v>
      </c>
      <c r="K11" s="28" t="s">
        <v>173</v>
      </c>
      <c r="L11" s="28" t="s">
        <v>173</v>
      </c>
      <c r="M11" s="28" t="s">
        <v>173</v>
      </c>
      <c r="N11" s="28" t="s">
        <v>173</v>
      </c>
      <c r="O11" s="28" t="s">
        <v>173</v>
      </c>
      <c r="P11" s="28" t="s">
        <v>173</v>
      </c>
      <c r="Q11" s="28" t="s">
        <v>173</v>
      </c>
      <c r="R11" s="80" t="s">
        <v>173</v>
      </c>
      <c r="S11" s="28" t="s">
        <v>173</v>
      </c>
      <c r="T11" s="80" t="s">
        <v>173</v>
      </c>
      <c r="U11" s="80" t="s">
        <v>173</v>
      </c>
      <c r="V11" s="80" t="s">
        <v>173</v>
      </c>
      <c r="W11" s="80" t="s">
        <v>173</v>
      </c>
      <c r="X11" s="28" t="s">
        <v>173</v>
      </c>
      <c r="Y11" s="80" t="s">
        <v>173</v>
      </c>
      <c r="Z11" s="80" t="s">
        <v>173</v>
      </c>
      <c r="AA11" s="80" t="s">
        <v>173</v>
      </c>
      <c r="AB11" s="80" t="s">
        <v>173</v>
      </c>
      <c r="AC11" s="80" t="s">
        <v>173</v>
      </c>
      <c r="AD11" s="177" t="s">
        <v>173</v>
      </c>
      <c r="AE11" s="80" t="s">
        <v>173</v>
      </c>
      <c r="AF11" s="80" t="s">
        <v>173</v>
      </c>
      <c r="AG11" s="80" t="s">
        <v>173</v>
      </c>
      <c r="AH11" s="80" t="s">
        <v>173</v>
      </c>
    </row>
    <row r="12" spans="1:34" x14ac:dyDescent="0.25">
      <c r="A12" s="26" t="s">
        <v>754</v>
      </c>
      <c r="B12" s="199"/>
      <c r="C12" s="28" t="s">
        <v>173</v>
      </c>
      <c r="D12" s="28" t="s">
        <v>173</v>
      </c>
      <c r="E12" s="28" t="s">
        <v>173</v>
      </c>
      <c r="F12" s="28" t="s">
        <v>173</v>
      </c>
      <c r="G12" s="28" t="s">
        <v>173</v>
      </c>
      <c r="H12" s="86" t="s">
        <v>173</v>
      </c>
      <c r="I12" s="28" t="s">
        <v>173</v>
      </c>
      <c r="J12" s="28" t="s">
        <v>173</v>
      </c>
      <c r="K12" s="28" t="s">
        <v>173</v>
      </c>
      <c r="L12" s="28" t="s">
        <v>173</v>
      </c>
      <c r="M12" s="28" t="s">
        <v>173</v>
      </c>
      <c r="N12" s="28" t="s">
        <v>173</v>
      </c>
      <c r="O12" s="28" t="s">
        <v>173</v>
      </c>
      <c r="P12" s="28" t="s">
        <v>173</v>
      </c>
      <c r="Q12" s="28" t="s">
        <v>173</v>
      </c>
      <c r="R12" s="80" t="s">
        <v>173</v>
      </c>
      <c r="S12" s="28" t="s">
        <v>173</v>
      </c>
      <c r="T12" s="80" t="s">
        <v>173</v>
      </c>
      <c r="U12" s="80" t="s">
        <v>173</v>
      </c>
      <c r="V12" s="80" t="s">
        <v>173</v>
      </c>
      <c r="W12" s="80" t="s">
        <v>173</v>
      </c>
      <c r="X12" s="28" t="s">
        <v>173</v>
      </c>
      <c r="Y12" s="80" t="s">
        <v>173</v>
      </c>
      <c r="Z12" s="80" t="s">
        <v>173</v>
      </c>
      <c r="AA12" s="80" t="s">
        <v>173</v>
      </c>
      <c r="AB12" s="80" t="s">
        <v>173</v>
      </c>
      <c r="AC12" s="80" t="s">
        <v>173</v>
      </c>
      <c r="AD12" s="177" t="s">
        <v>173</v>
      </c>
      <c r="AE12" s="80" t="s">
        <v>173</v>
      </c>
      <c r="AF12" s="80" t="s">
        <v>173</v>
      </c>
      <c r="AG12" s="80" t="s">
        <v>173</v>
      </c>
      <c r="AH12" s="80" t="s">
        <v>173</v>
      </c>
    </row>
    <row r="13" spans="1:34" x14ac:dyDescent="0.25">
      <c r="A13" s="26" t="s">
        <v>755</v>
      </c>
      <c r="B13" s="199"/>
      <c r="C13" s="28" t="s">
        <v>170</v>
      </c>
      <c r="D13" s="28" t="s">
        <v>170</v>
      </c>
      <c r="E13" s="28" t="s">
        <v>170</v>
      </c>
      <c r="F13" s="28" t="s">
        <v>170</v>
      </c>
      <c r="G13" s="28" t="s">
        <v>170</v>
      </c>
      <c r="H13" s="86" t="s">
        <v>170</v>
      </c>
      <c r="I13" s="28" t="s">
        <v>170</v>
      </c>
      <c r="J13" s="28" t="s">
        <v>170</v>
      </c>
      <c r="K13" s="28" t="s">
        <v>170</v>
      </c>
      <c r="L13" s="28" t="s">
        <v>170</v>
      </c>
      <c r="M13" s="28" t="s">
        <v>170</v>
      </c>
      <c r="N13" s="28" t="s">
        <v>170</v>
      </c>
      <c r="O13" s="28" t="s">
        <v>170</v>
      </c>
      <c r="P13" s="28" t="s">
        <v>170</v>
      </c>
      <c r="Q13" s="28" t="s">
        <v>170</v>
      </c>
      <c r="R13" s="80" t="s">
        <v>173</v>
      </c>
      <c r="S13" s="28" t="s">
        <v>170</v>
      </c>
      <c r="T13" s="80" t="s">
        <v>173</v>
      </c>
      <c r="U13" s="80" t="s">
        <v>173</v>
      </c>
      <c r="V13" s="80" t="s">
        <v>173</v>
      </c>
      <c r="W13" s="80" t="s">
        <v>173</v>
      </c>
      <c r="X13" s="28" t="s">
        <v>170</v>
      </c>
      <c r="Y13" s="80" t="s">
        <v>173</v>
      </c>
      <c r="Z13" s="80" t="s">
        <v>173</v>
      </c>
      <c r="AA13" s="80" t="s">
        <v>173</v>
      </c>
      <c r="AB13" s="80" t="s">
        <v>173</v>
      </c>
      <c r="AC13" s="80" t="s">
        <v>173</v>
      </c>
      <c r="AD13" s="177" t="s">
        <v>173</v>
      </c>
      <c r="AE13" s="80" t="s">
        <v>173</v>
      </c>
      <c r="AF13" s="80" t="s">
        <v>173</v>
      </c>
      <c r="AG13" s="80" t="s">
        <v>173</v>
      </c>
      <c r="AH13" s="80" t="s">
        <v>173</v>
      </c>
    </row>
    <row r="14" spans="1:34" x14ac:dyDescent="0.25">
      <c r="A14" s="26" t="s">
        <v>756</v>
      </c>
      <c r="B14" s="199"/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86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80" t="s">
        <v>173</v>
      </c>
      <c r="S14" s="28" t="s">
        <v>173</v>
      </c>
      <c r="T14" s="80" t="s">
        <v>173</v>
      </c>
      <c r="U14" s="80" t="s">
        <v>173</v>
      </c>
      <c r="V14" s="80" t="s">
        <v>173</v>
      </c>
      <c r="W14" s="80" t="s">
        <v>173</v>
      </c>
      <c r="X14" s="28" t="s">
        <v>173</v>
      </c>
      <c r="Y14" s="80" t="s">
        <v>173</v>
      </c>
      <c r="Z14" s="80" t="s">
        <v>173</v>
      </c>
      <c r="AA14" s="80" t="s">
        <v>173</v>
      </c>
      <c r="AB14" s="80" t="s">
        <v>173</v>
      </c>
      <c r="AC14" s="80" t="s">
        <v>173</v>
      </c>
      <c r="AD14" s="177" t="s">
        <v>173</v>
      </c>
      <c r="AE14" s="80" t="s">
        <v>173</v>
      </c>
      <c r="AF14" s="80" t="s">
        <v>173</v>
      </c>
      <c r="AG14" s="80" t="s">
        <v>173</v>
      </c>
      <c r="AH14" s="80" t="s">
        <v>173</v>
      </c>
    </row>
    <row r="15" spans="1:34" x14ac:dyDescent="0.25">
      <c r="A15" s="26" t="s">
        <v>757</v>
      </c>
      <c r="B15" s="199"/>
      <c r="C15" s="28" t="s">
        <v>173</v>
      </c>
      <c r="D15" s="28" t="s">
        <v>173</v>
      </c>
      <c r="E15" s="28" t="s">
        <v>173</v>
      </c>
      <c r="F15" s="28" t="s">
        <v>173</v>
      </c>
      <c r="G15" s="28" t="s">
        <v>173</v>
      </c>
      <c r="H15" s="86" t="s">
        <v>173</v>
      </c>
      <c r="I15" s="28" t="s">
        <v>173</v>
      </c>
      <c r="J15" s="28" t="s">
        <v>173</v>
      </c>
      <c r="K15" s="28" t="s">
        <v>173</v>
      </c>
      <c r="L15" s="28" t="s">
        <v>173</v>
      </c>
      <c r="M15" s="28" t="s">
        <v>173</v>
      </c>
      <c r="N15" s="28" t="s">
        <v>173</v>
      </c>
      <c r="O15" s="28" t="s">
        <v>173</v>
      </c>
      <c r="P15" s="28" t="s">
        <v>173</v>
      </c>
      <c r="Q15" s="28" t="s">
        <v>173</v>
      </c>
      <c r="R15" s="80" t="s">
        <v>173</v>
      </c>
      <c r="S15" s="28" t="s">
        <v>173</v>
      </c>
      <c r="T15" s="80" t="s">
        <v>173</v>
      </c>
      <c r="U15" s="80" t="s">
        <v>173</v>
      </c>
      <c r="V15" s="80" t="s">
        <v>173</v>
      </c>
      <c r="W15" s="80" t="s">
        <v>173</v>
      </c>
      <c r="X15" s="28" t="s">
        <v>173</v>
      </c>
      <c r="Y15" s="80" t="s">
        <v>173</v>
      </c>
      <c r="Z15" s="80" t="s">
        <v>173</v>
      </c>
      <c r="AA15" s="80" t="s">
        <v>173</v>
      </c>
      <c r="AB15" s="80" t="s">
        <v>173</v>
      </c>
      <c r="AC15" s="80" t="s">
        <v>173</v>
      </c>
      <c r="AD15" s="177" t="s">
        <v>173</v>
      </c>
      <c r="AE15" s="80" t="s">
        <v>173</v>
      </c>
      <c r="AF15" s="80" t="s">
        <v>173</v>
      </c>
      <c r="AG15" s="80" t="s">
        <v>173</v>
      </c>
      <c r="AH15" s="80" t="s">
        <v>173</v>
      </c>
    </row>
    <row r="16" spans="1:34" x14ac:dyDescent="0.25">
      <c r="A16" s="26" t="s">
        <v>758</v>
      </c>
      <c r="B16" s="199"/>
      <c r="C16" s="28" t="s">
        <v>173</v>
      </c>
      <c r="D16" s="28" t="s">
        <v>173</v>
      </c>
      <c r="E16" s="28" t="s">
        <v>173</v>
      </c>
      <c r="F16" s="28" t="s">
        <v>173</v>
      </c>
      <c r="G16" s="28" t="s">
        <v>173</v>
      </c>
      <c r="H16" s="28" t="s">
        <v>173</v>
      </c>
      <c r="I16" s="28" t="s">
        <v>173</v>
      </c>
      <c r="J16" s="28" t="s">
        <v>173</v>
      </c>
      <c r="K16" s="28" t="s">
        <v>173</v>
      </c>
      <c r="L16" s="28" t="s">
        <v>173</v>
      </c>
      <c r="M16" s="28" t="s">
        <v>173</v>
      </c>
      <c r="N16" s="28" t="s">
        <v>173</v>
      </c>
      <c r="O16" s="28" t="s">
        <v>173</v>
      </c>
      <c r="P16" s="28" t="s">
        <v>173</v>
      </c>
      <c r="Q16" s="28" t="s">
        <v>173</v>
      </c>
      <c r="R16" s="80" t="s">
        <v>173</v>
      </c>
      <c r="S16" s="28" t="s">
        <v>173</v>
      </c>
      <c r="T16" s="80" t="s">
        <v>173</v>
      </c>
      <c r="U16" s="80" t="s">
        <v>173</v>
      </c>
      <c r="V16" s="80" t="s">
        <v>173</v>
      </c>
      <c r="W16" s="80" t="s">
        <v>173</v>
      </c>
      <c r="X16" s="28" t="s">
        <v>173</v>
      </c>
      <c r="Y16" s="80" t="s">
        <v>173</v>
      </c>
      <c r="Z16" s="80" t="s">
        <v>173</v>
      </c>
      <c r="AA16" s="80" t="s">
        <v>173</v>
      </c>
      <c r="AB16" s="80" t="s">
        <v>173</v>
      </c>
      <c r="AC16" s="80" t="s">
        <v>173</v>
      </c>
      <c r="AD16" s="177" t="s">
        <v>173</v>
      </c>
      <c r="AE16" s="80" t="s">
        <v>173</v>
      </c>
      <c r="AF16" s="80" t="s">
        <v>173</v>
      </c>
      <c r="AG16" s="80" t="s">
        <v>173</v>
      </c>
      <c r="AH16" s="80" t="s">
        <v>173</v>
      </c>
    </row>
    <row r="17" spans="1:34" x14ac:dyDescent="0.25">
      <c r="A17" s="26" t="s">
        <v>759</v>
      </c>
      <c r="B17" s="201"/>
      <c r="C17" s="30" t="s">
        <v>760</v>
      </c>
      <c r="D17" s="30" t="s">
        <v>760</v>
      </c>
      <c r="E17" s="28" t="s">
        <v>760</v>
      </c>
      <c r="F17" s="28" t="s">
        <v>760</v>
      </c>
      <c r="G17" s="30" t="s">
        <v>760</v>
      </c>
      <c r="H17" s="92" t="s">
        <v>760</v>
      </c>
      <c r="I17" s="30" t="s">
        <v>760</v>
      </c>
      <c r="J17" s="30" t="s">
        <v>760</v>
      </c>
      <c r="K17" s="30" t="s">
        <v>760</v>
      </c>
      <c r="L17" s="30" t="s">
        <v>760</v>
      </c>
      <c r="M17" s="30" t="s">
        <v>760</v>
      </c>
      <c r="N17" s="30"/>
      <c r="O17" s="30" t="s">
        <v>760</v>
      </c>
      <c r="P17" s="30" t="s">
        <v>761</v>
      </c>
      <c r="Q17" s="30" t="s">
        <v>761</v>
      </c>
      <c r="R17" s="178" t="s">
        <v>341</v>
      </c>
      <c r="S17" s="30" t="s">
        <v>760</v>
      </c>
      <c r="T17" s="178" t="s">
        <v>341</v>
      </c>
      <c r="U17" s="178" t="s">
        <v>341</v>
      </c>
      <c r="V17" s="178" t="s">
        <v>341</v>
      </c>
      <c r="W17" s="178" t="s">
        <v>341</v>
      </c>
      <c r="X17" s="28" t="s">
        <v>760</v>
      </c>
      <c r="Y17" s="178" t="s">
        <v>341</v>
      </c>
      <c r="Z17" s="178" t="s">
        <v>341</v>
      </c>
      <c r="AA17" s="178" t="s">
        <v>341</v>
      </c>
      <c r="AB17" s="178" t="s">
        <v>341</v>
      </c>
      <c r="AC17" s="178" t="s">
        <v>341</v>
      </c>
      <c r="AD17" s="178" t="s">
        <v>341</v>
      </c>
      <c r="AE17" s="80" t="s">
        <v>341</v>
      </c>
      <c r="AF17" s="80" t="s">
        <v>341</v>
      </c>
      <c r="AG17" s="80" t="s">
        <v>341</v>
      </c>
      <c r="AH17" s="80" t="s">
        <v>341</v>
      </c>
    </row>
    <row r="18" spans="1:34" x14ac:dyDescent="0.25">
      <c r="A18" s="26" t="s">
        <v>762</v>
      </c>
      <c r="B18" s="201"/>
      <c r="C18" s="28" t="s">
        <v>763</v>
      </c>
      <c r="D18" s="28" t="s">
        <v>763</v>
      </c>
      <c r="E18" s="28" t="s">
        <v>763</v>
      </c>
      <c r="F18" s="28" t="s">
        <v>763</v>
      </c>
      <c r="G18" s="30" t="s">
        <v>764</v>
      </c>
      <c r="H18" s="92" t="s">
        <v>764</v>
      </c>
      <c r="I18" s="30" t="s">
        <v>764</v>
      </c>
      <c r="J18" s="30" t="s">
        <v>764</v>
      </c>
      <c r="K18" s="30" t="s">
        <v>764</v>
      </c>
      <c r="L18" s="30" t="s">
        <v>764</v>
      </c>
      <c r="M18" s="30" t="s">
        <v>764</v>
      </c>
      <c r="N18" s="28" t="s">
        <v>764</v>
      </c>
      <c r="O18" s="28" t="s">
        <v>764</v>
      </c>
      <c r="P18" s="28" t="s">
        <v>764</v>
      </c>
      <c r="Q18" s="28" t="s">
        <v>764</v>
      </c>
      <c r="R18" s="82" t="s">
        <v>764</v>
      </c>
      <c r="S18" s="30" t="s">
        <v>764</v>
      </c>
      <c r="T18" s="82" t="s">
        <v>764</v>
      </c>
      <c r="U18" s="82" t="s">
        <v>764</v>
      </c>
      <c r="V18" s="82" t="s">
        <v>764</v>
      </c>
      <c r="W18" s="82" t="s">
        <v>764</v>
      </c>
      <c r="X18" s="28" t="s">
        <v>763</v>
      </c>
      <c r="Y18" s="82" t="s">
        <v>764</v>
      </c>
      <c r="Z18" s="82" t="s">
        <v>764</v>
      </c>
      <c r="AA18" s="82" t="s">
        <v>764</v>
      </c>
      <c r="AB18" s="82" t="s">
        <v>764</v>
      </c>
      <c r="AC18" s="82" t="s">
        <v>764</v>
      </c>
      <c r="AD18" s="203" t="s">
        <v>764</v>
      </c>
      <c r="AE18" s="82" t="s">
        <v>764</v>
      </c>
      <c r="AF18" s="82" t="s">
        <v>764</v>
      </c>
      <c r="AG18" s="82" t="s">
        <v>764</v>
      </c>
      <c r="AH18" s="82" t="s">
        <v>764</v>
      </c>
    </row>
    <row r="19" spans="1:34" x14ac:dyDescent="0.25">
      <c r="A19" s="26" t="s">
        <v>765</v>
      </c>
      <c r="B19" s="199"/>
      <c r="C19" s="30">
        <v>6</v>
      </c>
      <c r="D19" s="30">
        <v>5</v>
      </c>
      <c r="E19" s="30">
        <v>5</v>
      </c>
      <c r="F19" s="30">
        <v>5</v>
      </c>
      <c r="G19" s="30">
        <v>3</v>
      </c>
      <c r="H19" s="30">
        <f>AVERAGE(3,2)</f>
        <v>2.5</v>
      </c>
      <c r="I19" s="120">
        <v>3</v>
      </c>
      <c r="J19" s="120">
        <v>3</v>
      </c>
      <c r="K19" s="120">
        <v>2</v>
      </c>
      <c r="L19" s="120">
        <v>3</v>
      </c>
      <c r="M19" s="120">
        <v>3</v>
      </c>
      <c r="N19" s="120">
        <v>4</v>
      </c>
      <c r="O19" s="120">
        <v>4</v>
      </c>
      <c r="P19" s="120">
        <v>4</v>
      </c>
      <c r="Q19" s="120">
        <v>4</v>
      </c>
      <c r="R19" s="81">
        <v>3</v>
      </c>
      <c r="S19" s="120">
        <v>3</v>
      </c>
      <c r="T19" s="81">
        <v>3</v>
      </c>
      <c r="U19" s="81">
        <v>3</v>
      </c>
      <c r="V19" s="81">
        <v>3</v>
      </c>
      <c r="W19" s="81">
        <v>3</v>
      </c>
      <c r="X19" s="30">
        <v>6</v>
      </c>
      <c r="Y19" s="81">
        <v>3</v>
      </c>
      <c r="Z19" s="81">
        <v>3</v>
      </c>
      <c r="AA19" s="81">
        <v>3</v>
      </c>
      <c r="AB19" s="81">
        <v>3</v>
      </c>
      <c r="AC19" s="81">
        <v>3</v>
      </c>
      <c r="AD19" s="178">
        <v>3</v>
      </c>
      <c r="AE19" s="80">
        <v>3</v>
      </c>
      <c r="AF19" s="80">
        <v>3</v>
      </c>
      <c r="AG19" s="80">
        <v>3</v>
      </c>
      <c r="AH19" s="80">
        <v>3</v>
      </c>
    </row>
    <row r="20" spans="1:34" x14ac:dyDescent="0.25">
      <c r="A20" s="26" t="s">
        <v>766</v>
      </c>
      <c r="B20" s="199"/>
      <c r="C20" s="28" t="s">
        <v>767</v>
      </c>
      <c r="D20" s="28" t="s">
        <v>767</v>
      </c>
      <c r="E20" s="28" t="s">
        <v>767</v>
      </c>
      <c r="F20" s="28" t="s">
        <v>767</v>
      </c>
      <c r="G20" s="28" t="s">
        <v>767</v>
      </c>
      <c r="H20" s="28" t="s">
        <v>767</v>
      </c>
      <c r="I20" s="28" t="s">
        <v>767</v>
      </c>
      <c r="J20" s="28" t="s">
        <v>767</v>
      </c>
      <c r="K20" s="28" t="s">
        <v>768</v>
      </c>
      <c r="L20" s="28" t="s">
        <v>767</v>
      </c>
      <c r="M20" s="28" t="s">
        <v>768</v>
      </c>
      <c r="N20" s="28" t="s">
        <v>767</v>
      </c>
      <c r="O20" s="28" t="s">
        <v>767</v>
      </c>
      <c r="P20" s="28" t="s">
        <v>767</v>
      </c>
      <c r="Q20" s="28" t="s">
        <v>767</v>
      </c>
      <c r="R20" s="80" t="s">
        <v>768</v>
      </c>
      <c r="S20" s="28" t="s">
        <v>767</v>
      </c>
      <c r="T20" s="80" t="s">
        <v>768</v>
      </c>
      <c r="U20" s="80" t="s">
        <v>768</v>
      </c>
      <c r="V20" s="80" t="s">
        <v>768</v>
      </c>
      <c r="W20" s="80" t="s">
        <v>768</v>
      </c>
      <c r="X20" s="28" t="s">
        <v>767</v>
      </c>
      <c r="Y20" s="80" t="s">
        <v>768</v>
      </c>
      <c r="Z20" s="80" t="s">
        <v>768</v>
      </c>
      <c r="AA20" s="80" t="s">
        <v>768</v>
      </c>
      <c r="AB20" s="80" t="s">
        <v>768</v>
      </c>
      <c r="AC20" s="80" t="s">
        <v>768</v>
      </c>
      <c r="AD20" s="80" t="s">
        <v>768</v>
      </c>
      <c r="AE20" s="81" t="s">
        <v>768</v>
      </c>
      <c r="AF20" s="81" t="s">
        <v>768</v>
      </c>
      <c r="AG20" s="81" t="s">
        <v>768</v>
      </c>
      <c r="AH20" s="81" t="s">
        <v>768</v>
      </c>
    </row>
    <row r="21" spans="1:34" x14ac:dyDescent="0.25">
      <c r="A21" s="26" t="s">
        <v>769</v>
      </c>
      <c r="B21" s="201"/>
      <c r="C21" s="30">
        <v>1</v>
      </c>
      <c r="D21" s="30">
        <v>1</v>
      </c>
      <c r="E21" s="30">
        <v>0.5</v>
      </c>
      <c r="F21" s="30">
        <v>0.5</v>
      </c>
      <c r="G21" s="30">
        <v>1</v>
      </c>
      <c r="H21" s="30">
        <v>1</v>
      </c>
      <c r="I21" s="30">
        <v>1</v>
      </c>
      <c r="J21" s="30">
        <v>1</v>
      </c>
      <c r="K21" s="30">
        <v>0</v>
      </c>
      <c r="L21" s="30">
        <v>1</v>
      </c>
      <c r="M21" s="30">
        <v>0</v>
      </c>
      <c r="N21" s="30">
        <v>1</v>
      </c>
      <c r="O21" s="30">
        <v>1</v>
      </c>
      <c r="P21" s="30">
        <v>1</v>
      </c>
      <c r="Q21" s="30">
        <v>1</v>
      </c>
      <c r="R21" s="82">
        <v>0</v>
      </c>
      <c r="S21" s="30">
        <v>1</v>
      </c>
      <c r="T21" s="82">
        <v>0</v>
      </c>
      <c r="U21" s="82">
        <v>0</v>
      </c>
      <c r="V21" s="82">
        <v>0</v>
      </c>
      <c r="W21" s="82">
        <v>0</v>
      </c>
      <c r="X21" s="30">
        <v>1</v>
      </c>
      <c r="Y21" s="82">
        <v>0</v>
      </c>
      <c r="Z21" s="82">
        <v>0</v>
      </c>
      <c r="AA21" s="82">
        <v>0</v>
      </c>
      <c r="AB21" s="82">
        <v>0</v>
      </c>
      <c r="AC21" s="82">
        <v>0</v>
      </c>
      <c r="AD21" s="82">
        <v>0</v>
      </c>
      <c r="AE21" s="82">
        <v>0</v>
      </c>
      <c r="AF21" s="82">
        <v>0</v>
      </c>
      <c r="AG21" s="82">
        <v>0</v>
      </c>
      <c r="AH21" s="82">
        <v>0</v>
      </c>
    </row>
    <row r="23" spans="1:34" x14ac:dyDescent="0.25">
      <c r="A23" s="26" t="s">
        <v>159</v>
      </c>
      <c r="B23" s="28" t="s">
        <v>414</v>
      </c>
      <c r="C23" s="28" t="s">
        <v>256</v>
      </c>
      <c r="D23" s="28" t="s">
        <v>256</v>
      </c>
      <c r="E23" s="28" t="s">
        <v>256</v>
      </c>
      <c r="F23" s="28" t="s">
        <v>256</v>
      </c>
      <c r="G23" s="28" t="s">
        <v>256</v>
      </c>
      <c r="H23" s="28" t="s">
        <v>256</v>
      </c>
      <c r="I23" s="28" t="s">
        <v>256</v>
      </c>
      <c r="J23" s="28" t="s">
        <v>256</v>
      </c>
      <c r="K23" s="28" t="s">
        <v>256</v>
      </c>
      <c r="L23" s="28" t="s">
        <v>256</v>
      </c>
      <c r="M23" s="28" t="s">
        <v>256</v>
      </c>
      <c r="N23" s="28" t="s">
        <v>256</v>
      </c>
      <c r="O23" s="28" t="s">
        <v>256</v>
      </c>
      <c r="P23" s="177" t="s">
        <v>341</v>
      </c>
      <c r="Q23" s="177" t="s">
        <v>341</v>
      </c>
      <c r="R23" s="86" t="s">
        <v>256</v>
      </c>
      <c r="S23" s="177" t="s">
        <v>341</v>
      </c>
      <c r="T23" s="28" t="s">
        <v>256</v>
      </c>
      <c r="U23" s="28" t="s">
        <v>256</v>
      </c>
      <c r="V23" s="28" t="s">
        <v>256</v>
      </c>
      <c r="W23" s="28" t="s">
        <v>256</v>
      </c>
      <c r="X23" s="83" t="s">
        <v>256</v>
      </c>
      <c r="Y23" s="28" t="s">
        <v>256</v>
      </c>
      <c r="Z23" s="28" t="s">
        <v>256</v>
      </c>
      <c r="AA23" s="28" t="s">
        <v>256</v>
      </c>
      <c r="AB23" s="28" t="s">
        <v>256</v>
      </c>
      <c r="AC23" s="28" t="s">
        <v>256</v>
      </c>
      <c r="AD23" s="28" t="s">
        <v>256</v>
      </c>
      <c r="AE23" s="28" t="s">
        <v>256</v>
      </c>
      <c r="AF23" s="28" t="s">
        <v>256</v>
      </c>
      <c r="AG23" s="28" t="s">
        <v>256</v>
      </c>
      <c r="AH23" s="83" t="s">
        <v>256</v>
      </c>
    </row>
    <row r="24" spans="1:34" x14ac:dyDescent="0.25">
      <c r="A24" s="26" t="s">
        <v>165</v>
      </c>
      <c r="B24" s="29" t="s">
        <v>260</v>
      </c>
      <c r="C24" s="28" t="s">
        <v>283</v>
      </c>
      <c r="D24" s="29" t="s">
        <v>256</v>
      </c>
      <c r="E24" s="113" t="s">
        <v>417</v>
      </c>
      <c r="F24" s="28" t="s">
        <v>260</v>
      </c>
      <c r="G24" s="28" t="s">
        <v>260</v>
      </c>
      <c r="H24" s="28" t="s">
        <v>395</v>
      </c>
      <c r="I24" s="29" t="s">
        <v>256</v>
      </c>
      <c r="J24" s="28" t="s">
        <v>260</v>
      </c>
      <c r="K24" s="28" t="s">
        <v>260</v>
      </c>
      <c r="L24" s="28" t="s">
        <v>260</v>
      </c>
      <c r="M24" s="28" t="s">
        <v>260</v>
      </c>
      <c r="N24" s="28" t="s">
        <v>260</v>
      </c>
      <c r="O24" s="28" t="s">
        <v>260</v>
      </c>
      <c r="P24" s="178" t="s">
        <v>341</v>
      </c>
      <c r="Q24" s="178" t="s">
        <v>341</v>
      </c>
      <c r="R24" s="86" t="s">
        <v>261</v>
      </c>
      <c r="S24" s="178" t="s">
        <v>341</v>
      </c>
      <c r="T24" s="28" t="s">
        <v>770</v>
      </c>
      <c r="U24" s="28" t="s">
        <v>260</v>
      </c>
      <c r="V24" s="28" t="s">
        <v>283</v>
      </c>
      <c r="W24" s="28" t="s">
        <v>771</v>
      </c>
      <c r="X24" s="83" t="s">
        <v>260</v>
      </c>
      <c r="Y24" s="113" t="s">
        <v>416</v>
      </c>
      <c r="Z24" s="28" t="s">
        <v>256</v>
      </c>
      <c r="AA24" s="28" t="s">
        <v>256</v>
      </c>
      <c r="AB24" s="28" t="s">
        <v>256</v>
      </c>
      <c r="AC24" s="28" t="s">
        <v>283</v>
      </c>
      <c r="AD24" s="28" t="s">
        <v>256</v>
      </c>
      <c r="AE24" s="28" t="s">
        <v>772</v>
      </c>
      <c r="AF24" s="28" t="s">
        <v>260</v>
      </c>
      <c r="AG24" s="28" t="s">
        <v>261</v>
      </c>
      <c r="AH24" s="85" t="s">
        <v>261</v>
      </c>
    </row>
    <row r="25" spans="1:34" x14ac:dyDescent="0.25">
      <c r="A25" s="131" t="s">
        <v>168</v>
      </c>
      <c r="B25" s="157">
        <v>52</v>
      </c>
      <c r="C25" s="157">
        <v>56</v>
      </c>
      <c r="D25" s="157">
        <v>50</v>
      </c>
      <c r="E25" s="157">
        <v>122</v>
      </c>
      <c r="F25" s="157">
        <v>52</v>
      </c>
      <c r="G25" s="157">
        <v>52</v>
      </c>
      <c r="H25" s="157">
        <v>68</v>
      </c>
      <c r="I25" s="157">
        <v>50</v>
      </c>
      <c r="J25" s="157">
        <v>52</v>
      </c>
      <c r="K25" s="157">
        <v>52</v>
      </c>
      <c r="L25" s="157">
        <v>52</v>
      </c>
      <c r="M25" s="157">
        <v>52</v>
      </c>
      <c r="N25" s="157">
        <v>52</v>
      </c>
      <c r="O25" s="157">
        <v>52</v>
      </c>
      <c r="P25" s="198"/>
      <c r="Q25" s="198"/>
      <c r="R25" s="161">
        <v>48</v>
      </c>
      <c r="S25" s="198"/>
      <c r="T25" s="157">
        <v>159</v>
      </c>
      <c r="U25" s="157">
        <v>52</v>
      </c>
      <c r="V25" s="157">
        <v>56</v>
      </c>
      <c r="W25" s="157">
        <v>103</v>
      </c>
      <c r="X25" s="158">
        <v>52</v>
      </c>
      <c r="Y25" s="157">
        <v>118</v>
      </c>
      <c r="Z25" s="157">
        <v>50</v>
      </c>
      <c r="AA25" s="157">
        <v>50</v>
      </c>
      <c r="AB25" s="157">
        <v>50</v>
      </c>
      <c r="AC25" s="157">
        <v>56</v>
      </c>
      <c r="AD25" s="157">
        <v>50</v>
      </c>
      <c r="AE25" s="157">
        <v>160</v>
      </c>
      <c r="AF25" s="157">
        <v>52</v>
      </c>
      <c r="AG25" s="157">
        <v>48</v>
      </c>
      <c r="AH25" s="158">
        <v>48</v>
      </c>
    </row>
    <row r="26" spans="1:34" x14ac:dyDescent="0.25">
      <c r="A26" s="26" t="s">
        <v>169</v>
      </c>
      <c r="B26" s="29" t="s">
        <v>170</v>
      </c>
      <c r="C26" s="28" t="s">
        <v>170</v>
      </c>
      <c r="D26" s="28" t="s">
        <v>170</v>
      </c>
      <c r="E26" s="28" t="s">
        <v>170</v>
      </c>
      <c r="F26" s="28" t="s">
        <v>170</v>
      </c>
      <c r="G26" s="29" t="s">
        <v>170</v>
      </c>
      <c r="H26" s="29" t="s">
        <v>170</v>
      </c>
      <c r="I26" s="29" t="s">
        <v>170</v>
      </c>
      <c r="J26" s="28" t="s">
        <v>170</v>
      </c>
      <c r="K26" s="29" t="s">
        <v>170</v>
      </c>
      <c r="L26" s="29" t="s">
        <v>170</v>
      </c>
      <c r="M26" s="29" t="s">
        <v>170</v>
      </c>
      <c r="N26" s="28" t="s">
        <v>170</v>
      </c>
      <c r="O26" s="28" t="s">
        <v>170</v>
      </c>
      <c r="P26" s="80" t="s">
        <v>173</v>
      </c>
      <c r="Q26" s="80" t="s">
        <v>173</v>
      </c>
      <c r="R26" s="29" t="s">
        <v>170</v>
      </c>
      <c r="S26" s="80" t="s">
        <v>173</v>
      </c>
      <c r="T26" s="29" t="s">
        <v>170</v>
      </c>
      <c r="U26" s="29" t="s">
        <v>170</v>
      </c>
      <c r="V26" s="28" t="s">
        <v>170</v>
      </c>
      <c r="W26" s="28" t="s">
        <v>170</v>
      </c>
      <c r="X26" s="28" t="s">
        <v>170</v>
      </c>
      <c r="Y26" s="28" t="s">
        <v>170</v>
      </c>
      <c r="Z26" s="28" t="s">
        <v>170</v>
      </c>
      <c r="AA26" s="28" t="s">
        <v>170</v>
      </c>
      <c r="AB26" s="28" t="s">
        <v>170</v>
      </c>
      <c r="AC26" s="28" t="s">
        <v>170</v>
      </c>
      <c r="AD26" s="28" t="s">
        <v>170</v>
      </c>
      <c r="AE26" s="28" t="s">
        <v>170</v>
      </c>
      <c r="AF26" s="28" t="s">
        <v>170</v>
      </c>
      <c r="AG26" s="28" t="s">
        <v>170</v>
      </c>
      <c r="AH26" s="85" t="s">
        <v>170</v>
      </c>
    </row>
    <row r="27" spans="1:34" x14ac:dyDescent="0.25">
      <c r="A27" s="26" t="s">
        <v>171</v>
      </c>
      <c r="B27" s="28" t="s">
        <v>173</v>
      </c>
      <c r="C27" s="28" t="s">
        <v>173</v>
      </c>
      <c r="D27" s="28" t="s">
        <v>173</v>
      </c>
      <c r="E27" s="28" t="s">
        <v>173</v>
      </c>
      <c r="F27" s="28" t="s">
        <v>173</v>
      </c>
      <c r="G27" s="28" t="s">
        <v>173</v>
      </c>
      <c r="H27" s="29" t="s">
        <v>170</v>
      </c>
      <c r="I27" s="28" t="s">
        <v>173</v>
      </c>
      <c r="J27" s="28" t="s">
        <v>173</v>
      </c>
      <c r="K27" s="28" t="s">
        <v>173</v>
      </c>
      <c r="L27" s="28" t="s">
        <v>173</v>
      </c>
      <c r="M27" s="28" t="s">
        <v>173</v>
      </c>
      <c r="N27" s="28" t="s">
        <v>173</v>
      </c>
      <c r="O27" s="28" t="s">
        <v>173</v>
      </c>
      <c r="P27" s="80" t="s">
        <v>173</v>
      </c>
      <c r="Q27" s="80" t="s">
        <v>173</v>
      </c>
      <c r="R27" s="28" t="s">
        <v>173</v>
      </c>
      <c r="S27" s="80" t="s">
        <v>173</v>
      </c>
      <c r="T27" s="28" t="s">
        <v>173</v>
      </c>
      <c r="U27" s="28" t="s">
        <v>173</v>
      </c>
      <c r="V27" s="28" t="s">
        <v>173</v>
      </c>
      <c r="W27" s="28" t="s">
        <v>173</v>
      </c>
      <c r="X27" s="29" t="s">
        <v>173</v>
      </c>
      <c r="Y27" s="29" t="s">
        <v>173</v>
      </c>
      <c r="Z27" s="28" t="s">
        <v>173</v>
      </c>
      <c r="AA27" s="28" t="s">
        <v>173</v>
      </c>
      <c r="AB27" s="28" t="s">
        <v>173</v>
      </c>
      <c r="AC27" s="28" t="s">
        <v>173</v>
      </c>
      <c r="AD27" s="28" t="s">
        <v>173</v>
      </c>
      <c r="AE27" s="28" t="s">
        <v>173</v>
      </c>
      <c r="AF27" s="28" t="s">
        <v>173</v>
      </c>
      <c r="AG27" s="28" t="s">
        <v>173</v>
      </c>
      <c r="AH27" s="83" t="s">
        <v>173</v>
      </c>
    </row>
    <row r="28" spans="1:34" x14ac:dyDescent="0.25">
      <c r="A28" s="26" t="s">
        <v>172</v>
      </c>
      <c r="B28" s="28" t="s">
        <v>170</v>
      </c>
      <c r="C28" s="28" t="s">
        <v>170</v>
      </c>
      <c r="D28" s="28" t="s">
        <v>170</v>
      </c>
      <c r="E28" s="28" t="s">
        <v>170</v>
      </c>
      <c r="F28" s="28" t="s">
        <v>170</v>
      </c>
      <c r="G28" s="28" t="s">
        <v>170</v>
      </c>
      <c r="H28" s="28" t="s">
        <v>173</v>
      </c>
      <c r="I28" s="28" t="s">
        <v>170</v>
      </c>
      <c r="J28" s="28" t="s">
        <v>170</v>
      </c>
      <c r="K28" s="28" t="s">
        <v>170</v>
      </c>
      <c r="L28" s="28" t="s">
        <v>170</v>
      </c>
      <c r="M28" s="28" t="s">
        <v>170</v>
      </c>
      <c r="N28" s="28" t="s">
        <v>170</v>
      </c>
      <c r="O28" s="28" t="s">
        <v>170</v>
      </c>
      <c r="P28" s="80" t="s">
        <v>173</v>
      </c>
      <c r="Q28" s="80" t="s">
        <v>173</v>
      </c>
      <c r="R28" s="28" t="s">
        <v>170</v>
      </c>
      <c r="S28" s="80" t="s">
        <v>173</v>
      </c>
      <c r="T28" s="28" t="s">
        <v>170</v>
      </c>
      <c r="U28" s="28" t="s">
        <v>170</v>
      </c>
      <c r="V28" s="28" t="s">
        <v>170</v>
      </c>
      <c r="W28" s="28" t="s">
        <v>170</v>
      </c>
      <c r="X28" s="28" t="s">
        <v>170</v>
      </c>
      <c r="Y28" s="28" t="s">
        <v>170</v>
      </c>
      <c r="Z28" s="28" t="s">
        <v>170</v>
      </c>
      <c r="AA28" s="28" t="s">
        <v>170</v>
      </c>
      <c r="AB28" s="28" t="s">
        <v>170</v>
      </c>
      <c r="AC28" s="28" t="s">
        <v>170</v>
      </c>
      <c r="AD28" s="28" t="s">
        <v>170</v>
      </c>
      <c r="AE28" s="28" t="s">
        <v>170</v>
      </c>
      <c r="AF28" s="28" t="s">
        <v>170</v>
      </c>
      <c r="AG28" s="28" t="s">
        <v>170</v>
      </c>
      <c r="AH28" s="83" t="s">
        <v>170</v>
      </c>
    </row>
    <row r="29" spans="1:34" x14ac:dyDescent="0.25">
      <c r="A29" s="26" t="s">
        <v>174</v>
      </c>
      <c r="B29" s="28" t="s">
        <v>173</v>
      </c>
      <c r="C29" s="28" t="s">
        <v>173</v>
      </c>
      <c r="D29" s="28" t="s">
        <v>173</v>
      </c>
      <c r="E29" s="28" t="s">
        <v>173</v>
      </c>
      <c r="F29" s="28" t="s">
        <v>173</v>
      </c>
      <c r="G29" s="28" t="s">
        <v>173</v>
      </c>
      <c r="H29" s="28" t="s">
        <v>173</v>
      </c>
      <c r="I29" s="28" t="s">
        <v>173</v>
      </c>
      <c r="J29" s="28" t="s">
        <v>173</v>
      </c>
      <c r="K29" s="28" t="s">
        <v>173</v>
      </c>
      <c r="L29" s="28" t="s">
        <v>173</v>
      </c>
      <c r="M29" s="28" t="s">
        <v>173</v>
      </c>
      <c r="N29" s="28" t="s">
        <v>173</v>
      </c>
      <c r="O29" s="28" t="s">
        <v>173</v>
      </c>
      <c r="P29" s="80" t="s">
        <v>173</v>
      </c>
      <c r="Q29" s="80" t="s">
        <v>173</v>
      </c>
      <c r="R29" s="28" t="s">
        <v>173</v>
      </c>
      <c r="S29" s="80" t="s">
        <v>173</v>
      </c>
      <c r="T29" s="28" t="s">
        <v>173</v>
      </c>
      <c r="U29" s="28" t="s">
        <v>173</v>
      </c>
      <c r="V29" s="28" t="s">
        <v>173</v>
      </c>
      <c r="W29" s="28" t="s">
        <v>173</v>
      </c>
      <c r="X29" s="28" t="s">
        <v>173</v>
      </c>
      <c r="Y29" s="28" t="s">
        <v>173</v>
      </c>
      <c r="Z29" s="28" t="s">
        <v>173</v>
      </c>
      <c r="AA29" s="28" t="s">
        <v>173</v>
      </c>
      <c r="AB29" s="28" t="s">
        <v>173</v>
      </c>
      <c r="AC29" s="28" t="s">
        <v>173</v>
      </c>
      <c r="AD29" s="28" t="s">
        <v>173</v>
      </c>
      <c r="AE29" s="28" t="s">
        <v>173</v>
      </c>
      <c r="AF29" s="28" t="s">
        <v>173</v>
      </c>
      <c r="AG29" s="28" t="s">
        <v>173</v>
      </c>
      <c r="AH29" s="83" t="s">
        <v>173</v>
      </c>
    </row>
    <row r="30" spans="1:34" x14ac:dyDescent="0.25">
      <c r="A30" s="26" t="s">
        <v>175</v>
      </c>
      <c r="B30" s="28" t="s">
        <v>198</v>
      </c>
      <c r="C30" s="28" t="s">
        <v>199</v>
      </c>
      <c r="D30" s="28" t="s">
        <v>198</v>
      </c>
      <c r="E30" s="28" t="s">
        <v>198</v>
      </c>
      <c r="F30" s="28" t="s">
        <v>198</v>
      </c>
      <c r="G30" s="28" t="s">
        <v>198</v>
      </c>
      <c r="H30" s="28" t="s">
        <v>397</v>
      </c>
      <c r="I30" s="28" t="s">
        <v>198</v>
      </c>
      <c r="J30" s="28" t="s">
        <v>198</v>
      </c>
      <c r="K30" s="28" t="s">
        <v>198</v>
      </c>
      <c r="L30" s="28" t="s">
        <v>198</v>
      </c>
      <c r="M30" s="28" t="s">
        <v>198</v>
      </c>
      <c r="N30" s="28" t="s">
        <v>198</v>
      </c>
      <c r="O30" s="28" t="s">
        <v>198</v>
      </c>
      <c r="P30" s="80" t="s">
        <v>198</v>
      </c>
      <c r="Q30" s="80" t="s">
        <v>198</v>
      </c>
      <c r="R30" s="28" t="s">
        <v>198</v>
      </c>
      <c r="S30" s="80" t="s">
        <v>198</v>
      </c>
      <c r="T30" s="28" t="s">
        <v>198</v>
      </c>
      <c r="U30" s="28" t="s">
        <v>198</v>
      </c>
      <c r="V30" s="28" t="s">
        <v>199</v>
      </c>
      <c r="W30" s="28" t="s">
        <v>370</v>
      </c>
      <c r="X30" s="28" t="s">
        <v>198</v>
      </c>
      <c r="Y30" s="28" t="s">
        <v>198</v>
      </c>
      <c r="Z30" s="28" t="s">
        <v>198</v>
      </c>
      <c r="AA30" s="28" t="s">
        <v>198</v>
      </c>
      <c r="AB30" s="28" t="s">
        <v>198</v>
      </c>
      <c r="AC30" s="28" t="s">
        <v>199</v>
      </c>
      <c r="AD30" s="28" t="s">
        <v>198</v>
      </c>
      <c r="AE30" s="28" t="s">
        <v>370</v>
      </c>
      <c r="AF30" s="28" t="s">
        <v>198</v>
      </c>
      <c r="AG30" s="28" t="s">
        <v>198</v>
      </c>
      <c r="AH30" s="83" t="s">
        <v>198</v>
      </c>
    </row>
    <row r="31" spans="1:34" x14ac:dyDescent="0.25">
      <c r="A31" s="26" t="s">
        <v>176</v>
      </c>
      <c r="B31" s="30">
        <v>0.5</v>
      </c>
      <c r="C31" s="30">
        <v>-0.5</v>
      </c>
      <c r="D31" s="30">
        <v>1</v>
      </c>
      <c r="E31" s="30">
        <f>AVERAGE(0.5,0.5,0.5,1)</f>
        <v>0.625</v>
      </c>
      <c r="F31" s="30">
        <v>0.5</v>
      </c>
      <c r="G31" s="30">
        <v>0.5</v>
      </c>
      <c r="H31" s="30">
        <v>-6</v>
      </c>
      <c r="I31" s="30">
        <v>1</v>
      </c>
      <c r="J31" s="30">
        <v>0.5</v>
      </c>
      <c r="K31" s="30">
        <v>0.5</v>
      </c>
      <c r="L31" s="30">
        <v>0.5</v>
      </c>
      <c r="M31" s="30">
        <v>0.5</v>
      </c>
      <c r="N31" s="30">
        <v>0.5</v>
      </c>
      <c r="O31" s="30">
        <v>0.5</v>
      </c>
      <c r="P31" s="82">
        <v>0</v>
      </c>
      <c r="Q31" s="82">
        <v>0</v>
      </c>
      <c r="R31" s="30">
        <f>4/3</f>
        <v>1.3333333333333333</v>
      </c>
      <c r="S31" s="82">
        <v>0</v>
      </c>
      <c r="T31" s="30">
        <f>AVERAGE(1,1,-0.5)</f>
        <v>0.5</v>
      </c>
      <c r="U31" s="30">
        <v>0.5</v>
      </c>
      <c r="V31" s="30">
        <v>-0.5</v>
      </c>
      <c r="W31" s="30">
        <f>AVERAGE(0.5,-0.5)</f>
        <v>0</v>
      </c>
      <c r="X31" s="30">
        <v>0.5</v>
      </c>
      <c r="Y31" s="30">
        <f>AVERAGE(1,1,1,0.5)</f>
        <v>0.875</v>
      </c>
      <c r="Z31" s="30">
        <v>1</v>
      </c>
      <c r="AA31" s="30">
        <v>1</v>
      </c>
      <c r="AB31" s="30">
        <v>1</v>
      </c>
      <c r="AC31" s="30">
        <v>-0.5</v>
      </c>
      <c r="AD31" s="30">
        <v>1</v>
      </c>
      <c r="AE31" s="30">
        <f>AVERAGE(1,-0.5)</f>
        <v>0.25</v>
      </c>
      <c r="AF31" s="30">
        <v>0.5</v>
      </c>
      <c r="AG31" s="30">
        <f>4/3</f>
        <v>1.3333333333333333</v>
      </c>
      <c r="AH31" s="88">
        <f>4/3</f>
        <v>1.3333333333333333</v>
      </c>
    </row>
    <row r="32" spans="1:34" x14ac:dyDescent="0.25">
      <c r="A32" s="26" t="s">
        <v>177</v>
      </c>
      <c r="B32" s="28" t="s">
        <v>181</v>
      </c>
      <c r="C32" s="28" t="s">
        <v>181</v>
      </c>
      <c r="D32" s="28" t="s">
        <v>181</v>
      </c>
      <c r="E32" s="28" t="s">
        <v>181</v>
      </c>
      <c r="F32" s="28" t="s">
        <v>181</v>
      </c>
      <c r="G32" s="28" t="s">
        <v>181</v>
      </c>
      <c r="H32" s="28" t="s">
        <v>181</v>
      </c>
      <c r="I32" s="28" t="s">
        <v>181</v>
      </c>
      <c r="J32" s="28" t="s">
        <v>181</v>
      </c>
      <c r="K32" s="28" t="s">
        <v>181</v>
      </c>
      <c r="L32" s="28" t="s">
        <v>181</v>
      </c>
      <c r="M32" s="28" t="s">
        <v>181</v>
      </c>
      <c r="N32" s="28" t="s">
        <v>181</v>
      </c>
      <c r="O32" s="28" t="s">
        <v>181</v>
      </c>
      <c r="P32" s="80" t="s">
        <v>341</v>
      </c>
      <c r="Q32" s="80" t="s">
        <v>341</v>
      </c>
      <c r="R32" s="28" t="s">
        <v>181</v>
      </c>
      <c r="S32" s="80" t="s">
        <v>341</v>
      </c>
      <c r="T32" s="28" t="s">
        <v>181</v>
      </c>
      <c r="U32" s="28" t="s">
        <v>181</v>
      </c>
      <c r="V32" s="28" t="s">
        <v>181</v>
      </c>
      <c r="W32" s="28" t="s">
        <v>181</v>
      </c>
      <c r="X32" s="28" t="s">
        <v>181</v>
      </c>
      <c r="Y32" s="28" t="s">
        <v>181</v>
      </c>
      <c r="Z32" s="28" t="s">
        <v>181</v>
      </c>
      <c r="AA32" s="28" t="s">
        <v>181</v>
      </c>
      <c r="AB32" s="28" t="s">
        <v>181</v>
      </c>
      <c r="AC32" s="28" t="s">
        <v>181</v>
      </c>
      <c r="AD32" s="28" t="s">
        <v>181</v>
      </c>
      <c r="AE32" s="28" t="s">
        <v>181</v>
      </c>
      <c r="AF32" s="28" t="s">
        <v>181</v>
      </c>
      <c r="AG32" s="28" t="s">
        <v>181</v>
      </c>
      <c r="AH32" s="83" t="s">
        <v>181</v>
      </c>
    </row>
    <row r="33" spans="1:34" x14ac:dyDescent="0.25">
      <c r="A33" s="26" t="s">
        <v>182</v>
      </c>
      <c r="B33" s="30">
        <v>2</v>
      </c>
      <c r="C33" s="30">
        <v>2</v>
      </c>
      <c r="D33" s="30">
        <v>2</v>
      </c>
      <c r="E33" s="30">
        <v>2</v>
      </c>
      <c r="F33" s="30">
        <v>2</v>
      </c>
      <c r="G33" s="30">
        <v>2</v>
      </c>
      <c r="H33" s="30">
        <v>2</v>
      </c>
      <c r="I33" s="30">
        <v>2</v>
      </c>
      <c r="J33" s="30">
        <v>2</v>
      </c>
      <c r="K33" s="30">
        <v>2</v>
      </c>
      <c r="L33" s="30">
        <v>2</v>
      </c>
      <c r="M33" s="30">
        <v>2</v>
      </c>
      <c r="N33" s="30">
        <v>2</v>
      </c>
      <c r="O33" s="30">
        <v>2</v>
      </c>
      <c r="P33" s="82">
        <v>0</v>
      </c>
      <c r="Q33" s="82">
        <v>0</v>
      </c>
      <c r="R33" s="30">
        <v>2</v>
      </c>
      <c r="S33" s="82">
        <v>0</v>
      </c>
      <c r="T33" s="30">
        <v>2</v>
      </c>
      <c r="U33" s="30">
        <v>2</v>
      </c>
      <c r="V33" s="30">
        <v>2</v>
      </c>
      <c r="W33" s="30">
        <v>2</v>
      </c>
      <c r="X33" s="30">
        <v>2</v>
      </c>
      <c r="Y33" s="30">
        <v>2</v>
      </c>
      <c r="Z33" s="30">
        <v>2</v>
      </c>
      <c r="AA33" s="30">
        <v>2</v>
      </c>
      <c r="AB33" s="30">
        <v>2</v>
      </c>
      <c r="AC33" s="30">
        <v>2</v>
      </c>
      <c r="AD33" s="30">
        <v>2</v>
      </c>
      <c r="AE33" s="30">
        <v>2</v>
      </c>
      <c r="AF33" s="30">
        <v>2</v>
      </c>
      <c r="AG33" s="30">
        <v>2</v>
      </c>
      <c r="AH33" s="88">
        <v>2</v>
      </c>
    </row>
    <row r="34" spans="1:34" x14ac:dyDescent="0.25">
      <c r="A34" s="31"/>
    </row>
    <row r="35" spans="1:34" x14ac:dyDescent="0.25">
      <c r="A35" s="26" t="s">
        <v>159</v>
      </c>
      <c r="B35" s="28" t="s">
        <v>247</v>
      </c>
      <c r="C35" s="28" t="s">
        <v>248</v>
      </c>
      <c r="D35" s="28" t="s">
        <v>248</v>
      </c>
      <c r="E35" s="28" t="s">
        <v>248</v>
      </c>
      <c r="F35" s="28" t="s">
        <v>248</v>
      </c>
      <c r="G35" s="28" t="s">
        <v>248</v>
      </c>
      <c r="H35" s="28" t="s">
        <v>248</v>
      </c>
      <c r="I35" s="28" t="s">
        <v>248</v>
      </c>
      <c r="J35" s="28" t="s">
        <v>248</v>
      </c>
      <c r="K35" s="28" t="s">
        <v>248</v>
      </c>
      <c r="L35" s="28" t="s">
        <v>248</v>
      </c>
      <c r="M35" s="28" t="s">
        <v>248</v>
      </c>
      <c r="N35" s="28" t="s">
        <v>248</v>
      </c>
      <c r="O35" s="28" t="s">
        <v>248</v>
      </c>
      <c r="P35" s="28" t="s">
        <v>248</v>
      </c>
      <c r="Q35" s="28" t="s">
        <v>248</v>
      </c>
      <c r="R35" s="28" t="s">
        <v>248</v>
      </c>
      <c r="S35" s="28" t="s">
        <v>248</v>
      </c>
      <c r="T35" s="28" t="s">
        <v>248</v>
      </c>
      <c r="U35" s="28" t="s">
        <v>248</v>
      </c>
      <c r="V35" s="28" t="s">
        <v>248</v>
      </c>
      <c r="W35" s="28" t="s">
        <v>248</v>
      </c>
      <c r="X35" s="28" t="s">
        <v>248</v>
      </c>
      <c r="Y35" s="28" t="s">
        <v>248</v>
      </c>
      <c r="Z35" s="28" t="s">
        <v>248</v>
      </c>
      <c r="AA35" s="28" t="s">
        <v>248</v>
      </c>
      <c r="AB35" s="28" t="s">
        <v>248</v>
      </c>
      <c r="AC35" s="28" t="s">
        <v>248</v>
      </c>
      <c r="AD35" s="28" t="s">
        <v>248</v>
      </c>
      <c r="AE35" s="28" t="s">
        <v>248</v>
      </c>
      <c r="AF35" s="28" t="s">
        <v>248</v>
      </c>
      <c r="AG35" s="28" t="s">
        <v>248</v>
      </c>
      <c r="AH35" s="28" t="s">
        <v>248</v>
      </c>
    </row>
    <row r="36" spans="1:34" x14ac:dyDescent="0.25">
      <c r="A36" s="26" t="s">
        <v>165</v>
      </c>
      <c r="B36" s="28" t="s">
        <v>254</v>
      </c>
      <c r="C36" s="28" t="s">
        <v>254</v>
      </c>
      <c r="D36" s="28" t="s">
        <v>254</v>
      </c>
      <c r="E36" s="28" t="s">
        <v>254</v>
      </c>
      <c r="F36" s="28" t="s">
        <v>254</v>
      </c>
      <c r="G36" s="28" t="s">
        <v>254</v>
      </c>
      <c r="H36" s="28" t="s">
        <v>254</v>
      </c>
      <c r="I36" s="28" t="s">
        <v>254</v>
      </c>
      <c r="J36" s="28" t="s">
        <v>254</v>
      </c>
      <c r="K36" s="28" t="s">
        <v>254</v>
      </c>
      <c r="L36" s="28" t="s">
        <v>254</v>
      </c>
      <c r="M36" s="28" t="s">
        <v>254</v>
      </c>
      <c r="N36" s="28" t="s">
        <v>254</v>
      </c>
      <c r="O36" s="28" t="s">
        <v>254</v>
      </c>
      <c r="P36" s="28" t="s">
        <v>254</v>
      </c>
      <c r="Q36" s="28" t="s">
        <v>254</v>
      </c>
      <c r="R36" s="28" t="s">
        <v>254</v>
      </c>
      <c r="S36" s="28" t="s">
        <v>254</v>
      </c>
      <c r="T36" s="28" t="s">
        <v>254</v>
      </c>
      <c r="U36" s="28" t="s">
        <v>254</v>
      </c>
      <c r="V36" s="28" t="s">
        <v>254</v>
      </c>
      <c r="W36" s="28" t="s">
        <v>254</v>
      </c>
      <c r="X36" s="28" t="s">
        <v>254</v>
      </c>
      <c r="Y36" s="28" t="s">
        <v>254</v>
      </c>
      <c r="Z36" s="28" t="s">
        <v>254</v>
      </c>
      <c r="AA36" s="28" t="s">
        <v>254</v>
      </c>
      <c r="AB36" s="28" t="s">
        <v>254</v>
      </c>
      <c r="AC36" s="28" t="s">
        <v>254</v>
      </c>
      <c r="AD36" s="28" t="s">
        <v>254</v>
      </c>
      <c r="AE36" s="28" t="s">
        <v>254</v>
      </c>
      <c r="AF36" s="28" t="s">
        <v>254</v>
      </c>
      <c r="AG36" s="28" t="s">
        <v>254</v>
      </c>
      <c r="AH36" s="28" t="s">
        <v>254</v>
      </c>
    </row>
    <row r="37" spans="1:34" x14ac:dyDescent="0.25">
      <c r="A37" s="131" t="s">
        <v>168</v>
      </c>
      <c r="B37" s="157">
        <v>19</v>
      </c>
      <c r="C37" s="157">
        <v>19</v>
      </c>
      <c r="D37" s="157">
        <v>19</v>
      </c>
      <c r="E37" s="157">
        <v>19</v>
      </c>
      <c r="F37" s="157">
        <v>19</v>
      </c>
      <c r="G37" s="157">
        <v>19</v>
      </c>
      <c r="H37" s="157">
        <v>19</v>
      </c>
      <c r="I37" s="157">
        <v>19</v>
      </c>
      <c r="J37" s="157">
        <v>19</v>
      </c>
      <c r="K37" s="157">
        <v>19</v>
      </c>
      <c r="L37" s="157">
        <v>19</v>
      </c>
      <c r="M37" s="157">
        <v>19</v>
      </c>
      <c r="N37" s="157">
        <v>19</v>
      </c>
      <c r="O37" s="157">
        <v>19</v>
      </c>
      <c r="P37" s="157">
        <v>19</v>
      </c>
      <c r="Q37" s="157">
        <v>19</v>
      </c>
      <c r="R37" s="157">
        <v>19</v>
      </c>
      <c r="S37" s="157">
        <v>19</v>
      </c>
      <c r="T37" s="157">
        <v>19</v>
      </c>
      <c r="U37" s="157">
        <v>19</v>
      </c>
      <c r="V37" s="157">
        <v>19</v>
      </c>
      <c r="W37" s="157">
        <v>19</v>
      </c>
      <c r="X37" s="157">
        <v>19</v>
      </c>
      <c r="Y37" s="157">
        <v>19</v>
      </c>
      <c r="Z37" s="157">
        <v>19</v>
      </c>
      <c r="AA37" s="157">
        <v>19</v>
      </c>
      <c r="AB37" s="157">
        <v>19</v>
      </c>
      <c r="AC37" s="157">
        <v>19</v>
      </c>
      <c r="AD37" s="157">
        <v>19</v>
      </c>
      <c r="AE37" s="157">
        <v>19</v>
      </c>
      <c r="AF37" s="157">
        <v>19</v>
      </c>
      <c r="AG37" s="157">
        <v>19</v>
      </c>
      <c r="AH37" s="157">
        <v>19</v>
      </c>
    </row>
    <row r="38" spans="1:34" x14ac:dyDescent="0.25">
      <c r="A38" s="26" t="s">
        <v>169</v>
      </c>
      <c r="B38" s="29" t="s">
        <v>170</v>
      </c>
      <c r="C38" s="29" t="s">
        <v>170</v>
      </c>
      <c r="D38" s="29" t="s">
        <v>170</v>
      </c>
      <c r="E38" s="29" t="s">
        <v>170</v>
      </c>
      <c r="F38" s="29" t="s">
        <v>170</v>
      </c>
      <c r="G38" s="29" t="s">
        <v>170</v>
      </c>
      <c r="H38" s="29" t="s">
        <v>170</v>
      </c>
      <c r="I38" s="29" t="s">
        <v>170</v>
      </c>
      <c r="J38" s="29" t="s">
        <v>170</v>
      </c>
      <c r="K38" s="29" t="s">
        <v>170</v>
      </c>
      <c r="L38" s="29" t="s">
        <v>170</v>
      </c>
      <c r="M38" s="29" t="s">
        <v>170</v>
      </c>
      <c r="N38" s="29" t="s">
        <v>170</v>
      </c>
      <c r="O38" s="29" t="s">
        <v>170</v>
      </c>
      <c r="P38" s="29" t="s">
        <v>170</v>
      </c>
      <c r="Q38" s="29" t="s">
        <v>170</v>
      </c>
      <c r="R38" s="29" t="s">
        <v>170</v>
      </c>
      <c r="S38" s="29" t="s">
        <v>170</v>
      </c>
      <c r="T38" s="29" t="s">
        <v>170</v>
      </c>
      <c r="U38" s="29" t="s">
        <v>170</v>
      </c>
      <c r="V38" s="29" t="s">
        <v>170</v>
      </c>
      <c r="W38" s="29" t="s">
        <v>170</v>
      </c>
      <c r="X38" s="29" t="s">
        <v>170</v>
      </c>
      <c r="Y38" s="29" t="s">
        <v>170</v>
      </c>
      <c r="Z38" s="29" t="s">
        <v>170</v>
      </c>
      <c r="AA38" s="29" t="s">
        <v>170</v>
      </c>
      <c r="AB38" s="29" t="s">
        <v>170</v>
      </c>
      <c r="AC38" s="29" t="s">
        <v>170</v>
      </c>
      <c r="AD38" s="29" t="s">
        <v>170</v>
      </c>
      <c r="AE38" s="29" t="s">
        <v>170</v>
      </c>
      <c r="AF38" s="29" t="s">
        <v>170</v>
      </c>
      <c r="AG38" s="29" t="s">
        <v>170</v>
      </c>
      <c r="AH38" s="29" t="s">
        <v>170</v>
      </c>
    </row>
    <row r="39" spans="1:34" x14ac:dyDescent="0.25">
      <c r="A39" s="26" t="s">
        <v>171</v>
      </c>
      <c r="B39" s="28" t="s">
        <v>173</v>
      </c>
      <c r="C39" s="28" t="s">
        <v>173</v>
      </c>
      <c r="D39" s="28" t="s">
        <v>173</v>
      </c>
      <c r="E39" s="28" t="s">
        <v>173</v>
      </c>
      <c r="F39" s="28" t="s">
        <v>173</v>
      </c>
      <c r="G39" s="28" t="s">
        <v>173</v>
      </c>
      <c r="H39" s="28" t="s">
        <v>173</v>
      </c>
      <c r="I39" s="28" t="s">
        <v>173</v>
      </c>
      <c r="J39" s="28" t="s">
        <v>173</v>
      </c>
      <c r="K39" s="28" t="s">
        <v>173</v>
      </c>
      <c r="L39" s="28" t="s">
        <v>173</v>
      </c>
      <c r="M39" s="28" t="s">
        <v>173</v>
      </c>
      <c r="N39" s="28" t="s">
        <v>173</v>
      </c>
      <c r="O39" s="28" t="s">
        <v>173</v>
      </c>
      <c r="P39" s="28" t="s">
        <v>173</v>
      </c>
      <c r="Q39" s="28" t="s">
        <v>173</v>
      </c>
      <c r="R39" s="28" t="s">
        <v>173</v>
      </c>
      <c r="S39" s="28" t="s">
        <v>173</v>
      </c>
      <c r="T39" s="28" t="s">
        <v>173</v>
      </c>
      <c r="U39" s="28" t="s">
        <v>173</v>
      </c>
      <c r="V39" s="28" t="s">
        <v>173</v>
      </c>
      <c r="W39" s="28" t="s">
        <v>173</v>
      </c>
      <c r="X39" s="28" t="s">
        <v>173</v>
      </c>
      <c r="Y39" s="28" t="s">
        <v>173</v>
      </c>
      <c r="Z39" s="28" t="s">
        <v>173</v>
      </c>
      <c r="AA39" s="28" t="s">
        <v>173</v>
      </c>
      <c r="AB39" s="28" t="s">
        <v>173</v>
      </c>
      <c r="AC39" s="28" t="s">
        <v>173</v>
      </c>
      <c r="AD39" s="28" t="s">
        <v>173</v>
      </c>
      <c r="AE39" s="28" t="s">
        <v>173</v>
      </c>
      <c r="AF39" s="28" t="s">
        <v>173</v>
      </c>
      <c r="AG39" s="28" t="s">
        <v>173</v>
      </c>
      <c r="AH39" s="28" t="s">
        <v>173</v>
      </c>
    </row>
    <row r="40" spans="1:34" x14ac:dyDescent="0.25">
      <c r="A40" s="26" t="s">
        <v>172</v>
      </c>
      <c r="B40" s="28" t="s">
        <v>173</v>
      </c>
      <c r="C40" s="28" t="s">
        <v>173</v>
      </c>
      <c r="D40" s="28" t="s">
        <v>173</v>
      </c>
      <c r="E40" s="28" t="s">
        <v>173</v>
      </c>
      <c r="F40" s="28" t="s">
        <v>173</v>
      </c>
      <c r="G40" s="28" t="s">
        <v>173</v>
      </c>
      <c r="H40" s="28" t="s">
        <v>173</v>
      </c>
      <c r="I40" s="28" t="s">
        <v>173</v>
      </c>
      <c r="J40" s="28" t="s">
        <v>173</v>
      </c>
      <c r="K40" s="28" t="s">
        <v>173</v>
      </c>
      <c r="L40" s="28" t="s">
        <v>173</v>
      </c>
      <c r="M40" s="28" t="s">
        <v>173</v>
      </c>
      <c r="N40" s="28" t="s">
        <v>173</v>
      </c>
      <c r="O40" s="28" t="s">
        <v>173</v>
      </c>
      <c r="P40" s="28" t="s">
        <v>173</v>
      </c>
      <c r="Q40" s="28" t="s">
        <v>173</v>
      </c>
      <c r="R40" s="28" t="s">
        <v>173</v>
      </c>
      <c r="S40" s="28" t="s">
        <v>173</v>
      </c>
      <c r="T40" s="28" t="s">
        <v>173</v>
      </c>
      <c r="U40" s="28" t="s">
        <v>173</v>
      </c>
      <c r="V40" s="28" t="s">
        <v>173</v>
      </c>
      <c r="W40" s="28" t="s">
        <v>173</v>
      </c>
      <c r="X40" s="28" t="s">
        <v>173</v>
      </c>
      <c r="Y40" s="28" t="s">
        <v>173</v>
      </c>
      <c r="Z40" s="28" t="s">
        <v>173</v>
      </c>
      <c r="AA40" s="28" t="s">
        <v>173</v>
      </c>
      <c r="AB40" s="28" t="s">
        <v>173</v>
      </c>
      <c r="AC40" s="28" t="s">
        <v>173</v>
      </c>
      <c r="AD40" s="28" t="s">
        <v>173</v>
      </c>
      <c r="AE40" s="28" t="s">
        <v>173</v>
      </c>
      <c r="AF40" s="28" t="s">
        <v>173</v>
      </c>
      <c r="AG40" s="28" t="s">
        <v>173</v>
      </c>
      <c r="AH40" s="28" t="s">
        <v>173</v>
      </c>
    </row>
    <row r="41" spans="1:34" x14ac:dyDescent="0.25">
      <c r="A41" s="26" t="s">
        <v>174</v>
      </c>
      <c r="B41" s="28" t="s">
        <v>173</v>
      </c>
      <c r="C41" s="28" t="s">
        <v>173</v>
      </c>
      <c r="D41" s="28" t="s">
        <v>173</v>
      </c>
      <c r="E41" s="28" t="s">
        <v>173</v>
      </c>
      <c r="F41" s="28" t="s">
        <v>173</v>
      </c>
      <c r="G41" s="28" t="s">
        <v>173</v>
      </c>
      <c r="H41" s="28" t="s">
        <v>173</v>
      </c>
      <c r="I41" s="28" t="s">
        <v>173</v>
      </c>
      <c r="J41" s="28" t="s">
        <v>173</v>
      </c>
      <c r="K41" s="28" t="s">
        <v>173</v>
      </c>
      <c r="L41" s="28" t="s">
        <v>173</v>
      </c>
      <c r="M41" s="28" t="s">
        <v>173</v>
      </c>
      <c r="N41" s="28" t="s">
        <v>173</v>
      </c>
      <c r="O41" s="28" t="s">
        <v>173</v>
      </c>
      <c r="P41" s="28" t="s">
        <v>173</v>
      </c>
      <c r="Q41" s="28" t="s">
        <v>173</v>
      </c>
      <c r="R41" s="28" t="s">
        <v>173</v>
      </c>
      <c r="S41" s="28" t="s">
        <v>173</v>
      </c>
      <c r="T41" s="28" t="s">
        <v>173</v>
      </c>
      <c r="U41" s="28" t="s">
        <v>173</v>
      </c>
      <c r="V41" s="28" t="s">
        <v>173</v>
      </c>
      <c r="W41" s="28" t="s">
        <v>173</v>
      </c>
      <c r="X41" s="28" t="s">
        <v>173</v>
      </c>
      <c r="Y41" s="28" t="s">
        <v>173</v>
      </c>
      <c r="Z41" s="28" t="s">
        <v>173</v>
      </c>
      <c r="AA41" s="28" t="s">
        <v>173</v>
      </c>
      <c r="AB41" s="28" t="s">
        <v>173</v>
      </c>
      <c r="AC41" s="28" t="s">
        <v>173</v>
      </c>
      <c r="AD41" s="28" t="s">
        <v>173</v>
      </c>
      <c r="AE41" s="28" t="s">
        <v>173</v>
      </c>
      <c r="AF41" s="28" t="s">
        <v>173</v>
      </c>
      <c r="AG41" s="28" t="s">
        <v>173</v>
      </c>
      <c r="AH41" s="28" t="s">
        <v>173</v>
      </c>
    </row>
    <row r="42" spans="1:34" x14ac:dyDescent="0.25">
      <c r="A42" s="26" t="s">
        <v>175</v>
      </c>
      <c r="B42" s="28" t="s">
        <v>267</v>
      </c>
      <c r="C42" s="28" t="s">
        <v>267</v>
      </c>
      <c r="D42" s="28" t="s">
        <v>267</v>
      </c>
      <c r="E42" s="28" t="s">
        <v>267</v>
      </c>
      <c r="F42" s="28" t="s">
        <v>267</v>
      </c>
      <c r="G42" s="28" t="s">
        <v>267</v>
      </c>
      <c r="H42" s="28" t="s">
        <v>267</v>
      </c>
      <c r="I42" s="28" t="s">
        <v>267</v>
      </c>
      <c r="J42" s="28" t="s">
        <v>267</v>
      </c>
      <c r="K42" s="28" t="s">
        <v>267</v>
      </c>
      <c r="L42" s="28" t="s">
        <v>267</v>
      </c>
      <c r="M42" s="28" t="s">
        <v>267</v>
      </c>
      <c r="N42" s="28" t="s">
        <v>267</v>
      </c>
      <c r="O42" s="28" t="s">
        <v>267</v>
      </c>
      <c r="P42" s="28" t="s">
        <v>267</v>
      </c>
      <c r="Q42" s="28" t="s">
        <v>267</v>
      </c>
      <c r="R42" s="28" t="s">
        <v>267</v>
      </c>
      <c r="S42" s="28" t="s">
        <v>267</v>
      </c>
      <c r="T42" s="28" t="s">
        <v>267</v>
      </c>
      <c r="U42" s="28" t="s">
        <v>267</v>
      </c>
      <c r="V42" s="28" t="s">
        <v>267</v>
      </c>
      <c r="W42" s="28" t="s">
        <v>267</v>
      </c>
      <c r="X42" s="28" t="s">
        <v>267</v>
      </c>
      <c r="Y42" s="28" t="s">
        <v>267</v>
      </c>
      <c r="Z42" s="28" t="s">
        <v>267</v>
      </c>
      <c r="AA42" s="28" t="s">
        <v>267</v>
      </c>
      <c r="AB42" s="28" t="s">
        <v>267</v>
      </c>
      <c r="AC42" s="28" t="s">
        <v>267</v>
      </c>
      <c r="AD42" s="28" t="s">
        <v>267</v>
      </c>
      <c r="AE42" s="28" t="s">
        <v>267</v>
      </c>
      <c r="AF42" s="28" t="s">
        <v>267</v>
      </c>
      <c r="AG42" s="28" t="s">
        <v>267</v>
      </c>
      <c r="AH42" s="28" t="s">
        <v>267</v>
      </c>
    </row>
    <row r="43" spans="1:34" x14ac:dyDescent="0.25">
      <c r="A43" s="26" t="s">
        <v>176</v>
      </c>
      <c r="B43" s="30">
        <v>-3</v>
      </c>
      <c r="C43" s="30">
        <v>-3</v>
      </c>
      <c r="D43" s="30">
        <v>-3</v>
      </c>
      <c r="E43" s="30">
        <v>-3</v>
      </c>
      <c r="F43" s="30">
        <v>-3</v>
      </c>
      <c r="G43" s="30">
        <v>-3</v>
      </c>
      <c r="H43" s="30">
        <v>-3</v>
      </c>
      <c r="I43" s="30">
        <v>-3</v>
      </c>
      <c r="J43" s="30">
        <v>-3</v>
      </c>
      <c r="K43" s="30">
        <v>-3</v>
      </c>
      <c r="L43" s="30">
        <v>-3</v>
      </c>
      <c r="M43" s="30">
        <v>-3</v>
      </c>
      <c r="N43" s="30">
        <v>-3</v>
      </c>
      <c r="O43" s="30">
        <v>-3</v>
      </c>
      <c r="P43" s="30">
        <v>-3</v>
      </c>
      <c r="Q43" s="30">
        <v>-3</v>
      </c>
      <c r="R43" s="30">
        <v>-3</v>
      </c>
      <c r="S43" s="30">
        <v>-3</v>
      </c>
      <c r="T43" s="30">
        <v>-3</v>
      </c>
      <c r="U43" s="30">
        <v>-3</v>
      </c>
      <c r="V43" s="30">
        <v>-3</v>
      </c>
      <c r="W43" s="30">
        <v>-3</v>
      </c>
      <c r="X43" s="30">
        <v>-3</v>
      </c>
      <c r="Y43" s="30">
        <v>-3</v>
      </c>
      <c r="Z43" s="30">
        <v>-3</v>
      </c>
      <c r="AA43" s="30">
        <v>-3</v>
      </c>
      <c r="AB43" s="30">
        <v>-3</v>
      </c>
      <c r="AC43" s="30">
        <v>-3</v>
      </c>
      <c r="AD43" s="30">
        <v>-3</v>
      </c>
      <c r="AE43" s="30">
        <v>-3</v>
      </c>
      <c r="AF43" s="30">
        <v>-3</v>
      </c>
      <c r="AG43" s="30">
        <v>-3</v>
      </c>
      <c r="AH43" s="30">
        <v>-3</v>
      </c>
    </row>
    <row r="44" spans="1:34" x14ac:dyDescent="0.25">
      <c r="A44" s="26" t="s">
        <v>177</v>
      </c>
      <c r="B44" s="28" t="s">
        <v>178</v>
      </c>
      <c r="C44" s="28" t="s">
        <v>178</v>
      </c>
      <c r="D44" s="28" t="s">
        <v>178</v>
      </c>
      <c r="E44" s="28" t="s">
        <v>178</v>
      </c>
      <c r="F44" s="28" t="s">
        <v>178</v>
      </c>
      <c r="G44" s="28" t="s">
        <v>178</v>
      </c>
      <c r="H44" s="28" t="s">
        <v>178</v>
      </c>
      <c r="I44" s="28" t="s">
        <v>178</v>
      </c>
      <c r="J44" s="28" t="s">
        <v>178</v>
      </c>
      <c r="K44" s="28" t="s">
        <v>178</v>
      </c>
      <c r="L44" s="28" t="s">
        <v>178</v>
      </c>
      <c r="M44" s="28" t="s">
        <v>178</v>
      </c>
      <c r="N44" s="28" t="s">
        <v>178</v>
      </c>
      <c r="O44" s="28" t="s">
        <v>178</v>
      </c>
      <c r="P44" s="28" t="s">
        <v>178</v>
      </c>
      <c r="Q44" s="28" t="s">
        <v>178</v>
      </c>
      <c r="R44" s="28" t="s">
        <v>178</v>
      </c>
      <c r="S44" s="28" t="s">
        <v>178</v>
      </c>
      <c r="T44" s="28" t="s">
        <v>178</v>
      </c>
      <c r="U44" s="28" t="s">
        <v>178</v>
      </c>
      <c r="V44" s="28" t="s">
        <v>178</v>
      </c>
      <c r="W44" s="28" t="s">
        <v>178</v>
      </c>
      <c r="X44" s="28" t="s">
        <v>178</v>
      </c>
      <c r="Y44" s="28" t="s">
        <v>178</v>
      </c>
      <c r="Z44" s="28" t="s">
        <v>178</v>
      </c>
      <c r="AA44" s="28" t="s">
        <v>178</v>
      </c>
      <c r="AB44" s="28" t="s">
        <v>178</v>
      </c>
      <c r="AC44" s="28" t="s">
        <v>178</v>
      </c>
      <c r="AD44" s="28" t="s">
        <v>178</v>
      </c>
      <c r="AE44" s="28" t="s">
        <v>178</v>
      </c>
      <c r="AF44" s="28" t="s">
        <v>178</v>
      </c>
      <c r="AG44" s="28" t="s">
        <v>178</v>
      </c>
      <c r="AH44" s="28" t="s">
        <v>178</v>
      </c>
    </row>
    <row r="45" spans="1:34" x14ac:dyDescent="0.25">
      <c r="A45" s="26" t="s">
        <v>182</v>
      </c>
      <c r="B45" s="30">
        <v>4</v>
      </c>
      <c r="C45" s="30">
        <v>4</v>
      </c>
      <c r="D45" s="30">
        <v>4</v>
      </c>
      <c r="E45" s="30">
        <v>4</v>
      </c>
      <c r="F45" s="30">
        <v>4</v>
      </c>
      <c r="G45" s="30">
        <v>4</v>
      </c>
      <c r="H45" s="30">
        <v>4</v>
      </c>
      <c r="I45" s="30">
        <v>4</v>
      </c>
      <c r="J45" s="30">
        <v>4</v>
      </c>
      <c r="K45" s="30">
        <v>4</v>
      </c>
      <c r="L45" s="30">
        <v>4</v>
      </c>
      <c r="M45" s="30">
        <v>4</v>
      </c>
      <c r="N45" s="30">
        <v>4</v>
      </c>
      <c r="O45" s="30">
        <v>4</v>
      </c>
      <c r="P45" s="30">
        <v>4</v>
      </c>
      <c r="Q45" s="30">
        <v>4</v>
      </c>
      <c r="R45" s="30">
        <v>4</v>
      </c>
      <c r="S45" s="30">
        <v>4</v>
      </c>
      <c r="T45" s="30">
        <v>4</v>
      </c>
      <c r="U45" s="30">
        <v>4</v>
      </c>
      <c r="V45" s="30">
        <v>4</v>
      </c>
      <c r="W45" s="30">
        <v>4</v>
      </c>
      <c r="X45" s="30">
        <v>4</v>
      </c>
      <c r="Y45" s="30">
        <v>4</v>
      </c>
      <c r="Z45" s="30">
        <v>4</v>
      </c>
      <c r="AA45" s="30">
        <v>4</v>
      </c>
      <c r="AB45" s="30">
        <v>4</v>
      </c>
      <c r="AC45" s="30">
        <v>4</v>
      </c>
      <c r="AD45" s="30">
        <v>4</v>
      </c>
      <c r="AE45" s="30">
        <v>4</v>
      </c>
      <c r="AF45" s="30">
        <v>4</v>
      </c>
      <c r="AG45" s="30">
        <v>4</v>
      </c>
      <c r="AH45" s="30">
        <v>4</v>
      </c>
    </row>
    <row r="46" spans="1:34" x14ac:dyDescent="0.25">
      <c r="B46" s="56"/>
    </row>
    <row r="47" spans="1:34" x14ac:dyDescent="0.25">
      <c r="A47" s="26" t="s">
        <v>159</v>
      </c>
      <c r="B47" s="28" t="s">
        <v>447</v>
      </c>
      <c r="C47" s="28" t="s">
        <v>448</v>
      </c>
      <c r="D47" s="28" t="s">
        <v>448</v>
      </c>
      <c r="E47" s="28" t="s">
        <v>448</v>
      </c>
      <c r="F47" s="28" t="s">
        <v>448</v>
      </c>
      <c r="G47" s="28" t="s">
        <v>448</v>
      </c>
      <c r="H47" s="28" t="s">
        <v>448</v>
      </c>
      <c r="I47" s="28" t="s">
        <v>448</v>
      </c>
      <c r="J47" s="28" t="s">
        <v>448</v>
      </c>
      <c r="K47" s="28" t="s">
        <v>448</v>
      </c>
      <c r="L47" s="28" t="s">
        <v>448</v>
      </c>
      <c r="M47" s="28" t="s">
        <v>448</v>
      </c>
      <c r="N47" s="28" t="s">
        <v>448</v>
      </c>
      <c r="O47" s="28" t="s">
        <v>448</v>
      </c>
      <c r="P47" s="28" t="s">
        <v>448</v>
      </c>
      <c r="Q47" s="28" t="s">
        <v>448</v>
      </c>
      <c r="R47" s="28" t="s">
        <v>448</v>
      </c>
      <c r="S47" s="28" t="s">
        <v>448</v>
      </c>
      <c r="T47" s="28" t="s">
        <v>448</v>
      </c>
      <c r="U47" s="28" t="s">
        <v>448</v>
      </c>
      <c r="V47" s="28" t="s">
        <v>448</v>
      </c>
      <c r="W47" s="28" t="s">
        <v>448</v>
      </c>
      <c r="X47" s="28" t="s">
        <v>448</v>
      </c>
      <c r="Y47" s="28" t="s">
        <v>448</v>
      </c>
      <c r="Z47" s="28" t="s">
        <v>448</v>
      </c>
      <c r="AA47" s="28" t="s">
        <v>448</v>
      </c>
      <c r="AB47" s="28" t="s">
        <v>448</v>
      </c>
      <c r="AC47" s="28" t="s">
        <v>448</v>
      </c>
      <c r="AD47" s="28" t="s">
        <v>448</v>
      </c>
      <c r="AE47" s="28" t="s">
        <v>448</v>
      </c>
      <c r="AF47" s="28" t="s">
        <v>448</v>
      </c>
      <c r="AG47" s="28" t="s">
        <v>448</v>
      </c>
      <c r="AH47" s="28" t="s">
        <v>448</v>
      </c>
    </row>
    <row r="48" spans="1:34" x14ac:dyDescent="0.25">
      <c r="A48" s="26" t="s">
        <v>165</v>
      </c>
      <c r="B48" s="29" t="s">
        <v>561</v>
      </c>
      <c r="C48" s="29" t="s">
        <v>561</v>
      </c>
      <c r="D48" s="29" t="s">
        <v>561</v>
      </c>
      <c r="E48" s="29" t="s">
        <v>561</v>
      </c>
      <c r="F48" s="29" t="s">
        <v>561</v>
      </c>
      <c r="G48" s="29" t="s">
        <v>561</v>
      </c>
      <c r="H48" s="29" t="s">
        <v>561</v>
      </c>
      <c r="I48" s="29" t="s">
        <v>561</v>
      </c>
      <c r="J48" s="29" t="s">
        <v>561</v>
      </c>
      <c r="K48" s="29" t="s">
        <v>561</v>
      </c>
      <c r="L48" s="29" t="s">
        <v>561</v>
      </c>
      <c r="M48" s="29" t="s">
        <v>561</v>
      </c>
      <c r="N48" s="113" t="s">
        <v>572</v>
      </c>
      <c r="O48" s="29" t="s">
        <v>561</v>
      </c>
      <c r="P48" s="113" t="s">
        <v>453</v>
      </c>
      <c r="Q48" s="113" t="s">
        <v>453</v>
      </c>
      <c r="R48" s="29" t="s">
        <v>454</v>
      </c>
      <c r="S48" s="113" t="s">
        <v>572</v>
      </c>
      <c r="T48" s="29" t="s">
        <v>561</v>
      </c>
      <c r="U48" s="29" t="s">
        <v>561</v>
      </c>
      <c r="V48" s="29" t="s">
        <v>561</v>
      </c>
      <c r="W48" s="29" t="s">
        <v>561</v>
      </c>
      <c r="X48" s="29" t="s">
        <v>561</v>
      </c>
      <c r="Y48" s="29" t="s">
        <v>561</v>
      </c>
      <c r="Z48" s="29" t="s">
        <v>561</v>
      </c>
      <c r="AA48" s="29" t="s">
        <v>561</v>
      </c>
      <c r="AB48" s="29" t="s">
        <v>561</v>
      </c>
      <c r="AC48" s="29" t="s">
        <v>561</v>
      </c>
      <c r="AD48" s="29" t="s">
        <v>561</v>
      </c>
      <c r="AE48" s="29" t="s">
        <v>561</v>
      </c>
      <c r="AF48" s="29" t="s">
        <v>561</v>
      </c>
      <c r="AG48" s="28" t="s">
        <v>457</v>
      </c>
      <c r="AH48" s="28" t="s">
        <v>457</v>
      </c>
    </row>
    <row r="49" spans="1:34" x14ac:dyDescent="0.25">
      <c r="A49" s="131" t="s">
        <v>168</v>
      </c>
      <c r="B49" s="157">
        <v>83</v>
      </c>
      <c r="C49" s="157">
        <v>83</v>
      </c>
      <c r="D49" s="157">
        <v>83</v>
      </c>
      <c r="E49" s="157">
        <v>83</v>
      </c>
      <c r="F49" s="157">
        <v>83</v>
      </c>
      <c r="G49" s="157">
        <v>83</v>
      </c>
      <c r="H49" s="157">
        <v>83</v>
      </c>
      <c r="I49" s="157">
        <v>83</v>
      </c>
      <c r="J49" s="157">
        <v>83</v>
      </c>
      <c r="K49" s="157">
        <v>83</v>
      </c>
      <c r="L49" s="157">
        <v>83</v>
      </c>
      <c r="M49" s="157">
        <v>83</v>
      </c>
      <c r="N49" s="157">
        <v>143</v>
      </c>
      <c r="O49" s="157">
        <v>83</v>
      </c>
      <c r="P49" s="157">
        <v>142</v>
      </c>
      <c r="Q49" s="157">
        <v>142</v>
      </c>
      <c r="R49" s="157">
        <v>81</v>
      </c>
      <c r="S49" s="157">
        <v>143</v>
      </c>
      <c r="T49" s="157">
        <v>83</v>
      </c>
      <c r="U49" s="157">
        <v>83</v>
      </c>
      <c r="V49" s="157">
        <v>83</v>
      </c>
      <c r="W49" s="157">
        <v>83</v>
      </c>
      <c r="X49" s="157">
        <v>83</v>
      </c>
      <c r="Y49" s="157">
        <v>83</v>
      </c>
      <c r="Z49" s="157">
        <v>83</v>
      </c>
      <c r="AA49" s="157">
        <v>83</v>
      </c>
      <c r="AB49" s="157">
        <v>83</v>
      </c>
      <c r="AC49" s="157">
        <v>83</v>
      </c>
      <c r="AD49" s="157">
        <v>83</v>
      </c>
      <c r="AE49" s="157">
        <v>83</v>
      </c>
      <c r="AF49" s="157">
        <v>83</v>
      </c>
      <c r="AG49" s="157">
        <v>82</v>
      </c>
      <c r="AH49" s="157">
        <v>82</v>
      </c>
    </row>
    <row r="50" spans="1:34" x14ac:dyDescent="0.25">
      <c r="A50" s="26" t="s">
        <v>169</v>
      </c>
      <c r="B50" s="28" t="s">
        <v>170</v>
      </c>
      <c r="C50" s="28" t="s">
        <v>170</v>
      </c>
      <c r="D50" s="28" t="s">
        <v>170</v>
      </c>
      <c r="E50" s="28" t="s">
        <v>170</v>
      </c>
      <c r="F50" s="28" t="s">
        <v>170</v>
      </c>
      <c r="G50" s="28" t="s">
        <v>170</v>
      </c>
      <c r="H50" s="28" t="s">
        <v>170</v>
      </c>
      <c r="I50" s="28" t="s">
        <v>170</v>
      </c>
      <c r="J50" s="28" t="s">
        <v>170</v>
      </c>
      <c r="K50" s="28" t="s">
        <v>170</v>
      </c>
      <c r="L50" s="28" t="s">
        <v>170</v>
      </c>
      <c r="M50" s="28" t="s">
        <v>170</v>
      </c>
      <c r="N50" s="28" t="s">
        <v>170</v>
      </c>
      <c r="O50" s="28" t="s">
        <v>170</v>
      </c>
      <c r="P50" s="28" t="s">
        <v>170</v>
      </c>
      <c r="Q50" s="28" t="s">
        <v>170</v>
      </c>
      <c r="R50" s="28" t="s">
        <v>170</v>
      </c>
      <c r="S50" s="28" t="s">
        <v>170</v>
      </c>
      <c r="T50" s="28" t="s">
        <v>170</v>
      </c>
      <c r="U50" s="28" t="s">
        <v>170</v>
      </c>
      <c r="V50" s="28" t="s">
        <v>170</v>
      </c>
      <c r="W50" s="28" t="s">
        <v>170</v>
      </c>
      <c r="X50" s="28" t="s">
        <v>170</v>
      </c>
      <c r="Y50" s="28" t="s">
        <v>170</v>
      </c>
      <c r="Z50" s="28" t="s">
        <v>170</v>
      </c>
      <c r="AA50" s="28" t="s">
        <v>170</v>
      </c>
      <c r="AB50" s="28" t="s">
        <v>170</v>
      </c>
      <c r="AC50" s="28" t="s">
        <v>170</v>
      </c>
      <c r="AD50" s="28" t="s">
        <v>170</v>
      </c>
      <c r="AE50" s="28" t="s">
        <v>170</v>
      </c>
      <c r="AF50" s="28" t="s">
        <v>170</v>
      </c>
      <c r="AG50" s="28" t="s">
        <v>170</v>
      </c>
      <c r="AH50" s="28" t="s">
        <v>170</v>
      </c>
    </row>
    <row r="51" spans="1:34" x14ac:dyDescent="0.25">
      <c r="A51" s="26" t="s">
        <v>171</v>
      </c>
      <c r="B51" s="28" t="s">
        <v>170</v>
      </c>
      <c r="C51" s="28" t="s">
        <v>170</v>
      </c>
      <c r="D51" s="28" t="s">
        <v>170</v>
      </c>
      <c r="E51" s="28" t="s">
        <v>170</v>
      </c>
      <c r="F51" s="28" t="s">
        <v>170</v>
      </c>
      <c r="G51" s="28" t="s">
        <v>170</v>
      </c>
      <c r="H51" s="28" t="s">
        <v>170</v>
      </c>
      <c r="I51" s="28" t="s">
        <v>170</v>
      </c>
      <c r="J51" s="28" t="s">
        <v>170</v>
      </c>
      <c r="K51" s="28" t="s">
        <v>170</v>
      </c>
      <c r="L51" s="28" t="s">
        <v>170</v>
      </c>
      <c r="M51" s="28" t="s">
        <v>170</v>
      </c>
      <c r="N51" s="28" t="s">
        <v>170</v>
      </c>
      <c r="O51" s="28" t="s">
        <v>170</v>
      </c>
      <c r="P51" s="28" t="s">
        <v>170</v>
      </c>
      <c r="Q51" s="28" t="s">
        <v>170</v>
      </c>
      <c r="R51" s="28" t="s">
        <v>170</v>
      </c>
      <c r="S51" s="28" t="s">
        <v>170</v>
      </c>
      <c r="T51" s="28" t="s">
        <v>170</v>
      </c>
      <c r="U51" s="28" t="s">
        <v>170</v>
      </c>
      <c r="V51" s="28" t="s">
        <v>170</v>
      </c>
      <c r="W51" s="28" t="s">
        <v>170</v>
      </c>
      <c r="X51" s="28" t="s">
        <v>170</v>
      </c>
      <c r="Y51" s="28" t="s">
        <v>170</v>
      </c>
      <c r="Z51" s="28" t="s">
        <v>170</v>
      </c>
      <c r="AA51" s="28" t="s">
        <v>170</v>
      </c>
      <c r="AB51" s="28" t="s">
        <v>170</v>
      </c>
      <c r="AC51" s="28" t="s">
        <v>170</v>
      </c>
      <c r="AD51" s="28" t="s">
        <v>170</v>
      </c>
      <c r="AE51" s="28" t="s">
        <v>170</v>
      </c>
      <c r="AF51" s="28" t="s">
        <v>170</v>
      </c>
      <c r="AG51" s="28" t="s">
        <v>170</v>
      </c>
      <c r="AH51" s="28" t="s">
        <v>170</v>
      </c>
    </row>
    <row r="52" spans="1:34" x14ac:dyDescent="0.25">
      <c r="A52" s="26" t="s">
        <v>172</v>
      </c>
      <c r="B52" s="28" t="s">
        <v>173</v>
      </c>
      <c r="C52" s="28" t="s">
        <v>173</v>
      </c>
      <c r="D52" s="28" t="s">
        <v>173</v>
      </c>
      <c r="E52" s="28" t="s">
        <v>173</v>
      </c>
      <c r="F52" s="28" t="s">
        <v>173</v>
      </c>
      <c r="G52" s="28" t="s">
        <v>173</v>
      </c>
      <c r="H52" s="28" t="s">
        <v>173</v>
      </c>
      <c r="I52" s="28" t="s">
        <v>173</v>
      </c>
      <c r="J52" s="28" t="s">
        <v>173</v>
      </c>
      <c r="K52" s="28" t="s">
        <v>173</v>
      </c>
      <c r="L52" s="28" t="s">
        <v>173</v>
      </c>
      <c r="M52" s="28" t="s">
        <v>173</v>
      </c>
      <c r="N52" s="28" t="s">
        <v>173</v>
      </c>
      <c r="O52" s="28" t="s">
        <v>173</v>
      </c>
      <c r="P52" s="28" t="s">
        <v>173</v>
      </c>
      <c r="Q52" s="28" t="s">
        <v>173</v>
      </c>
      <c r="R52" s="28" t="s">
        <v>173</v>
      </c>
      <c r="S52" s="28" t="s">
        <v>173</v>
      </c>
      <c r="T52" s="28" t="s">
        <v>173</v>
      </c>
      <c r="U52" s="28" t="s">
        <v>173</v>
      </c>
      <c r="V52" s="28" t="s">
        <v>173</v>
      </c>
      <c r="W52" s="28" t="s">
        <v>173</v>
      </c>
      <c r="X52" s="28" t="s">
        <v>173</v>
      </c>
      <c r="Y52" s="28" t="s">
        <v>173</v>
      </c>
      <c r="Z52" s="28" t="s">
        <v>173</v>
      </c>
      <c r="AA52" s="28" t="s">
        <v>173</v>
      </c>
      <c r="AB52" s="28" t="s">
        <v>173</v>
      </c>
      <c r="AC52" s="28" t="s">
        <v>173</v>
      </c>
      <c r="AD52" s="28" t="s">
        <v>173</v>
      </c>
      <c r="AE52" s="28" t="s">
        <v>173</v>
      </c>
      <c r="AF52" s="28" t="s">
        <v>173</v>
      </c>
      <c r="AG52" s="28" t="s">
        <v>173</v>
      </c>
      <c r="AH52" s="28" t="s">
        <v>173</v>
      </c>
    </row>
    <row r="53" spans="1:34" x14ac:dyDescent="0.25">
      <c r="A53" s="26" t="s">
        <v>174</v>
      </c>
      <c r="B53" s="28" t="s">
        <v>173</v>
      </c>
      <c r="C53" s="28" t="s">
        <v>173</v>
      </c>
      <c r="D53" s="28" t="s">
        <v>173</v>
      </c>
      <c r="E53" s="28" t="s">
        <v>173</v>
      </c>
      <c r="F53" s="28" t="s">
        <v>173</v>
      </c>
      <c r="G53" s="28" t="s">
        <v>173</v>
      </c>
      <c r="H53" s="28" t="s">
        <v>173</v>
      </c>
      <c r="I53" s="28" t="s">
        <v>173</v>
      </c>
      <c r="J53" s="28" t="s">
        <v>173</v>
      </c>
      <c r="K53" s="28" t="s">
        <v>173</v>
      </c>
      <c r="L53" s="28" t="s">
        <v>173</v>
      </c>
      <c r="M53" s="28" t="s">
        <v>173</v>
      </c>
      <c r="N53" s="28" t="s">
        <v>173</v>
      </c>
      <c r="O53" s="28" t="s">
        <v>173</v>
      </c>
      <c r="P53" s="28" t="s">
        <v>173</v>
      </c>
      <c r="Q53" s="28" t="s">
        <v>173</v>
      </c>
      <c r="R53" s="28" t="s">
        <v>173</v>
      </c>
      <c r="S53" s="28" t="s">
        <v>173</v>
      </c>
      <c r="T53" s="28" t="s">
        <v>173</v>
      </c>
      <c r="U53" s="28" t="s">
        <v>173</v>
      </c>
      <c r="V53" s="28" t="s">
        <v>173</v>
      </c>
      <c r="W53" s="28" t="s">
        <v>173</v>
      </c>
      <c r="X53" s="28" t="s">
        <v>173</v>
      </c>
      <c r="Y53" s="28" t="s">
        <v>173</v>
      </c>
      <c r="Z53" s="28" t="s">
        <v>173</v>
      </c>
      <c r="AA53" s="28" t="s">
        <v>173</v>
      </c>
      <c r="AB53" s="28" t="s">
        <v>173</v>
      </c>
      <c r="AC53" s="28" t="s">
        <v>173</v>
      </c>
      <c r="AD53" s="28" t="s">
        <v>173</v>
      </c>
      <c r="AE53" s="28" t="s">
        <v>173</v>
      </c>
      <c r="AF53" s="28" t="s">
        <v>173</v>
      </c>
      <c r="AG53" s="28" t="s">
        <v>173</v>
      </c>
      <c r="AH53" s="28" t="s">
        <v>173</v>
      </c>
    </row>
    <row r="54" spans="1:34" x14ac:dyDescent="0.25">
      <c r="A54" s="26" t="s">
        <v>175</v>
      </c>
      <c r="B54" s="28" t="s">
        <v>198</v>
      </c>
      <c r="C54" s="28" t="s">
        <v>198</v>
      </c>
      <c r="D54" s="28" t="s">
        <v>198</v>
      </c>
      <c r="E54" s="28" t="s">
        <v>198</v>
      </c>
      <c r="F54" s="28" t="s">
        <v>198</v>
      </c>
      <c r="G54" s="28" t="s">
        <v>198</v>
      </c>
      <c r="H54" s="28" t="s">
        <v>198</v>
      </c>
      <c r="I54" s="28" t="s">
        <v>198</v>
      </c>
      <c r="J54" s="28" t="s">
        <v>198</v>
      </c>
      <c r="K54" s="28" t="s">
        <v>198</v>
      </c>
      <c r="L54" s="28" t="s">
        <v>198</v>
      </c>
      <c r="M54" s="28" t="s">
        <v>198</v>
      </c>
      <c r="N54" s="113" t="s">
        <v>460</v>
      </c>
      <c r="O54" s="28" t="s">
        <v>198</v>
      </c>
      <c r="P54" s="28" t="s">
        <v>461</v>
      </c>
      <c r="Q54" s="28" t="s">
        <v>461</v>
      </c>
      <c r="R54" s="28" t="s">
        <v>461</v>
      </c>
      <c r="S54" s="113" t="s">
        <v>460</v>
      </c>
      <c r="T54" s="28" t="s">
        <v>198</v>
      </c>
      <c r="U54" s="28" t="s">
        <v>198</v>
      </c>
      <c r="V54" s="28" t="s">
        <v>198</v>
      </c>
      <c r="W54" s="28" t="s">
        <v>198</v>
      </c>
      <c r="X54" s="28" t="s">
        <v>198</v>
      </c>
      <c r="Y54" s="28" t="s">
        <v>198</v>
      </c>
      <c r="Z54" s="28" t="s">
        <v>198</v>
      </c>
      <c r="AA54" s="28" t="s">
        <v>198</v>
      </c>
      <c r="AB54" s="28" t="s">
        <v>198</v>
      </c>
      <c r="AC54" s="28" t="s">
        <v>198</v>
      </c>
      <c r="AD54" s="28" t="s">
        <v>198</v>
      </c>
      <c r="AE54" s="28" t="s">
        <v>198</v>
      </c>
      <c r="AF54" s="28" t="s">
        <v>198</v>
      </c>
      <c r="AG54" s="28" t="s">
        <v>198</v>
      </c>
      <c r="AH54" s="28" t="s">
        <v>198</v>
      </c>
    </row>
    <row r="55" spans="1:34" x14ac:dyDescent="0.25">
      <c r="A55" s="26" t="s">
        <v>176</v>
      </c>
      <c r="B55" s="30">
        <v>0.75</v>
      </c>
      <c r="C55" s="30">
        <v>0.75</v>
      </c>
      <c r="D55" s="30">
        <v>0.75</v>
      </c>
      <c r="E55" s="30">
        <v>0.75</v>
      </c>
      <c r="F55" s="30">
        <v>0.75</v>
      </c>
      <c r="G55" s="30">
        <v>0.75</v>
      </c>
      <c r="H55" s="30">
        <v>0.75</v>
      </c>
      <c r="I55" s="30">
        <v>0.75</v>
      </c>
      <c r="J55" s="30">
        <v>0.75</v>
      </c>
      <c r="K55" s="30">
        <v>0.75</v>
      </c>
      <c r="L55" s="30">
        <v>0.75</v>
      </c>
      <c r="M55" s="30">
        <v>0.75</v>
      </c>
      <c r="N55" s="30">
        <f>AVERAGE(0.75,0.75,-4)</f>
        <v>-0.83333333333333337</v>
      </c>
      <c r="O55" s="30">
        <v>0.75</v>
      </c>
      <c r="P55" s="30">
        <v>-4</v>
      </c>
      <c r="Q55" s="30">
        <v>-4</v>
      </c>
      <c r="R55" s="30">
        <v>-4</v>
      </c>
      <c r="S55" s="30">
        <f>AVERAGE(0.75,0.75,-4)</f>
        <v>-0.83333333333333337</v>
      </c>
      <c r="T55" s="30">
        <v>0.75</v>
      </c>
      <c r="U55" s="30">
        <v>0.75</v>
      </c>
      <c r="V55" s="30">
        <v>0.75</v>
      </c>
      <c r="W55" s="30">
        <v>0.75</v>
      </c>
      <c r="X55" s="30">
        <v>0.75</v>
      </c>
      <c r="Y55" s="30">
        <v>0.75</v>
      </c>
      <c r="Z55" s="30">
        <v>0.75</v>
      </c>
      <c r="AA55" s="30">
        <v>0.75</v>
      </c>
      <c r="AB55" s="30">
        <v>0.75</v>
      </c>
      <c r="AC55" s="30">
        <v>0.75</v>
      </c>
      <c r="AD55" s="30">
        <v>0.75</v>
      </c>
      <c r="AE55" s="30">
        <v>0.75</v>
      </c>
      <c r="AF55" s="30">
        <v>0.75</v>
      </c>
      <c r="AG55" s="30">
        <f>5/3</f>
        <v>1.6666666666666667</v>
      </c>
      <c r="AH55" s="30">
        <f>5/3</f>
        <v>1.6666666666666667</v>
      </c>
    </row>
    <row r="56" spans="1:34" x14ac:dyDescent="0.25">
      <c r="A56" s="26" t="s">
        <v>177</v>
      </c>
      <c r="B56" s="28" t="s">
        <v>462</v>
      </c>
      <c r="C56" s="28" t="s">
        <v>462</v>
      </c>
      <c r="D56" s="28" t="s">
        <v>462</v>
      </c>
      <c r="E56" s="28" t="s">
        <v>462</v>
      </c>
      <c r="F56" s="28" t="s">
        <v>462</v>
      </c>
      <c r="G56" s="28" t="s">
        <v>462</v>
      </c>
      <c r="H56" s="28" t="s">
        <v>462</v>
      </c>
      <c r="I56" s="28" t="s">
        <v>462</v>
      </c>
      <c r="J56" s="28" t="s">
        <v>462</v>
      </c>
      <c r="K56" s="28" t="s">
        <v>462</v>
      </c>
      <c r="L56" s="28" t="s">
        <v>462</v>
      </c>
      <c r="M56" s="28" t="s">
        <v>462</v>
      </c>
      <c r="N56" s="28" t="s">
        <v>462</v>
      </c>
      <c r="O56" s="28" t="s">
        <v>462</v>
      </c>
      <c r="P56" s="113" t="s">
        <v>464</v>
      </c>
      <c r="Q56" s="113" t="s">
        <v>464</v>
      </c>
      <c r="R56" s="28" t="s">
        <v>462</v>
      </c>
      <c r="S56" s="28" t="s">
        <v>462</v>
      </c>
      <c r="T56" s="28" t="s">
        <v>462</v>
      </c>
      <c r="U56" s="28" t="s">
        <v>462</v>
      </c>
      <c r="V56" s="28" t="s">
        <v>462</v>
      </c>
      <c r="W56" s="28" t="s">
        <v>462</v>
      </c>
      <c r="X56" s="28" t="s">
        <v>462</v>
      </c>
      <c r="Y56" s="28" t="s">
        <v>462</v>
      </c>
      <c r="Z56" s="28" t="s">
        <v>462</v>
      </c>
      <c r="AA56" s="28" t="s">
        <v>462</v>
      </c>
      <c r="AB56" s="28" t="s">
        <v>462</v>
      </c>
      <c r="AC56" s="28" t="s">
        <v>462</v>
      </c>
      <c r="AD56" s="28" t="s">
        <v>462</v>
      </c>
      <c r="AE56" s="28" t="s">
        <v>462</v>
      </c>
      <c r="AF56" s="28" t="s">
        <v>462</v>
      </c>
      <c r="AG56" s="28" t="s">
        <v>462</v>
      </c>
      <c r="AH56" s="28" t="s">
        <v>462</v>
      </c>
    </row>
    <row r="57" spans="1:34" x14ac:dyDescent="0.25">
      <c r="A57" s="26" t="s">
        <v>182</v>
      </c>
      <c r="B57" s="30">
        <v>1</v>
      </c>
      <c r="C57" s="30">
        <v>1</v>
      </c>
      <c r="D57" s="30">
        <v>1</v>
      </c>
      <c r="E57" s="30">
        <v>1</v>
      </c>
      <c r="F57" s="30">
        <v>1</v>
      </c>
      <c r="G57" s="30">
        <v>1</v>
      </c>
      <c r="H57" s="30">
        <v>1</v>
      </c>
      <c r="I57" s="30">
        <v>1</v>
      </c>
      <c r="J57" s="30">
        <v>1</v>
      </c>
      <c r="K57" s="30">
        <v>1</v>
      </c>
      <c r="L57" s="30">
        <v>1</v>
      </c>
      <c r="M57" s="30">
        <v>1</v>
      </c>
      <c r="N57" s="30">
        <f>AVERAGE(1,1,1.25)</f>
        <v>1.0833333333333333</v>
      </c>
      <c r="O57" s="30">
        <v>1</v>
      </c>
      <c r="P57" s="30">
        <f>AVERAGE(2,2,1.25)</f>
        <v>1.75</v>
      </c>
      <c r="Q57" s="30">
        <f>AVERAGE(2,2,1.25)</f>
        <v>1.75</v>
      </c>
      <c r="R57" s="30">
        <v>1.25</v>
      </c>
      <c r="S57" s="30">
        <f>AVERAGE(1,1,1.25)</f>
        <v>1.0833333333333333</v>
      </c>
      <c r="T57" s="30">
        <v>1</v>
      </c>
      <c r="U57" s="30">
        <v>1</v>
      </c>
      <c r="V57" s="30">
        <v>1</v>
      </c>
      <c r="W57" s="30">
        <v>1</v>
      </c>
      <c r="X57" s="30">
        <v>1</v>
      </c>
      <c r="Y57" s="30">
        <v>1</v>
      </c>
      <c r="Z57" s="30">
        <v>1</v>
      </c>
      <c r="AA57" s="30">
        <v>1</v>
      </c>
      <c r="AB57" s="30">
        <v>1</v>
      </c>
      <c r="AC57" s="30">
        <v>1</v>
      </c>
      <c r="AD57" s="30">
        <v>1</v>
      </c>
      <c r="AE57" s="30">
        <v>1</v>
      </c>
      <c r="AF57" s="30">
        <v>1</v>
      </c>
      <c r="AG57" s="30">
        <v>1</v>
      </c>
      <c r="AH57" s="30">
        <v>1</v>
      </c>
    </row>
    <row r="59" spans="1:34" x14ac:dyDescent="0.25">
      <c r="A59" s="31" t="s">
        <v>183</v>
      </c>
    </row>
    <row r="60" spans="1:34" x14ac:dyDescent="0.25">
      <c r="A60" s="235" t="s">
        <v>891</v>
      </c>
      <c r="B60" s="93" t="s">
        <v>892</v>
      </c>
    </row>
    <row r="61" spans="1:34" x14ac:dyDescent="0.25">
      <c r="A61" s="235"/>
      <c r="B61" s="93" t="s">
        <v>893</v>
      </c>
    </row>
    <row r="62" spans="1:34" x14ac:dyDescent="0.25">
      <c r="A62" s="235"/>
      <c r="B62" s="93" t="s">
        <v>894</v>
      </c>
    </row>
  </sheetData>
  <mergeCells count="6">
    <mergeCell ref="F3:O3"/>
    <mergeCell ref="F4:O5"/>
    <mergeCell ref="A60:A62"/>
    <mergeCell ref="B3:D3"/>
    <mergeCell ref="B4:D4"/>
    <mergeCell ref="B5:D5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39A0B-C01B-4873-BF82-7A7D022C1AFF}">
  <dimension ref="A1:AH23"/>
  <sheetViews>
    <sheetView zoomScale="90" zoomScaleNormal="90" workbookViewId="0">
      <selection activeCell="N9" sqref="N9:O18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895</v>
      </c>
      <c r="I1" s="25" t="s">
        <v>896</v>
      </c>
    </row>
    <row r="3" spans="1:34" ht="18" x14ac:dyDescent="0.25">
      <c r="A3" s="25" t="s">
        <v>119</v>
      </c>
      <c r="B3" s="215">
        <v>53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897</v>
      </c>
      <c r="C4" s="215"/>
      <c r="D4" s="215"/>
      <c r="F4" s="216" t="s">
        <v>898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899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29" t="s">
        <v>178</v>
      </c>
      <c r="C8" s="29" t="s">
        <v>161</v>
      </c>
      <c r="D8" s="29" t="s">
        <v>161</v>
      </c>
      <c r="E8" s="29" t="s">
        <v>161</v>
      </c>
      <c r="F8" s="29" t="s">
        <v>161</v>
      </c>
      <c r="G8" s="29" t="s">
        <v>161</v>
      </c>
      <c r="H8" s="29" t="s">
        <v>161</v>
      </c>
      <c r="I8" s="29" t="s">
        <v>161</v>
      </c>
      <c r="J8" s="28" t="s">
        <v>161</v>
      </c>
      <c r="K8" s="29" t="s">
        <v>161</v>
      </c>
      <c r="L8" s="29" t="s">
        <v>161</v>
      </c>
      <c r="M8" s="29" t="s">
        <v>161</v>
      </c>
      <c r="N8" s="28" t="s">
        <v>161</v>
      </c>
      <c r="O8" s="28" t="s">
        <v>161</v>
      </c>
      <c r="P8" s="29" t="s">
        <v>164</v>
      </c>
      <c r="Q8" s="29" t="s">
        <v>164</v>
      </c>
      <c r="R8" s="28"/>
      <c r="S8" s="28"/>
      <c r="T8" s="28"/>
      <c r="U8" s="28"/>
      <c r="V8" s="28"/>
      <c r="W8" s="28"/>
      <c r="X8" s="28"/>
      <c r="Y8" s="28"/>
      <c r="Z8" s="28"/>
      <c r="AA8" s="29" t="s">
        <v>552</v>
      </c>
      <c r="AB8" s="28"/>
      <c r="AC8" s="28"/>
      <c r="AD8" s="28"/>
      <c r="AE8" s="28"/>
      <c r="AF8" s="28"/>
      <c r="AG8" s="29" t="s">
        <v>552</v>
      </c>
      <c r="AH8" s="29" t="s">
        <v>552</v>
      </c>
    </row>
    <row r="9" spans="1:34" ht="15.75" customHeight="1" x14ac:dyDescent="0.25">
      <c r="A9" s="26" t="s">
        <v>165</v>
      </c>
      <c r="B9" s="28" t="s">
        <v>552</v>
      </c>
      <c r="C9" s="28" t="s">
        <v>900</v>
      </c>
      <c r="D9" s="28" t="s">
        <v>161</v>
      </c>
      <c r="E9" s="28" t="s">
        <v>901</v>
      </c>
      <c r="F9" s="28" t="s">
        <v>901</v>
      </c>
      <c r="G9" s="28" t="s">
        <v>901</v>
      </c>
      <c r="H9" s="28" t="s">
        <v>901</v>
      </c>
      <c r="I9" s="28" t="s">
        <v>901</v>
      </c>
      <c r="J9" s="28" t="s">
        <v>901</v>
      </c>
      <c r="K9" s="28" t="s">
        <v>902</v>
      </c>
      <c r="L9" s="29" t="s">
        <v>903</v>
      </c>
      <c r="M9" s="28" t="s">
        <v>904</v>
      </c>
      <c r="N9" s="28" t="s">
        <v>904</v>
      </c>
      <c r="O9" s="28" t="s">
        <v>900</v>
      </c>
      <c r="P9" s="28" t="s">
        <v>164</v>
      </c>
      <c r="Q9" s="28" t="s">
        <v>164</v>
      </c>
      <c r="R9" s="29"/>
      <c r="S9" s="29"/>
      <c r="T9" s="29"/>
      <c r="U9" s="29"/>
      <c r="V9" s="29"/>
      <c r="W9" s="29"/>
      <c r="X9" s="29"/>
      <c r="Y9" s="29"/>
      <c r="Z9" s="29"/>
      <c r="AA9" s="28" t="s">
        <v>552</v>
      </c>
      <c r="AB9" s="29"/>
      <c r="AC9" s="29"/>
      <c r="AD9" s="29"/>
      <c r="AE9" s="29"/>
      <c r="AF9" s="29"/>
      <c r="AG9" s="28" t="s">
        <v>552</v>
      </c>
      <c r="AH9" s="28" t="s">
        <v>552</v>
      </c>
    </row>
    <row r="10" spans="1:34" x14ac:dyDescent="0.25">
      <c r="A10" s="131" t="s">
        <v>168</v>
      </c>
      <c r="B10" s="157">
        <v>1</v>
      </c>
      <c r="C10" s="157">
        <v>41</v>
      </c>
      <c r="D10" s="157">
        <v>2</v>
      </c>
      <c r="E10" s="157">
        <v>91</v>
      </c>
      <c r="F10" s="157">
        <v>91</v>
      </c>
      <c r="G10" s="157">
        <v>91</v>
      </c>
      <c r="H10" s="157">
        <v>91</v>
      </c>
      <c r="I10" s="157">
        <v>91</v>
      </c>
      <c r="J10" s="157">
        <v>91</v>
      </c>
      <c r="K10" s="157">
        <v>166</v>
      </c>
      <c r="L10" s="157">
        <v>164</v>
      </c>
      <c r="M10" s="157">
        <v>165</v>
      </c>
      <c r="N10" s="157">
        <v>165</v>
      </c>
      <c r="O10" s="157">
        <v>41</v>
      </c>
      <c r="P10" s="157">
        <v>43</v>
      </c>
      <c r="Q10" s="157">
        <v>43</v>
      </c>
      <c r="R10" s="157"/>
      <c r="S10" s="157"/>
      <c r="T10" s="157"/>
      <c r="U10" s="157"/>
      <c r="V10" s="157"/>
      <c r="W10" s="157"/>
      <c r="X10" s="157"/>
      <c r="Y10" s="157"/>
      <c r="Z10" s="157"/>
      <c r="AA10" s="157">
        <v>1</v>
      </c>
      <c r="AB10" s="157"/>
      <c r="AC10" s="157"/>
      <c r="AD10" s="157"/>
      <c r="AE10" s="157"/>
      <c r="AF10" s="157"/>
      <c r="AG10" s="157">
        <v>1</v>
      </c>
      <c r="AH10" s="157">
        <v>1</v>
      </c>
    </row>
    <row r="11" spans="1:34" x14ac:dyDescent="0.25">
      <c r="A11" s="26" t="s">
        <v>169</v>
      </c>
      <c r="B11" s="29" t="s">
        <v>170</v>
      </c>
      <c r="C11" s="29" t="s">
        <v>170</v>
      </c>
      <c r="D11" s="29" t="s">
        <v>170</v>
      </c>
      <c r="E11" s="29" t="s">
        <v>170</v>
      </c>
      <c r="F11" s="29" t="s">
        <v>170</v>
      </c>
      <c r="G11" s="29" t="s">
        <v>170</v>
      </c>
      <c r="H11" s="29" t="s">
        <v>170</v>
      </c>
      <c r="I11" s="29" t="s">
        <v>170</v>
      </c>
      <c r="J11" s="29" t="s">
        <v>170</v>
      </c>
      <c r="K11" s="29" t="s">
        <v>170</v>
      </c>
      <c r="L11" s="29" t="s">
        <v>170</v>
      </c>
      <c r="M11" s="29" t="s">
        <v>170</v>
      </c>
      <c r="N11" s="29" t="s">
        <v>170</v>
      </c>
      <c r="O11" s="29" t="s">
        <v>170</v>
      </c>
      <c r="P11" s="29" t="s">
        <v>170</v>
      </c>
      <c r="Q11" s="29" t="s">
        <v>170</v>
      </c>
      <c r="R11" s="28"/>
      <c r="S11" s="28"/>
      <c r="T11" s="28"/>
      <c r="U11" s="28"/>
      <c r="V11" s="28"/>
      <c r="W11" s="28"/>
      <c r="X11" s="28"/>
      <c r="Y11" s="28"/>
      <c r="Z11" s="28"/>
      <c r="AA11" s="29" t="s">
        <v>170</v>
      </c>
      <c r="AB11" s="28"/>
      <c r="AC11" s="29"/>
      <c r="AD11" s="28"/>
      <c r="AE11" s="29"/>
      <c r="AF11" s="28"/>
      <c r="AG11" s="29" t="s">
        <v>170</v>
      </c>
      <c r="AH11" s="29" t="s">
        <v>170</v>
      </c>
    </row>
    <row r="12" spans="1:34" x14ac:dyDescent="0.25">
      <c r="A12" s="26" t="s">
        <v>171</v>
      </c>
      <c r="B12" s="28" t="s">
        <v>173</v>
      </c>
      <c r="C12" s="29" t="s">
        <v>170</v>
      </c>
      <c r="D12" s="29" t="s">
        <v>170</v>
      </c>
      <c r="E12" s="29" t="s">
        <v>170</v>
      </c>
      <c r="F12" s="29" t="s">
        <v>170</v>
      </c>
      <c r="G12" s="29" t="s">
        <v>170</v>
      </c>
      <c r="H12" s="29" t="s">
        <v>170</v>
      </c>
      <c r="I12" s="29" t="s">
        <v>170</v>
      </c>
      <c r="J12" s="29" t="s">
        <v>170</v>
      </c>
      <c r="K12" s="29" t="s">
        <v>170</v>
      </c>
      <c r="L12" s="29" t="s">
        <v>170</v>
      </c>
      <c r="M12" s="29" t="s">
        <v>170</v>
      </c>
      <c r="N12" s="29" t="s">
        <v>170</v>
      </c>
      <c r="O12" s="29" t="s">
        <v>170</v>
      </c>
      <c r="P12" s="28" t="s">
        <v>170</v>
      </c>
      <c r="Q12" s="28" t="s">
        <v>170</v>
      </c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173</v>
      </c>
      <c r="AB12" s="28"/>
      <c r="AC12" s="28"/>
      <c r="AD12" s="28"/>
      <c r="AE12" s="28"/>
      <c r="AF12" s="28"/>
      <c r="AG12" s="28" t="s">
        <v>173</v>
      </c>
      <c r="AH12" s="28" t="s">
        <v>173</v>
      </c>
    </row>
    <row r="13" spans="1:34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173</v>
      </c>
      <c r="AB13" s="28"/>
      <c r="AC13" s="28"/>
      <c r="AD13" s="28"/>
      <c r="AE13" s="28"/>
      <c r="AF13" s="28"/>
      <c r="AG13" s="28" t="s">
        <v>173</v>
      </c>
      <c r="AH13" s="28" t="s">
        <v>173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173</v>
      </c>
      <c r="AB14" s="28"/>
      <c r="AC14" s="28"/>
      <c r="AD14" s="28"/>
      <c r="AE14" s="28"/>
      <c r="AF14" s="28"/>
      <c r="AG14" s="28" t="s">
        <v>173</v>
      </c>
      <c r="AH14" s="28" t="s">
        <v>173</v>
      </c>
    </row>
    <row r="15" spans="1:34" x14ac:dyDescent="0.25">
      <c r="A15" s="26" t="s">
        <v>175</v>
      </c>
      <c r="B15" s="28" t="s">
        <v>160</v>
      </c>
      <c r="C15" s="28" t="s">
        <v>160</v>
      </c>
      <c r="D15" s="28" t="s">
        <v>160</v>
      </c>
      <c r="E15" s="28" t="s">
        <v>160</v>
      </c>
      <c r="F15" s="28" t="s">
        <v>160</v>
      </c>
      <c r="G15" s="28" t="s">
        <v>160</v>
      </c>
      <c r="H15" s="28" t="s">
        <v>160</v>
      </c>
      <c r="I15" s="28" t="s">
        <v>160</v>
      </c>
      <c r="J15" s="28" t="s">
        <v>160</v>
      </c>
      <c r="K15" s="28" t="s">
        <v>160</v>
      </c>
      <c r="L15" s="28" t="s">
        <v>160</v>
      </c>
      <c r="M15" s="28" t="s">
        <v>160</v>
      </c>
      <c r="N15" s="28" t="s">
        <v>160</v>
      </c>
      <c r="O15" s="28" t="s">
        <v>160</v>
      </c>
      <c r="P15" s="28" t="s">
        <v>160</v>
      </c>
      <c r="Q15" s="28" t="s">
        <v>160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160</v>
      </c>
      <c r="AB15" s="28"/>
      <c r="AC15" s="28"/>
      <c r="AD15" s="28"/>
      <c r="AE15" s="28"/>
      <c r="AF15" s="28"/>
      <c r="AG15" s="28" t="s">
        <v>160</v>
      </c>
      <c r="AH15" s="28" t="s">
        <v>160</v>
      </c>
    </row>
    <row r="16" spans="1:34" x14ac:dyDescent="0.25">
      <c r="A16" s="26" t="s">
        <v>176</v>
      </c>
      <c r="B16" s="30">
        <v>3</v>
      </c>
      <c r="C16" s="30">
        <v>3</v>
      </c>
      <c r="D16" s="30">
        <v>3</v>
      </c>
      <c r="E16" s="30">
        <v>3</v>
      </c>
      <c r="F16" s="30">
        <v>3</v>
      </c>
      <c r="G16" s="30">
        <v>3</v>
      </c>
      <c r="H16" s="30">
        <v>3</v>
      </c>
      <c r="I16" s="30">
        <v>3</v>
      </c>
      <c r="J16" s="30">
        <v>3</v>
      </c>
      <c r="K16" s="30">
        <v>3</v>
      </c>
      <c r="L16" s="30">
        <v>3</v>
      </c>
      <c r="M16" s="30">
        <v>3</v>
      </c>
      <c r="N16" s="30">
        <v>3</v>
      </c>
      <c r="O16" s="30">
        <v>3</v>
      </c>
      <c r="P16" s="30">
        <v>2.5</v>
      </c>
      <c r="Q16" s="30">
        <v>2.5</v>
      </c>
      <c r="R16" s="30"/>
      <c r="S16" s="30"/>
      <c r="T16" s="30"/>
      <c r="U16" s="30"/>
      <c r="V16" s="30"/>
      <c r="W16" s="30"/>
      <c r="X16" s="30"/>
      <c r="Y16" s="30"/>
      <c r="Z16" s="30"/>
      <c r="AA16" s="30">
        <v>3</v>
      </c>
      <c r="AB16" s="30"/>
      <c r="AC16" s="30"/>
      <c r="AD16" s="30"/>
      <c r="AE16" s="30"/>
      <c r="AF16" s="30"/>
      <c r="AG16" s="30">
        <v>3</v>
      </c>
      <c r="AH16" s="30">
        <v>3</v>
      </c>
    </row>
    <row r="17" spans="1:34" x14ac:dyDescent="0.25">
      <c r="A17" s="26" t="s">
        <v>177</v>
      </c>
      <c r="B17" s="28" t="s">
        <v>178</v>
      </c>
      <c r="C17" s="28" t="s">
        <v>181</v>
      </c>
      <c r="D17" s="28" t="s">
        <v>178</v>
      </c>
      <c r="E17" s="28" t="s">
        <v>334</v>
      </c>
      <c r="F17" s="28" t="s">
        <v>334</v>
      </c>
      <c r="G17" s="28" t="s">
        <v>334</v>
      </c>
      <c r="H17" s="28" t="s">
        <v>334</v>
      </c>
      <c r="I17" s="28" t="s">
        <v>334</v>
      </c>
      <c r="J17" s="28" t="s">
        <v>334</v>
      </c>
      <c r="K17" s="28" t="s">
        <v>905</v>
      </c>
      <c r="L17" s="28" t="s">
        <v>357</v>
      </c>
      <c r="M17" s="28" t="s">
        <v>180</v>
      </c>
      <c r="N17" s="28" t="s">
        <v>180</v>
      </c>
      <c r="O17" s="28" t="s">
        <v>181</v>
      </c>
      <c r="P17" s="28" t="s">
        <v>181</v>
      </c>
      <c r="Q17" s="28" t="s">
        <v>181</v>
      </c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178</v>
      </c>
      <c r="AB17" s="28"/>
      <c r="AC17" s="28"/>
      <c r="AD17" s="28"/>
      <c r="AE17" s="28"/>
      <c r="AF17" s="28"/>
      <c r="AG17" s="28" t="s">
        <v>178</v>
      </c>
      <c r="AH17" s="28" t="s">
        <v>178</v>
      </c>
    </row>
    <row r="18" spans="1:34" x14ac:dyDescent="0.25">
      <c r="A18" s="26" t="s">
        <v>182</v>
      </c>
      <c r="B18" s="30">
        <v>4</v>
      </c>
      <c r="C18" s="30">
        <v>2</v>
      </c>
      <c r="D18" s="30">
        <v>4</v>
      </c>
      <c r="E18" s="30">
        <v>0.5</v>
      </c>
      <c r="F18" s="30">
        <v>0.5</v>
      </c>
      <c r="G18" s="30">
        <v>0.5</v>
      </c>
      <c r="H18" s="30">
        <v>0.5</v>
      </c>
      <c r="I18" s="30">
        <v>0.5</v>
      </c>
      <c r="J18" s="30">
        <v>0.5</v>
      </c>
      <c r="K18" s="30">
        <f>AVERAGE(2,0.5)</f>
        <v>1.25</v>
      </c>
      <c r="L18" s="30">
        <f>AVERAGE(4,0.5)</f>
        <v>2.25</v>
      </c>
      <c r="M18" s="30">
        <f>AVERAGE(4,2)</f>
        <v>3</v>
      </c>
      <c r="N18" s="30">
        <f>AVERAGE(4,2)</f>
        <v>3</v>
      </c>
      <c r="O18" s="30">
        <v>2</v>
      </c>
      <c r="P18" s="30">
        <v>2</v>
      </c>
      <c r="Q18" s="30">
        <v>2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v>4</v>
      </c>
      <c r="AB18" s="30"/>
      <c r="AC18" s="30"/>
      <c r="AD18" s="30"/>
      <c r="AE18" s="30"/>
      <c r="AF18" s="30"/>
      <c r="AG18" s="30">
        <v>4</v>
      </c>
      <c r="AH18" s="30">
        <v>4</v>
      </c>
    </row>
    <row r="20" spans="1:34" x14ac:dyDescent="0.25">
      <c r="A20" s="31" t="s">
        <v>183</v>
      </c>
    </row>
    <row r="21" spans="1:34" x14ac:dyDescent="0.25">
      <c r="A21" s="235" t="s">
        <v>906</v>
      </c>
      <c r="B21" s="56" t="s">
        <v>907</v>
      </c>
    </row>
    <row r="22" spans="1:34" x14ac:dyDescent="0.25">
      <c r="A22" s="235"/>
      <c r="B22" s="93" t="s">
        <v>908</v>
      </c>
    </row>
    <row r="23" spans="1:34" x14ac:dyDescent="0.25">
      <c r="A23" s="235"/>
      <c r="B23" s="93" t="s">
        <v>909</v>
      </c>
    </row>
  </sheetData>
  <mergeCells count="6">
    <mergeCell ref="A21:A23"/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F6B8-ABA2-4FE1-9D11-9039B72A8F55}">
  <dimension ref="A1:AH21"/>
  <sheetViews>
    <sheetView zoomScale="90" zoomScaleNormal="90" workbookViewId="0">
      <selection activeCell="B7" sqref="B7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895</v>
      </c>
      <c r="I1" s="25" t="s">
        <v>896</v>
      </c>
    </row>
    <row r="3" spans="1:34" ht="18" x14ac:dyDescent="0.25">
      <c r="A3" s="25" t="s">
        <v>119</v>
      </c>
      <c r="B3" s="215">
        <v>54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910</v>
      </c>
      <c r="C4" s="215"/>
      <c r="D4" s="215"/>
      <c r="F4" s="216" t="s">
        <v>911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899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28" t="s">
        <v>160</v>
      </c>
      <c r="C8" s="28" t="s">
        <v>164</v>
      </c>
      <c r="D8" s="28" t="s">
        <v>164</v>
      </c>
      <c r="E8" s="29" t="s">
        <v>161</v>
      </c>
      <c r="F8" s="28" t="s">
        <v>161</v>
      </c>
      <c r="G8" s="28" t="s">
        <v>161</v>
      </c>
      <c r="H8" s="28" t="s">
        <v>161</v>
      </c>
      <c r="I8" s="28" t="s">
        <v>161</v>
      </c>
      <c r="J8" s="28" t="s">
        <v>161</v>
      </c>
      <c r="K8" s="28" t="s">
        <v>164</v>
      </c>
      <c r="L8" s="28" t="s">
        <v>164</v>
      </c>
      <c r="M8" s="28" t="s">
        <v>164</v>
      </c>
      <c r="N8" s="28" t="s">
        <v>164</v>
      </c>
      <c r="O8" s="28" t="s">
        <v>164</v>
      </c>
      <c r="P8" s="28" t="s">
        <v>164</v>
      </c>
      <c r="Q8" s="28" t="s">
        <v>164</v>
      </c>
      <c r="R8" s="28"/>
      <c r="S8" s="28"/>
      <c r="T8" s="28"/>
      <c r="U8" s="28"/>
      <c r="V8" s="28"/>
      <c r="W8" s="28"/>
      <c r="X8" s="28"/>
      <c r="Y8" s="28"/>
      <c r="Z8" s="28"/>
      <c r="AA8" s="28" t="s">
        <v>164</v>
      </c>
      <c r="AB8" s="28"/>
      <c r="AC8" s="28"/>
      <c r="AD8" s="28"/>
      <c r="AE8" s="28"/>
      <c r="AF8" s="28"/>
      <c r="AG8" s="28"/>
      <c r="AH8" s="28" t="s">
        <v>912</v>
      </c>
    </row>
    <row r="9" spans="1:34" x14ac:dyDescent="0.25">
      <c r="A9" s="26" t="s">
        <v>165</v>
      </c>
      <c r="B9" s="28" t="s">
        <v>904</v>
      </c>
      <c r="C9" s="28" t="s">
        <v>164</v>
      </c>
      <c r="D9" s="28" t="s">
        <v>164</v>
      </c>
      <c r="E9" s="28" t="s">
        <v>901</v>
      </c>
      <c r="F9" s="28" t="s">
        <v>901</v>
      </c>
      <c r="G9" s="28" t="s">
        <v>901</v>
      </c>
      <c r="H9" s="28" t="s">
        <v>901</v>
      </c>
      <c r="I9" s="28" t="s">
        <v>901</v>
      </c>
      <c r="J9" s="28" t="s">
        <v>901</v>
      </c>
      <c r="K9" s="28" t="s">
        <v>902</v>
      </c>
      <c r="L9" s="28" t="s">
        <v>913</v>
      </c>
      <c r="M9" s="28" t="s">
        <v>164</v>
      </c>
      <c r="N9" s="28" t="s">
        <v>904</v>
      </c>
      <c r="O9" s="28" t="s">
        <v>403</v>
      </c>
      <c r="P9" s="28" t="s">
        <v>164</v>
      </c>
      <c r="Q9" s="28" t="s">
        <v>164</v>
      </c>
      <c r="R9" s="29"/>
      <c r="S9" s="29"/>
      <c r="T9" s="29"/>
      <c r="U9" s="29"/>
      <c r="V9" s="29"/>
      <c r="W9" s="29"/>
      <c r="X9" s="29"/>
      <c r="Y9" s="29"/>
      <c r="Z9" s="29"/>
      <c r="AA9" s="28" t="s">
        <v>164</v>
      </c>
      <c r="AB9" s="29"/>
      <c r="AC9" s="29"/>
      <c r="AD9" s="29"/>
      <c r="AE9" s="29"/>
      <c r="AF9" s="29"/>
      <c r="AG9" s="29"/>
      <c r="AH9" s="28" t="s">
        <v>525</v>
      </c>
    </row>
    <row r="10" spans="1:34" x14ac:dyDescent="0.25">
      <c r="A10" s="131" t="s">
        <v>168</v>
      </c>
      <c r="B10" s="157">
        <v>165</v>
      </c>
      <c r="C10" s="157">
        <v>43</v>
      </c>
      <c r="D10" s="157">
        <v>43</v>
      </c>
      <c r="E10" s="157">
        <v>91</v>
      </c>
      <c r="F10" s="157">
        <v>91</v>
      </c>
      <c r="G10" s="157">
        <v>91</v>
      </c>
      <c r="H10" s="157">
        <v>91</v>
      </c>
      <c r="I10" s="157">
        <v>91</v>
      </c>
      <c r="J10" s="157">
        <v>91</v>
      </c>
      <c r="K10" s="157">
        <v>166</v>
      </c>
      <c r="L10" s="157">
        <v>167</v>
      </c>
      <c r="M10" s="157">
        <v>43</v>
      </c>
      <c r="N10" s="157">
        <v>165</v>
      </c>
      <c r="O10" s="157">
        <v>97</v>
      </c>
      <c r="P10" s="157">
        <v>43</v>
      </c>
      <c r="Q10" s="157">
        <v>43</v>
      </c>
      <c r="R10" s="157"/>
      <c r="S10" s="157"/>
      <c r="T10" s="157"/>
      <c r="U10" s="157"/>
      <c r="V10" s="157"/>
      <c r="W10" s="157"/>
      <c r="X10" s="157"/>
      <c r="Y10" s="157"/>
      <c r="Z10" s="157"/>
      <c r="AA10" s="157">
        <v>43</v>
      </c>
      <c r="AB10" s="157"/>
      <c r="AC10" s="157"/>
      <c r="AD10" s="157"/>
      <c r="AE10" s="157"/>
      <c r="AF10" s="157"/>
      <c r="AG10" s="157"/>
      <c r="AH10" s="157">
        <v>138</v>
      </c>
    </row>
    <row r="11" spans="1:34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9" t="s">
        <v>170</v>
      </c>
      <c r="F11" s="29" t="s">
        <v>170</v>
      </c>
      <c r="G11" s="29" t="s">
        <v>170</v>
      </c>
      <c r="H11" s="29" t="s">
        <v>170</v>
      </c>
      <c r="I11" s="29" t="s">
        <v>170</v>
      </c>
      <c r="J11" s="29" t="s">
        <v>170</v>
      </c>
      <c r="K11" s="28" t="s">
        <v>170</v>
      </c>
      <c r="L11" s="28" t="s">
        <v>170</v>
      </c>
      <c r="M11" s="28" t="s">
        <v>170</v>
      </c>
      <c r="N11" s="28" t="s">
        <v>170</v>
      </c>
      <c r="O11" s="28" t="s">
        <v>170</v>
      </c>
      <c r="P11" s="28" t="s">
        <v>170</v>
      </c>
      <c r="Q11" s="28" t="s">
        <v>170</v>
      </c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170</v>
      </c>
      <c r="AB11" s="28"/>
      <c r="AC11" s="29"/>
      <c r="AD11" s="28"/>
      <c r="AE11" s="29"/>
      <c r="AF11" s="28"/>
      <c r="AG11" s="28"/>
      <c r="AH11" s="28" t="s">
        <v>266</v>
      </c>
    </row>
    <row r="12" spans="1:34" x14ac:dyDescent="0.25">
      <c r="A12" s="26" t="s">
        <v>171</v>
      </c>
      <c r="B12" s="28" t="s">
        <v>170</v>
      </c>
      <c r="C12" s="28" t="s">
        <v>170</v>
      </c>
      <c r="D12" s="28" t="s">
        <v>170</v>
      </c>
      <c r="E12" s="29" t="s">
        <v>170</v>
      </c>
      <c r="F12" s="29" t="s">
        <v>170</v>
      </c>
      <c r="G12" s="29" t="s">
        <v>170</v>
      </c>
      <c r="H12" s="29" t="s">
        <v>170</v>
      </c>
      <c r="I12" s="29" t="s">
        <v>170</v>
      </c>
      <c r="J12" s="29" t="s">
        <v>170</v>
      </c>
      <c r="K12" s="28" t="s">
        <v>170</v>
      </c>
      <c r="L12" s="28" t="s">
        <v>170</v>
      </c>
      <c r="M12" s="28" t="s">
        <v>170</v>
      </c>
      <c r="N12" s="28" t="s">
        <v>170</v>
      </c>
      <c r="O12" s="28" t="s">
        <v>170</v>
      </c>
      <c r="P12" s="28" t="s">
        <v>170</v>
      </c>
      <c r="Q12" s="28" t="s">
        <v>170</v>
      </c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170</v>
      </c>
      <c r="AB12" s="28"/>
      <c r="AC12" s="28"/>
      <c r="AD12" s="28"/>
      <c r="AE12" s="28"/>
      <c r="AF12" s="28"/>
      <c r="AG12" s="28"/>
      <c r="AH12" s="28" t="s">
        <v>266</v>
      </c>
    </row>
    <row r="13" spans="1:34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173</v>
      </c>
      <c r="AB13" s="28"/>
      <c r="AC13" s="28"/>
      <c r="AD13" s="28"/>
      <c r="AE13" s="28"/>
      <c r="AF13" s="28"/>
      <c r="AG13" s="28"/>
      <c r="AH13" s="28" t="s">
        <v>173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173</v>
      </c>
      <c r="AB14" s="28"/>
      <c r="AC14" s="28"/>
      <c r="AD14" s="28"/>
      <c r="AE14" s="28"/>
      <c r="AF14" s="28"/>
      <c r="AG14" s="28"/>
      <c r="AH14" s="28" t="s">
        <v>173</v>
      </c>
    </row>
    <row r="15" spans="1:34" x14ac:dyDescent="0.25">
      <c r="A15" s="26" t="s">
        <v>175</v>
      </c>
      <c r="B15" s="28" t="s">
        <v>160</v>
      </c>
      <c r="C15" s="28" t="s">
        <v>160</v>
      </c>
      <c r="D15" s="28" t="s">
        <v>160</v>
      </c>
      <c r="E15" s="28" t="s">
        <v>160</v>
      </c>
      <c r="F15" s="28" t="s">
        <v>160</v>
      </c>
      <c r="G15" s="28" t="s">
        <v>160</v>
      </c>
      <c r="H15" s="28" t="s">
        <v>160</v>
      </c>
      <c r="I15" s="28" t="s">
        <v>160</v>
      </c>
      <c r="J15" s="28" t="s">
        <v>160</v>
      </c>
      <c r="K15" s="28" t="s">
        <v>160</v>
      </c>
      <c r="L15" s="28" t="s">
        <v>160</v>
      </c>
      <c r="M15" s="28" t="s">
        <v>160</v>
      </c>
      <c r="N15" s="28" t="s">
        <v>160</v>
      </c>
      <c r="O15" s="28" t="s">
        <v>405</v>
      </c>
      <c r="P15" s="28" t="s">
        <v>160</v>
      </c>
      <c r="Q15" s="28" t="s">
        <v>160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160</v>
      </c>
      <c r="AB15" s="28"/>
      <c r="AC15" s="28"/>
      <c r="AD15" s="28"/>
      <c r="AE15" s="28"/>
      <c r="AF15" s="28"/>
      <c r="AG15" s="28"/>
      <c r="AH15" s="28" t="s">
        <v>160</v>
      </c>
    </row>
    <row r="16" spans="1:34" x14ac:dyDescent="0.25">
      <c r="A16" s="26" t="s">
        <v>176</v>
      </c>
      <c r="B16" s="30">
        <v>3</v>
      </c>
      <c r="C16" s="30">
        <v>2.5</v>
      </c>
      <c r="D16" s="30">
        <v>2.5</v>
      </c>
      <c r="E16" s="30">
        <v>3</v>
      </c>
      <c r="F16" s="30">
        <v>3</v>
      </c>
      <c r="G16" s="30">
        <v>3</v>
      </c>
      <c r="H16" s="30">
        <v>3</v>
      </c>
      <c r="I16" s="30">
        <v>3</v>
      </c>
      <c r="J16" s="30">
        <v>3</v>
      </c>
      <c r="K16" s="30">
        <v>3</v>
      </c>
      <c r="L16" s="30">
        <f>AVERAGE(2.5,3)</f>
        <v>2.75</v>
      </c>
      <c r="M16" s="30">
        <v>2.5</v>
      </c>
      <c r="N16" s="30">
        <v>3</v>
      </c>
      <c r="O16" s="30">
        <v>0</v>
      </c>
      <c r="P16" s="30">
        <v>2.5</v>
      </c>
      <c r="Q16" s="30">
        <v>2.5</v>
      </c>
      <c r="R16" s="30"/>
      <c r="S16" s="30"/>
      <c r="T16" s="30"/>
      <c r="U16" s="30"/>
      <c r="V16" s="30"/>
      <c r="W16" s="30"/>
      <c r="X16" s="30"/>
      <c r="Y16" s="30"/>
      <c r="Z16" s="30"/>
      <c r="AA16" s="30">
        <v>2.5</v>
      </c>
      <c r="AB16" s="30"/>
      <c r="AC16" s="30"/>
      <c r="AD16" s="30"/>
      <c r="AE16" s="30"/>
      <c r="AF16" s="30"/>
      <c r="AG16" s="30"/>
      <c r="AH16" s="30">
        <v>2.5</v>
      </c>
    </row>
    <row r="17" spans="1:34" x14ac:dyDescent="0.25">
      <c r="A17" s="26" t="s">
        <v>177</v>
      </c>
      <c r="B17" s="28" t="s">
        <v>180</v>
      </c>
      <c r="C17" s="28" t="s">
        <v>181</v>
      </c>
      <c r="D17" s="28" t="s">
        <v>181</v>
      </c>
      <c r="E17" s="28" t="s">
        <v>334</v>
      </c>
      <c r="F17" s="28" t="s">
        <v>334</v>
      </c>
      <c r="G17" s="28" t="s">
        <v>334</v>
      </c>
      <c r="H17" s="28" t="s">
        <v>334</v>
      </c>
      <c r="I17" s="28" t="s">
        <v>334</v>
      </c>
      <c r="J17" s="28" t="s">
        <v>334</v>
      </c>
      <c r="K17" s="28" t="s">
        <v>905</v>
      </c>
      <c r="L17" s="28" t="s">
        <v>905</v>
      </c>
      <c r="M17" s="28" t="s">
        <v>181</v>
      </c>
      <c r="N17" s="28" t="s">
        <v>180</v>
      </c>
      <c r="O17" s="28" t="s">
        <v>334</v>
      </c>
      <c r="P17" s="28" t="s">
        <v>181</v>
      </c>
      <c r="Q17" s="28" t="s">
        <v>181</v>
      </c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181</v>
      </c>
      <c r="AB17" s="28"/>
      <c r="AC17" s="28"/>
      <c r="AD17" s="28"/>
      <c r="AE17" s="28"/>
      <c r="AF17" s="28"/>
      <c r="AG17" s="28"/>
      <c r="AH17" s="28" t="s">
        <v>398</v>
      </c>
    </row>
    <row r="18" spans="1:34" x14ac:dyDescent="0.25">
      <c r="A18" s="26" t="s">
        <v>182</v>
      </c>
      <c r="B18" s="30">
        <f>AVERAGE(4,2)</f>
        <v>3</v>
      </c>
      <c r="C18" s="30">
        <v>2</v>
      </c>
      <c r="D18" s="30">
        <v>2</v>
      </c>
      <c r="E18" s="30">
        <v>0.5</v>
      </c>
      <c r="F18" s="30">
        <v>0.5</v>
      </c>
      <c r="G18" s="30">
        <v>0.5</v>
      </c>
      <c r="H18" s="30">
        <v>0.5</v>
      </c>
      <c r="I18" s="30">
        <v>0.5</v>
      </c>
      <c r="J18" s="30">
        <v>0.5</v>
      </c>
      <c r="K18" s="30">
        <f>AVERAGE(2,0.5)</f>
        <v>1.25</v>
      </c>
      <c r="L18" s="30">
        <f>AVERAGE(2,0.5)</f>
        <v>1.25</v>
      </c>
      <c r="M18" s="30">
        <v>2</v>
      </c>
      <c r="N18" s="30">
        <f>AVERAGE(4,2)</f>
        <v>3</v>
      </c>
      <c r="O18" s="30">
        <f>1/3</f>
        <v>0.33333333333333331</v>
      </c>
      <c r="P18" s="30">
        <v>2</v>
      </c>
      <c r="Q18" s="30">
        <v>2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v>2</v>
      </c>
      <c r="AB18" s="30"/>
      <c r="AC18" s="30"/>
      <c r="AD18" s="30"/>
      <c r="AE18" s="30"/>
      <c r="AF18" s="30"/>
      <c r="AG18" s="30"/>
      <c r="AH18" s="30">
        <f>AVERAGE(2,0)</f>
        <v>1</v>
      </c>
    </row>
    <row r="20" spans="1:34" x14ac:dyDescent="0.25">
      <c r="A20" s="31" t="s">
        <v>183</v>
      </c>
    </row>
    <row r="21" spans="1:34" x14ac:dyDescent="0.25">
      <c r="A21" s="26" t="s">
        <v>914</v>
      </c>
      <c r="B21" s="56" t="s">
        <v>407</v>
      </c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0057E-81E1-42C8-A6AF-94AF09670C0C}">
  <dimension ref="A1:AM34"/>
  <sheetViews>
    <sheetView zoomScale="90" zoomScaleNormal="90" workbookViewId="0">
      <selection activeCell="B7" sqref="B7"/>
    </sheetView>
  </sheetViews>
  <sheetFormatPr defaultColWidth="9.140625" defaultRowHeight="15" x14ac:dyDescent="0.25"/>
  <cols>
    <col min="1" max="1" width="23.28515625" style="26" bestFit="1" customWidth="1"/>
    <col min="2" max="53" width="5.7109375" style="26" customWidth="1"/>
    <col min="54" max="16384" width="9.140625" style="26"/>
  </cols>
  <sheetData>
    <row r="1" spans="1:39" x14ac:dyDescent="0.25">
      <c r="A1" s="25" t="s">
        <v>116</v>
      </c>
      <c r="D1" s="25" t="s">
        <v>895</v>
      </c>
      <c r="I1" s="25" t="s">
        <v>896</v>
      </c>
    </row>
    <row r="2" spans="1:39" x14ac:dyDescent="0.25">
      <c r="A2" s="56"/>
      <c r="B2" s="96"/>
    </row>
    <row r="3" spans="1:39" ht="18" x14ac:dyDescent="0.25">
      <c r="A3" s="25" t="s">
        <v>119</v>
      </c>
      <c r="B3" s="215">
        <v>55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9" ht="18" x14ac:dyDescent="0.25">
      <c r="A4" s="25" t="s">
        <v>121</v>
      </c>
      <c r="B4" s="215" t="s">
        <v>915</v>
      </c>
      <c r="C4" s="215"/>
      <c r="D4" s="215"/>
      <c r="F4" s="216" t="s">
        <v>916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9" ht="18" x14ac:dyDescent="0.25">
      <c r="A5" s="25" t="s">
        <v>124</v>
      </c>
      <c r="B5" s="215" t="s">
        <v>917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9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76" t="s">
        <v>157</v>
      </c>
      <c r="AH7" s="76" t="s">
        <v>158</v>
      </c>
      <c r="AJ7" s="76" t="s">
        <v>157</v>
      </c>
      <c r="AK7" s="76" t="s">
        <v>158</v>
      </c>
      <c r="AM7" s="32" t="s">
        <v>128</v>
      </c>
    </row>
    <row r="8" spans="1:39" x14ac:dyDescent="0.25">
      <c r="A8" s="26" t="s">
        <v>159</v>
      </c>
      <c r="B8" s="28" t="s">
        <v>191</v>
      </c>
      <c r="C8" s="28" t="s">
        <v>220</v>
      </c>
      <c r="D8" s="28" t="s">
        <v>220</v>
      </c>
      <c r="E8" s="28" t="s">
        <v>220</v>
      </c>
      <c r="F8" s="28" t="s">
        <v>220</v>
      </c>
      <c r="G8" s="28" t="s">
        <v>220</v>
      </c>
      <c r="H8" s="28" t="s">
        <v>220</v>
      </c>
      <c r="I8" s="28" t="s">
        <v>220</v>
      </c>
      <c r="J8" s="28" t="s">
        <v>220</v>
      </c>
      <c r="K8" s="28" t="s">
        <v>220</v>
      </c>
      <c r="L8" s="28" t="s">
        <v>220</v>
      </c>
      <c r="M8" s="28" t="s">
        <v>220</v>
      </c>
      <c r="N8" s="28" t="s">
        <v>220</v>
      </c>
      <c r="O8" s="28" t="s">
        <v>220</v>
      </c>
      <c r="P8" s="81" t="s">
        <v>341</v>
      </c>
      <c r="Q8" s="81" t="s">
        <v>341</v>
      </c>
      <c r="R8" s="28"/>
      <c r="S8" s="28"/>
      <c r="T8" s="28"/>
      <c r="U8" s="28"/>
      <c r="V8" s="28"/>
      <c r="W8" s="28"/>
      <c r="X8" s="28"/>
      <c r="Y8" s="28"/>
      <c r="Z8" s="28"/>
      <c r="AA8" s="28" t="s">
        <v>192</v>
      </c>
      <c r="AB8" s="28"/>
      <c r="AC8" s="28"/>
      <c r="AD8" s="28"/>
      <c r="AE8" s="28"/>
      <c r="AF8" s="28"/>
      <c r="AG8" s="28" t="s">
        <v>192</v>
      </c>
      <c r="AH8" s="28" t="s">
        <v>192</v>
      </c>
      <c r="AJ8" s="28" t="s">
        <v>194</v>
      </c>
      <c r="AK8" s="28" t="s">
        <v>194</v>
      </c>
      <c r="AM8" s="29" t="s">
        <v>220</v>
      </c>
    </row>
    <row r="9" spans="1:39" ht="15.75" customHeight="1" x14ac:dyDescent="0.25">
      <c r="A9" s="26" t="s">
        <v>165</v>
      </c>
      <c r="B9" s="28" t="s">
        <v>195</v>
      </c>
      <c r="C9" s="28" t="s">
        <v>918</v>
      </c>
      <c r="D9" s="28" t="s">
        <v>223</v>
      </c>
      <c r="E9" s="28" t="s">
        <v>919</v>
      </c>
      <c r="F9" s="28" t="s">
        <v>919</v>
      </c>
      <c r="G9" s="28" t="s">
        <v>919</v>
      </c>
      <c r="H9" s="28" t="s">
        <v>919</v>
      </c>
      <c r="I9" s="28" t="s">
        <v>919</v>
      </c>
      <c r="J9" s="28" t="s">
        <v>920</v>
      </c>
      <c r="K9" s="28" t="s">
        <v>920</v>
      </c>
      <c r="L9" s="28" t="s">
        <v>921</v>
      </c>
      <c r="M9" s="28" t="s">
        <v>922</v>
      </c>
      <c r="N9" s="28" t="s">
        <v>922</v>
      </c>
      <c r="O9" s="86" t="s">
        <v>918</v>
      </c>
      <c r="P9" s="81" t="s">
        <v>341</v>
      </c>
      <c r="Q9" s="81" t="s">
        <v>341</v>
      </c>
      <c r="R9" s="29"/>
      <c r="S9" s="29"/>
      <c r="T9" s="29"/>
      <c r="U9" s="29"/>
      <c r="V9" s="29"/>
      <c r="W9" s="29"/>
      <c r="X9" s="29"/>
      <c r="Y9" s="29"/>
      <c r="Z9" s="29"/>
      <c r="AA9" s="28" t="s">
        <v>195</v>
      </c>
      <c r="AB9" s="29"/>
      <c r="AC9" s="29"/>
      <c r="AD9" s="29"/>
      <c r="AE9" s="29"/>
      <c r="AF9" s="29"/>
      <c r="AG9" s="28" t="s">
        <v>195</v>
      </c>
      <c r="AH9" s="28" t="s">
        <v>195</v>
      </c>
      <c r="AJ9" s="28" t="s">
        <v>196</v>
      </c>
      <c r="AK9" s="28" t="s">
        <v>196</v>
      </c>
      <c r="AM9" s="28" t="s">
        <v>227</v>
      </c>
    </row>
    <row r="10" spans="1:39" x14ac:dyDescent="0.25">
      <c r="A10" s="131" t="s">
        <v>168</v>
      </c>
      <c r="B10" s="157">
        <v>5</v>
      </c>
      <c r="C10" s="157">
        <v>45</v>
      </c>
      <c r="D10" s="157">
        <v>6</v>
      </c>
      <c r="E10" s="157">
        <v>92</v>
      </c>
      <c r="F10" s="157">
        <v>92</v>
      </c>
      <c r="G10" s="157">
        <v>92</v>
      </c>
      <c r="H10" s="157">
        <v>92</v>
      </c>
      <c r="I10" s="157">
        <v>92</v>
      </c>
      <c r="J10" s="157">
        <v>170</v>
      </c>
      <c r="K10" s="157">
        <v>170</v>
      </c>
      <c r="L10" s="157">
        <v>168</v>
      </c>
      <c r="M10" s="157">
        <v>169</v>
      </c>
      <c r="N10" s="157">
        <v>169</v>
      </c>
      <c r="O10" s="157">
        <v>45</v>
      </c>
      <c r="P10" s="198"/>
      <c r="Q10" s="198"/>
      <c r="R10" s="157"/>
      <c r="S10" s="157"/>
      <c r="T10" s="157"/>
      <c r="U10" s="157"/>
      <c r="V10" s="157"/>
      <c r="W10" s="157"/>
      <c r="X10" s="157"/>
      <c r="Y10" s="157"/>
      <c r="Z10" s="157"/>
      <c r="AA10" s="157">
        <v>5</v>
      </c>
      <c r="AB10" s="157"/>
      <c r="AC10" s="157"/>
      <c r="AD10" s="157"/>
      <c r="AE10" s="157"/>
      <c r="AF10" s="157"/>
      <c r="AG10" s="157">
        <v>5</v>
      </c>
      <c r="AH10" s="157">
        <v>5</v>
      </c>
      <c r="AJ10" s="157">
        <v>26</v>
      </c>
      <c r="AK10" s="157">
        <v>26</v>
      </c>
      <c r="AM10" s="157">
        <v>35</v>
      </c>
    </row>
    <row r="11" spans="1:39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28" t="s">
        <v>170</v>
      </c>
      <c r="O11" s="91" t="s">
        <v>170</v>
      </c>
      <c r="P11" s="80" t="s">
        <v>173</v>
      </c>
      <c r="Q11" s="80" t="s">
        <v>173</v>
      </c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170</v>
      </c>
      <c r="AB11" s="28"/>
      <c r="AC11" s="29"/>
      <c r="AD11" s="28"/>
      <c r="AE11" s="29"/>
      <c r="AF11" s="28"/>
      <c r="AG11" s="28" t="s">
        <v>170</v>
      </c>
      <c r="AH11" s="28" t="s">
        <v>170</v>
      </c>
      <c r="AJ11" s="28" t="s">
        <v>170</v>
      </c>
      <c r="AK11" s="28" t="s">
        <v>170</v>
      </c>
      <c r="AM11" s="28" t="s">
        <v>170</v>
      </c>
    </row>
    <row r="12" spans="1:39" x14ac:dyDescent="0.25">
      <c r="A12" s="26" t="s">
        <v>171</v>
      </c>
      <c r="B12" s="28" t="s">
        <v>173</v>
      </c>
      <c r="C12" s="28" t="s">
        <v>170</v>
      </c>
      <c r="D12" s="28" t="s">
        <v>170</v>
      </c>
      <c r="E12" s="28" t="s">
        <v>170</v>
      </c>
      <c r="F12" s="28" t="s">
        <v>170</v>
      </c>
      <c r="G12" s="28" t="s">
        <v>170</v>
      </c>
      <c r="H12" s="28" t="s">
        <v>170</v>
      </c>
      <c r="I12" s="28" t="s">
        <v>170</v>
      </c>
      <c r="J12" s="28" t="s">
        <v>170</v>
      </c>
      <c r="K12" s="28" t="s">
        <v>170</v>
      </c>
      <c r="L12" s="28" t="s">
        <v>170</v>
      </c>
      <c r="M12" s="28" t="s">
        <v>170</v>
      </c>
      <c r="N12" s="28" t="s">
        <v>170</v>
      </c>
      <c r="O12" s="86" t="s">
        <v>170</v>
      </c>
      <c r="P12" s="80" t="s">
        <v>173</v>
      </c>
      <c r="Q12" s="80" t="s">
        <v>173</v>
      </c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173</v>
      </c>
      <c r="AB12" s="28"/>
      <c r="AC12" s="28"/>
      <c r="AD12" s="28"/>
      <c r="AE12" s="28"/>
      <c r="AF12" s="28"/>
      <c r="AG12" s="28" t="s">
        <v>173</v>
      </c>
      <c r="AH12" s="28" t="s">
        <v>173</v>
      </c>
      <c r="AJ12" s="28" t="s">
        <v>173</v>
      </c>
      <c r="AK12" s="28" t="s">
        <v>173</v>
      </c>
      <c r="AM12" s="28" t="s">
        <v>170</v>
      </c>
    </row>
    <row r="13" spans="1:39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86" t="s">
        <v>173</v>
      </c>
      <c r="P13" s="80" t="s">
        <v>173</v>
      </c>
      <c r="Q13" s="80" t="s">
        <v>173</v>
      </c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173</v>
      </c>
      <c r="AB13" s="28"/>
      <c r="AC13" s="28"/>
      <c r="AD13" s="28"/>
      <c r="AE13" s="28"/>
      <c r="AF13" s="28"/>
      <c r="AG13" s="28" t="s">
        <v>173</v>
      </c>
      <c r="AH13" s="28" t="s">
        <v>173</v>
      </c>
      <c r="AJ13" s="28" t="s">
        <v>170</v>
      </c>
      <c r="AK13" s="28" t="s">
        <v>170</v>
      </c>
      <c r="AM13" s="28" t="s">
        <v>170</v>
      </c>
    </row>
    <row r="14" spans="1:39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86" t="s">
        <v>173</v>
      </c>
      <c r="P14" s="80" t="s">
        <v>173</v>
      </c>
      <c r="Q14" s="80" t="s">
        <v>173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173</v>
      </c>
      <c r="AB14" s="28"/>
      <c r="AC14" s="28"/>
      <c r="AD14" s="28"/>
      <c r="AE14" s="28"/>
      <c r="AF14" s="28"/>
      <c r="AG14" s="28" t="s">
        <v>173</v>
      </c>
      <c r="AH14" s="28" t="s">
        <v>173</v>
      </c>
      <c r="AJ14" s="28" t="s">
        <v>173</v>
      </c>
      <c r="AK14" s="28" t="s">
        <v>173</v>
      </c>
      <c r="AM14" s="28" t="s">
        <v>173</v>
      </c>
    </row>
    <row r="15" spans="1:39" x14ac:dyDescent="0.25">
      <c r="A15" s="26" t="s">
        <v>175</v>
      </c>
      <c r="B15" s="28" t="s">
        <v>198</v>
      </c>
      <c r="C15" s="28" t="s">
        <v>198</v>
      </c>
      <c r="D15" s="28" t="s">
        <v>198</v>
      </c>
      <c r="E15" s="28" t="s">
        <v>198</v>
      </c>
      <c r="F15" s="28" t="s">
        <v>198</v>
      </c>
      <c r="G15" s="28" t="s">
        <v>198</v>
      </c>
      <c r="H15" s="28" t="s">
        <v>198</v>
      </c>
      <c r="I15" s="28" t="s">
        <v>198</v>
      </c>
      <c r="J15" s="28" t="s">
        <v>198</v>
      </c>
      <c r="K15" s="28" t="s">
        <v>198</v>
      </c>
      <c r="L15" s="28" t="s">
        <v>198</v>
      </c>
      <c r="M15" s="28" t="s">
        <v>198</v>
      </c>
      <c r="N15" s="28" t="s">
        <v>198</v>
      </c>
      <c r="O15" s="86" t="s">
        <v>198</v>
      </c>
      <c r="P15" s="80" t="s">
        <v>198</v>
      </c>
      <c r="Q15" s="80" t="s">
        <v>198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198</v>
      </c>
      <c r="AB15" s="28"/>
      <c r="AC15" s="28"/>
      <c r="AD15" s="28"/>
      <c r="AE15" s="28"/>
      <c r="AF15" s="28"/>
      <c r="AG15" s="28" t="s">
        <v>198</v>
      </c>
      <c r="AH15" s="28" t="s">
        <v>198</v>
      </c>
      <c r="AJ15" s="28" t="s">
        <v>198</v>
      </c>
      <c r="AK15" s="28" t="s">
        <v>198</v>
      </c>
      <c r="AM15" s="28" t="s">
        <v>199</v>
      </c>
    </row>
    <row r="16" spans="1:39" x14ac:dyDescent="0.25">
      <c r="A16" s="26" t="s">
        <v>176</v>
      </c>
      <c r="B16" s="30">
        <f>5/3</f>
        <v>1.6666666666666667</v>
      </c>
      <c r="C16" s="30">
        <v>2</v>
      </c>
      <c r="D16" s="30">
        <f>5/3</f>
        <v>1.6666666666666667</v>
      </c>
      <c r="E16" s="30">
        <f t="shared" ref="E16:F16" si="0">11/6</f>
        <v>1.8333333333333333</v>
      </c>
      <c r="F16" s="30">
        <f t="shared" si="0"/>
        <v>1.8333333333333333</v>
      </c>
      <c r="G16" s="30">
        <f>11/6</f>
        <v>1.8333333333333333</v>
      </c>
      <c r="H16" s="30">
        <f t="shared" ref="H16:I16" si="1">11/6</f>
        <v>1.8333333333333333</v>
      </c>
      <c r="I16" s="30">
        <f t="shared" si="1"/>
        <v>1.8333333333333333</v>
      </c>
      <c r="J16" s="30">
        <f>AVERAGE(2,11/6)</f>
        <v>1.9166666666666665</v>
      </c>
      <c r="K16" s="30">
        <f>AVERAGE(2,11/6)</f>
        <v>1.9166666666666665</v>
      </c>
      <c r="L16" s="30">
        <f>AVERAGE(5/3,11/6)</f>
        <v>1.75</v>
      </c>
      <c r="M16" s="30">
        <f>AVERAGE(5/3,2)</f>
        <v>1.8333333333333335</v>
      </c>
      <c r="N16" s="30">
        <f>AVERAGE(5/3,2)</f>
        <v>1.8333333333333335</v>
      </c>
      <c r="O16" s="92">
        <v>2</v>
      </c>
      <c r="P16" s="82">
        <f>11/6</f>
        <v>1.8333333333333333</v>
      </c>
      <c r="Q16" s="82">
        <f>11/6</f>
        <v>1.8333333333333333</v>
      </c>
      <c r="R16" s="30"/>
      <c r="S16" s="30"/>
      <c r="T16" s="30"/>
      <c r="U16" s="30"/>
      <c r="V16" s="30"/>
      <c r="W16" s="30"/>
      <c r="X16" s="30"/>
      <c r="Y16" s="30"/>
      <c r="Z16" s="30"/>
      <c r="AA16" s="30">
        <f>5/3</f>
        <v>1.6666666666666667</v>
      </c>
      <c r="AB16" s="30"/>
      <c r="AC16" s="30"/>
      <c r="AD16" s="30"/>
      <c r="AE16" s="30"/>
      <c r="AF16" s="30"/>
      <c r="AG16" s="30">
        <f>5/3</f>
        <v>1.6666666666666667</v>
      </c>
      <c r="AH16" s="30">
        <f>5/3</f>
        <v>1.6666666666666667</v>
      </c>
      <c r="AJ16" s="30">
        <f>4/3</f>
        <v>1.3333333333333333</v>
      </c>
      <c r="AK16" s="30">
        <f>4/3</f>
        <v>1.3333333333333333</v>
      </c>
      <c r="AM16" s="30">
        <v>-0.5</v>
      </c>
    </row>
    <row r="17" spans="1:39" x14ac:dyDescent="0.25">
      <c r="A17" s="26" t="s">
        <v>177</v>
      </c>
      <c r="B17" s="28" t="s">
        <v>178</v>
      </c>
      <c r="C17" s="28" t="s">
        <v>181</v>
      </c>
      <c r="D17" s="28" t="s">
        <v>178</v>
      </c>
      <c r="E17" s="28" t="s">
        <v>334</v>
      </c>
      <c r="F17" s="28" t="s">
        <v>334</v>
      </c>
      <c r="G17" s="28" t="s">
        <v>334</v>
      </c>
      <c r="H17" s="28" t="s">
        <v>334</v>
      </c>
      <c r="I17" s="28" t="s">
        <v>334</v>
      </c>
      <c r="J17" s="28" t="s">
        <v>905</v>
      </c>
      <c r="K17" s="28" t="s">
        <v>905</v>
      </c>
      <c r="L17" s="28" t="s">
        <v>357</v>
      </c>
      <c r="M17" s="28" t="s">
        <v>180</v>
      </c>
      <c r="N17" s="28" t="s">
        <v>180</v>
      </c>
      <c r="O17" s="86" t="s">
        <v>181</v>
      </c>
      <c r="P17" s="81" t="s">
        <v>341</v>
      </c>
      <c r="Q17" s="81" t="s">
        <v>341</v>
      </c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178</v>
      </c>
      <c r="AB17" s="28"/>
      <c r="AC17" s="28"/>
      <c r="AD17" s="28"/>
      <c r="AE17" s="28"/>
      <c r="AF17" s="28"/>
      <c r="AG17" s="28" t="s">
        <v>178</v>
      </c>
      <c r="AH17" s="28" t="s">
        <v>178</v>
      </c>
      <c r="AJ17" s="28" t="s">
        <v>200</v>
      </c>
      <c r="AK17" s="28" t="s">
        <v>200</v>
      </c>
      <c r="AM17" s="28" t="s">
        <v>200</v>
      </c>
    </row>
    <row r="18" spans="1:39" x14ac:dyDescent="0.25">
      <c r="A18" s="26" t="s">
        <v>182</v>
      </c>
      <c r="B18" s="30">
        <v>4</v>
      </c>
      <c r="C18" s="30">
        <v>2</v>
      </c>
      <c r="D18" s="30">
        <v>4</v>
      </c>
      <c r="E18" s="30">
        <v>0.5</v>
      </c>
      <c r="F18" s="30">
        <v>0.5</v>
      </c>
      <c r="G18" s="30">
        <v>0.5</v>
      </c>
      <c r="H18" s="30">
        <v>0.5</v>
      </c>
      <c r="I18" s="30">
        <v>0.5</v>
      </c>
      <c r="J18" s="30">
        <f>AVERAGE(2,0.5)</f>
        <v>1.25</v>
      </c>
      <c r="K18" s="30">
        <f>AVERAGE(2,0.5)</f>
        <v>1.25</v>
      </c>
      <c r="L18" s="30">
        <f>AVERAGE(4,0.5)</f>
        <v>2.25</v>
      </c>
      <c r="M18" s="30">
        <f>AVERAGE(4,2)</f>
        <v>3</v>
      </c>
      <c r="N18" s="30">
        <f>AVERAGE(4,2)</f>
        <v>3</v>
      </c>
      <c r="O18" s="92">
        <v>2</v>
      </c>
      <c r="P18" s="82">
        <v>0</v>
      </c>
      <c r="Q18" s="82">
        <v>0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v>4</v>
      </c>
      <c r="AB18" s="30"/>
      <c r="AC18" s="30"/>
      <c r="AD18" s="30"/>
      <c r="AE18" s="30"/>
      <c r="AF18" s="30"/>
      <c r="AG18" s="30">
        <v>4</v>
      </c>
      <c r="AH18" s="30">
        <v>4</v>
      </c>
      <c r="AJ18" s="30">
        <v>3</v>
      </c>
      <c r="AK18" s="30">
        <v>3</v>
      </c>
      <c r="AM18" s="30">
        <v>3</v>
      </c>
    </row>
    <row r="19" spans="1:39" ht="15.75" customHeight="1" x14ac:dyDescent="0.25">
      <c r="D19" s="78" t="s">
        <v>923</v>
      </c>
      <c r="AG19" s="227" t="s">
        <v>924</v>
      </c>
      <c r="AH19" s="227"/>
      <c r="AJ19" s="227" t="s">
        <v>925</v>
      </c>
      <c r="AK19" s="227"/>
      <c r="AM19" s="78" t="s">
        <v>926</v>
      </c>
    </row>
    <row r="20" spans="1:39" x14ac:dyDescent="0.25">
      <c r="A20" s="31" t="s">
        <v>183</v>
      </c>
    </row>
    <row r="21" spans="1:39" x14ac:dyDescent="0.25">
      <c r="A21" s="243" t="s">
        <v>927</v>
      </c>
      <c r="B21" s="95" t="s">
        <v>928</v>
      </c>
    </row>
    <row r="22" spans="1:39" x14ac:dyDescent="0.25">
      <c r="A22" s="243"/>
      <c r="B22" s="96" t="s">
        <v>929</v>
      </c>
    </row>
    <row r="23" spans="1:39" x14ac:dyDescent="0.25">
      <c r="A23" s="243"/>
      <c r="B23" s="96" t="s">
        <v>930</v>
      </c>
    </row>
    <row r="24" spans="1:39" x14ac:dyDescent="0.25">
      <c r="A24" s="224" t="s">
        <v>931</v>
      </c>
      <c r="B24" s="95" t="s">
        <v>928</v>
      </c>
    </row>
    <row r="25" spans="1:39" x14ac:dyDescent="0.25">
      <c r="A25" s="224"/>
      <c r="B25" s="95" t="s">
        <v>932</v>
      </c>
    </row>
    <row r="26" spans="1:39" x14ac:dyDescent="0.25">
      <c r="A26" s="224"/>
      <c r="B26" s="96" t="s">
        <v>930</v>
      </c>
    </row>
    <row r="27" spans="1:39" x14ac:dyDescent="0.25">
      <c r="A27" s="224"/>
      <c r="B27" s="96" t="s">
        <v>933</v>
      </c>
    </row>
    <row r="28" spans="1:39" x14ac:dyDescent="0.25">
      <c r="A28" s="224" t="s">
        <v>934</v>
      </c>
      <c r="B28" s="95" t="s">
        <v>935</v>
      </c>
    </row>
    <row r="29" spans="1:39" x14ac:dyDescent="0.25">
      <c r="A29" s="224"/>
      <c r="B29" s="95" t="s">
        <v>932</v>
      </c>
    </row>
    <row r="30" spans="1:39" x14ac:dyDescent="0.25">
      <c r="A30" s="224"/>
      <c r="B30" s="96" t="s">
        <v>930</v>
      </c>
    </row>
    <row r="31" spans="1:39" x14ac:dyDescent="0.25">
      <c r="A31" s="224"/>
      <c r="B31" s="96" t="s">
        <v>238</v>
      </c>
    </row>
    <row r="32" spans="1:39" x14ac:dyDescent="0.25">
      <c r="A32" s="224"/>
      <c r="B32" s="96" t="s">
        <v>933</v>
      </c>
    </row>
    <row r="33" spans="1:15" x14ac:dyDescent="0.25">
      <c r="A33" s="56"/>
      <c r="B33" s="96"/>
    </row>
    <row r="34" spans="1:15" ht="55.5" customHeight="1" x14ac:dyDescent="0.25">
      <c r="A34" s="101" t="s">
        <v>211</v>
      </c>
      <c r="B34" s="225" t="s">
        <v>936</v>
      </c>
      <c r="C34" s="225"/>
      <c r="D34" s="225"/>
      <c r="E34" s="225"/>
      <c r="F34" s="225"/>
      <c r="G34" s="225"/>
      <c r="H34" s="225"/>
      <c r="I34" s="225"/>
      <c r="J34" s="225"/>
      <c r="K34" s="225"/>
      <c r="L34" s="225"/>
      <c r="M34" s="225"/>
      <c r="N34" s="225"/>
      <c r="O34" s="225"/>
    </row>
  </sheetData>
  <mergeCells count="11">
    <mergeCell ref="B34:O34"/>
    <mergeCell ref="B3:D3"/>
    <mergeCell ref="B4:D4"/>
    <mergeCell ref="B5:D5"/>
    <mergeCell ref="F3:O3"/>
    <mergeCell ref="F4:O5"/>
    <mergeCell ref="AG19:AH19"/>
    <mergeCell ref="AJ19:AK19"/>
    <mergeCell ref="A24:A27"/>
    <mergeCell ref="A28:A32"/>
    <mergeCell ref="A21:A23"/>
  </mergeCells>
  <hyperlinks>
    <hyperlink ref="A34" r:id="rId1" xr:uid="{CE0B06DD-F8D6-46F9-B496-72FACCBA63BB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F50F-206B-4ED0-ADF2-73E007001C2B}">
  <dimension ref="A1:AH23"/>
  <sheetViews>
    <sheetView zoomScale="90" zoomScaleNormal="90" workbookViewId="0">
      <selection activeCell="B7" sqref="B7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895</v>
      </c>
      <c r="I1" s="25" t="s">
        <v>896</v>
      </c>
    </row>
    <row r="3" spans="1:34" ht="18" x14ac:dyDescent="0.25">
      <c r="A3" s="25" t="s">
        <v>119</v>
      </c>
      <c r="B3" s="215">
        <v>56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915</v>
      </c>
      <c r="C4" s="215"/>
      <c r="D4" s="215"/>
      <c r="F4" s="216" t="s">
        <v>937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938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86" t="s">
        <v>191</v>
      </c>
      <c r="C8" s="29" t="s">
        <v>220</v>
      </c>
      <c r="D8" s="29" t="s">
        <v>220</v>
      </c>
      <c r="E8" s="28" t="s">
        <v>220</v>
      </c>
      <c r="F8" s="28" t="s">
        <v>220</v>
      </c>
      <c r="G8" s="28" t="s">
        <v>220</v>
      </c>
      <c r="H8" s="28" t="s">
        <v>220</v>
      </c>
      <c r="I8" s="28" t="s">
        <v>220</v>
      </c>
      <c r="J8" s="28" t="s">
        <v>220</v>
      </c>
      <c r="K8" s="29" t="s">
        <v>220</v>
      </c>
      <c r="L8" s="29" t="s">
        <v>220</v>
      </c>
      <c r="M8" s="29" t="s">
        <v>220</v>
      </c>
      <c r="N8" s="28" t="s">
        <v>220</v>
      </c>
      <c r="O8" s="28" t="s">
        <v>220</v>
      </c>
      <c r="P8" s="81" t="s">
        <v>341</v>
      </c>
      <c r="Q8" s="81" t="s">
        <v>341</v>
      </c>
      <c r="R8" s="28"/>
      <c r="S8" s="28"/>
      <c r="T8" s="28"/>
      <c r="U8" s="28"/>
      <c r="V8" s="28"/>
      <c r="W8" s="28"/>
      <c r="X8" s="28"/>
      <c r="Y8" s="28"/>
      <c r="Z8" s="28"/>
      <c r="AA8" s="29" t="s">
        <v>194</v>
      </c>
      <c r="AB8" s="28"/>
      <c r="AC8" s="28"/>
      <c r="AD8" s="28"/>
      <c r="AE8" s="28"/>
      <c r="AF8" s="28"/>
      <c r="AG8" s="28"/>
      <c r="AH8" s="29" t="s">
        <v>194</v>
      </c>
    </row>
    <row r="9" spans="1:34" x14ac:dyDescent="0.25">
      <c r="A9" s="26" t="s">
        <v>165</v>
      </c>
      <c r="B9" s="29" t="s">
        <v>195</v>
      </c>
      <c r="C9" s="86" t="s">
        <v>918</v>
      </c>
      <c r="D9" s="28" t="s">
        <v>223</v>
      </c>
      <c r="E9" s="28" t="s">
        <v>919</v>
      </c>
      <c r="F9" s="28" t="s">
        <v>919</v>
      </c>
      <c r="G9" s="28" t="s">
        <v>919</v>
      </c>
      <c r="H9" s="28" t="s">
        <v>919</v>
      </c>
      <c r="I9" s="28" t="s">
        <v>919</v>
      </c>
      <c r="J9" s="28" t="s">
        <v>920</v>
      </c>
      <c r="K9" s="29" t="s">
        <v>920</v>
      </c>
      <c r="L9" s="29" t="s">
        <v>921</v>
      </c>
      <c r="M9" s="29" t="s">
        <v>922</v>
      </c>
      <c r="N9" s="28" t="s">
        <v>922</v>
      </c>
      <c r="O9" s="86" t="s">
        <v>918</v>
      </c>
      <c r="P9" s="81" t="s">
        <v>341</v>
      </c>
      <c r="Q9" s="81" t="s">
        <v>341</v>
      </c>
      <c r="R9" s="29"/>
      <c r="S9" s="29"/>
      <c r="T9" s="29"/>
      <c r="U9" s="29"/>
      <c r="V9" s="29"/>
      <c r="W9" s="29"/>
      <c r="X9" s="29"/>
      <c r="Y9" s="29"/>
      <c r="Z9" s="29"/>
      <c r="AA9" s="29" t="s">
        <v>195</v>
      </c>
      <c r="AB9" s="29"/>
      <c r="AC9" s="29"/>
      <c r="AD9" s="29"/>
      <c r="AE9" s="29"/>
      <c r="AF9" s="29"/>
      <c r="AG9" s="29"/>
      <c r="AH9" s="29" t="s">
        <v>195</v>
      </c>
    </row>
    <row r="10" spans="1:34" x14ac:dyDescent="0.25">
      <c r="A10" s="131" t="s">
        <v>168</v>
      </c>
      <c r="B10" s="157">
        <v>5</v>
      </c>
      <c r="C10" s="157">
        <v>45</v>
      </c>
      <c r="D10" s="157">
        <v>6</v>
      </c>
      <c r="E10" s="157">
        <v>92</v>
      </c>
      <c r="F10" s="157">
        <v>92</v>
      </c>
      <c r="G10" s="157">
        <v>92</v>
      </c>
      <c r="H10" s="157">
        <v>92</v>
      </c>
      <c r="I10" s="157">
        <v>92</v>
      </c>
      <c r="J10" s="157">
        <v>170</v>
      </c>
      <c r="K10" s="157">
        <v>170</v>
      </c>
      <c r="L10" s="157">
        <v>168</v>
      </c>
      <c r="M10" s="157">
        <v>169</v>
      </c>
      <c r="N10" s="157">
        <v>169</v>
      </c>
      <c r="O10" s="157">
        <v>45</v>
      </c>
      <c r="P10" s="198"/>
      <c r="Q10" s="198"/>
      <c r="R10" s="157"/>
      <c r="S10" s="157"/>
      <c r="T10" s="157"/>
      <c r="U10" s="157"/>
      <c r="V10" s="157"/>
      <c r="W10" s="157"/>
      <c r="X10" s="157"/>
      <c r="Y10" s="157"/>
      <c r="Z10" s="157"/>
      <c r="AA10" s="157">
        <v>5</v>
      </c>
      <c r="AB10" s="157"/>
      <c r="AC10" s="157"/>
      <c r="AD10" s="157"/>
      <c r="AE10" s="157"/>
      <c r="AF10" s="157"/>
      <c r="AG10" s="157"/>
      <c r="AH10" s="157">
        <v>5</v>
      </c>
    </row>
    <row r="11" spans="1:34" x14ac:dyDescent="0.25">
      <c r="A11" s="26" t="s">
        <v>169</v>
      </c>
      <c r="B11" s="28" t="s">
        <v>170</v>
      </c>
      <c r="C11" s="91" t="s">
        <v>170</v>
      </c>
      <c r="D11" s="29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 t="s">
        <v>170</v>
      </c>
      <c r="K11" s="91" t="s">
        <v>170</v>
      </c>
      <c r="L11" s="91" t="s">
        <v>170</v>
      </c>
      <c r="M11" s="91" t="s">
        <v>170</v>
      </c>
      <c r="N11" s="28" t="s">
        <v>170</v>
      </c>
      <c r="O11" s="91" t="s">
        <v>170</v>
      </c>
      <c r="P11" s="80" t="s">
        <v>173</v>
      </c>
      <c r="Q11" s="80" t="s">
        <v>173</v>
      </c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170</v>
      </c>
      <c r="AB11" s="28"/>
      <c r="AC11" s="29"/>
      <c r="AD11" s="28"/>
      <c r="AE11" s="29"/>
      <c r="AF11" s="28"/>
      <c r="AG11" s="28"/>
      <c r="AH11" s="28" t="s">
        <v>170</v>
      </c>
    </row>
    <row r="12" spans="1:34" x14ac:dyDescent="0.25">
      <c r="A12" s="26" t="s">
        <v>171</v>
      </c>
      <c r="B12" s="28" t="s">
        <v>173</v>
      </c>
      <c r="C12" s="86" t="s">
        <v>170</v>
      </c>
      <c r="D12" s="28" t="s">
        <v>170</v>
      </c>
      <c r="E12" s="28" t="s">
        <v>170</v>
      </c>
      <c r="F12" s="28" t="s">
        <v>170</v>
      </c>
      <c r="G12" s="28" t="s">
        <v>170</v>
      </c>
      <c r="H12" s="28" t="s">
        <v>170</v>
      </c>
      <c r="I12" s="28" t="s">
        <v>170</v>
      </c>
      <c r="J12" s="28" t="s">
        <v>170</v>
      </c>
      <c r="K12" s="86" t="s">
        <v>170</v>
      </c>
      <c r="L12" s="86" t="s">
        <v>170</v>
      </c>
      <c r="M12" s="86" t="s">
        <v>170</v>
      </c>
      <c r="N12" s="28" t="s">
        <v>170</v>
      </c>
      <c r="O12" s="86" t="s">
        <v>170</v>
      </c>
      <c r="P12" s="80" t="s">
        <v>173</v>
      </c>
      <c r="Q12" s="80" t="s">
        <v>173</v>
      </c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173</v>
      </c>
      <c r="AB12" s="28"/>
      <c r="AC12" s="28"/>
      <c r="AD12" s="28"/>
      <c r="AE12" s="28"/>
      <c r="AF12" s="28"/>
      <c r="AG12" s="28"/>
      <c r="AH12" s="28" t="s">
        <v>173</v>
      </c>
    </row>
    <row r="13" spans="1:34" x14ac:dyDescent="0.25">
      <c r="A13" s="26" t="s">
        <v>172</v>
      </c>
      <c r="B13" s="28" t="s">
        <v>173</v>
      </c>
      <c r="C13" s="86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86" t="s">
        <v>173</v>
      </c>
      <c r="L13" s="86" t="s">
        <v>173</v>
      </c>
      <c r="M13" s="86" t="s">
        <v>173</v>
      </c>
      <c r="N13" s="28" t="s">
        <v>173</v>
      </c>
      <c r="O13" s="86" t="s">
        <v>173</v>
      </c>
      <c r="P13" s="80" t="s">
        <v>173</v>
      </c>
      <c r="Q13" s="80" t="s">
        <v>173</v>
      </c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173</v>
      </c>
      <c r="AB13" s="28"/>
      <c r="AC13" s="28"/>
      <c r="AD13" s="28"/>
      <c r="AE13" s="28"/>
      <c r="AF13" s="28"/>
      <c r="AG13" s="28"/>
      <c r="AH13" s="28" t="s">
        <v>173</v>
      </c>
    </row>
    <row r="14" spans="1:34" x14ac:dyDescent="0.25">
      <c r="A14" s="26" t="s">
        <v>174</v>
      </c>
      <c r="B14" s="28" t="s">
        <v>173</v>
      </c>
      <c r="C14" s="86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86" t="s">
        <v>173</v>
      </c>
      <c r="L14" s="86" t="s">
        <v>173</v>
      </c>
      <c r="M14" s="86" t="s">
        <v>173</v>
      </c>
      <c r="N14" s="28" t="s">
        <v>173</v>
      </c>
      <c r="O14" s="86" t="s">
        <v>173</v>
      </c>
      <c r="P14" s="80" t="s">
        <v>173</v>
      </c>
      <c r="Q14" s="80" t="s">
        <v>173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173</v>
      </c>
      <c r="AB14" s="28"/>
      <c r="AC14" s="28"/>
      <c r="AD14" s="28"/>
      <c r="AE14" s="28"/>
      <c r="AF14" s="28"/>
      <c r="AG14" s="28"/>
      <c r="AH14" s="28" t="s">
        <v>173</v>
      </c>
    </row>
    <row r="15" spans="1:34" x14ac:dyDescent="0.25">
      <c r="A15" s="26" t="s">
        <v>175</v>
      </c>
      <c r="B15" s="28" t="s">
        <v>198</v>
      </c>
      <c r="C15" s="86" t="s">
        <v>198</v>
      </c>
      <c r="D15" s="28" t="s">
        <v>198</v>
      </c>
      <c r="E15" s="28" t="s">
        <v>198</v>
      </c>
      <c r="F15" s="28" t="s">
        <v>198</v>
      </c>
      <c r="G15" s="28" t="s">
        <v>198</v>
      </c>
      <c r="H15" s="28" t="s">
        <v>198</v>
      </c>
      <c r="I15" s="28" t="s">
        <v>198</v>
      </c>
      <c r="J15" s="28" t="s">
        <v>198</v>
      </c>
      <c r="K15" s="86" t="s">
        <v>198</v>
      </c>
      <c r="L15" s="86" t="s">
        <v>198</v>
      </c>
      <c r="M15" s="86" t="s">
        <v>198</v>
      </c>
      <c r="N15" s="28" t="s">
        <v>198</v>
      </c>
      <c r="O15" s="86" t="s">
        <v>198</v>
      </c>
      <c r="P15" s="80" t="s">
        <v>198</v>
      </c>
      <c r="Q15" s="80" t="s">
        <v>198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198</v>
      </c>
      <c r="AB15" s="28"/>
      <c r="AC15" s="28"/>
      <c r="AD15" s="28"/>
      <c r="AE15" s="28"/>
      <c r="AF15" s="28"/>
      <c r="AG15" s="28"/>
      <c r="AH15" s="28" t="s">
        <v>198</v>
      </c>
    </row>
    <row r="16" spans="1:34" x14ac:dyDescent="0.25">
      <c r="A16" s="26" t="s">
        <v>176</v>
      </c>
      <c r="B16" s="30">
        <f>5/3</f>
        <v>1.6666666666666667</v>
      </c>
      <c r="C16" s="92">
        <v>2</v>
      </c>
      <c r="D16" s="30">
        <f>5/3</f>
        <v>1.6666666666666667</v>
      </c>
      <c r="E16" s="30">
        <f t="shared" ref="E16:I16" si="0">11/6</f>
        <v>1.8333333333333333</v>
      </c>
      <c r="F16" s="30">
        <f t="shared" si="0"/>
        <v>1.8333333333333333</v>
      </c>
      <c r="G16" s="30">
        <f t="shared" si="0"/>
        <v>1.8333333333333333</v>
      </c>
      <c r="H16" s="30">
        <f t="shared" si="0"/>
        <v>1.8333333333333333</v>
      </c>
      <c r="I16" s="30">
        <f t="shared" si="0"/>
        <v>1.8333333333333333</v>
      </c>
      <c r="J16" s="30">
        <f>AVERAGE(2,11/6)</f>
        <v>1.9166666666666665</v>
      </c>
      <c r="K16" s="30">
        <f>AVERAGE(2,11/6)</f>
        <v>1.9166666666666665</v>
      </c>
      <c r="L16" s="30">
        <f>AVERAGE(5/3,11/6)</f>
        <v>1.75</v>
      </c>
      <c r="M16" s="30">
        <f>AVERAGE(5/3,2)</f>
        <v>1.8333333333333335</v>
      </c>
      <c r="N16" s="30">
        <f>AVERAGE(5/3,2)</f>
        <v>1.8333333333333335</v>
      </c>
      <c r="O16" s="92">
        <v>2</v>
      </c>
      <c r="P16" s="82">
        <f>11/6</f>
        <v>1.8333333333333333</v>
      </c>
      <c r="Q16" s="82">
        <f>11/6</f>
        <v>1.8333333333333333</v>
      </c>
      <c r="R16" s="30"/>
      <c r="S16" s="30"/>
      <c r="T16" s="30"/>
      <c r="U16" s="30"/>
      <c r="V16" s="30"/>
      <c r="W16" s="30"/>
      <c r="X16" s="30"/>
      <c r="Y16" s="30"/>
      <c r="Z16" s="30"/>
      <c r="AA16" s="30">
        <f>5/3</f>
        <v>1.6666666666666667</v>
      </c>
      <c r="AB16" s="30"/>
      <c r="AC16" s="30"/>
      <c r="AD16" s="30"/>
      <c r="AE16" s="30"/>
      <c r="AF16" s="30"/>
      <c r="AG16" s="30"/>
      <c r="AH16" s="30">
        <f>5/3</f>
        <v>1.6666666666666667</v>
      </c>
    </row>
    <row r="17" spans="1:34" x14ac:dyDescent="0.25">
      <c r="A17" s="26" t="s">
        <v>177</v>
      </c>
      <c r="B17" s="28" t="s">
        <v>178</v>
      </c>
      <c r="C17" s="86" t="s">
        <v>181</v>
      </c>
      <c r="D17" s="28" t="s">
        <v>178</v>
      </c>
      <c r="E17" s="28" t="s">
        <v>334</v>
      </c>
      <c r="F17" s="28" t="s">
        <v>334</v>
      </c>
      <c r="G17" s="28" t="s">
        <v>334</v>
      </c>
      <c r="H17" s="28" t="s">
        <v>334</v>
      </c>
      <c r="I17" s="28" t="s">
        <v>334</v>
      </c>
      <c r="J17" s="28" t="s">
        <v>905</v>
      </c>
      <c r="K17" s="28" t="s">
        <v>905</v>
      </c>
      <c r="L17" s="28" t="s">
        <v>357</v>
      </c>
      <c r="M17" s="28" t="s">
        <v>180</v>
      </c>
      <c r="N17" s="28" t="s">
        <v>180</v>
      </c>
      <c r="O17" s="86" t="s">
        <v>181</v>
      </c>
      <c r="P17" s="81" t="s">
        <v>341</v>
      </c>
      <c r="Q17" s="81" t="s">
        <v>341</v>
      </c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178</v>
      </c>
      <c r="AB17" s="28"/>
      <c r="AC17" s="28"/>
      <c r="AD17" s="28"/>
      <c r="AE17" s="28"/>
      <c r="AF17" s="28"/>
      <c r="AG17" s="28"/>
      <c r="AH17" s="28" t="s">
        <v>178</v>
      </c>
    </row>
    <row r="18" spans="1:34" x14ac:dyDescent="0.25">
      <c r="A18" s="26" t="s">
        <v>182</v>
      </c>
      <c r="B18" s="30">
        <v>4</v>
      </c>
      <c r="C18" s="92">
        <v>2</v>
      </c>
      <c r="D18" s="30">
        <v>4</v>
      </c>
      <c r="E18" s="30">
        <v>0.5</v>
      </c>
      <c r="F18" s="30">
        <v>0.5</v>
      </c>
      <c r="G18" s="30">
        <v>0.5</v>
      </c>
      <c r="H18" s="30">
        <v>0.5</v>
      </c>
      <c r="I18" s="30">
        <v>0.5</v>
      </c>
      <c r="J18" s="30">
        <f>AVERAGE(2,0.5)</f>
        <v>1.25</v>
      </c>
      <c r="K18" s="30">
        <f>AVERAGE(2,0.5)</f>
        <v>1.25</v>
      </c>
      <c r="L18" s="30">
        <f>AVERAGE(4,0.5)</f>
        <v>2.25</v>
      </c>
      <c r="M18" s="30">
        <f>AVERAGE(4,2)</f>
        <v>3</v>
      </c>
      <c r="N18" s="30">
        <f>AVERAGE(4,2)</f>
        <v>3</v>
      </c>
      <c r="O18" s="92">
        <v>2</v>
      </c>
      <c r="P18" s="82">
        <v>0</v>
      </c>
      <c r="Q18" s="82">
        <v>0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v>4</v>
      </c>
      <c r="AB18" s="30"/>
      <c r="AC18" s="30"/>
      <c r="AD18" s="30"/>
      <c r="AE18" s="30"/>
      <c r="AF18" s="30"/>
      <c r="AG18" s="30"/>
      <c r="AH18" s="30">
        <v>4</v>
      </c>
    </row>
    <row r="20" spans="1:34" x14ac:dyDescent="0.25">
      <c r="A20" s="31" t="s">
        <v>183</v>
      </c>
    </row>
    <row r="21" spans="1:34" x14ac:dyDescent="0.25">
      <c r="A21" s="235" t="s">
        <v>939</v>
      </c>
      <c r="B21" s="56" t="s">
        <v>928</v>
      </c>
    </row>
    <row r="22" spans="1:34" x14ac:dyDescent="0.25">
      <c r="A22" s="235"/>
      <c r="B22" s="93" t="s">
        <v>929</v>
      </c>
    </row>
    <row r="23" spans="1:34" x14ac:dyDescent="0.25">
      <c r="A23" s="235"/>
      <c r="B23" s="93" t="s">
        <v>930</v>
      </c>
    </row>
  </sheetData>
  <mergeCells count="6">
    <mergeCell ref="A21:A23"/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65A4E-E4B3-468C-89DA-82425984A4DF}">
  <dimension ref="A1:AK29"/>
  <sheetViews>
    <sheetView zoomScale="90" zoomScaleNormal="90" workbookViewId="0">
      <selection activeCell="K10" sqref="K10"/>
    </sheetView>
  </sheetViews>
  <sheetFormatPr defaultColWidth="9.140625" defaultRowHeight="15" x14ac:dyDescent="0.25"/>
  <cols>
    <col min="1" max="1" width="23.28515625" style="26" bestFit="1" customWidth="1"/>
    <col min="2" max="51" width="5.7109375" style="26" customWidth="1"/>
    <col min="52" max="16384" width="9.140625" style="26"/>
  </cols>
  <sheetData>
    <row r="1" spans="1:37" x14ac:dyDescent="0.25">
      <c r="A1" s="25" t="s">
        <v>116</v>
      </c>
      <c r="D1" s="25" t="s">
        <v>895</v>
      </c>
      <c r="I1" s="25" t="s">
        <v>896</v>
      </c>
    </row>
    <row r="3" spans="1:37" ht="18" x14ac:dyDescent="0.25">
      <c r="A3" s="25" t="s">
        <v>119</v>
      </c>
      <c r="B3" s="215">
        <v>57</v>
      </c>
      <c r="C3" s="215"/>
      <c r="D3" s="215"/>
      <c r="E3" s="25"/>
      <c r="F3" s="234" t="s">
        <v>120</v>
      </c>
      <c r="G3" s="234"/>
      <c r="H3" s="234"/>
      <c r="I3" s="234"/>
      <c r="J3" s="234"/>
      <c r="K3" s="234"/>
      <c r="L3" s="234"/>
      <c r="M3" s="234"/>
      <c r="N3" s="234"/>
      <c r="O3" s="234"/>
    </row>
    <row r="4" spans="1:37" ht="18" x14ac:dyDescent="0.25">
      <c r="A4" s="25" t="s">
        <v>121</v>
      </c>
      <c r="B4" s="215" t="s">
        <v>940</v>
      </c>
      <c r="C4" s="215"/>
      <c r="D4" s="215"/>
      <c r="F4" s="244" t="s">
        <v>941</v>
      </c>
      <c r="G4" s="244"/>
      <c r="H4" s="244"/>
      <c r="I4" s="244"/>
      <c r="J4" s="244"/>
      <c r="K4" s="244"/>
      <c r="L4" s="244"/>
      <c r="M4" s="244"/>
      <c r="N4" s="244"/>
      <c r="O4" s="244"/>
      <c r="P4" s="244"/>
    </row>
    <row r="5" spans="1:37" ht="17.45" customHeight="1" x14ac:dyDescent="0.25">
      <c r="A5" s="25" t="s">
        <v>124</v>
      </c>
      <c r="B5" s="215" t="s">
        <v>917</v>
      </c>
      <c r="C5" s="215"/>
      <c r="D5" s="215"/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</row>
    <row r="7" spans="1:37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  <c r="AJ7" s="53" t="s">
        <v>157</v>
      </c>
      <c r="AK7" s="53" t="s">
        <v>158</v>
      </c>
    </row>
    <row r="8" spans="1:37" x14ac:dyDescent="0.25">
      <c r="A8" s="26" t="s">
        <v>159</v>
      </c>
      <c r="B8" s="86" t="s">
        <v>198</v>
      </c>
      <c r="C8" s="29" t="s">
        <v>341</v>
      </c>
      <c r="D8" s="29" t="s">
        <v>341</v>
      </c>
      <c r="E8" s="29" t="s">
        <v>341</v>
      </c>
      <c r="F8" s="29" t="s">
        <v>341</v>
      </c>
      <c r="G8" s="29" t="s">
        <v>341</v>
      </c>
      <c r="H8" s="29" t="s">
        <v>341</v>
      </c>
      <c r="I8" s="29" t="s">
        <v>341</v>
      </c>
      <c r="J8" s="29" t="s">
        <v>341</v>
      </c>
      <c r="K8" s="29" t="s">
        <v>942</v>
      </c>
      <c r="L8" s="29" t="s">
        <v>942</v>
      </c>
      <c r="M8" s="29" t="s">
        <v>942</v>
      </c>
      <c r="N8" s="28"/>
      <c r="O8" s="28"/>
      <c r="P8" s="81" t="s">
        <v>341</v>
      </c>
      <c r="Q8" s="81" t="s">
        <v>341</v>
      </c>
      <c r="R8" s="28"/>
      <c r="S8" s="28"/>
      <c r="T8" s="28"/>
      <c r="U8" s="28"/>
      <c r="V8" s="28"/>
      <c r="W8" s="28"/>
      <c r="X8" s="28"/>
      <c r="Y8" s="28"/>
      <c r="Z8" s="28"/>
      <c r="AA8" s="29" t="s">
        <v>220</v>
      </c>
      <c r="AB8" s="28"/>
      <c r="AC8" s="28"/>
      <c r="AD8" s="28"/>
      <c r="AE8" s="28"/>
      <c r="AF8" s="28"/>
      <c r="AG8" s="29"/>
      <c r="AH8" s="29" t="s">
        <v>220</v>
      </c>
      <c r="AJ8" s="29" t="s">
        <v>221</v>
      </c>
      <c r="AK8" s="29" t="s">
        <v>222</v>
      </c>
    </row>
    <row r="9" spans="1:37" x14ac:dyDescent="0.25">
      <c r="A9" s="26" t="s">
        <v>165</v>
      </c>
      <c r="B9" s="29" t="s">
        <v>223</v>
      </c>
      <c r="C9" s="29" t="s">
        <v>341</v>
      </c>
      <c r="D9" s="29" t="s">
        <v>341</v>
      </c>
      <c r="E9" s="29" t="s">
        <v>341</v>
      </c>
      <c r="F9" s="29" t="s">
        <v>943</v>
      </c>
      <c r="G9" s="29" t="s">
        <v>341</v>
      </c>
      <c r="H9" s="29" t="s">
        <v>341</v>
      </c>
      <c r="I9" s="29" t="s">
        <v>341</v>
      </c>
      <c r="J9" s="29" t="s">
        <v>943</v>
      </c>
      <c r="K9" s="29" t="s">
        <v>614</v>
      </c>
      <c r="L9" s="29" t="s">
        <v>614</v>
      </c>
      <c r="M9" s="29" t="s">
        <v>614</v>
      </c>
      <c r="N9" s="29"/>
      <c r="O9" s="29"/>
      <c r="P9" s="81" t="s">
        <v>341</v>
      </c>
      <c r="Q9" s="81" t="s">
        <v>341</v>
      </c>
      <c r="R9" s="29"/>
      <c r="S9" s="29"/>
      <c r="T9" s="29"/>
      <c r="U9" s="29"/>
      <c r="V9" s="29"/>
      <c r="W9" s="29"/>
      <c r="X9" s="29"/>
      <c r="Y9" s="29"/>
      <c r="Z9" s="29"/>
      <c r="AA9" s="29" t="s">
        <v>223</v>
      </c>
      <c r="AB9" s="29"/>
      <c r="AC9" s="29"/>
      <c r="AD9" s="29"/>
      <c r="AE9" s="29"/>
      <c r="AF9" s="29"/>
      <c r="AG9" s="29"/>
      <c r="AH9" s="29" t="s">
        <v>223</v>
      </c>
      <c r="AJ9" s="29" t="s">
        <v>225</v>
      </c>
      <c r="AK9" s="29" t="s">
        <v>226</v>
      </c>
    </row>
    <row r="10" spans="1:37" x14ac:dyDescent="0.25">
      <c r="A10" s="131" t="s">
        <v>168</v>
      </c>
      <c r="B10" s="157">
        <v>6</v>
      </c>
      <c r="C10" s="157" t="s">
        <v>341</v>
      </c>
      <c r="D10" s="157" t="s">
        <v>341</v>
      </c>
      <c r="E10" s="157" t="s">
        <v>341</v>
      </c>
      <c r="F10" s="157">
        <v>174</v>
      </c>
      <c r="G10" s="157" t="s">
        <v>341</v>
      </c>
      <c r="H10" s="157" t="s">
        <v>341</v>
      </c>
      <c r="I10" s="157" t="s">
        <v>341</v>
      </c>
      <c r="J10" s="157">
        <v>174</v>
      </c>
      <c r="K10" s="157">
        <v>151</v>
      </c>
      <c r="L10" s="157">
        <v>151</v>
      </c>
      <c r="M10" s="157">
        <v>151</v>
      </c>
      <c r="N10" s="157"/>
      <c r="O10" s="157"/>
      <c r="P10" s="198"/>
      <c r="Q10" s="198"/>
      <c r="R10" s="157"/>
      <c r="S10" s="157"/>
      <c r="T10" s="157"/>
      <c r="U10" s="157"/>
      <c r="V10" s="157"/>
      <c r="W10" s="157"/>
      <c r="X10" s="157"/>
      <c r="Y10" s="157"/>
      <c r="Z10" s="157"/>
      <c r="AA10" s="157">
        <v>6</v>
      </c>
      <c r="AB10" s="157"/>
      <c r="AC10" s="157"/>
      <c r="AD10" s="157"/>
      <c r="AE10" s="157"/>
      <c r="AF10" s="157"/>
      <c r="AG10" s="157"/>
      <c r="AH10" s="157">
        <v>6</v>
      </c>
      <c r="AJ10" s="157">
        <v>27</v>
      </c>
      <c r="AK10" s="157">
        <v>49</v>
      </c>
    </row>
    <row r="11" spans="1:37" x14ac:dyDescent="0.25">
      <c r="A11" s="26" t="s">
        <v>169</v>
      </c>
      <c r="B11" s="28" t="s">
        <v>170</v>
      </c>
      <c r="C11" s="28" t="s">
        <v>173</v>
      </c>
      <c r="D11" s="28" t="s">
        <v>173</v>
      </c>
      <c r="E11" s="28" t="s">
        <v>173</v>
      </c>
      <c r="F11" s="28" t="s">
        <v>266</v>
      </c>
      <c r="G11" s="28" t="s">
        <v>173</v>
      </c>
      <c r="H11" s="28" t="s">
        <v>173</v>
      </c>
      <c r="I11" s="28" t="s">
        <v>173</v>
      </c>
      <c r="J11" s="28" t="s">
        <v>266</v>
      </c>
      <c r="K11" s="28" t="s">
        <v>266</v>
      </c>
      <c r="L11" s="28" t="s">
        <v>266</v>
      </c>
      <c r="M11" s="28" t="s">
        <v>266</v>
      </c>
      <c r="N11" s="28"/>
      <c r="O11" s="28"/>
      <c r="P11" s="80" t="s">
        <v>173</v>
      </c>
      <c r="Q11" s="80" t="s">
        <v>173</v>
      </c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170</v>
      </c>
      <c r="AB11" s="28"/>
      <c r="AC11" s="29"/>
      <c r="AD11" s="28"/>
      <c r="AE11" s="29"/>
      <c r="AF11" s="28"/>
      <c r="AG11" s="28"/>
      <c r="AH11" s="28" t="s">
        <v>170</v>
      </c>
      <c r="AJ11" s="28" t="s">
        <v>170</v>
      </c>
      <c r="AK11" s="28" t="s">
        <v>170</v>
      </c>
    </row>
    <row r="12" spans="1:37" x14ac:dyDescent="0.25">
      <c r="A12" s="26" t="s">
        <v>171</v>
      </c>
      <c r="B12" s="28" t="s">
        <v>170</v>
      </c>
      <c r="C12" s="28" t="s">
        <v>173</v>
      </c>
      <c r="D12" s="28" t="s">
        <v>173</v>
      </c>
      <c r="E12" s="28" t="s">
        <v>173</v>
      </c>
      <c r="F12" s="28" t="s">
        <v>266</v>
      </c>
      <c r="G12" s="28" t="s">
        <v>173</v>
      </c>
      <c r="H12" s="28" t="s">
        <v>173</v>
      </c>
      <c r="I12" s="28" t="s">
        <v>173</v>
      </c>
      <c r="J12" s="28" t="s">
        <v>266</v>
      </c>
      <c r="K12" s="28" t="s">
        <v>266</v>
      </c>
      <c r="L12" s="28" t="s">
        <v>266</v>
      </c>
      <c r="M12" s="28" t="s">
        <v>266</v>
      </c>
      <c r="N12" s="28"/>
      <c r="O12" s="28"/>
      <c r="P12" s="80" t="s">
        <v>173</v>
      </c>
      <c r="Q12" s="80" t="s">
        <v>173</v>
      </c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170</v>
      </c>
      <c r="AB12" s="28"/>
      <c r="AC12" s="28"/>
      <c r="AD12" s="28"/>
      <c r="AE12" s="28"/>
      <c r="AF12" s="28"/>
      <c r="AG12" s="28"/>
      <c r="AH12" s="28" t="s">
        <v>170</v>
      </c>
      <c r="AJ12" s="28" t="s">
        <v>170</v>
      </c>
      <c r="AK12" s="28" t="s">
        <v>170</v>
      </c>
    </row>
    <row r="13" spans="1:37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/>
      <c r="O13" s="28"/>
      <c r="P13" s="80" t="s">
        <v>173</v>
      </c>
      <c r="Q13" s="80" t="s">
        <v>173</v>
      </c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173</v>
      </c>
      <c r="AB13" s="28"/>
      <c r="AC13" s="28"/>
      <c r="AD13" s="28"/>
      <c r="AE13" s="28"/>
      <c r="AF13" s="28"/>
      <c r="AG13" s="28"/>
      <c r="AH13" s="28" t="s">
        <v>173</v>
      </c>
      <c r="AJ13" s="28" t="s">
        <v>170</v>
      </c>
      <c r="AK13" s="28" t="s">
        <v>170</v>
      </c>
    </row>
    <row r="14" spans="1:37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/>
      <c r="O14" s="28"/>
      <c r="P14" s="80" t="s">
        <v>173</v>
      </c>
      <c r="Q14" s="80" t="s">
        <v>173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173</v>
      </c>
      <c r="AB14" s="28"/>
      <c r="AC14" s="28"/>
      <c r="AD14" s="28"/>
      <c r="AE14" s="28"/>
      <c r="AF14" s="28"/>
      <c r="AG14" s="28"/>
      <c r="AH14" s="28" t="s">
        <v>173</v>
      </c>
      <c r="AJ14" s="28" t="s">
        <v>173</v>
      </c>
      <c r="AK14" s="28" t="s">
        <v>173</v>
      </c>
    </row>
    <row r="15" spans="1:37" x14ac:dyDescent="0.25">
      <c r="A15" s="26" t="s">
        <v>175</v>
      </c>
      <c r="B15" s="28" t="s">
        <v>198</v>
      </c>
      <c r="C15" s="28" t="s">
        <v>198</v>
      </c>
      <c r="D15" s="28" t="s">
        <v>198</v>
      </c>
      <c r="E15" s="28" t="s">
        <v>198</v>
      </c>
      <c r="F15" s="28" t="s">
        <v>199</v>
      </c>
      <c r="G15" s="28" t="s">
        <v>198</v>
      </c>
      <c r="H15" s="28" t="s">
        <v>198</v>
      </c>
      <c r="I15" s="28" t="s">
        <v>198</v>
      </c>
      <c r="J15" s="28" t="s">
        <v>199</v>
      </c>
      <c r="K15" s="28" t="s">
        <v>199</v>
      </c>
      <c r="L15" s="28" t="s">
        <v>199</v>
      </c>
      <c r="M15" s="28" t="s">
        <v>199</v>
      </c>
      <c r="N15" s="28"/>
      <c r="O15" s="28"/>
      <c r="P15" s="80" t="s">
        <v>198</v>
      </c>
      <c r="Q15" s="80" t="s">
        <v>198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198</v>
      </c>
      <c r="AB15" s="28"/>
      <c r="AC15" s="28"/>
      <c r="AD15" s="28"/>
      <c r="AE15" s="28"/>
      <c r="AF15" s="28"/>
      <c r="AG15" s="28"/>
      <c r="AH15" s="28" t="s">
        <v>198</v>
      </c>
      <c r="AJ15" s="28" t="s">
        <v>198</v>
      </c>
      <c r="AK15" s="28" t="s">
        <v>198</v>
      </c>
    </row>
    <row r="16" spans="1:37" x14ac:dyDescent="0.25">
      <c r="A16" s="26" t="s">
        <v>176</v>
      </c>
      <c r="B16" s="30">
        <f>5/3</f>
        <v>1.6666666666666667</v>
      </c>
      <c r="C16" s="30">
        <f t="shared" ref="C16:I16" si="0">AVERAGE(2,5/3)</f>
        <v>1.8333333333333335</v>
      </c>
      <c r="D16" s="30">
        <f t="shared" si="0"/>
        <v>1.8333333333333335</v>
      </c>
      <c r="E16" s="30">
        <f t="shared" si="0"/>
        <v>1.8333333333333335</v>
      </c>
      <c r="F16" s="30">
        <v>-2</v>
      </c>
      <c r="G16" s="30">
        <f t="shared" si="0"/>
        <v>1.8333333333333335</v>
      </c>
      <c r="H16" s="30">
        <f t="shared" si="0"/>
        <v>1.8333333333333335</v>
      </c>
      <c r="I16" s="30">
        <f t="shared" si="0"/>
        <v>1.8333333333333335</v>
      </c>
      <c r="J16" s="30">
        <v>-2</v>
      </c>
      <c r="K16" s="30">
        <v>-2</v>
      </c>
      <c r="L16" s="30">
        <v>-2</v>
      </c>
      <c r="M16" s="30">
        <v>-2</v>
      </c>
      <c r="N16" s="30"/>
      <c r="O16" s="30"/>
      <c r="P16" s="82">
        <f>11/6</f>
        <v>1.8333333333333333</v>
      </c>
      <c r="Q16" s="82">
        <f>11/6</f>
        <v>1.8333333333333333</v>
      </c>
      <c r="R16" s="30"/>
      <c r="S16" s="30"/>
      <c r="T16" s="30"/>
      <c r="U16" s="30"/>
      <c r="V16" s="30"/>
      <c r="W16" s="30"/>
      <c r="X16" s="30"/>
      <c r="Y16" s="30"/>
      <c r="Z16" s="30"/>
      <c r="AA16" s="30">
        <f>5/3</f>
        <v>1.6666666666666667</v>
      </c>
      <c r="AB16" s="30"/>
      <c r="AC16" s="30"/>
      <c r="AD16" s="30"/>
      <c r="AE16" s="30"/>
      <c r="AF16" s="30"/>
      <c r="AG16" s="30"/>
      <c r="AH16" s="30">
        <f>5/3</f>
        <v>1.6666666666666667</v>
      </c>
      <c r="AJ16" s="30">
        <f>4/3</f>
        <v>1.3333333333333333</v>
      </c>
      <c r="AK16" s="30">
        <f>4/3</f>
        <v>1.3333333333333333</v>
      </c>
    </row>
    <row r="17" spans="1:37" x14ac:dyDescent="0.25">
      <c r="A17" s="26" t="s">
        <v>177</v>
      </c>
      <c r="B17" s="28" t="s">
        <v>178</v>
      </c>
      <c r="C17" s="29" t="s">
        <v>341</v>
      </c>
      <c r="D17" s="29" t="s">
        <v>341</v>
      </c>
      <c r="E17" s="29" t="s">
        <v>341</v>
      </c>
      <c r="F17" s="29" t="s">
        <v>537</v>
      </c>
      <c r="G17" s="29" t="s">
        <v>341</v>
      </c>
      <c r="H17" s="29" t="s">
        <v>341</v>
      </c>
      <c r="I17" s="29" t="s">
        <v>341</v>
      </c>
      <c r="J17" s="29" t="s">
        <v>537</v>
      </c>
      <c r="K17" s="28" t="s">
        <v>537</v>
      </c>
      <c r="L17" s="28" t="s">
        <v>537</v>
      </c>
      <c r="M17" s="28" t="s">
        <v>537</v>
      </c>
      <c r="N17" s="28"/>
      <c r="O17" s="28"/>
      <c r="P17" s="81" t="s">
        <v>341</v>
      </c>
      <c r="Q17" s="81" t="s">
        <v>341</v>
      </c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178</v>
      </c>
      <c r="AB17" s="28"/>
      <c r="AC17" s="28"/>
      <c r="AD17" s="28"/>
      <c r="AE17" s="28"/>
      <c r="AF17" s="28"/>
      <c r="AG17" s="28"/>
      <c r="AH17" s="28" t="s">
        <v>178</v>
      </c>
      <c r="AJ17" s="28" t="s">
        <v>200</v>
      </c>
      <c r="AK17" s="28" t="s">
        <v>181</v>
      </c>
    </row>
    <row r="18" spans="1:37" x14ac:dyDescent="0.25">
      <c r="A18" s="26" t="s">
        <v>182</v>
      </c>
      <c r="B18" s="30">
        <v>4</v>
      </c>
      <c r="C18" s="30">
        <v>0</v>
      </c>
      <c r="D18" s="30">
        <v>0</v>
      </c>
      <c r="E18" s="30">
        <v>0</v>
      </c>
      <c r="F18" s="30">
        <f>AVERAGE(-2,0)</f>
        <v>-1</v>
      </c>
      <c r="G18" s="30">
        <v>0</v>
      </c>
      <c r="H18" s="30">
        <v>0</v>
      </c>
      <c r="I18" s="30">
        <v>0</v>
      </c>
      <c r="J18" s="30">
        <f>AVERAGE(-2,0)</f>
        <v>-1</v>
      </c>
      <c r="K18" s="30">
        <f>AVERAGE(1/3,0)</f>
        <v>0.16666666666666666</v>
      </c>
      <c r="L18" s="30">
        <f>AVERAGE(1/3,0)</f>
        <v>0.16666666666666666</v>
      </c>
      <c r="M18" s="30">
        <f>AVERAGE(1/3,0)</f>
        <v>0.16666666666666666</v>
      </c>
      <c r="N18" s="30"/>
      <c r="O18" s="30"/>
      <c r="P18" s="82">
        <v>0</v>
      </c>
      <c r="Q18" s="82">
        <v>0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v>4</v>
      </c>
      <c r="AB18" s="30"/>
      <c r="AC18" s="30"/>
      <c r="AD18" s="30"/>
      <c r="AE18" s="30"/>
      <c r="AF18" s="30"/>
      <c r="AG18" s="30"/>
      <c r="AH18" s="30">
        <v>4</v>
      </c>
      <c r="AJ18" s="30">
        <v>3</v>
      </c>
      <c r="AK18" s="30">
        <v>2</v>
      </c>
    </row>
    <row r="19" spans="1:37" x14ac:dyDescent="0.25">
      <c r="AG19" s="223" t="s">
        <v>944</v>
      </c>
      <c r="AH19" s="223"/>
      <c r="AJ19" s="223" t="s">
        <v>945</v>
      </c>
      <c r="AK19" s="223"/>
    </row>
    <row r="20" spans="1:37" x14ac:dyDescent="0.25">
      <c r="A20" s="31" t="s">
        <v>183</v>
      </c>
    </row>
    <row r="21" spans="1:37" x14ac:dyDescent="0.25">
      <c r="A21" s="243" t="s">
        <v>946</v>
      </c>
      <c r="B21" s="95" t="s">
        <v>947</v>
      </c>
    </row>
    <row r="22" spans="1:37" x14ac:dyDescent="0.25">
      <c r="A22" s="243"/>
      <c r="B22" s="96" t="s">
        <v>948</v>
      </c>
    </row>
    <row r="23" spans="1:37" x14ac:dyDescent="0.25">
      <c r="A23" s="243"/>
      <c r="B23" s="96" t="s">
        <v>949</v>
      </c>
    </row>
    <row r="24" spans="1:37" x14ac:dyDescent="0.25">
      <c r="A24" s="224" t="s">
        <v>950</v>
      </c>
      <c r="B24" s="95" t="s">
        <v>951</v>
      </c>
    </row>
    <row r="25" spans="1:37" x14ac:dyDescent="0.25">
      <c r="A25" s="224"/>
      <c r="B25" s="96" t="s">
        <v>952</v>
      </c>
    </row>
    <row r="26" spans="1:37" x14ac:dyDescent="0.25">
      <c r="A26" s="224"/>
      <c r="B26" s="96" t="s">
        <v>948</v>
      </c>
    </row>
    <row r="27" spans="1:37" x14ac:dyDescent="0.25">
      <c r="A27" s="224"/>
      <c r="B27" s="96" t="s">
        <v>949</v>
      </c>
    </row>
    <row r="28" spans="1:37" x14ac:dyDescent="0.25">
      <c r="A28" s="56"/>
      <c r="B28" s="96"/>
    </row>
    <row r="29" spans="1:37" ht="54" customHeight="1" x14ac:dyDescent="0.25">
      <c r="A29" s="101" t="s">
        <v>211</v>
      </c>
      <c r="B29" s="225" t="s">
        <v>936</v>
      </c>
      <c r="C29" s="225"/>
      <c r="D29" s="225"/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5"/>
    </row>
  </sheetData>
  <mergeCells count="10">
    <mergeCell ref="F3:O3"/>
    <mergeCell ref="B3:D3"/>
    <mergeCell ref="B4:D4"/>
    <mergeCell ref="B5:D5"/>
    <mergeCell ref="F4:P5"/>
    <mergeCell ref="AJ19:AK19"/>
    <mergeCell ref="AG19:AH19"/>
    <mergeCell ref="A21:A23"/>
    <mergeCell ref="A24:A27"/>
    <mergeCell ref="B29:O29"/>
  </mergeCells>
  <hyperlinks>
    <hyperlink ref="A29" r:id="rId1" xr:uid="{6907942F-6710-4FFC-B7A4-205C264B1EDF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851D7-406C-43DC-96F4-4E8243CBE666}">
  <dimension ref="A1:AX28"/>
  <sheetViews>
    <sheetView zoomScale="90" zoomScaleNormal="90" workbookViewId="0">
      <selection activeCell="B7" sqref="B7"/>
    </sheetView>
  </sheetViews>
  <sheetFormatPr defaultColWidth="9.140625" defaultRowHeight="15" x14ac:dyDescent="0.25"/>
  <cols>
    <col min="1" max="1" width="23.28515625" style="26" bestFit="1" customWidth="1"/>
    <col min="2" max="64" width="5.7109375" style="26" customWidth="1"/>
    <col min="65" max="16384" width="9.140625" style="26"/>
  </cols>
  <sheetData>
    <row r="1" spans="1:50" x14ac:dyDescent="0.25">
      <c r="A1" s="25" t="s">
        <v>116</v>
      </c>
      <c r="D1" s="25" t="s">
        <v>895</v>
      </c>
      <c r="I1" s="25" t="s">
        <v>896</v>
      </c>
    </row>
    <row r="3" spans="1:50" ht="18" x14ac:dyDescent="0.25">
      <c r="A3" s="25" t="s">
        <v>119</v>
      </c>
      <c r="B3" s="215">
        <v>58</v>
      </c>
      <c r="C3" s="215"/>
      <c r="D3" s="215"/>
      <c r="E3" s="25"/>
      <c r="F3" s="234" t="s">
        <v>120</v>
      </c>
      <c r="G3" s="234"/>
      <c r="H3" s="234"/>
      <c r="I3" s="234"/>
      <c r="J3" s="234"/>
      <c r="K3" s="234"/>
      <c r="L3" s="234"/>
      <c r="M3" s="234"/>
      <c r="N3" s="234"/>
      <c r="O3" s="234"/>
    </row>
    <row r="4" spans="1:50" ht="18" x14ac:dyDescent="0.25">
      <c r="A4" s="25" t="s">
        <v>121</v>
      </c>
      <c r="B4" s="215" t="s">
        <v>940</v>
      </c>
      <c r="C4" s="215"/>
      <c r="D4" s="215"/>
      <c r="F4" s="244" t="s">
        <v>953</v>
      </c>
      <c r="G4" s="244"/>
      <c r="H4" s="244"/>
      <c r="I4" s="244"/>
      <c r="J4" s="244"/>
      <c r="K4" s="244"/>
      <c r="L4" s="244"/>
      <c r="M4" s="244"/>
      <c r="N4" s="244"/>
      <c r="O4" s="244"/>
      <c r="P4" s="244"/>
    </row>
    <row r="5" spans="1:50" ht="17.45" customHeight="1" x14ac:dyDescent="0.25">
      <c r="A5" s="25" t="s">
        <v>124</v>
      </c>
      <c r="B5" s="215" t="s">
        <v>938</v>
      </c>
      <c r="C5" s="215"/>
      <c r="D5" s="215"/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</row>
    <row r="7" spans="1:50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  <c r="AJ7" s="32" t="s">
        <v>127</v>
      </c>
      <c r="AK7" s="32" t="s">
        <v>128</v>
      </c>
      <c r="AL7" s="33" t="s">
        <v>129</v>
      </c>
      <c r="AM7" s="34" t="s">
        <v>130</v>
      </c>
      <c r="AN7" s="35" t="s">
        <v>131</v>
      </c>
      <c r="AO7" s="35" t="s">
        <v>132</v>
      </c>
      <c r="AP7" s="36" t="s">
        <v>133</v>
      </c>
      <c r="AR7" s="32" t="s">
        <v>127</v>
      </c>
      <c r="AS7" s="58" t="s">
        <v>128</v>
      </c>
      <c r="AT7" s="59" t="s">
        <v>129</v>
      </c>
      <c r="AU7" s="34" t="s">
        <v>130</v>
      </c>
      <c r="AV7" s="61" t="s">
        <v>131</v>
      </c>
      <c r="AW7" s="61" t="s">
        <v>132</v>
      </c>
      <c r="AX7" s="62" t="s">
        <v>133</v>
      </c>
    </row>
    <row r="8" spans="1:50" x14ac:dyDescent="0.25">
      <c r="A8" s="26" t="s">
        <v>159</v>
      </c>
      <c r="B8" s="86" t="s">
        <v>198</v>
      </c>
      <c r="C8" s="29" t="s">
        <v>341</v>
      </c>
      <c r="D8" s="29" t="s">
        <v>341</v>
      </c>
      <c r="E8" s="29" t="s">
        <v>341</v>
      </c>
      <c r="F8" s="28" t="s">
        <v>220</v>
      </c>
      <c r="G8" s="28" t="s">
        <v>220</v>
      </c>
      <c r="H8" s="28" t="s">
        <v>220</v>
      </c>
      <c r="I8" s="28" t="s">
        <v>220</v>
      </c>
      <c r="J8" s="28" t="s">
        <v>220</v>
      </c>
      <c r="K8" s="81" t="s">
        <v>341</v>
      </c>
      <c r="L8" s="81" t="s">
        <v>341</v>
      </c>
      <c r="M8" s="81" t="s">
        <v>341</v>
      </c>
      <c r="N8" s="28"/>
      <c r="O8" s="28"/>
      <c r="P8" s="81" t="s">
        <v>341</v>
      </c>
      <c r="Q8" s="81" t="s">
        <v>341</v>
      </c>
      <c r="R8" s="28"/>
      <c r="S8" s="28"/>
      <c r="T8" s="28"/>
      <c r="U8" s="28"/>
      <c r="V8" s="28"/>
      <c r="W8" s="28"/>
      <c r="X8" s="28"/>
      <c r="Y8" s="28"/>
      <c r="Z8" s="28"/>
      <c r="AA8" s="29" t="s">
        <v>220</v>
      </c>
      <c r="AB8" s="28"/>
      <c r="AC8" s="28"/>
      <c r="AD8" s="28"/>
      <c r="AE8" s="28"/>
      <c r="AF8" s="28"/>
      <c r="AG8" s="28"/>
      <c r="AH8" s="29" t="s">
        <v>220</v>
      </c>
      <c r="AJ8" s="29" t="s">
        <v>556</v>
      </c>
      <c r="AK8" s="29" t="s">
        <v>556</v>
      </c>
      <c r="AL8" s="81" t="s">
        <v>341</v>
      </c>
      <c r="AM8" s="81" t="s">
        <v>341</v>
      </c>
      <c r="AN8" s="28" t="s">
        <v>954</v>
      </c>
      <c r="AO8" s="28" t="s">
        <v>954</v>
      </c>
      <c r="AP8" s="28" t="s">
        <v>954</v>
      </c>
      <c r="AR8" s="86" t="s">
        <v>473</v>
      </c>
      <c r="AS8" s="28" t="s">
        <v>473</v>
      </c>
      <c r="AT8" s="28" t="s">
        <v>473</v>
      </c>
      <c r="AU8" s="28" t="s">
        <v>473</v>
      </c>
      <c r="AV8" s="28" t="s">
        <v>473</v>
      </c>
      <c r="AW8" s="28" t="s">
        <v>473</v>
      </c>
      <c r="AX8" s="28" t="s">
        <v>473</v>
      </c>
    </row>
    <row r="9" spans="1:50" ht="15.75" customHeight="1" x14ac:dyDescent="0.25">
      <c r="A9" s="26" t="s">
        <v>165</v>
      </c>
      <c r="B9" s="29" t="s">
        <v>223</v>
      </c>
      <c r="C9" s="29" t="s">
        <v>341</v>
      </c>
      <c r="D9" s="29" t="s">
        <v>341</v>
      </c>
      <c r="E9" s="29" t="s">
        <v>341</v>
      </c>
      <c r="F9" s="28" t="s">
        <v>919</v>
      </c>
      <c r="G9" s="28" t="s">
        <v>919</v>
      </c>
      <c r="H9" s="28" t="s">
        <v>919</v>
      </c>
      <c r="I9" s="28" t="s">
        <v>919</v>
      </c>
      <c r="J9" s="28" t="s">
        <v>920</v>
      </c>
      <c r="K9" s="81" t="s">
        <v>341</v>
      </c>
      <c r="L9" s="81" t="s">
        <v>341</v>
      </c>
      <c r="M9" s="81" t="s">
        <v>341</v>
      </c>
      <c r="N9" s="29"/>
      <c r="O9" s="29"/>
      <c r="P9" s="81" t="s">
        <v>341</v>
      </c>
      <c r="Q9" s="81" t="s">
        <v>341</v>
      </c>
      <c r="R9" s="29"/>
      <c r="S9" s="29"/>
      <c r="T9" s="29"/>
      <c r="U9" s="29"/>
      <c r="V9" s="29"/>
      <c r="W9" s="29"/>
      <c r="X9" s="29"/>
      <c r="Y9" s="29"/>
      <c r="Z9" s="29"/>
      <c r="AA9" s="29" t="s">
        <v>223</v>
      </c>
      <c r="AB9" s="29"/>
      <c r="AC9" s="29"/>
      <c r="AD9" s="29"/>
      <c r="AE9" s="29"/>
      <c r="AF9" s="29"/>
      <c r="AG9" s="29"/>
      <c r="AH9" s="29" t="s">
        <v>223</v>
      </c>
      <c r="AJ9" s="28" t="s">
        <v>322</v>
      </c>
      <c r="AK9" s="28" t="s">
        <v>322</v>
      </c>
      <c r="AL9" s="81" t="s">
        <v>341</v>
      </c>
      <c r="AM9" s="81" t="s">
        <v>341</v>
      </c>
      <c r="AN9" s="28" t="s">
        <v>955</v>
      </c>
      <c r="AO9" s="28" t="s">
        <v>955</v>
      </c>
      <c r="AP9" s="28" t="s">
        <v>955</v>
      </c>
      <c r="AR9" s="86" t="s">
        <v>479</v>
      </c>
      <c r="AS9" s="28" t="s">
        <v>473</v>
      </c>
      <c r="AT9" s="28" t="s">
        <v>473</v>
      </c>
      <c r="AU9" s="28" t="s">
        <v>473</v>
      </c>
      <c r="AV9" s="28" t="s">
        <v>473</v>
      </c>
      <c r="AW9" s="28" t="s">
        <v>473</v>
      </c>
      <c r="AX9" s="28" t="s">
        <v>473</v>
      </c>
    </row>
    <row r="10" spans="1:50" x14ac:dyDescent="0.25">
      <c r="A10" s="131" t="s">
        <v>168</v>
      </c>
      <c r="B10" s="157">
        <v>6</v>
      </c>
      <c r="C10" s="157" t="s">
        <v>341</v>
      </c>
      <c r="D10" s="157" t="s">
        <v>341</v>
      </c>
      <c r="E10" s="157" t="s">
        <v>341</v>
      </c>
      <c r="F10" s="157">
        <v>92</v>
      </c>
      <c r="G10" s="157">
        <v>92</v>
      </c>
      <c r="H10" s="157">
        <v>92</v>
      </c>
      <c r="I10" s="157">
        <v>92</v>
      </c>
      <c r="J10" s="157">
        <v>170</v>
      </c>
      <c r="K10" s="198"/>
      <c r="L10" s="198"/>
      <c r="M10" s="198"/>
      <c r="N10" s="157"/>
      <c r="O10" s="157"/>
      <c r="P10" s="198"/>
      <c r="Q10" s="198"/>
      <c r="R10" s="157"/>
      <c r="S10" s="157"/>
      <c r="T10" s="157"/>
      <c r="U10" s="157"/>
      <c r="V10" s="157"/>
      <c r="W10" s="157"/>
      <c r="X10" s="157"/>
      <c r="Y10" s="157"/>
      <c r="Z10" s="157"/>
      <c r="AA10" s="157">
        <v>6</v>
      </c>
      <c r="AB10" s="157"/>
      <c r="AC10" s="157"/>
      <c r="AD10" s="157"/>
      <c r="AE10" s="157"/>
      <c r="AF10" s="157"/>
      <c r="AG10" s="157"/>
      <c r="AH10" s="157">
        <v>6</v>
      </c>
      <c r="AJ10" s="157">
        <v>98</v>
      </c>
      <c r="AK10" s="157">
        <v>98</v>
      </c>
      <c r="AL10" s="198"/>
      <c r="AM10" s="198"/>
      <c r="AN10" s="157">
        <v>175</v>
      </c>
      <c r="AO10" s="157">
        <v>175</v>
      </c>
      <c r="AP10" s="157">
        <v>175</v>
      </c>
      <c r="AR10" s="161">
        <v>87</v>
      </c>
      <c r="AS10" s="157">
        <v>85</v>
      </c>
      <c r="AT10" s="157">
        <v>85</v>
      </c>
      <c r="AU10" s="157">
        <v>85</v>
      </c>
      <c r="AV10" s="157">
        <v>85</v>
      </c>
      <c r="AW10" s="157">
        <v>85</v>
      </c>
      <c r="AX10" s="157">
        <v>85</v>
      </c>
    </row>
    <row r="11" spans="1:50" x14ac:dyDescent="0.25">
      <c r="A11" s="26" t="s">
        <v>169</v>
      </c>
      <c r="B11" s="28" t="s">
        <v>170</v>
      </c>
      <c r="C11" s="28" t="s">
        <v>173</v>
      </c>
      <c r="D11" s="28" t="s">
        <v>173</v>
      </c>
      <c r="E11" s="28" t="s">
        <v>173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 t="s">
        <v>170</v>
      </c>
      <c r="K11" s="80" t="s">
        <v>173</v>
      </c>
      <c r="L11" s="80" t="s">
        <v>173</v>
      </c>
      <c r="M11" s="80" t="s">
        <v>173</v>
      </c>
      <c r="N11" s="28"/>
      <c r="O11" s="28"/>
      <c r="P11" s="80" t="s">
        <v>173</v>
      </c>
      <c r="Q11" s="80" t="s">
        <v>173</v>
      </c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170</v>
      </c>
      <c r="AB11" s="28"/>
      <c r="AC11" s="29"/>
      <c r="AD11" s="28"/>
      <c r="AE11" s="29"/>
      <c r="AF11" s="28"/>
      <c r="AG11" s="28"/>
      <c r="AH11" s="28" t="s">
        <v>170</v>
      </c>
      <c r="AJ11" s="28" t="s">
        <v>170</v>
      </c>
      <c r="AK11" s="28" t="s">
        <v>170</v>
      </c>
      <c r="AL11" s="80" t="s">
        <v>173</v>
      </c>
      <c r="AM11" s="80" t="s">
        <v>173</v>
      </c>
      <c r="AN11" s="28" t="s">
        <v>266</v>
      </c>
      <c r="AO11" s="28" t="s">
        <v>266</v>
      </c>
      <c r="AP11" s="28" t="s">
        <v>266</v>
      </c>
      <c r="AR11" s="86" t="s">
        <v>170</v>
      </c>
      <c r="AS11" s="28" t="s">
        <v>170</v>
      </c>
      <c r="AT11" s="28" t="s">
        <v>170</v>
      </c>
      <c r="AU11" s="28" t="s">
        <v>170</v>
      </c>
      <c r="AV11" s="28" t="s">
        <v>170</v>
      </c>
      <c r="AW11" s="28" t="s">
        <v>170</v>
      </c>
      <c r="AX11" s="28" t="s">
        <v>170</v>
      </c>
    </row>
    <row r="12" spans="1:50" x14ac:dyDescent="0.25">
      <c r="A12" s="26" t="s">
        <v>171</v>
      </c>
      <c r="B12" s="28" t="s">
        <v>170</v>
      </c>
      <c r="C12" s="28" t="s">
        <v>170</v>
      </c>
      <c r="D12" s="28" t="s">
        <v>170</v>
      </c>
      <c r="E12" s="28" t="s">
        <v>170</v>
      </c>
      <c r="F12" s="28" t="s">
        <v>170</v>
      </c>
      <c r="G12" s="28" t="s">
        <v>170</v>
      </c>
      <c r="H12" s="28" t="s">
        <v>170</v>
      </c>
      <c r="I12" s="28" t="s">
        <v>170</v>
      </c>
      <c r="J12" s="28" t="s">
        <v>170</v>
      </c>
      <c r="K12" s="80" t="s">
        <v>173</v>
      </c>
      <c r="L12" s="80" t="s">
        <v>173</v>
      </c>
      <c r="M12" s="80" t="s">
        <v>173</v>
      </c>
      <c r="N12" s="28"/>
      <c r="O12" s="28"/>
      <c r="P12" s="80" t="s">
        <v>173</v>
      </c>
      <c r="Q12" s="80" t="s">
        <v>173</v>
      </c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170</v>
      </c>
      <c r="AB12" s="28"/>
      <c r="AC12" s="28"/>
      <c r="AD12" s="28"/>
      <c r="AE12" s="28"/>
      <c r="AF12" s="28"/>
      <c r="AG12" s="28"/>
      <c r="AH12" s="28" t="s">
        <v>170</v>
      </c>
      <c r="AJ12" s="28" t="s">
        <v>170</v>
      </c>
      <c r="AK12" s="28" t="s">
        <v>170</v>
      </c>
      <c r="AL12" s="80" t="s">
        <v>173</v>
      </c>
      <c r="AM12" s="80" t="s">
        <v>173</v>
      </c>
      <c r="AN12" s="28" t="s">
        <v>266</v>
      </c>
      <c r="AO12" s="28" t="s">
        <v>266</v>
      </c>
      <c r="AP12" s="28" t="s">
        <v>266</v>
      </c>
      <c r="AR12" s="86" t="s">
        <v>170</v>
      </c>
      <c r="AS12" s="28" t="s">
        <v>170</v>
      </c>
      <c r="AT12" s="28" t="s">
        <v>170</v>
      </c>
      <c r="AU12" s="28" t="s">
        <v>170</v>
      </c>
      <c r="AV12" s="28" t="s">
        <v>170</v>
      </c>
      <c r="AW12" s="28" t="s">
        <v>170</v>
      </c>
      <c r="AX12" s="28" t="s">
        <v>170</v>
      </c>
    </row>
    <row r="13" spans="1:50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80" t="s">
        <v>173</v>
      </c>
      <c r="L13" s="80" t="s">
        <v>173</v>
      </c>
      <c r="M13" s="80" t="s">
        <v>173</v>
      </c>
      <c r="N13" s="28"/>
      <c r="O13" s="28"/>
      <c r="P13" s="80" t="s">
        <v>173</v>
      </c>
      <c r="Q13" s="80" t="s">
        <v>173</v>
      </c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173</v>
      </c>
      <c r="AB13" s="28"/>
      <c r="AC13" s="28"/>
      <c r="AD13" s="28"/>
      <c r="AE13" s="28"/>
      <c r="AF13" s="28"/>
      <c r="AG13" s="28"/>
      <c r="AH13" s="28" t="s">
        <v>173</v>
      </c>
      <c r="AJ13" s="28" t="s">
        <v>173</v>
      </c>
      <c r="AK13" s="28" t="s">
        <v>173</v>
      </c>
      <c r="AL13" s="80" t="s">
        <v>173</v>
      </c>
      <c r="AM13" s="80" t="s">
        <v>173</v>
      </c>
      <c r="AN13" s="28" t="s">
        <v>173</v>
      </c>
      <c r="AO13" s="28" t="s">
        <v>173</v>
      </c>
      <c r="AP13" s="28" t="s">
        <v>173</v>
      </c>
      <c r="AR13" s="86" t="s">
        <v>173</v>
      </c>
      <c r="AS13" s="28" t="s">
        <v>173</v>
      </c>
      <c r="AT13" s="28" t="s">
        <v>173</v>
      </c>
      <c r="AU13" s="28" t="s">
        <v>173</v>
      </c>
      <c r="AV13" s="28" t="s">
        <v>173</v>
      </c>
      <c r="AW13" s="28" t="s">
        <v>173</v>
      </c>
      <c r="AX13" s="28" t="s">
        <v>173</v>
      </c>
    </row>
    <row r="14" spans="1:50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80" t="s">
        <v>173</v>
      </c>
      <c r="L14" s="80" t="s">
        <v>173</v>
      </c>
      <c r="M14" s="80" t="s">
        <v>173</v>
      </c>
      <c r="N14" s="28"/>
      <c r="O14" s="28"/>
      <c r="P14" s="80" t="s">
        <v>173</v>
      </c>
      <c r="Q14" s="80" t="s">
        <v>173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173</v>
      </c>
      <c r="AB14" s="28"/>
      <c r="AC14" s="28"/>
      <c r="AD14" s="28"/>
      <c r="AE14" s="28"/>
      <c r="AF14" s="28"/>
      <c r="AG14" s="28"/>
      <c r="AH14" s="28" t="s">
        <v>173</v>
      </c>
      <c r="AJ14" s="28" t="s">
        <v>173</v>
      </c>
      <c r="AK14" s="28" t="s">
        <v>173</v>
      </c>
      <c r="AL14" s="80" t="s">
        <v>173</v>
      </c>
      <c r="AM14" s="80" t="s">
        <v>173</v>
      </c>
      <c r="AN14" s="28" t="s">
        <v>173</v>
      </c>
      <c r="AO14" s="28" t="s">
        <v>173</v>
      </c>
      <c r="AP14" s="28" t="s">
        <v>173</v>
      </c>
      <c r="AR14" s="28" t="s">
        <v>170</v>
      </c>
      <c r="AS14" s="29" t="s">
        <v>170</v>
      </c>
      <c r="AT14" s="29" t="s">
        <v>170</v>
      </c>
      <c r="AU14" s="29" t="s">
        <v>170</v>
      </c>
      <c r="AV14" s="29" t="s">
        <v>170</v>
      </c>
      <c r="AW14" s="29" t="s">
        <v>170</v>
      </c>
      <c r="AX14" s="29" t="s">
        <v>170</v>
      </c>
    </row>
    <row r="15" spans="1:50" x14ac:dyDescent="0.25">
      <c r="A15" s="26" t="s">
        <v>175</v>
      </c>
      <c r="B15" s="28" t="s">
        <v>198</v>
      </c>
      <c r="C15" s="28" t="s">
        <v>198</v>
      </c>
      <c r="D15" s="28" t="s">
        <v>198</v>
      </c>
      <c r="E15" s="28" t="s">
        <v>198</v>
      </c>
      <c r="F15" s="28" t="s">
        <v>198</v>
      </c>
      <c r="G15" s="28" t="s">
        <v>198</v>
      </c>
      <c r="H15" s="28" t="s">
        <v>198</v>
      </c>
      <c r="I15" s="28" t="s">
        <v>198</v>
      </c>
      <c r="J15" s="28" t="s">
        <v>198</v>
      </c>
      <c r="K15" s="80" t="s">
        <v>198</v>
      </c>
      <c r="L15" s="80" t="s">
        <v>198</v>
      </c>
      <c r="M15" s="80" t="s">
        <v>198</v>
      </c>
      <c r="N15" s="28"/>
      <c r="O15" s="28"/>
      <c r="P15" s="80" t="s">
        <v>198</v>
      </c>
      <c r="Q15" s="80" t="s">
        <v>198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198</v>
      </c>
      <c r="AB15" s="28"/>
      <c r="AC15" s="28"/>
      <c r="AD15" s="28"/>
      <c r="AE15" s="28"/>
      <c r="AF15" s="28"/>
      <c r="AG15" s="28"/>
      <c r="AH15" s="28" t="s">
        <v>198</v>
      </c>
      <c r="AJ15" s="28" t="s">
        <v>199</v>
      </c>
      <c r="AK15" s="28" t="s">
        <v>199</v>
      </c>
      <c r="AL15" s="80" t="s">
        <v>198</v>
      </c>
      <c r="AM15" s="80" t="s">
        <v>198</v>
      </c>
      <c r="AN15" s="28" t="s">
        <v>198</v>
      </c>
      <c r="AO15" s="28" t="s">
        <v>198</v>
      </c>
      <c r="AP15" s="28" t="s">
        <v>198</v>
      </c>
      <c r="AR15" s="28" t="s">
        <v>486</v>
      </c>
      <c r="AS15" s="28" t="s">
        <v>198</v>
      </c>
      <c r="AT15" s="28" t="s">
        <v>198</v>
      </c>
      <c r="AU15" s="28" t="s">
        <v>198</v>
      </c>
      <c r="AV15" s="28" t="s">
        <v>198</v>
      </c>
      <c r="AW15" s="28" t="s">
        <v>198</v>
      </c>
      <c r="AX15" s="28" t="s">
        <v>198</v>
      </c>
    </row>
    <row r="16" spans="1:50" x14ac:dyDescent="0.25">
      <c r="A16" s="26" t="s">
        <v>176</v>
      </c>
      <c r="B16" s="30">
        <f>5/3</f>
        <v>1.6666666666666667</v>
      </c>
      <c r="C16" s="30">
        <f t="shared" ref="C16:D16" si="0">AVERAGE(2,5/3)</f>
        <v>1.8333333333333335</v>
      </c>
      <c r="D16" s="30">
        <f t="shared" si="0"/>
        <v>1.8333333333333335</v>
      </c>
      <c r="E16" s="30">
        <f>AVERAGE(2,5/3)</f>
        <v>1.8333333333333335</v>
      </c>
      <c r="F16" s="30">
        <f>11/6</f>
        <v>1.8333333333333333</v>
      </c>
      <c r="G16" s="30">
        <f>11/6</f>
        <v>1.8333333333333333</v>
      </c>
      <c r="H16" s="30">
        <f>11/6</f>
        <v>1.8333333333333333</v>
      </c>
      <c r="I16" s="30">
        <f>11/6</f>
        <v>1.8333333333333333</v>
      </c>
      <c r="J16" s="30">
        <f>AVERAGE(2,11/6)</f>
        <v>1.9166666666666665</v>
      </c>
      <c r="K16" s="82">
        <f t="shared" ref="K16:L16" si="1">AVERAGE(11/6,0.5)</f>
        <v>1.1666666666666665</v>
      </c>
      <c r="L16" s="82">
        <f t="shared" si="1"/>
        <v>1.1666666666666665</v>
      </c>
      <c r="M16" s="82">
        <f>AVERAGE(11/6,0.5)</f>
        <v>1.1666666666666665</v>
      </c>
      <c r="N16" s="30"/>
      <c r="O16" s="30"/>
      <c r="P16" s="82">
        <f>11/6</f>
        <v>1.8333333333333333</v>
      </c>
      <c r="Q16" s="82">
        <f>11/6</f>
        <v>1.8333333333333333</v>
      </c>
      <c r="R16" s="30"/>
      <c r="S16" s="30"/>
      <c r="T16" s="30"/>
      <c r="U16" s="30"/>
      <c r="V16" s="30"/>
      <c r="W16" s="30"/>
      <c r="X16" s="30"/>
      <c r="Y16" s="30"/>
      <c r="Z16" s="30"/>
      <c r="AA16" s="30">
        <f>5/3</f>
        <v>1.6666666666666667</v>
      </c>
      <c r="AB16" s="30"/>
      <c r="AC16" s="30"/>
      <c r="AD16" s="30"/>
      <c r="AE16" s="30"/>
      <c r="AF16" s="30"/>
      <c r="AG16" s="30"/>
      <c r="AH16" s="30">
        <f>5/3</f>
        <v>1.6666666666666667</v>
      </c>
      <c r="AJ16" s="30">
        <v>-2</v>
      </c>
      <c r="AK16" s="30">
        <v>-2</v>
      </c>
      <c r="AL16" s="82">
        <f t="shared" ref="AL16:AM16" si="2">11/6</f>
        <v>1.8333333333333333</v>
      </c>
      <c r="AM16" s="82">
        <f t="shared" si="2"/>
        <v>1.8333333333333333</v>
      </c>
      <c r="AN16" s="30">
        <f t="shared" ref="AN16:AO16" si="3">11/6</f>
        <v>1.8333333333333333</v>
      </c>
      <c r="AO16" s="30">
        <f t="shared" si="3"/>
        <v>1.8333333333333333</v>
      </c>
      <c r="AP16" s="102">
        <f>11/6</f>
        <v>1.8333333333333333</v>
      </c>
      <c r="AR16" s="30">
        <f>-7/6</f>
        <v>-1.1666666666666667</v>
      </c>
      <c r="AS16" s="30">
        <v>0.75</v>
      </c>
      <c r="AT16" s="30">
        <v>0.75</v>
      </c>
      <c r="AU16" s="30">
        <v>0.75</v>
      </c>
      <c r="AV16" s="30">
        <v>0.75</v>
      </c>
      <c r="AW16" s="30">
        <v>0.75</v>
      </c>
      <c r="AX16" s="30">
        <v>0.75</v>
      </c>
    </row>
    <row r="17" spans="1:50" x14ac:dyDescent="0.25">
      <c r="A17" s="26" t="s">
        <v>177</v>
      </c>
      <c r="B17" s="28" t="s">
        <v>178</v>
      </c>
      <c r="C17" s="29" t="s">
        <v>341</v>
      </c>
      <c r="D17" s="29" t="s">
        <v>341</v>
      </c>
      <c r="E17" s="29" t="s">
        <v>341</v>
      </c>
      <c r="F17" s="28" t="s">
        <v>334</v>
      </c>
      <c r="G17" s="28" t="s">
        <v>334</v>
      </c>
      <c r="H17" s="28" t="s">
        <v>334</v>
      </c>
      <c r="I17" s="28" t="s">
        <v>334</v>
      </c>
      <c r="J17" s="28" t="s">
        <v>905</v>
      </c>
      <c r="K17" s="81" t="s">
        <v>341</v>
      </c>
      <c r="L17" s="81" t="s">
        <v>341</v>
      </c>
      <c r="M17" s="81" t="s">
        <v>341</v>
      </c>
      <c r="N17" s="28"/>
      <c r="O17" s="28"/>
      <c r="P17" s="81" t="s">
        <v>341</v>
      </c>
      <c r="Q17" s="81" t="s">
        <v>341</v>
      </c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178</v>
      </c>
      <c r="AB17" s="28"/>
      <c r="AC17" s="28"/>
      <c r="AD17" s="28"/>
      <c r="AE17" s="28"/>
      <c r="AF17" s="28"/>
      <c r="AG17" s="28"/>
      <c r="AH17" s="28" t="s">
        <v>178</v>
      </c>
      <c r="AJ17" s="28" t="s">
        <v>334</v>
      </c>
      <c r="AK17" s="28" t="s">
        <v>334</v>
      </c>
      <c r="AL17" s="81" t="s">
        <v>341</v>
      </c>
      <c r="AM17" s="81" t="s">
        <v>341</v>
      </c>
      <c r="AN17" s="103" t="s">
        <v>537</v>
      </c>
      <c r="AO17" s="104" t="s">
        <v>537</v>
      </c>
      <c r="AP17" s="103" t="s">
        <v>537</v>
      </c>
      <c r="AR17" s="29" t="s">
        <v>489</v>
      </c>
      <c r="AS17" s="29" t="s">
        <v>489</v>
      </c>
      <c r="AT17" s="29" t="s">
        <v>489</v>
      </c>
      <c r="AU17" s="29" t="s">
        <v>489</v>
      </c>
      <c r="AV17" s="29" t="s">
        <v>489</v>
      </c>
      <c r="AW17" s="28" t="s">
        <v>489</v>
      </c>
      <c r="AX17" s="28" t="s">
        <v>489</v>
      </c>
    </row>
    <row r="18" spans="1:50" x14ac:dyDescent="0.25">
      <c r="A18" s="26" t="s">
        <v>182</v>
      </c>
      <c r="B18" s="30">
        <v>4</v>
      </c>
      <c r="C18" s="30">
        <v>0</v>
      </c>
      <c r="D18" s="30">
        <v>0</v>
      </c>
      <c r="E18" s="30">
        <v>0</v>
      </c>
      <c r="F18" s="30">
        <v>0.5</v>
      </c>
      <c r="G18" s="30">
        <v>0.5</v>
      </c>
      <c r="H18" s="30">
        <v>0.5</v>
      </c>
      <c r="I18" s="30">
        <v>0.5</v>
      </c>
      <c r="J18" s="30">
        <f>AVERAGE(2,0.5)</f>
        <v>1.25</v>
      </c>
      <c r="K18" s="82">
        <v>0</v>
      </c>
      <c r="L18" s="82">
        <v>0</v>
      </c>
      <c r="M18" s="82">
        <v>0</v>
      </c>
      <c r="N18" s="30"/>
      <c r="O18" s="30"/>
      <c r="P18" s="82">
        <v>0</v>
      </c>
      <c r="Q18" s="82">
        <v>0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v>4</v>
      </c>
      <c r="AB18" s="30"/>
      <c r="AC18" s="30"/>
      <c r="AD18" s="30"/>
      <c r="AE18" s="30"/>
      <c r="AF18" s="30"/>
      <c r="AG18" s="30"/>
      <c r="AH18" s="30">
        <v>4</v>
      </c>
      <c r="AJ18" s="30">
        <f>1/3</f>
        <v>0.33333333333333331</v>
      </c>
      <c r="AK18" s="30">
        <f>1/3</f>
        <v>0.33333333333333331</v>
      </c>
      <c r="AL18" s="82">
        <v>0</v>
      </c>
      <c r="AM18" s="82">
        <v>0</v>
      </c>
      <c r="AN18" s="30">
        <f>AVERAGE(0.5,0)</f>
        <v>0.25</v>
      </c>
      <c r="AO18" s="30">
        <f t="shared" ref="AO18:AP18" si="4">AVERAGE(0.5,0)</f>
        <v>0.25</v>
      </c>
      <c r="AP18" s="30">
        <f t="shared" si="4"/>
        <v>0.25</v>
      </c>
      <c r="AR18" s="30">
        <v>0.75</v>
      </c>
      <c r="AS18" s="30">
        <v>0.75</v>
      </c>
      <c r="AT18" s="30">
        <v>0.75</v>
      </c>
      <c r="AU18" s="30">
        <v>0.75</v>
      </c>
      <c r="AV18" s="30">
        <v>0.75</v>
      </c>
      <c r="AW18" s="30">
        <v>0.75</v>
      </c>
      <c r="AX18" s="30">
        <v>0.75</v>
      </c>
    </row>
    <row r="19" spans="1:50" ht="15.75" customHeight="1" x14ac:dyDescent="0.25">
      <c r="C19" s="223" t="s">
        <v>956</v>
      </c>
      <c r="D19" s="223"/>
      <c r="AJ19" s="78" t="s">
        <v>957</v>
      </c>
      <c r="AR19" s="125" t="s">
        <v>958</v>
      </c>
      <c r="AS19" s="90"/>
    </row>
    <row r="20" spans="1:50" x14ac:dyDescent="0.25">
      <c r="A20" s="31" t="s">
        <v>183</v>
      </c>
    </row>
    <row r="21" spans="1:50" x14ac:dyDescent="0.25">
      <c r="A21" s="245" t="s">
        <v>959</v>
      </c>
      <c r="B21" s="56" t="s">
        <v>960</v>
      </c>
    </row>
    <row r="22" spans="1:50" x14ac:dyDescent="0.25">
      <c r="A22" s="245"/>
      <c r="B22" s="93" t="s">
        <v>961</v>
      </c>
    </row>
    <row r="23" spans="1:50" x14ac:dyDescent="0.25">
      <c r="A23" s="235" t="s">
        <v>962</v>
      </c>
      <c r="B23" s="56" t="s">
        <v>960</v>
      </c>
    </row>
    <row r="24" spans="1:50" x14ac:dyDescent="0.25">
      <c r="A24" s="235"/>
      <c r="B24" s="93" t="s">
        <v>963</v>
      </c>
    </row>
    <row r="25" spans="1:50" x14ac:dyDescent="0.25">
      <c r="A25" s="235"/>
      <c r="B25" s="93" t="s">
        <v>964</v>
      </c>
    </row>
    <row r="26" spans="1:50" x14ac:dyDescent="0.25">
      <c r="A26" s="235" t="s">
        <v>965</v>
      </c>
      <c r="B26" s="56" t="s">
        <v>960</v>
      </c>
    </row>
    <row r="27" spans="1:50" x14ac:dyDescent="0.25">
      <c r="A27" s="235"/>
      <c r="B27" s="93" t="s">
        <v>676</v>
      </c>
    </row>
    <row r="28" spans="1:50" x14ac:dyDescent="0.25">
      <c r="A28" s="235"/>
      <c r="B28" s="93" t="s">
        <v>966</v>
      </c>
    </row>
  </sheetData>
  <mergeCells count="9">
    <mergeCell ref="F3:O3"/>
    <mergeCell ref="A26:A28"/>
    <mergeCell ref="A23:A25"/>
    <mergeCell ref="A21:A22"/>
    <mergeCell ref="B3:D3"/>
    <mergeCell ref="B4:D4"/>
    <mergeCell ref="B5:D5"/>
    <mergeCell ref="C19:D19"/>
    <mergeCell ref="F4:P5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C86B4-5FAA-459F-884D-872E2DBF406C}">
  <dimension ref="A1:AH24"/>
  <sheetViews>
    <sheetView zoomScale="90" zoomScaleNormal="90" workbookViewId="0">
      <selection activeCell="B7" sqref="B7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895</v>
      </c>
      <c r="I1" s="25" t="s">
        <v>896</v>
      </c>
    </row>
    <row r="3" spans="1:34" ht="18" x14ac:dyDescent="0.25">
      <c r="A3" s="25" t="s">
        <v>119</v>
      </c>
      <c r="B3" s="215">
        <v>59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967</v>
      </c>
      <c r="C4" s="215"/>
      <c r="D4" s="215"/>
      <c r="F4" s="216" t="s">
        <v>968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969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28" t="s">
        <v>247</v>
      </c>
      <c r="C8" s="28" t="s">
        <v>302</v>
      </c>
      <c r="D8" s="28" t="s">
        <v>302</v>
      </c>
      <c r="E8" s="113" t="s">
        <v>345</v>
      </c>
      <c r="F8" s="28" t="s">
        <v>302</v>
      </c>
      <c r="G8" s="28" t="s">
        <v>302</v>
      </c>
      <c r="H8" s="28" t="s">
        <v>302</v>
      </c>
      <c r="I8" s="28" t="s">
        <v>302</v>
      </c>
      <c r="J8" s="28" t="s">
        <v>302</v>
      </c>
      <c r="K8" s="28" t="s">
        <v>302</v>
      </c>
      <c r="L8" s="28" t="s">
        <v>302</v>
      </c>
      <c r="M8" s="28" t="s">
        <v>302</v>
      </c>
      <c r="N8" s="28" t="s">
        <v>302</v>
      </c>
      <c r="O8" s="28" t="s">
        <v>302</v>
      </c>
      <c r="P8" s="81" t="s">
        <v>341</v>
      </c>
      <c r="Q8" s="81" t="s">
        <v>341</v>
      </c>
      <c r="R8" s="28"/>
      <c r="S8" s="28"/>
      <c r="T8" s="28"/>
      <c r="U8" s="28"/>
      <c r="V8" s="28"/>
      <c r="W8" s="28"/>
      <c r="X8" s="28"/>
      <c r="Y8" s="28"/>
      <c r="Z8" s="28"/>
      <c r="AA8" s="28" t="s">
        <v>248</v>
      </c>
      <c r="AB8" s="28"/>
      <c r="AC8" s="28"/>
      <c r="AD8" s="28"/>
      <c r="AE8" s="28"/>
      <c r="AF8" s="28"/>
      <c r="AG8" s="28"/>
      <c r="AH8" s="28" t="s">
        <v>248</v>
      </c>
    </row>
    <row r="9" spans="1:34" ht="16.5" customHeight="1" x14ac:dyDescent="0.25">
      <c r="A9" s="26" t="s">
        <v>165</v>
      </c>
      <c r="B9" s="28" t="s">
        <v>254</v>
      </c>
      <c r="C9" s="28" t="s">
        <v>970</v>
      </c>
      <c r="D9" s="28" t="s">
        <v>303</v>
      </c>
      <c r="E9" s="28" t="s">
        <v>971</v>
      </c>
      <c r="F9" s="28" t="s">
        <v>972</v>
      </c>
      <c r="G9" s="28" t="s">
        <v>972</v>
      </c>
      <c r="H9" s="28" t="s">
        <v>972</v>
      </c>
      <c r="I9" s="28" t="s">
        <v>972</v>
      </c>
      <c r="J9" s="28" t="s">
        <v>973</v>
      </c>
      <c r="K9" s="28" t="s">
        <v>973</v>
      </c>
      <c r="L9" s="28" t="s">
        <v>974</v>
      </c>
      <c r="M9" s="28" t="s">
        <v>975</v>
      </c>
      <c r="N9" s="28" t="s">
        <v>975</v>
      </c>
      <c r="O9" s="28" t="s">
        <v>970</v>
      </c>
      <c r="P9" s="81" t="s">
        <v>341</v>
      </c>
      <c r="Q9" s="81" t="s">
        <v>341</v>
      </c>
      <c r="R9" s="29"/>
      <c r="S9" s="29"/>
      <c r="T9" s="29"/>
      <c r="U9" s="29"/>
      <c r="V9" s="29"/>
      <c r="W9" s="29"/>
      <c r="X9" s="29"/>
      <c r="Y9" s="29"/>
      <c r="Z9" s="29"/>
      <c r="AA9" s="28" t="s">
        <v>254</v>
      </c>
      <c r="AB9" s="29"/>
      <c r="AC9" s="29"/>
      <c r="AD9" s="29"/>
      <c r="AE9" s="29"/>
      <c r="AF9" s="29"/>
      <c r="AG9" s="29"/>
      <c r="AH9" s="28" t="s">
        <v>254</v>
      </c>
    </row>
    <row r="10" spans="1:34" x14ac:dyDescent="0.25">
      <c r="A10" s="131" t="s">
        <v>168</v>
      </c>
      <c r="B10" s="157">
        <v>19</v>
      </c>
      <c r="C10" s="157">
        <v>64</v>
      </c>
      <c r="D10" s="157">
        <v>20</v>
      </c>
      <c r="E10" s="157">
        <v>177</v>
      </c>
      <c r="F10" s="157">
        <v>95</v>
      </c>
      <c r="G10" s="157">
        <v>95</v>
      </c>
      <c r="H10" s="157">
        <v>95</v>
      </c>
      <c r="I10" s="157">
        <v>95</v>
      </c>
      <c r="J10" s="157">
        <v>173</v>
      </c>
      <c r="K10" s="157">
        <v>173</v>
      </c>
      <c r="L10" s="157">
        <v>171</v>
      </c>
      <c r="M10" s="157">
        <v>172</v>
      </c>
      <c r="N10" s="157">
        <v>172</v>
      </c>
      <c r="O10" s="157">
        <v>64</v>
      </c>
      <c r="P10" s="198"/>
      <c r="Q10" s="198"/>
      <c r="R10" s="157"/>
      <c r="S10" s="157"/>
      <c r="T10" s="157"/>
      <c r="U10" s="157"/>
      <c r="V10" s="157"/>
      <c r="W10" s="157"/>
      <c r="X10" s="157"/>
      <c r="Y10" s="157"/>
      <c r="Z10" s="157"/>
      <c r="AA10" s="157">
        <v>19</v>
      </c>
      <c r="AB10" s="157"/>
      <c r="AC10" s="157"/>
      <c r="AD10" s="157"/>
      <c r="AE10" s="157"/>
      <c r="AF10" s="157"/>
      <c r="AG10" s="157"/>
      <c r="AH10" s="157">
        <v>19</v>
      </c>
    </row>
    <row r="11" spans="1:34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28" t="s">
        <v>170</v>
      </c>
      <c r="O11" s="28" t="s">
        <v>170</v>
      </c>
      <c r="P11" s="80" t="s">
        <v>173</v>
      </c>
      <c r="Q11" s="80" t="s">
        <v>173</v>
      </c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170</v>
      </c>
      <c r="AB11" s="28"/>
      <c r="AC11" s="29"/>
      <c r="AD11" s="28"/>
      <c r="AE11" s="29"/>
      <c r="AF11" s="28"/>
      <c r="AG11" s="28"/>
      <c r="AH11" s="28" t="s">
        <v>170</v>
      </c>
    </row>
    <row r="12" spans="1:34" x14ac:dyDescent="0.25">
      <c r="A12" s="26" t="s">
        <v>171</v>
      </c>
      <c r="B12" s="28" t="s">
        <v>173</v>
      </c>
      <c r="C12" s="28" t="s">
        <v>170</v>
      </c>
      <c r="D12" s="28" t="s">
        <v>170</v>
      </c>
      <c r="E12" s="28" t="s">
        <v>355</v>
      </c>
      <c r="F12" s="28" t="s">
        <v>170</v>
      </c>
      <c r="G12" s="28" t="s">
        <v>170</v>
      </c>
      <c r="H12" s="28" t="s">
        <v>170</v>
      </c>
      <c r="I12" s="28" t="s">
        <v>170</v>
      </c>
      <c r="J12" s="28" t="s">
        <v>170</v>
      </c>
      <c r="K12" s="28" t="s">
        <v>170</v>
      </c>
      <c r="L12" s="28" t="s">
        <v>170</v>
      </c>
      <c r="M12" s="28" t="s">
        <v>170</v>
      </c>
      <c r="N12" s="28" t="s">
        <v>170</v>
      </c>
      <c r="O12" s="28" t="s">
        <v>170</v>
      </c>
      <c r="P12" s="80" t="s">
        <v>173</v>
      </c>
      <c r="Q12" s="80" t="s">
        <v>173</v>
      </c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173</v>
      </c>
      <c r="AB12" s="28"/>
      <c r="AC12" s="28"/>
      <c r="AD12" s="28"/>
      <c r="AE12" s="28"/>
      <c r="AF12" s="28"/>
      <c r="AG12" s="28"/>
      <c r="AH12" s="28" t="s">
        <v>173</v>
      </c>
    </row>
    <row r="13" spans="1:34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80" t="s">
        <v>173</v>
      </c>
      <c r="Q13" s="80" t="s">
        <v>173</v>
      </c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173</v>
      </c>
      <c r="AB13" s="28"/>
      <c r="AC13" s="28"/>
      <c r="AD13" s="28"/>
      <c r="AE13" s="28"/>
      <c r="AF13" s="28"/>
      <c r="AG13" s="28"/>
      <c r="AH13" s="28" t="s">
        <v>173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80" t="s">
        <v>173</v>
      </c>
      <c r="Q14" s="80" t="s">
        <v>173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173</v>
      </c>
      <c r="AB14" s="28"/>
      <c r="AC14" s="28"/>
      <c r="AD14" s="28"/>
      <c r="AE14" s="28"/>
      <c r="AF14" s="28"/>
      <c r="AG14" s="28"/>
      <c r="AH14" s="28" t="s">
        <v>173</v>
      </c>
    </row>
    <row r="15" spans="1:34" x14ac:dyDescent="0.25">
      <c r="A15" s="26" t="s">
        <v>175</v>
      </c>
      <c r="B15" s="28" t="s">
        <v>267</v>
      </c>
      <c r="C15" s="28" t="s">
        <v>267</v>
      </c>
      <c r="D15" s="28" t="s">
        <v>267</v>
      </c>
      <c r="E15" s="28" t="s">
        <v>356</v>
      </c>
      <c r="F15" s="28" t="s">
        <v>267</v>
      </c>
      <c r="G15" s="28" t="s">
        <v>267</v>
      </c>
      <c r="H15" s="28" t="s">
        <v>267</v>
      </c>
      <c r="I15" s="28" t="s">
        <v>267</v>
      </c>
      <c r="J15" s="28" t="s">
        <v>267</v>
      </c>
      <c r="K15" s="28" t="s">
        <v>267</v>
      </c>
      <c r="L15" s="28" t="s">
        <v>267</v>
      </c>
      <c r="M15" s="28" t="s">
        <v>267</v>
      </c>
      <c r="N15" s="28" t="s">
        <v>267</v>
      </c>
      <c r="O15" s="28" t="s">
        <v>267</v>
      </c>
      <c r="P15" s="80" t="s">
        <v>267</v>
      </c>
      <c r="Q15" s="80" t="s">
        <v>267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267</v>
      </c>
      <c r="AB15" s="28"/>
      <c r="AC15" s="28"/>
      <c r="AD15" s="28"/>
      <c r="AE15" s="28"/>
      <c r="AF15" s="28"/>
      <c r="AG15" s="28"/>
      <c r="AH15" s="28" t="s">
        <v>267</v>
      </c>
    </row>
    <row r="16" spans="1:34" x14ac:dyDescent="0.25">
      <c r="A16" s="26" t="s">
        <v>176</v>
      </c>
      <c r="B16" s="30">
        <v>-3</v>
      </c>
      <c r="C16" s="30">
        <v>-3</v>
      </c>
      <c r="D16" s="30">
        <v>-3</v>
      </c>
      <c r="E16" s="30">
        <f>AVERAGE(-3,-3,-5)</f>
        <v>-3.6666666666666665</v>
      </c>
      <c r="F16" s="30">
        <v>-3</v>
      </c>
      <c r="G16" s="30">
        <v>-3</v>
      </c>
      <c r="H16" s="30">
        <v>-3</v>
      </c>
      <c r="I16" s="30">
        <v>-3</v>
      </c>
      <c r="J16" s="30">
        <v>-3</v>
      </c>
      <c r="K16" s="30">
        <v>-3</v>
      </c>
      <c r="L16" s="30">
        <v>-3</v>
      </c>
      <c r="M16" s="30">
        <v>-3</v>
      </c>
      <c r="N16" s="30">
        <v>-3</v>
      </c>
      <c r="O16" s="30">
        <v>-3</v>
      </c>
      <c r="P16" s="82">
        <v>-3</v>
      </c>
      <c r="Q16" s="82">
        <v>-3</v>
      </c>
      <c r="R16" s="30"/>
      <c r="S16" s="30"/>
      <c r="T16" s="30"/>
      <c r="U16" s="30"/>
      <c r="V16" s="30"/>
      <c r="W16" s="30"/>
      <c r="X16" s="30"/>
      <c r="Y16" s="30"/>
      <c r="Z16" s="30"/>
      <c r="AA16" s="30">
        <v>-3</v>
      </c>
      <c r="AB16" s="30"/>
      <c r="AC16" s="30"/>
      <c r="AD16" s="30"/>
      <c r="AE16" s="30"/>
      <c r="AF16" s="30"/>
      <c r="AG16" s="30"/>
      <c r="AH16" s="30">
        <v>-3</v>
      </c>
    </row>
    <row r="17" spans="1:34" x14ac:dyDescent="0.25">
      <c r="A17" s="26" t="s">
        <v>177</v>
      </c>
      <c r="B17" s="28" t="s">
        <v>178</v>
      </c>
      <c r="C17" s="28" t="s">
        <v>181</v>
      </c>
      <c r="D17" s="28" t="s">
        <v>178</v>
      </c>
      <c r="E17" s="28" t="s">
        <v>976</v>
      </c>
      <c r="F17" s="28" t="s">
        <v>334</v>
      </c>
      <c r="G17" s="28" t="s">
        <v>334</v>
      </c>
      <c r="H17" s="28" t="s">
        <v>334</v>
      </c>
      <c r="I17" s="28" t="s">
        <v>334</v>
      </c>
      <c r="J17" s="28" t="s">
        <v>905</v>
      </c>
      <c r="K17" s="28" t="s">
        <v>905</v>
      </c>
      <c r="L17" s="28" t="s">
        <v>357</v>
      </c>
      <c r="M17" s="28" t="s">
        <v>180</v>
      </c>
      <c r="N17" s="28" t="s">
        <v>180</v>
      </c>
      <c r="O17" s="28" t="s">
        <v>181</v>
      </c>
      <c r="P17" s="81" t="s">
        <v>341</v>
      </c>
      <c r="Q17" s="81" t="s">
        <v>341</v>
      </c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178</v>
      </c>
      <c r="AB17" s="28"/>
      <c r="AC17" s="28"/>
      <c r="AD17" s="28"/>
      <c r="AE17" s="28"/>
      <c r="AF17" s="28"/>
      <c r="AG17" s="28"/>
      <c r="AH17" s="28" t="s">
        <v>178</v>
      </c>
    </row>
    <row r="18" spans="1:34" x14ac:dyDescent="0.25">
      <c r="A18" s="26" t="s">
        <v>182</v>
      </c>
      <c r="B18" s="30">
        <v>4</v>
      </c>
      <c r="C18" s="30">
        <v>2</v>
      </c>
      <c r="D18" s="30">
        <v>4</v>
      </c>
      <c r="E18" s="30">
        <f>AVERAGE(0.5,0.5,2)</f>
        <v>1</v>
      </c>
      <c r="F18" s="30">
        <v>0.5</v>
      </c>
      <c r="G18" s="30">
        <v>0.5</v>
      </c>
      <c r="H18" s="30">
        <v>0.5</v>
      </c>
      <c r="I18" s="30">
        <v>0.5</v>
      </c>
      <c r="J18" s="30">
        <f>AVERAGE(2,0.5)</f>
        <v>1.25</v>
      </c>
      <c r="K18" s="30">
        <f>AVERAGE(2,0.5)</f>
        <v>1.25</v>
      </c>
      <c r="L18" s="30">
        <f>AVERAGE(4,0.5)</f>
        <v>2.25</v>
      </c>
      <c r="M18" s="30">
        <f>AVERAGE(4,2)</f>
        <v>3</v>
      </c>
      <c r="N18" s="30">
        <f>AVERAGE(4,2)</f>
        <v>3</v>
      </c>
      <c r="O18" s="30">
        <v>2</v>
      </c>
      <c r="P18" s="82">
        <v>0</v>
      </c>
      <c r="Q18" s="82">
        <v>0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v>4</v>
      </c>
      <c r="AB18" s="30"/>
      <c r="AC18" s="30"/>
      <c r="AD18" s="30"/>
      <c r="AE18" s="30"/>
      <c r="AF18" s="30"/>
      <c r="AG18" s="30"/>
      <c r="AH18" s="30">
        <v>4</v>
      </c>
    </row>
    <row r="20" spans="1:34" x14ac:dyDescent="0.25">
      <c r="A20" s="31" t="s">
        <v>183</v>
      </c>
    </row>
    <row r="21" spans="1:34" x14ac:dyDescent="0.25">
      <c r="A21" s="235" t="s">
        <v>977</v>
      </c>
      <c r="B21" s="56" t="s">
        <v>298</v>
      </c>
    </row>
    <row r="22" spans="1:34" x14ac:dyDescent="0.25">
      <c r="A22" s="235"/>
      <c r="B22" s="93" t="s">
        <v>978</v>
      </c>
    </row>
    <row r="23" spans="1:34" x14ac:dyDescent="0.25">
      <c r="A23" s="235"/>
      <c r="B23" s="93" t="s">
        <v>930</v>
      </c>
    </row>
    <row r="24" spans="1:34" x14ac:dyDescent="0.25">
      <c r="A24" s="123" t="s">
        <v>979</v>
      </c>
    </row>
  </sheetData>
  <mergeCells count="6">
    <mergeCell ref="A21:A23"/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812B4-A9B4-4EA4-A2CD-857B32785465}">
  <dimension ref="A1:AH23"/>
  <sheetViews>
    <sheetView topLeftCell="U1" workbookViewId="0">
      <selection activeCell="AA9" sqref="AA9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895</v>
      </c>
      <c r="I1" s="25" t="s">
        <v>896</v>
      </c>
    </row>
    <row r="3" spans="1:34" ht="18" x14ac:dyDescent="0.25">
      <c r="A3" s="25" t="s">
        <v>119</v>
      </c>
      <c r="B3" s="215">
        <v>59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967</v>
      </c>
      <c r="C4" s="215"/>
      <c r="D4" s="215"/>
      <c r="F4" s="216" t="s">
        <v>980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917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29" t="s">
        <v>247</v>
      </c>
      <c r="C8" s="29" t="s">
        <v>222</v>
      </c>
      <c r="D8" s="29" t="s">
        <v>222</v>
      </c>
      <c r="E8" s="28" t="s">
        <v>248</v>
      </c>
      <c r="F8" s="28" t="s">
        <v>248</v>
      </c>
      <c r="G8" s="106" t="s">
        <v>248</v>
      </c>
      <c r="H8" s="29" t="s">
        <v>248</v>
      </c>
      <c r="I8" s="29" t="s">
        <v>248</v>
      </c>
      <c r="J8" s="28" t="s">
        <v>248</v>
      </c>
      <c r="K8" s="81" t="s">
        <v>341</v>
      </c>
      <c r="L8" s="81" t="s">
        <v>341</v>
      </c>
      <c r="M8" s="81" t="s">
        <v>341</v>
      </c>
      <c r="N8" s="28"/>
      <c r="O8" s="28"/>
      <c r="P8" s="29" t="s">
        <v>256</v>
      </c>
      <c r="Q8" s="29" t="s">
        <v>256</v>
      </c>
      <c r="R8" s="28"/>
      <c r="S8" s="28"/>
      <c r="T8" s="28" t="s">
        <v>316</v>
      </c>
      <c r="U8" s="28"/>
      <c r="V8" s="28"/>
      <c r="W8" s="28"/>
      <c r="X8" s="28"/>
      <c r="Y8" s="28"/>
      <c r="Z8" s="28"/>
      <c r="AA8" s="29" t="s">
        <v>248</v>
      </c>
      <c r="AB8" s="28"/>
      <c r="AC8" s="28"/>
      <c r="AD8" s="28"/>
      <c r="AE8" s="28"/>
      <c r="AF8" s="28"/>
      <c r="AG8" s="28"/>
      <c r="AH8" s="29" t="s">
        <v>248</v>
      </c>
    </row>
    <row r="9" spans="1:34" x14ac:dyDescent="0.25">
      <c r="A9" s="26" t="s">
        <v>165</v>
      </c>
      <c r="B9" s="28" t="s">
        <v>254</v>
      </c>
      <c r="C9" s="113" t="s">
        <v>981</v>
      </c>
      <c r="D9" s="29" t="s">
        <v>222</v>
      </c>
      <c r="E9" s="28" t="s">
        <v>257</v>
      </c>
      <c r="F9" s="28" t="s">
        <v>258</v>
      </c>
      <c r="G9" s="29" t="s">
        <v>258</v>
      </c>
      <c r="H9" s="29" t="s">
        <v>259</v>
      </c>
      <c r="I9" s="29" t="s">
        <v>256</v>
      </c>
      <c r="J9" s="29" t="s">
        <v>258</v>
      </c>
      <c r="K9" s="81" t="s">
        <v>341</v>
      </c>
      <c r="L9" s="81" t="s">
        <v>341</v>
      </c>
      <c r="M9" s="81" t="s">
        <v>341</v>
      </c>
      <c r="N9" s="29"/>
      <c r="O9" s="29"/>
      <c r="P9" s="29" t="s">
        <v>226</v>
      </c>
      <c r="Q9" s="29" t="s">
        <v>226</v>
      </c>
      <c r="R9" s="29"/>
      <c r="S9" s="29"/>
      <c r="T9" s="29"/>
      <c r="U9" s="29"/>
      <c r="V9" s="29"/>
      <c r="W9" s="29"/>
      <c r="X9" s="29"/>
      <c r="Y9" s="29"/>
      <c r="Z9" s="29"/>
      <c r="AA9" s="28" t="s">
        <v>197</v>
      </c>
      <c r="AB9" s="29"/>
      <c r="AC9" s="29"/>
      <c r="AD9" s="29"/>
      <c r="AE9" s="29"/>
      <c r="AF9" s="29"/>
      <c r="AG9" s="29"/>
      <c r="AH9" s="28" t="s">
        <v>197</v>
      </c>
    </row>
    <row r="10" spans="1:34" x14ac:dyDescent="0.25">
      <c r="A10" s="131" t="s">
        <v>168</v>
      </c>
      <c r="B10" s="157">
        <v>19</v>
      </c>
      <c r="C10" s="157">
        <v>121</v>
      </c>
      <c r="D10" s="157">
        <v>51</v>
      </c>
      <c r="E10" s="157">
        <v>102</v>
      </c>
      <c r="F10" s="157">
        <v>44</v>
      </c>
      <c r="G10" s="157">
        <v>44</v>
      </c>
      <c r="H10" s="157">
        <v>46</v>
      </c>
      <c r="I10" s="157">
        <v>50</v>
      </c>
      <c r="J10" s="157">
        <v>44</v>
      </c>
      <c r="K10" s="198"/>
      <c r="L10" s="198"/>
      <c r="M10" s="198"/>
      <c r="N10" s="157"/>
      <c r="O10" s="157"/>
      <c r="P10" s="157">
        <v>49</v>
      </c>
      <c r="Q10" s="157">
        <v>49</v>
      </c>
      <c r="R10" s="157"/>
      <c r="S10" s="157"/>
      <c r="T10" s="157"/>
      <c r="U10" s="157"/>
      <c r="V10" s="157"/>
      <c r="W10" s="157"/>
      <c r="X10" s="157"/>
      <c r="Y10" s="157"/>
      <c r="Z10" s="157"/>
      <c r="AA10" s="157">
        <v>34</v>
      </c>
      <c r="AB10" s="157"/>
      <c r="AC10" s="157"/>
      <c r="AD10" s="157"/>
      <c r="AE10" s="157"/>
      <c r="AF10" s="157"/>
      <c r="AG10" s="157"/>
      <c r="AH10" s="157">
        <v>34</v>
      </c>
    </row>
    <row r="11" spans="1:34" x14ac:dyDescent="0.25">
      <c r="A11" s="26" t="s">
        <v>169</v>
      </c>
      <c r="B11" s="29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 t="s">
        <v>170</v>
      </c>
      <c r="K11" s="80" t="s">
        <v>173</v>
      </c>
      <c r="L11" s="80" t="s">
        <v>173</v>
      </c>
      <c r="M11" s="80" t="s">
        <v>173</v>
      </c>
      <c r="N11" s="28"/>
      <c r="O11" s="28"/>
      <c r="P11" s="28" t="s">
        <v>170</v>
      </c>
      <c r="Q11" s="28" t="s">
        <v>170</v>
      </c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170</v>
      </c>
      <c r="AB11" s="28"/>
      <c r="AC11" s="29"/>
      <c r="AD11" s="28"/>
      <c r="AE11" s="29"/>
      <c r="AF11" s="28"/>
      <c r="AG11" s="28"/>
      <c r="AH11" s="28" t="s">
        <v>170</v>
      </c>
    </row>
    <row r="12" spans="1:34" x14ac:dyDescent="0.25">
      <c r="A12" s="26" t="s">
        <v>171</v>
      </c>
      <c r="B12" s="28" t="s">
        <v>173</v>
      </c>
      <c r="C12" s="28" t="s">
        <v>170</v>
      </c>
      <c r="D12" s="28" t="s">
        <v>170</v>
      </c>
      <c r="E12" s="28" t="s">
        <v>173</v>
      </c>
      <c r="F12" s="28" t="s">
        <v>173</v>
      </c>
      <c r="G12" s="28" t="s">
        <v>173</v>
      </c>
      <c r="H12" s="28" t="s">
        <v>173</v>
      </c>
      <c r="I12" s="28" t="s">
        <v>173</v>
      </c>
      <c r="J12" s="28" t="s">
        <v>173</v>
      </c>
      <c r="K12" s="80" t="s">
        <v>173</v>
      </c>
      <c r="L12" s="80" t="s">
        <v>173</v>
      </c>
      <c r="M12" s="80" t="s">
        <v>173</v>
      </c>
      <c r="N12" s="28"/>
      <c r="O12" s="28"/>
      <c r="P12" s="28" t="s">
        <v>170</v>
      </c>
      <c r="Q12" s="28" t="s">
        <v>170</v>
      </c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173</v>
      </c>
      <c r="AB12" s="28"/>
      <c r="AC12" s="28"/>
      <c r="AD12" s="28"/>
      <c r="AE12" s="28"/>
      <c r="AF12" s="28"/>
      <c r="AG12" s="28"/>
      <c r="AH12" s="28" t="s">
        <v>173</v>
      </c>
    </row>
    <row r="13" spans="1:34" x14ac:dyDescent="0.25">
      <c r="A13" s="26" t="s">
        <v>172</v>
      </c>
      <c r="B13" s="28" t="s">
        <v>173</v>
      </c>
      <c r="C13" s="28" t="s">
        <v>170</v>
      </c>
      <c r="D13" s="28" t="s">
        <v>170</v>
      </c>
      <c r="E13" s="130" t="s">
        <v>266</v>
      </c>
      <c r="F13" s="28" t="s">
        <v>173</v>
      </c>
      <c r="G13" s="28" t="s">
        <v>173</v>
      </c>
      <c r="H13" s="28" t="s">
        <v>170</v>
      </c>
      <c r="I13" s="28" t="s">
        <v>170</v>
      </c>
      <c r="J13" s="28" t="s">
        <v>173</v>
      </c>
      <c r="K13" s="80" t="s">
        <v>173</v>
      </c>
      <c r="L13" s="80" t="s">
        <v>173</v>
      </c>
      <c r="M13" s="80" t="s">
        <v>173</v>
      </c>
      <c r="N13" s="28"/>
      <c r="O13" s="28"/>
      <c r="P13" s="28" t="s">
        <v>170</v>
      </c>
      <c r="Q13" s="28" t="s">
        <v>170</v>
      </c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170</v>
      </c>
      <c r="AB13" s="28"/>
      <c r="AC13" s="28"/>
      <c r="AD13" s="28"/>
      <c r="AE13" s="28"/>
      <c r="AF13" s="28"/>
      <c r="AG13" s="28"/>
      <c r="AH13" s="28" t="s">
        <v>170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80" t="s">
        <v>173</v>
      </c>
      <c r="L14" s="80" t="s">
        <v>173</v>
      </c>
      <c r="M14" s="80" t="s">
        <v>173</v>
      </c>
      <c r="N14" s="28"/>
      <c r="O14" s="28"/>
      <c r="P14" s="28" t="s">
        <v>173</v>
      </c>
      <c r="Q14" s="28" t="s">
        <v>173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173</v>
      </c>
      <c r="AB14" s="28"/>
      <c r="AC14" s="28"/>
      <c r="AD14" s="28"/>
      <c r="AE14" s="28"/>
      <c r="AF14" s="28"/>
      <c r="AG14" s="28"/>
      <c r="AH14" s="28" t="s">
        <v>173</v>
      </c>
    </row>
    <row r="15" spans="1:34" x14ac:dyDescent="0.25">
      <c r="A15" s="26" t="s">
        <v>175</v>
      </c>
      <c r="B15" s="28" t="s">
        <v>267</v>
      </c>
      <c r="C15" s="28" t="s">
        <v>198</v>
      </c>
      <c r="D15" s="28" t="s">
        <v>198</v>
      </c>
      <c r="E15" s="28" t="s">
        <v>198</v>
      </c>
      <c r="F15" s="28" t="s">
        <v>198</v>
      </c>
      <c r="G15" s="28" t="s">
        <v>198</v>
      </c>
      <c r="H15" s="28" t="s">
        <v>198</v>
      </c>
      <c r="I15" s="28" t="s">
        <v>198</v>
      </c>
      <c r="J15" s="28" t="s">
        <v>198</v>
      </c>
      <c r="K15" s="80" t="s">
        <v>198</v>
      </c>
      <c r="L15" s="80" t="s">
        <v>198</v>
      </c>
      <c r="M15" s="80" t="s">
        <v>198</v>
      </c>
      <c r="N15" s="28"/>
      <c r="O15" s="28"/>
      <c r="P15" s="28" t="s">
        <v>198</v>
      </c>
      <c r="Q15" s="28" t="s">
        <v>198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199</v>
      </c>
      <c r="AB15" s="28"/>
      <c r="AC15" s="28"/>
      <c r="AD15" s="28"/>
      <c r="AE15" s="28"/>
      <c r="AF15" s="28"/>
      <c r="AG15" s="28"/>
      <c r="AH15" s="28" t="s">
        <v>199</v>
      </c>
    </row>
    <row r="16" spans="1:34" x14ac:dyDescent="0.25">
      <c r="A16" s="26" t="s">
        <v>176</v>
      </c>
      <c r="B16" s="30">
        <v>-3</v>
      </c>
      <c r="C16" s="30">
        <f>13/12</f>
        <v>1.0833333333333333</v>
      </c>
      <c r="D16" s="30">
        <v>1</v>
      </c>
      <c r="E16" s="30">
        <f>AVERAGE(2,2,1)</f>
        <v>1.6666666666666667</v>
      </c>
      <c r="F16" s="30">
        <v>2</v>
      </c>
      <c r="G16" s="30">
        <v>2</v>
      </c>
      <c r="H16" s="30">
        <f>5/3</f>
        <v>1.6666666666666667</v>
      </c>
      <c r="I16" s="30">
        <v>1</v>
      </c>
      <c r="J16" s="30">
        <v>2</v>
      </c>
      <c r="K16" s="82">
        <v>1.1666666666666665</v>
      </c>
      <c r="L16" s="82">
        <v>1.1666666666666665</v>
      </c>
      <c r="M16" s="82">
        <v>1.1666666666666665</v>
      </c>
      <c r="N16" s="30"/>
      <c r="O16" s="30"/>
      <c r="P16" s="30">
        <f>4/3</f>
        <v>1.3333333333333333</v>
      </c>
      <c r="Q16" s="30">
        <f>4/3</f>
        <v>1.3333333333333333</v>
      </c>
      <c r="R16" s="30"/>
      <c r="S16" s="30"/>
      <c r="T16" s="30"/>
      <c r="U16" s="30"/>
      <c r="V16" s="30"/>
      <c r="W16" s="30"/>
      <c r="X16" s="30"/>
      <c r="Y16" s="30"/>
      <c r="Z16" s="30"/>
      <c r="AA16" s="30">
        <v>-0.5</v>
      </c>
      <c r="AB16" s="30"/>
      <c r="AC16" s="30"/>
      <c r="AD16" s="30"/>
      <c r="AE16" s="30"/>
      <c r="AF16" s="30"/>
      <c r="AG16" s="30"/>
      <c r="AH16" s="30">
        <v>-0.5</v>
      </c>
    </row>
    <row r="17" spans="1:34" x14ac:dyDescent="0.25">
      <c r="A17" s="26" t="s">
        <v>177</v>
      </c>
      <c r="B17" s="28" t="s">
        <v>178</v>
      </c>
      <c r="C17" s="28" t="s">
        <v>181</v>
      </c>
      <c r="D17" s="28" t="s">
        <v>181</v>
      </c>
      <c r="E17" s="28" t="s">
        <v>181</v>
      </c>
      <c r="F17" s="28" t="s">
        <v>181</v>
      </c>
      <c r="G17" s="28" t="s">
        <v>181</v>
      </c>
      <c r="H17" s="28" t="s">
        <v>181</v>
      </c>
      <c r="I17" s="28" t="s">
        <v>181</v>
      </c>
      <c r="J17" s="28" t="s">
        <v>181</v>
      </c>
      <c r="K17" s="81" t="s">
        <v>341</v>
      </c>
      <c r="L17" s="81" t="s">
        <v>341</v>
      </c>
      <c r="M17" s="81" t="s">
        <v>341</v>
      </c>
      <c r="N17" s="28"/>
      <c r="O17" s="28"/>
      <c r="P17" s="28" t="s">
        <v>181</v>
      </c>
      <c r="Q17" s="28" t="s">
        <v>181</v>
      </c>
      <c r="R17" s="28"/>
      <c r="S17" s="28"/>
      <c r="T17" s="28"/>
      <c r="U17" s="28"/>
      <c r="V17" s="28"/>
      <c r="W17" s="28"/>
      <c r="X17" s="28"/>
      <c r="Y17" s="28"/>
      <c r="Z17" s="28"/>
      <c r="AA17" s="28" t="s">
        <v>200</v>
      </c>
      <c r="AB17" s="28"/>
      <c r="AC17" s="28"/>
      <c r="AD17" s="28"/>
      <c r="AE17" s="28"/>
      <c r="AF17" s="28"/>
      <c r="AG17" s="28"/>
      <c r="AH17" s="28" t="s">
        <v>200</v>
      </c>
    </row>
    <row r="18" spans="1:34" x14ac:dyDescent="0.25">
      <c r="A18" s="26" t="s">
        <v>182</v>
      </c>
      <c r="B18" s="30">
        <v>4</v>
      </c>
      <c r="C18" s="30">
        <v>2</v>
      </c>
      <c r="D18" s="30">
        <v>2</v>
      </c>
      <c r="E18" s="30">
        <v>2</v>
      </c>
      <c r="F18" s="30">
        <v>2</v>
      </c>
      <c r="G18" s="30">
        <v>2</v>
      </c>
      <c r="H18" s="30">
        <v>2</v>
      </c>
      <c r="I18" s="30">
        <v>2</v>
      </c>
      <c r="J18" s="30">
        <v>2</v>
      </c>
      <c r="K18" s="82">
        <v>0</v>
      </c>
      <c r="L18" s="82">
        <v>0</v>
      </c>
      <c r="M18" s="82">
        <v>0</v>
      </c>
      <c r="N18" s="30"/>
      <c r="O18" s="30"/>
      <c r="P18" s="30">
        <v>2</v>
      </c>
      <c r="Q18" s="30">
        <v>2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v>3</v>
      </c>
      <c r="AB18" s="30"/>
      <c r="AC18" s="30"/>
      <c r="AD18" s="30"/>
      <c r="AE18" s="30"/>
      <c r="AF18" s="30"/>
      <c r="AG18" s="30"/>
      <c r="AH18" s="30">
        <v>3</v>
      </c>
    </row>
    <row r="20" spans="1:34" x14ac:dyDescent="0.25">
      <c r="A20" s="31" t="s">
        <v>183</v>
      </c>
    </row>
    <row r="21" spans="1:34" x14ac:dyDescent="0.25">
      <c r="A21" s="235" t="s">
        <v>982</v>
      </c>
      <c r="B21" s="93" t="s">
        <v>983</v>
      </c>
    </row>
    <row r="22" spans="1:34" x14ac:dyDescent="0.25">
      <c r="A22" s="235"/>
      <c r="B22" s="93" t="s">
        <v>984</v>
      </c>
    </row>
    <row r="23" spans="1:34" x14ac:dyDescent="0.25">
      <c r="A23" s="235"/>
      <c r="B23" s="93" t="s">
        <v>272</v>
      </c>
    </row>
  </sheetData>
  <mergeCells count="6">
    <mergeCell ref="A21:A23"/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F969B-8436-4F41-801B-917876C1A472}">
  <dimension ref="A1:AK26"/>
  <sheetViews>
    <sheetView topLeftCell="R1" workbookViewId="0">
      <selection activeCell="P10" sqref="P10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7" x14ac:dyDescent="0.25">
      <c r="A1" s="25" t="s">
        <v>116</v>
      </c>
      <c r="D1" s="25" t="s">
        <v>895</v>
      </c>
      <c r="I1" s="25" t="s">
        <v>896</v>
      </c>
    </row>
    <row r="3" spans="1:37" ht="18" x14ac:dyDescent="0.25">
      <c r="A3" s="25" t="s">
        <v>119</v>
      </c>
      <c r="B3" s="215">
        <v>61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7" ht="18" x14ac:dyDescent="0.25">
      <c r="A4" s="25" t="s">
        <v>121</v>
      </c>
      <c r="B4" s="215" t="s">
        <v>967</v>
      </c>
      <c r="C4" s="215"/>
      <c r="D4" s="215"/>
      <c r="F4" s="216" t="s">
        <v>985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7" ht="18" x14ac:dyDescent="0.25">
      <c r="A5" s="25" t="s">
        <v>124</v>
      </c>
      <c r="B5" s="215" t="s">
        <v>986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7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  <c r="AJ7" s="42" t="s">
        <v>140</v>
      </c>
      <c r="AK7" s="42" t="s">
        <v>141</v>
      </c>
    </row>
    <row r="8" spans="1:37" x14ac:dyDescent="0.25">
      <c r="A8" s="26" t="s">
        <v>159</v>
      </c>
      <c r="B8" s="29" t="s">
        <v>247</v>
      </c>
      <c r="C8" s="29" t="s">
        <v>302</v>
      </c>
      <c r="D8" s="29" t="s">
        <v>302</v>
      </c>
      <c r="E8" s="113" t="s">
        <v>345</v>
      </c>
      <c r="F8" s="29" t="s">
        <v>302</v>
      </c>
      <c r="G8" s="29" t="s">
        <v>302</v>
      </c>
      <c r="H8" s="29" t="s">
        <v>302</v>
      </c>
      <c r="I8" s="29" t="s">
        <v>302</v>
      </c>
      <c r="J8" s="29" t="s">
        <v>302</v>
      </c>
      <c r="K8" s="29" t="s">
        <v>302</v>
      </c>
      <c r="L8" s="29" t="s">
        <v>302</v>
      </c>
      <c r="M8" s="29" t="s">
        <v>302</v>
      </c>
      <c r="N8" s="28" t="s">
        <v>302</v>
      </c>
      <c r="O8" s="28" t="s">
        <v>302</v>
      </c>
      <c r="P8" s="29" t="s">
        <v>987</v>
      </c>
      <c r="Q8" s="29" t="s">
        <v>987</v>
      </c>
      <c r="R8" s="28"/>
      <c r="S8" s="28"/>
      <c r="T8" s="28"/>
      <c r="U8" s="28"/>
      <c r="V8" s="28"/>
      <c r="W8" s="28"/>
      <c r="X8" s="28"/>
      <c r="Y8" s="28"/>
      <c r="Z8" s="28"/>
      <c r="AA8" s="29" t="s">
        <v>248</v>
      </c>
      <c r="AB8" s="28"/>
      <c r="AC8" s="28"/>
      <c r="AD8" s="28"/>
      <c r="AE8" s="28"/>
      <c r="AF8" s="28"/>
      <c r="AG8" s="28"/>
      <c r="AH8" s="29" t="s">
        <v>248</v>
      </c>
      <c r="AJ8" s="81" t="s">
        <v>341</v>
      </c>
      <c r="AK8" s="81" t="s">
        <v>341</v>
      </c>
    </row>
    <row r="9" spans="1:37" ht="15.75" customHeight="1" x14ac:dyDescent="0.25">
      <c r="A9" s="26" t="s">
        <v>165</v>
      </c>
      <c r="B9" s="28" t="s">
        <v>254</v>
      </c>
      <c r="C9" s="28" t="s">
        <v>970</v>
      </c>
      <c r="D9" s="28" t="s">
        <v>303</v>
      </c>
      <c r="E9" s="28" t="s">
        <v>971</v>
      </c>
      <c r="F9" s="28" t="s">
        <v>972</v>
      </c>
      <c r="G9" s="28" t="s">
        <v>972</v>
      </c>
      <c r="H9" s="28" t="s">
        <v>972</v>
      </c>
      <c r="I9" s="28" t="s">
        <v>972</v>
      </c>
      <c r="J9" s="29" t="s">
        <v>973</v>
      </c>
      <c r="K9" s="29" t="s">
        <v>973</v>
      </c>
      <c r="L9" s="29" t="s">
        <v>974</v>
      </c>
      <c r="M9" s="29" t="s">
        <v>975</v>
      </c>
      <c r="N9" s="28" t="s">
        <v>975</v>
      </c>
      <c r="O9" s="28" t="s">
        <v>970</v>
      </c>
      <c r="P9" s="29" t="s">
        <v>614</v>
      </c>
      <c r="Q9" s="29" t="s">
        <v>614</v>
      </c>
      <c r="R9" s="29"/>
      <c r="S9" s="29"/>
      <c r="T9" s="29"/>
      <c r="U9" s="29"/>
      <c r="V9" s="29"/>
      <c r="W9" s="29"/>
      <c r="X9" s="29"/>
      <c r="Y9" s="29"/>
      <c r="Z9" s="29"/>
      <c r="AA9" s="28" t="s">
        <v>254</v>
      </c>
      <c r="AB9" s="29"/>
      <c r="AC9" s="29"/>
      <c r="AD9" s="29"/>
      <c r="AE9" s="29"/>
      <c r="AF9" s="29"/>
      <c r="AG9" s="29"/>
      <c r="AH9" s="28" t="s">
        <v>254</v>
      </c>
      <c r="AJ9" s="81" t="s">
        <v>341</v>
      </c>
      <c r="AK9" s="81" t="s">
        <v>341</v>
      </c>
    </row>
    <row r="10" spans="1:37" x14ac:dyDescent="0.25">
      <c r="A10" s="131" t="s">
        <v>168</v>
      </c>
      <c r="B10" s="157">
        <v>19</v>
      </c>
      <c r="C10" s="157">
        <v>64</v>
      </c>
      <c r="D10" s="157">
        <v>20</v>
      </c>
      <c r="E10" s="157">
        <v>177</v>
      </c>
      <c r="F10" s="157">
        <v>95</v>
      </c>
      <c r="G10" s="157">
        <v>95</v>
      </c>
      <c r="H10" s="157">
        <v>95</v>
      </c>
      <c r="I10" s="157">
        <v>95</v>
      </c>
      <c r="J10" s="157">
        <v>173</v>
      </c>
      <c r="K10" s="157">
        <v>173</v>
      </c>
      <c r="L10" s="157">
        <v>171</v>
      </c>
      <c r="M10" s="157">
        <v>172</v>
      </c>
      <c r="N10" s="157">
        <v>172</v>
      </c>
      <c r="O10" s="157">
        <v>64</v>
      </c>
      <c r="P10" s="157">
        <v>151</v>
      </c>
      <c r="Q10" s="157">
        <v>151</v>
      </c>
      <c r="R10" s="157"/>
      <c r="S10" s="157"/>
      <c r="T10" s="157"/>
      <c r="U10" s="157"/>
      <c r="V10" s="157"/>
      <c r="W10" s="157"/>
      <c r="X10" s="157"/>
      <c r="Y10" s="157"/>
      <c r="Z10" s="157"/>
      <c r="AA10" s="157">
        <v>19</v>
      </c>
      <c r="AB10" s="157"/>
      <c r="AC10" s="157"/>
      <c r="AD10" s="157"/>
      <c r="AE10" s="157"/>
      <c r="AF10" s="157"/>
      <c r="AG10" s="157"/>
      <c r="AH10" s="157">
        <v>19</v>
      </c>
      <c r="AJ10" s="198"/>
      <c r="AK10" s="198"/>
    </row>
    <row r="11" spans="1:37" x14ac:dyDescent="0.25">
      <c r="A11" s="26" t="s">
        <v>169</v>
      </c>
      <c r="B11" s="29" t="s">
        <v>170</v>
      </c>
      <c r="C11" s="29" t="s">
        <v>170</v>
      </c>
      <c r="D11" s="29" t="s">
        <v>170</v>
      </c>
      <c r="E11" s="28" t="s">
        <v>170</v>
      </c>
      <c r="F11" s="29" t="s">
        <v>170</v>
      </c>
      <c r="G11" s="29" t="s">
        <v>170</v>
      </c>
      <c r="H11" s="29" t="s">
        <v>170</v>
      </c>
      <c r="I11" s="29" t="s">
        <v>170</v>
      </c>
      <c r="J11" s="29" t="s">
        <v>170</v>
      </c>
      <c r="K11" s="29" t="s">
        <v>170</v>
      </c>
      <c r="L11" s="29" t="s">
        <v>170</v>
      </c>
      <c r="M11" s="29" t="s">
        <v>170</v>
      </c>
      <c r="N11" s="28" t="s">
        <v>170</v>
      </c>
      <c r="O11" s="28" t="s">
        <v>170</v>
      </c>
      <c r="P11" s="28" t="s">
        <v>266</v>
      </c>
      <c r="Q11" s="28" t="s">
        <v>266</v>
      </c>
      <c r="R11" s="28"/>
      <c r="S11" s="28"/>
      <c r="T11" s="28"/>
      <c r="U11" s="28"/>
      <c r="V11" s="28"/>
      <c r="W11" s="28"/>
      <c r="X11" s="28"/>
      <c r="Y11" s="28"/>
      <c r="Z11" s="28"/>
      <c r="AA11" s="29" t="s">
        <v>170</v>
      </c>
      <c r="AB11" s="28"/>
      <c r="AC11" s="29"/>
      <c r="AD11" s="28"/>
      <c r="AE11" s="29"/>
      <c r="AF11" s="28"/>
      <c r="AG11" s="28"/>
      <c r="AH11" s="29" t="s">
        <v>170</v>
      </c>
      <c r="AJ11" s="80" t="s">
        <v>173</v>
      </c>
      <c r="AK11" s="80" t="s">
        <v>173</v>
      </c>
    </row>
    <row r="12" spans="1:37" x14ac:dyDescent="0.25">
      <c r="A12" s="26" t="s">
        <v>171</v>
      </c>
      <c r="B12" s="28" t="s">
        <v>173</v>
      </c>
      <c r="C12" s="28" t="s">
        <v>170</v>
      </c>
      <c r="D12" s="29" t="s">
        <v>170</v>
      </c>
      <c r="E12" s="28" t="s">
        <v>355</v>
      </c>
      <c r="F12" s="28" t="s">
        <v>170</v>
      </c>
      <c r="G12" s="28" t="s">
        <v>170</v>
      </c>
      <c r="H12" s="28" t="s">
        <v>170</v>
      </c>
      <c r="I12" s="28" t="s">
        <v>170</v>
      </c>
      <c r="J12" s="28" t="s">
        <v>170</v>
      </c>
      <c r="K12" s="28" t="s">
        <v>170</v>
      </c>
      <c r="L12" s="28" t="s">
        <v>170</v>
      </c>
      <c r="M12" s="28" t="s">
        <v>170</v>
      </c>
      <c r="N12" s="28" t="s">
        <v>170</v>
      </c>
      <c r="O12" s="28" t="s">
        <v>170</v>
      </c>
      <c r="P12" s="28" t="s">
        <v>266</v>
      </c>
      <c r="Q12" s="28" t="s">
        <v>266</v>
      </c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173</v>
      </c>
      <c r="AB12" s="28"/>
      <c r="AC12" s="28"/>
      <c r="AD12" s="28"/>
      <c r="AE12" s="28"/>
      <c r="AF12" s="28"/>
      <c r="AG12" s="28"/>
      <c r="AH12" s="28" t="s">
        <v>173</v>
      </c>
      <c r="AJ12" s="80" t="s">
        <v>173</v>
      </c>
      <c r="AK12" s="80" t="s">
        <v>173</v>
      </c>
    </row>
    <row r="13" spans="1:37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173</v>
      </c>
      <c r="AB13" s="28"/>
      <c r="AC13" s="28"/>
      <c r="AD13" s="28"/>
      <c r="AE13" s="28"/>
      <c r="AF13" s="28"/>
      <c r="AG13" s="28"/>
      <c r="AH13" s="28" t="s">
        <v>173</v>
      </c>
      <c r="AJ13" s="80" t="s">
        <v>173</v>
      </c>
      <c r="AK13" s="80" t="s">
        <v>173</v>
      </c>
    </row>
    <row r="14" spans="1:37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173</v>
      </c>
      <c r="AB14" s="28"/>
      <c r="AC14" s="28"/>
      <c r="AD14" s="28"/>
      <c r="AE14" s="28"/>
      <c r="AF14" s="28"/>
      <c r="AG14" s="28"/>
      <c r="AH14" s="28" t="s">
        <v>173</v>
      </c>
      <c r="AJ14" s="80" t="s">
        <v>173</v>
      </c>
      <c r="AK14" s="80" t="s">
        <v>173</v>
      </c>
    </row>
    <row r="15" spans="1:37" x14ac:dyDescent="0.25">
      <c r="A15" s="26" t="s">
        <v>175</v>
      </c>
      <c r="B15" s="28" t="s">
        <v>267</v>
      </c>
      <c r="C15" s="28" t="s">
        <v>267</v>
      </c>
      <c r="D15" s="28" t="s">
        <v>267</v>
      </c>
      <c r="E15" s="28" t="s">
        <v>356</v>
      </c>
      <c r="F15" s="28" t="s">
        <v>267</v>
      </c>
      <c r="G15" s="28" t="s">
        <v>267</v>
      </c>
      <c r="H15" s="28" t="s">
        <v>267</v>
      </c>
      <c r="I15" s="28" t="s">
        <v>267</v>
      </c>
      <c r="J15" s="28" t="s">
        <v>267</v>
      </c>
      <c r="K15" s="28" t="s">
        <v>267</v>
      </c>
      <c r="L15" s="28" t="s">
        <v>267</v>
      </c>
      <c r="M15" s="28" t="s">
        <v>267</v>
      </c>
      <c r="N15" s="28" t="s">
        <v>267</v>
      </c>
      <c r="O15" s="28" t="s">
        <v>267</v>
      </c>
      <c r="P15" s="28" t="s">
        <v>199</v>
      </c>
      <c r="Q15" s="28" t="s">
        <v>199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267</v>
      </c>
      <c r="AB15" s="28"/>
      <c r="AC15" s="28"/>
      <c r="AD15" s="28"/>
      <c r="AE15" s="28"/>
      <c r="AF15" s="28"/>
      <c r="AG15" s="28"/>
      <c r="AH15" s="28" t="s">
        <v>267</v>
      </c>
      <c r="AJ15" s="80" t="s">
        <v>290</v>
      </c>
      <c r="AK15" s="80" t="s">
        <v>290</v>
      </c>
    </row>
    <row r="16" spans="1:37" x14ac:dyDescent="0.25">
      <c r="A16" s="26" t="s">
        <v>176</v>
      </c>
      <c r="B16" s="30">
        <v>-3</v>
      </c>
      <c r="C16" s="30">
        <v>-3</v>
      </c>
      <c r="D16" s="30">
        <v>-3</v>
      </c>
      <c r="E16" s="30">
        <f>AVERAGE(-3,-3,-5)</f>
        <v>-3.6666666666666665</v>
      </c>
      <c r="F16" s="30">
        <v>-3</v>
      </c>
      <c r="G16" s="30">
        <v>-3</v>
      </c>
      <c r="H16" s="30">
        <v>-3</v>
      </c>
      <c r="I16" s="30">
        <v>-3</v>
      </c>
      <c r="J16" s="30">
        <v>-3</v>
      </c>
      <c r="K16" s="30">
        <v>-3</v>
      </c>
      <c r="L16" s="30">
        <v>-3</v>
      </c>
      <c r="M16" s="30">
        <v>-3</v>
      </c>
      <c r="N16" s="30">
        <v>-3</v>
      </c>
      <c r="O16" s="30">
        <v>-3</v>
      </c>
      <c r="P16" s="30">
        <v>-2</v>
      </c>
      <c r="Q16" s="30">
        <v>-2</v>
      </c>
      <c r="R16" s="30"/>
      <c r="S16" s="30"/>
      <c r="T16" s="30"/>
      <c r="U16" s="30"/>
      <c r="V16" s="30"/>
      <c r="W16" s="30"/>
      <c r="X16" s="30"/>
      <c r="Y16" s="30"/>
      <c r="Z16" s="30"/>
      <c r="AA16" s="30">
        <v>-3</v>
      </c>
      <c r="AB16" s="30"/>
      <c r="AC16" s="30"/>
      <c r="AD16" s="30"/>
      <c r="AE16" s="30"/>
      <c r="AF16" s="30"/>
      <c r="AG16" s="30"/>
      <c r="AH16" s="30">
        <v>-3</v>
      </c>
      <c r="AJ16" s="82">
        <f>AVERAGE(-3,-2)</f>
        <v>-2.5</v>
      </c>
      <c r="AK16" s="82">
        <f>AVERAGE(-3,-2)</f>
        <v>-2.5</v>
      </c>
    </row>
    <row r="17" spans="1:37" x14ac:dyDescent="0.25">
      <c r="A17" s="26" t="s">
        <v>177</v>
      </c>
      <c r="B17" s="28" t="s">
        <v>178</v>
      </c>
      <c r="C17" s="28" t="s">
        <v>181</v>
      </c>
      <c r="D17" s="28" t="s">
        <v>178</v>
      </c>
      <c r="E17" s="28" t="s">
        <v>976</v>
      </c>
      <c r="F17" s="28" t="s">
        <v>334</v>
      </c>
      <c r="G17" s="28" t="s">
        <v>334</v>
      </c>
      <c r="H17" s="28" t="s">
        <v>334</v>
      </c>
      <c r="I17" s="28" t="s">
        <v>334</v>
      </c>
      <c r="J17" s="28" t="s">
        <v>905</v>
      </c>
      <c r="K17" s="28" t="s">
        <v>905</v>
      </c>
      <c r="L17" s="28" t="s">
        <v>357</v>
      </c>
      <c r="M17" s="28" t="s">
        <v>180</v>
      </c>
      <c r="N17" s="28" t="s">
        <v>180</v>
      </c>
      <c r="O17" s="28" t="s">
        <v>181</v>
      </c>
      <c r="P17" s="103" t="s">
        <v>537</v>
      </c>
      <c r="Q17" s="103" t="s">
        <v>537</v>
      </c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178</v>
      </c>
      <c r="AB17" s="28"/>
      <c r="AC17" s="28"/>
      <c r="AD17" s="28"/>
      <c r="AE17" s="28"/>
      <c r="AF17" s="28"/>
      <c r="AG17" s="28"/>
      <c r="AH17" s="28" t="s">
        <v>178</v>
      </c>
      <c r="AJ17" s="81" t="s">
        <v>341</v>
      </c>
      <c r="AK17" s="81" t="s">
        <v>341</v>
      </c>
    </row>
    <row r="18" spans="1:37" x14ac:dyDescent="0.25">
      <c r="A18" s="26" t="s">
        <v>182</v>
      </c>
      <c r="B18" s="30">
        <v>4</v>
      </c>
      <c r="C18" s="30">
        <v>2</v>
      </c>
      <c r="D18" s="30">
        <v>4</v>
      </c>
      <c r="E18" s="30">
        <f>AVERAGE(0.5,0.5,2)</f>
        <v>1</v>
      </c>
      <c r="F18" s="30">
        <v>0.5</v>
      </c>
      <c r="G18" s="30">
        <v>0.5</v>
      </c>
      <c r="H18" s="30">
        <v>0.5</v>
      </c>
      <c r="I18" s="30">
        <v>0.5</v>
      </c>
      <c r="J18" s="30">
        <f>AVERAGE(2,0.5)</f>
        <v>1.25</v>
      </c>
      <c r="K18" s="30">
        <f>AVERAGE(2,0.5)</f>
        <v>1.25</v>
      </c>
      <c r="L18" s="30">
        <f>AVERAGE(4,0.5)</f>
        <v>2.25</v>
      </c>
      <c r="M18" s="30">
        <f>AVERAGE(4,2)</f>
        <v>3</v>
      </c>
      <c r="N18" s="30">
        <f>AVERAGE(4,2)</f>
        <v>3</v>
      </c>
      <c r="O18" s="30">
        <v>2</v>
      </c>
      <c r="P18" s="30">
        <f>AVERAGE(1/3,0)</f>
        <v>0.16666666666666666</v>
      </c>
      <c r="Q18" s="30">
        <f>AVERAGE(1/3,0)</f>
        <v>0.16666666666666666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v>4</v>
      </c>
      <c r="AB18" s="30"/>
      <c r="AC18" s="30"/>
      <c r="AD18" s="30"/>
      <c r="AE18" s="30"/>
      <c r="AF18" s="30"/>
      <c r="AG18" s="30"/>
      <c r="AH18" s="30">
        <v>4</v>
      </c>
      <c r="AJ18" s="82">
        <v>0</v>
      </c>
      <c r="AK18" s="82">
        <v>0</v>
      </c>
    </row>
    <row r="19" spans="1:37" ht="15.75" customHeight="1" x14ac:dyDescent="0.25">
      <c r="P19" s="223" t="s">
        <v>988</v>
      </c>
      <c r="Q19" s="223"/>
      <c r="AJ19" s="78" t="s">
        <v>989</v>
      </c>
    </row>
    <row r="20" spans="1:37" x14ac:dyDescent="0.25">
      <c r="A20" s="31" t="s">
        <v>183</v>
      </c>
    </row>
    <row r="21" spans="1:37" x14ac:dyDescent="0.25">
      <c r="A21" s="226" t="s">
        <v>990</v>
      </c>
      <c r="B21" s="56" t="s">
        <v>298</v>
      </c>
    </row>
    <row r="22" spans="1:37" x14ac:dyDescent="0.25">
      <c r="A22" s="226"/>
      <c r="B22" s="93" t="s">
        <v>978</v>
      </c>
    </row>
    <row r="23" spans="1:37" x14ac:dyDescent="0.25">
      <c r="A23" s="226"/>
      <c r="B23" s="93" t="s">
        <v>991</v>
      </c>
    </row>
    <row r="24" spans="1:37" x14ac:dyDescent="0.25">
      <c r="A24" s="226" t="s">
        <v>992</v>
      </c>
      <c r="B24" s="56" t="s">
        <v>298</v>
      </c>
    </row>
    <row r="25" spans="1:37" x14ac:dyDescent="0.25">
      <c r="A25" s="226"/>
      <c r="B25" s="93" t="s">
        <v>978</v>
      </c>
    </row>
    <row r="26" spans="1:37" x14ac:dyDescent="0.25">
      <c r="A26" s="226"/>
      <c r="B26" s="93" t="s">
        <v>930</v>
      </c>
    </row>
  </sheetData>
  <mergeCells count="8">
    <mergeCell ref="A24:A26"/>
    <mergeCell ref="P19:Q19"/>
    <mergeCell ref="A21:A23"/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082B0-7B28-473B-9F5F-03E2B43D0926}">
  <dimension ref="A1:AH21"/>
  <sheetViews>
    <sheetView workbookViewId="0">
      <selection activeCell="N8" sqref="N8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895</v>
      </c>
      <c r="I1" s="25" t="s">
        <v>896</v>
      </c>
    </row>
    <row r="3" spans="1:34" ht="18" x14ac:dyDescent="0.25">
      <c r="A3" s="25" t="s">
        <v>119</v>
      </c>
      <c r="B3" s="215">
        <v>62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993</v>
      </c>
      <c r="C4" s="215"/>
      <c r="D4" s="215"/>
      <c r="F4" s="216" t="s">
        <v>994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969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29" t="s">
        <v>315</v>
      </c>
      <c r="C8" s="29" t="s">
        <v>302</v>
      </c>
      <c r="D8" s="29" t="s">
        <v>302</v>
      </c>
      <c r="E8" s="113" t="s">
        <v>345</v>
      </c>
      <c r="F8" s="29" t="s">
        <v>302</v>
      </c>
      <c r="G8" s="29" t="s">
        <v>302</v>
      </c>
      <c r="H8" s="29" t="s">
        <v>302</v>
      </c>
      <c r="I8" s="29" t="s">
        <v>302</v>
      </c>
      <c r="J8" s="29" t="s">
        <v>302</v>
      </c>
      <c r="K8" s="29" t="s">
        <v>302</v>
      </c>
      <c r="L8" s="29" t="s">
        <v>302</v>
      </c>
      <c r="M8" s="29" t="s">
        <v>302</v>
      </c>
      <c r="N8" s="28"/>
      <c r="O8" s="28"/>
      <c r="P8" s="81" t="s">
        <v>341</v>
      </c>
      <c r="Q8" s="81" t="s">
        <v>341</v>
      </c>
      <c r="R8" s="28"/>
      <c r="S8" s="28"/>
      <c r="T8" s="28"/>
      <c r="U8" s="28"/>
      <c r="V8" s="28"/>
      <c r="W8" s="28"/>
      <c r="X8" s="28"/>
      <c r="Y8" s="28"/>
      <c r="Z8" s="28"/>
      <c r="AA8" s="29" t="s">
        <v>302</v>
      </c>
      <c r="AB8" s="28"/>
      <c r="AC8" s="28"/>
      <c r="AD8" s="28"/>
      <c r="AE8" s="28"/>
      <c r="AF8" s="28"/>
      <c r="AG8" s="28"/>
      <c r="AH8" s="29" t="s">
        <v>302</v>
      </c>
    </row>
    <row r="9" spans="1:34" ht="15.75" customHeight="1" x14ac:dyDescent="0.25">
      <c r="A9" s="26" t="s">
        <v>165</v>
      </c>
      <c r="B9" s="28" t="s">
        <v>303</v>
      </c>
      <c r="C9" s="28" t="s">
        <v>970</v>
      </c>
      <c r="D9" s="28" t="s">
        <v>303</v>
      </c>
      <c r="E9" s="28" t="s">
        <v>971</v>
      </c>
      <c r="F9" s="28" t="s">
        <v>972</v>
      </c>
      <c r="G9" s="28" t="s">
        <v>972</v>
      </c>
      <c r="H9" s="28" t="s">
        <v>972</v>
      </c>
      <c r="I9" s="28" t="s">
        <v>972</v>
      </c>
      <c r="J9" s="29" t="s">
        <v>973</v>
      </c>
      <c r="K9" s="29" t="s">
        <v>973</v>
      </c>
      <c r="L9" s="29" t="s">
        <v>974</v>
      </c>
      <c r="M9" s="29" t="s">
        <v>975</v>
      </c>
      <c r="N9" s="29"/>
      <c r="O9" s="29"/>
      <c r="P9" s="81" t="s">
        <v>341</v>
      </c>
      <c r="Q9" s="81" t="s">
        <v>341</v>
      </c>
      <c r="R9" s="29"/>
      <c r="S9" s="29"/>
      <c r="T9" s="29"/>
      <c r="U9" s="29"/>
      <c r="V9" s="29"/>
      <c r="W9" s="29"/>
      <c r="X9" s="29"/>
      <c r="Y9" s="29"/>
      <c r="Z9" s="29"/>
      <c r="AA9" s="28" t="s">
        <v>303</v>
      </c>
      <c r="AB9" s="29"/>
      <c r="AC9" s="29"/>
      <c r="AD9" s="29"/>
      <c r="AE9" s="29"/>
      <c r="AF9" s="29"/>
      <c r="AG9" s="29"/>
      <c r="AH9" s="28" t="s">
        <v>303</v>
      </c>
    </row>
    <row r="10" spans="1:34" x14ac:dyDescent="0.25">
      <c r="A10" s="131" t="s">
        <v>168</v>
      </c>
      <c r="B10" s="157">
        <v>20</v>
      </c>
      <c r="C10" s="157">
        <v>64</v>
      </c>
      <c r="D10" s="157">
        <v>20</v>
      </c>
      <c r="E10" s="157">
        <v>177</v>
      </c>
      <c r="F10" s="157">
        <v>95</v>
      </c>
      <c r="G10" s="157">
        <v>95</v>
      </c>
      <c r="H10" s="157">
        <v>95</v>
      </c>
      <c r="I10" s="157">
        <v>95</v>
      </c>
      <c r="J10" s="157">
        <v>173</v>
      </c>
      <c r="K10" s="157">
        <v>173</v>
      </c>
      <c r="L10" s="157">
        <v>171</v>
      </c>
      <c r="M10" s="157">
        <v>172</v>
      </c>
      <c r="N10" s="157"/>
      <c r="O10" s="157"/>
      <c r="P10" s="198"/>
      <c r="Q10" s="198"/>
      <c r="R10" s="157"/>
      <c r="S10" s="157"/>
      <c r="T10" s="157"/>
      <c r="U10" s="157"/>
      <c r="V10" s="157"/>
      <c r="W10" s="157"/>
      <c r="X10" s="157"/>
      <c r="Y10" s="157"/>
      <c r="Z10" s="157"/>
      <c r="AA10" s="157">
        <v>20</v>
      </c>
      <c r="AB10" s="157"/>
      <c r="AC10" s="157"/>
      <c r="AD10" s="157"/>
      <c r="AE10" s="157"/>
      <c r="AF10" s="157"/>
      <c r="AG10" s="157"/>
      <c r="AH10" s="157">
        <v>20</v>
      </c>
    </row>
    <row r="11" spans="1:34" x14ac:dyDescent="0.25">
      <c r="A11" s="26" t="s">
        <v>169</v>
      </c>
      <c r="B11" s="29" t="s">
        <v>170</v>
      </c>
      <c r="C11" s="29" t="s">
        <v>170</v>
      </c>
      <c r="D11" s="29" t="s">
        <v>170</v>
      </c>
      <c r="E11" s="28" t="s">
        <v>170</v>
      </c>
      <c r="F11" s="29" t="s">
        <v>170</v>
      </c>
      <c r="G11" s="29" t="s">
        <v>170</v>
      </c>
      <c r="H11" s="29" t="s">
        <v>170</v>
      </c>
      <c r="I11" s="29" t="s">
        <v>170</v>
      </c>
      <c r="J11" s="29" t="s">
        <v>170</v>
      </c>
      <c r="K11" s="29" t="s">
        <v>170</v>
      </c>
      <c r="L11" s="29" t="s">
        <v>170</v>
      </c>
      <c r="M11" s="29" t="s">
        <v>170</v>
      </c>
      <c r="N11" s="28"/>
      <c r="O11" s="28"/>
      <c r="P11" s="80" t="s">
        <v>173</v>
      </c>
      <c r="Q11" s="80" t="s">
        <v>173</v>
      </c>
      <c r="R11" s="28"/>
      <c r="S11" s="28"/>
      <c r="T11" s="28"/>
      <c r="U11" s="28"/>
      <c r="V11" s="28"/>
      <c r="W11" s="28"/>
      <c r="X11" s="28"/>
      <c r="Y11" s="28"/>
      <c r="Z11" s="28"/>
      <c r="AA11" s="29" t="s">
        <v>170</v>
      </c>
      <c r="AB11" s="28"/>
      <c r="AC11" s="29"/>
      <c r="AD11" s="28"/>
      <c r="AE11" s="29"/>
      <c r="AF11" s="28"/>
      <c r="AG11" s="28"/>
      <c r="AH11" s="29" t="s">
        <v>170</v>
      </c>
    </row>
    <row r="12" spans="1:34" x14ac:dyDescent="0.25">
      <c r="A12" s="26" t="s">
        <v>171</v>
      </c>
      <c r="B12" s="29" t="s">
        <v>170</v>
      </c>
      <c r="C12" s="28" t="s">
        <v>170</v>
      </c>
      <c r="D12" s="29" t="s">
        <v>170</v>
      </c>
      <c r="E12" s="28" t="s">
        <v>355</v>
      </c>
      <c r="F12" s="28" t="s">
        <v>170</v>
      </c>
      <c r="G12" s="28" t="s">
        <v>170</v>
      </c>
      <c r="H12" s="28" t="s">
        <v>170</v>
      </c>
      <c r="I12" s="28" t="s">
        <v>170</v>
      </c>
      <c r="J12" s="28" t="s">
        <v>170</v>
      </c>
      <c r="K12" s="28" t="s">
        <v>170</v>
      </c>
      <c r="L12" s="28" t="s">
        <v>170</v>
      </c>
      <c r="M12" s="28" t="s">
        <v>170</v>
      </c>
      <c r="N12" s="28"/>
      <c r="O12" s="28"/>
      <c r="P12" s="80" t="s">
        <v>170</v>
      </c>
      <c r="Q12" s="80" t="s">
        <v>170</v>
      </c>
      <c r="R12" s="28"/>
      <c r="S12" s="28"/>
      <c r="T12" s="28"/>
      <c r="U12" s="28"/>
      <c r="V12" s="28"/>
      <c r="W12" s="28"/>
      <c r="X12" s="28"/>
      <c r="Y12" s="28"/>
      <c r="Z12" s="28"/>
      <c r="AA12" s="29" t="s">
        <v>170</v>
      </c>
      <c r="AB12" s="28"/>
      <c r="AC12" s="28"/>
      <c r="AD12" s="28"/>
      <c r="AE12" s="28"/>
      <c r="AF12" s="28"/>
      <c r="AG12" s="28"/>
      <c r="AH12" s="29" t="s">
        <v>170</v>
      </c>
    </row>
    <row r="13" spans="1:34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/>
      <c r="O13" s="28"/>
      <c r="P13" s="80" t="s">
        <v>173</v>
      </c>
      <c r="Q13" s="80" t="s">
        <v>173</v>
      </c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173</v>
      </c>
      <c r="AB13" s="28"/>
      <c r="AC13" s="28"/>
      <c r="AD13" s="28"/>
      <c r="AE13" s="28"/>
      <c r="AF13" s="28"/>
      <c r="AG13" s="28"/>
      <c r="AH13" s="28" t="s">
        <v>173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/>
      <c r="O14" s="28"/>
      <c r="P14" s="80" t="s">
        <v>173</v>
      </c>
      <c r="Q14" s="80" t="s">
        <v>173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173</v>
      </c>
      <c r="AB14" s="28"/>
      <c r="AC14" s="28"/>
      <c r="AD14" s="28"/>
      <c r="AE14" s="28"/>
      <c r="AF14" s="28"/>
      <c r="AG14" s="28"/>
      <c r="AH14" s="28" t="s">
        <v>173</v>
      </c>
    </row>
    <row r="15" spans="1:34" x14ac:dyDescent="0.25">
      <c r="A15" s="26" t="s">
        <v>175</v>
      </c>
      <c r="B15" s="28" t="s">
        <v>267</v>
      </c>
      <c r="C15" s="28" t="s">
        <v>267</v>
      </c>
      <c r="D15" s="28" t="s">
        <v>267</v>
      </c>
      <c r="E15" s="28" t="s">
        <v>356</v>
      </c>
      <c r="F15" s="28" t="s">
        <v>267</v>
      </c>
      <c r="G15" s="28" t="s">
        <v>267</v>
      </c>
      <c r="H15" s="28" t="s">
        <v>267</v>
      </c>
      <c r="I15" s="28" t="s">
        <v>267</v>
      </c>
      <c r="J15" s="28" t="s">
        <v>267</v>
      </c>
      <c r="K15" s="28" t="s">
        <v>267</v>
      </c>
      <c r="L15" s="28" t="s">
        <v>267</v>
      </c>
      <c r="M15" s="28" t="s">
        <v>267</v>
      </c>
      <c r="N15" s="28"/>
      <c r="O15" s="28"/>
      <c r="P15" s="80" t="s">
        <v>267</v>
      </c>
      <c r="Q15" s="80" t="s">
        <v>267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267</v>
      </c>
      <c r="AB15" s="28"/>
      <c r="AC15" s="28"/>
      <c r="AD15" s="28"/>
      <c r="AE15" s="28"/>
      <c r="AF15" s="28"/>
      <c r="AG15" s="28"/>
      <c r="AH15" s="28" t="s">
        <v>267</v>
      </c>
    </row>
    <row r="16" spans="1:34" x14ac:dyDescent="0.25">
      <c r="A16" s="26" t="s">
        <v>176</v>
      </c>
      <c r="B16" s="30">
        <v>-3</v>
      </c>
      <c r="C16" s="30">
        <v>-3</v>
      </c>
      <c r="D16" s="30">
        <v>-3</v>
      </c>
      <c r="E16" s="30">
        <f>AVERAGE(-3,-3,-5)</f>
        <v>-3.6666666666666665</v>
      </c>
      <c r="F16" s="30">
        <v>-3</v>
      </c>
      <c r="G16" s="30">
        <v>-3</v>
      </c>
      <c r="H16" s="30">
        <v>-3</v>
      </c>
      <c r="I16" s="30">
        <v>-3</v>
      </c>
      <c r="J16" s="30">
        <v>-3</v>
      </c>
      <c r="K16" s="30">
        <v>-3</v>
      </c>
      <c r="L16" s="30">
        <v>-3</v>
      </c>
      <c r="M16" s="30">
        <v>-3</v>
      </c>
      <c r="N16" s="30"/>
      <c r="O16" s="30"/>
      <c r="P16" s="82">
        <v>-3</v>
      </c>
      <c r="Q16" s="82">
        <v>-3</v>
      </c>
      <c r="R16" s="30"/>
      <c r="S16" s="30"/>
      <c r="T16" s="30"/>
      <c r="U16" s="30"/>
      <c r="V16" s="30"/>
      <c r="W16" s="30"/>
      <c r="X16" s="30"/>
      <c r="Y16" s="30"/>
      <c r="Z16" s="30"/>
      <c r="AA16" s="30">
        <v>-3</v>
      </c>
      <c r="AB16" s="30"/>
      <c r="AC16" s="30"/>
      <c r="AD16" s="30"/>
      <c r="AE16" s="30"/>
      <c r="AF16" s="30"/>
      <c r="AG16" s="30"/>
      <c r="AH16" s="30">
        <v>-3</v>
      </c>
    </row>
    <row r="17" spans="1:34" x14ac:dyDescent="0.25">
      <c r="A17" s="26" t="s">
        <v>177</v>
      </c>
      <c r="B17" s="28" t="s">
        <v>178</v>
      </c>
      <c r="C17" s="28" t="s">
        <v>181</v>
      </c>
      <c r="D17" s="28" t="s">
        <v>178</v>
      </c>
      <c r="E17" s="28" t="s">
        <v>976</v>
      </c>
      <c r="F17" s="28" t="s">
        <v>334</v>
      </c>
      <c r="G17" s="28" t="s">
        <v>334</v>
      </c>
      <c r="H17" s="28" t="s">
        <v>334</v>
      </c>
      <c r="I17" s="28" t="s">
        <v>334</v>
      </c>
      <c r="J17" s="28" t="s">
        <v>905</v>
      </c>
      <c r="K17" s="28" t="s">
        <v>905</v>
      </c>
      <c r="L17" s="28" t="s">
        <v>357</v>
      </c>
      <c r="M17" s="28" t="s">
        <v>180</v>
      </c>
      <c r="N17" s="28"/>
      <c r="O17" s="28"/>
      <c r="P17" s="81" t="s">
        <v>341</v>
      </c>
      <c r="Q17" s="81" t="s">
        <v>341</v>
      </c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178</v>
      </c>
      <c r="AB17" s="28"/>
      <c r="AC17" s="28"/>
      <c r="AD17" s="28"/>
      <c r="AE17" s="28"/>
      <c r="AF17" s="28"/>
      <c r="AG17" s="28"/>
      <c r="AH17" s="28" t="s">
        <v>178</v>
      </c>
    </row>
    <row r="18" spans="1:34" x14ac:dyDescent="0.25">
      <c r="A18" s="26" t="s">
        <v>182</v>
      </c>
      <c r="B18" s="30">
        <v>4</v>
      </c>
      <c r="C18" s="30">
        <v>2</v>
      </c>
      <c r="D18" s="30">
        <v>4</v>
      </c>
      <c r="E18" s="30">
        <f>AVERAGE(0.5,0.5,2)</f>
        <v>1</v>
      </c>
      <c r="F18" s="30">
        <v>0.5</v>
      </c>
      <c r="G18" s="30">
        <v>0.5</v>
      </c>
      <c r="H18" s="30">
        <v>0.5</v>
      </c>
      <c r="I18" s="30">
        <v>0.5</v>
      </c>
      <c r="J18" s="30">
        <f>AVERAGE(2,0.5)</f>
        <v>1.25</v>
      </c>
      <c r="K18" s="30">
        <f>AVERAGE(2,0.5)</f>
        <v>1.25</v>
      </c>
      <c r="L18" s="30">
        <f>AVERAGE(4,0.5)</f>
        <v>2.25</v>
      </c>
      <c r="M18" s="30">
        <f>AVERAGE(4,2)</f>
        <v>3</v>
      </c>
      <c r="N18" s="30"/>
      <c r="O18" s="30"/>
      <c r="P18" s="82">
        <v>0</v>
      </c>
      <c r="Q18" s="82">
        <v>0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v>4</v>
      </c>
      <c r="AB18" s="30"/>
      <c r="AC18" s="30"/>
      <c r="AD18" s="30"/>
      <c r="AE18" s="30"/>
      <c r="AF18" s="30"/>
      <c r="AG18" s="30"/>
      <c r="AH18" s="30">
        <v>4</v>
      </c>
    </row>
    <row r="20" spans="1:34" x14ac:dyDescent="0.25">
      <c r="A20" s="31" t="s">
        <v>183</v>
      </c>
    </row>
    <row r="21" spans="1:34" x14ac:dyDescent="0.25">
      <c r="A21" s="26" t="s">
        <v>995</v>
      </c>
      <c r="B21" s="56" t="s">
        <v>298</v>
      </c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1474D-C9F2-4CCE-8F5E-ECFB348CC782}">
  <dimension ref="A1:AH21"/>
  <sheetViews>
    <sheetView workbookViewId="0">
      <selection activeCell="M10" sqref="M10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895</v>
      </c>
      <c r="I1" s="25" t="s">
        <v>896</v>
      </c>
    </row>
    <row r="3" spans="1:34" ht="18" x14ac:dyDescent="0.25">
      <c r="A3" s="25" t="s">
        <v>119</v>
      </c>
      <c r="B3" s="215">
        <v>63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993</v>
      </c>
      <c r="C4" s="215"/>
      <c r="D4" s="215"/>
      <c r="F4" s="216" t="s">
        <v>996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986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29" t="s">
        <v>315</v>
      </c>
      <c r="C8" s="29" t="s">
        <v>302</v>
      </c>
      <c r="D8" s="29" t="s">
        <v>302</v>
      </c>
      <c r="E8" s="113" t="s">
        <v>345</v>
      </c>
      <c r="F8" s="29" t="s">
        <v>302</v>
      </c>
      <c r="G8" s="29" t="s">
        <v>302</v>
      </c>
      <c r="H8" s="29" t="s">
        <v>302</v>
      </c>
      <c r="I8" s="29" t="s">
        <v>302</v>
      </c>
      <c r="J8" s="29" t="s">
        <v>302</v>
      </c>
      <c r="K8" s="29" t="s">
        <v>302</v>
      </c>
      <c r="L8" s="29" t="s">
        <v>302</v>
      </c>
      <c r="M8" s="29" t="s">
        <v>302</v>
      </c>
      <c r="N8" s="28"/>
      <c r="O8" s="28"/>
      <c r="P8" s="29" t="s">
        <v>997</v>
      </c>
      <c r="Q8" s="29" t="s">
        <v>997</v>
      </c>
      <c r="R8" s="28"/>
      <c r="S8" s="28"/>
      <c r="T8" s="28"/>
      <c r="U8" s="28"/>
      <c r="V8" s="28"/>
      <c r="W8" s="28"/>
      <c r="X8" s="28"/>
      <c r="Y8" s="28"/>
      <c r="Z8" s="28"/>
      <c r="AA8" s="29" t="s">
        <v>302</v>
      </c>
      <c r="AB8" s="28"/>
      <c r="AC8" s="28"/>
      <c r="AD8" s="28"/>
      <c r="AE8" s="28"/>
      <c r="AF8" s="28"/>
      <c r="AG8" s="28"/>
      <c r="AH8" s="29" t="s">
        <v>302</v>
      </c>
    </row>
    <row r="9" spans="1:34" x14ac:dyDescent="0.25">
      <c r="A9" s="26" t="s">
        <v>165</v>
      </c>
      <c r="B9" s="28" t="s">
        <v>303</v>
      </c>
      <c r="C9" s="28" t="s">
        <v>970</v>
      </c>
      <c r="D9" s="28" t="s">
        <v>303</v>
      </c>
      <c r="E9" s="28" t="s">
        <v>971</v>
      </c>
      <c r="F9" s="28" t="s">
        <v>972</v>
      </c>
      <c r="G9" s="28" t="s">
        <v>972</v>
      </c>
      <c r="H9" s="28" t="s">
        <v>972</v>
      </c>
      <c r="I9" s="28" t="s">
        <v>972</v>
      </c>
      <c r="J9" s="29" t="s">
        <v>973</v>
      </c>
      <c r="K9" s="29" t="s">
        <v>973</v>
      </c>
      <c r="L9" s="29" t="s">
        <v>974</v>
      </c>
      <c r="M9" s="29" t="s">
        <v>975</v>
      </c>
      <c r="N9" s="29"/>
      <c r="O9" s="29"/>
      <c r="P9" s="29" t="s">
        <v>998</v>
      </c>
      <c r="Q9" s="29" t="s">
        <v>998</v>
      </c>
      <c r="R9" s="29"/>
      <c r="S9" s="29"/>
      <c r="T9" s="29"/>
      <c r="U9" s="29"/>
      <c r="V9" s="29"/>
      <c r="W9" s="29"/>
      <c r="X9" s="29"/>
      <c r="Y9" s="29"/>
      <c r="Z9" s="29"/>
      <c r="AA9" s="28" t="s">
        <v>303</v>
      </c>
      <c r="AB9" s="29"/>
      <c r="AC9" s="29"/>
      <c r="AD9" s="29"/>
      <c r="AE9" s="29"/>
      <c r="AF9" s="29"/>
      <c r="AG9" s="29"/>
      <c r="AH9" s="28" t="s">
        <v>303</v>
      </c>
    </row>
    <row r="10" spans="1:34" x14ac:dyDescent="0.25">
      <c r="A10" s="131" t="s">
        <v>168</v>
      </c>
      <c r="B10" s="157">
        <v>20</v>
      </c>
      <c r="C10" s="157">
        <v>64</v>
      </c>
      <c r="D10" s="157">
        <v>20</v>
      </c>
      <c r="E10" s="157">
        <v>177</v>
      </c>
      <c r="F10" s="157">
        <v>95</v>
      </c>
      <c r="G10" s="157">
        <v>95</v>
      </c>
      <c r="H10" s="157">
        <v>95</v>
      </c>
      <c r="I10" s="157">
        <v>95</v>
      </c>
      <c r="J10" s="157">
        <v>173</v>
      </c>
      <c r="K10" s="157">
        <v>173</v>
      </c>
      <c r="L10" s="157">
        <v>171</v>
      </c>
      <c r="M10" s="157">
        <v>172</v>
      </c>
      <c r="N10" s="157"/>
      <c r="O10" s="157"/>
      <c r="P10" s="157">
        <v>138</v>
      </c>
      <c r="Q10" s="157">
        <v>138</v>
      </c>
      <c r="R10" s="157"/>
      <c r="S10" s="157"/>
      <c r="T10" s="157"/>
      <c r="U10" s="157"/>
      <c r="V10" s="157"/>
      <c r="W10" s="157"/>
      <c r="X10" s="157"/>
      <c r="Y10" s="157"/>
      <c r="Z10" s="157"/>
      <c r="AA10" s="157">
        <v>20</v>
      </c>
      <c r="AB10" s="157"/>
      <c r="AC10" s="157"/>
      <c r="AD10" s="157"/>
      <c r="AE10" s="157"/>
      <c r="AF10" s="157"/>
      <c r="AG10" s="157"/>
      <c r="AH10" s="157">
        <v>20</v>
      </c>
    </row>
    <row r="11" spans="1:34" x14ac:dyDescent="0.25">
      <c r="A11" s="26" t="s">
        <v>169</v>
      </c>
      <c r="B11" s="29" t="s">
        <v>170</v>
      </c>
      <c r="C11" s="29" t="s">
        <v>170</v>
      </c>
      <c r="D11" s="29" t="s">
        <v>170</v>
      </c>
      <c r="E11" s="28" t="s">
        <v>170</v>
      </c>
      <c r="F11" s="29" t="s">
        <v>170</v>
      </c>
      <c r="G11" s="29" t="s">
        <v>170</v>
      </c>
      <c r="H11" s="29" t="s">
        <v>170</v>
      </c>
      <c r="I11" s="29" t="s">
        <v>170</v>
      </c>
      <c r="J11" s="29" t="s">
        <v>170</v>
      </c>
      <c r="K11" s="29" t="s">
        <v>170</v>
      </c>
      <c r="L11" s="29" t="s">
        <v>170</v>
      </c>
      <c r="M11" s="29" t="s">
        <v>170</v>
      </c>
      <c r="N11" s="28"/>
      <c r="O11" s="28"/>
      <c r="P11" s="28" t="s">
        <v>287</v>
      </c>
      <c r="Q11" s="28" t="s">
        <v>287</v>
      </c>
      <c r="R11" s="28"/>
      <c r="S11" s="28"/>
      <c r="T11" s="28"/>
      <c r="U11" s="28"/>
      <c r="V11" s="28"/>
      <c r="W11" s="28"/>
      <c r="X11" s="28"/>
      <c r="Y11" s="28"/>
      <c r="Z11" s="28"/>
      <c r="AA11" s="29" t="s">
        <v>170</v>
      </c>
      <c r="AB11" s="28"/>
      <c r="AC11" s="29"/>
      <c r="AD11" s="28"/>
      <c r="AE11" s="29"/>
      <c r="AF11" s="28"/>
      <c r="AG11" s="28"/>
      <c r="AH11" s="29" t="s">
        <v>170</v>
      </c>
    </row>
    <row r="12" spans="1:34" x14ac:dyDescent="0.25">
      <c r="A12" s="26" t="s">
        <v>171</v>
      </c>
      <c r="B12" s="29" t="s">
        <v>170</v>
      </c>
      <c r="C12" s="28" t="s">
        <v>170</v>
      </c>
      <c r="D12" s="29" t="s">
        <v>170</v>
      </c>
      <c r="E12" s="28" t="s">
        <v>355</v>
      </c>
      <c r="F12" s="28" t="s">
        <v>170</v>
      </c>
      <c r="G12" s="28" t="s">
        <v>170</v>
      </c>
      <c r="H12" s="28" t="s">
        <v>170</v>
      </c>
      <c r="I12" s="28" t="s">
        <v>170</v>
      </c>
      <c r="J12" s="28" t="s">
        <v>170</v>
      </c>
      <c r="K12" s="28" t="s">
        <v>170</v>
      </c>
      <c r="L12" s="28" t="s">
        <v>170</v>
      </c>
      <c r="M12" s="28" t="s">
        <v>170</v>
      </c>
      <c r="N12" s="28"/>
      <c r="O12" s="28"/>
      <c r="P12" s="28" t="s">
        <v>287</v>
      </c>
      <c r="Q12" s="28" t="s">
        <v>287</v>
      </c>
      <c r="R12" s="28"/>
      <c r="S12" s="28"/>
      <c r="T12" s="28"/>
      <c r="U12" s="28"/>
      <c r="V12" s="28"/>
      <c r="W12" s="28"/>
      <c r="X12" s="28"/>
      <c r="Y12" s="28"/>
      <c r="Z12" s="28"/>
      <c r="AA12" s="29" t="s">
        <v>170</v>
      </c>
      <c r="AB12" s="28"/>
      <c r="AC12" s="28"/>
      <c r="AD12" s="28"/>
      <c r="AE12" s="28"/>
      <c r="AF12" s="28"/>
      <c r="AG12" s="28"/>
      <c r="AH12" s="29" t="s">
        <v>170</v>
      </c>
    </row>
    <row r="13" spans="1:34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/>
      <c r="O13" s="28"/>
      <c r="P13" s="28" t="s">
        <v>173</v>
      </c>
      <c r="Q13" s="28" t="s">
        <v>173</v>
      </c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173</v>
      </c>
      <c r="AB13" s="28"/>
      <c r="AC13" s="28"/>
      <c r="AD13" s="28"/>
      <c r="AE13" s="28"/>
      <c r="AF13" s="28"/>
      <c r="AG13" s="28"/>
      <c r="AH13" s="28" t="s">
        <v>173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/>
      <c r="O14" s="28"/>
      <c r="P14" s="28" t="s">
        <v>173</v>
      </c>
      <c r="Q14" s="28" t="s">
        <v>173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173</v>
      </c>
      <c r="AB14" s="28"/>
      <c r="AC14" s="28"/>
      <c r="AD14" s="28"/>
      <c r="AE14" s="28"/>
      <c r="AF14" s="28"/>
      <c r="AG14" s="28"/>
      <c r="AH14" s="28" t="s">
        <v>173</v>
      </c>
    </row>
    <row r="15" spans="1:34" x14ac:dyDescent="0.25">
      <c r="A15" s="26" t="s">
        <v>175</v>
      </c>
      <c r="B15" s="28" t="s">
        <v>267</v>
      </c>
      <c r="C15" s="28" t="s">
        <v>267</v>
      </c>
      <c r="D15" s="28" t="s">
        <v>267</v>
      </c>
      <c r="E15" s="28" t="s">
        <v>356</v>
      </c>
      <c r="F15" s="28" t="s">
        <v>267</v>
      </c>
      <c r="G15" s="28" t="s">
        <v>267</v>
      </c>
      <c r="H15" s="28" t="s">
        <v>267</v>
      </c>
      <c r="I15" s="28" t="s">
        <v>267</v>
      </c>
      <c r="J15" s="28" t="s">
        <v>267</v>
      </c>
      <c r="K15" s="28" t="s">
        <v>267</v>
      </c>
      <c r="L15" s="28" t="s">
        <v>267</v>
      </c>
      <c r="M15" s="28" t="s">
        <v>267</v>
      </c>
      <c r="N15" s="28"/>
      <c r="O15" s="28"/>
      <c r="P15" s="28" t="s">
        <v>999</v>
      </c>
      <c r="Q15" s="28" t="s">
        <v>999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267</v>
      </c>
      <c r="AB15" s="28"/>
      <c r="AC15" s="28"/>
      <c r="AD15" s="28"/>
      <c r="AE15" s="28"/>
      <c r="AF15" s="28"/>
      <c r="AG15" s="28"/>
      <c r="AH15" s="28" t="s">
        <v>267</v>
      </c>
    </row>
    <row r="16" spans="1:34" x14ac:dyDescent="0.25">
      <c r="A16" s="26" t="s">
        <v>176</v>
      </c>
      <c r="B16" s="30">
        <v>-3</v>
      </c>
      <c r="C16" s="30">
        <v>-3</v>
      </c>
      <c r="D16" s="30">
        <v>-3</v>
      </c>
      <c r="E16" s="30">
        <f>AVERAGE(-3,-3,-5)</f>
        <v>-3.6666666666666665</v>
      </c>
      <c r="F16" s="30">
        <v>-3</v>
      </c>
      <c r="G16" s="30">
        <v>-3</v>
      </c>
      <c r="H16" s="30">
        <v>-3</v>
      </c>
      <c r="I16" s="30">
        <v>-3</v>
      </c>
      <c r="J16" s="30">
        <v>-3</v>
      </c>
      <c r="K16" s="30">
        <v>-3</v>
      </c>
      <c r="L16" s="30">
        <v>-3</v>
      </c>
      <c r="M16" s="30">
        <v>-3</v>
      </c>
      <c r="N16" s="30"/>
      <c r="O16" s="30"/>
      <c r="P16" s="30">
        <f>AVERAGE(-3,2.5)</f>
        <v>-0.25</v>
      </c>
      <c r="Q16" s="30">
        <f>AVERAGE(-3,2.5)</f>
        <v>-0.25</v>
      </c>
      <c r="R16" s="30"/>
      <c r="S16" s="30"/>
      <c r="T16" s="30"/>
      <c r="U16" s="30"/>
      <c r="V16" s="30"/>
      <c r="W16" s="30"/>
      <c r="X16" s="30"/>
      <c r="Y16" s="30"/>
      <c r="Z16" s="30"/>
      <c r="AA16" s="30">
        <v>-3</v>
      </c>
      <c r="AB16" s="30"/>
      <c r="AC16" s="30"/>
      <c r="AD16" s="30"/>
      <c r="AE16" s="30"/>
      <c r="AF16" s="30"/>
      <c r="AG16" s="30"/>
      <c r="AH16" s="30">
        <v>-3</v>
      </c>
    </row>
    <row r="17" spans="1:34" x14ac:dyDescent="0.25">
      <c r="A17" s="26" t="s">
        <v>177</v>
      </c>
      <c r="B17" s="28" t="s">
        <v>178</v>
      </c>
      <c r="C17" s="28" t="s">
        <v>181</v>
      </c>
      <c r="D17" s="28" t="s">
        <v>178</v>
      </c>
      <c r="E17" s="28" t="s">
        <v>976</v>
      </c>
      <c r="F17" s="28" t="s">
        <v>334</v>
      </c>
      <c r="G17" s="28" t="s">
        <v>334</v>
      </c>
      <c r="H17" s="28" t="s">
        <v>334</v>
      </c>
      <c r="I17" s="28" t="s">
        <v>334</v>
      </c>
      <c r="J17" s="28" t="s">
        <v>905</v>
      </c>
      <c r="K17" s="28" t="s">
        <v>905</v>
      </c>
      <c r="L17" s="28" t="s">
        <v>357</v>
      </c>
      <c r="M17" s="28" t="s">
        <v>180</v>
      </c>
      <c r="N17" s="28"/>
      <c r="O17" s="28"/>
      <c r="P17" s="29" t="s">
        <v>1000</v>
      </c>
      <c r="Q17" s="29" t="s">
        <v>1000</v>
      </c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178</v>
      </c>
      <c r="AB17" s="28"/>
      <c r="AC17" s="28"/>
      <c r="AD17" s="28"/>
      <c r="AE17" s="28"/>
      <c r="AF17" s="28"/>
      <c r="AG17" s="28"/>
      <c r="AH17" s="28" t="s">
        <v>178</v>
      </c>
    </row>
    <row r="18" spans="1:34" x14ac:dyDescent="0.25">
      <c r="A18" s="26" t="s">
        <v>182</v>
      </c>
      <c r="B18" s="30">
        <v>4</v>
      </c>
      <c r="C18" s="30">
        <v>2</v>
      </c>
      <c r="D18" s="30">
        <v>4</v>
      </c>
      <c r="E18" s="30">
        <f>AVERAGE(0.5,0.5,2)</f>
        <v>1</v>
      </c>
      <c r="F18" s="30">
        <v>0.5</v>
      </c>
      <c r="G18" s="30">
        <v>0.5</v>
      </c>
      <c r="H18" s="30">
        <v>0.5</v>
      </c>
      <c r="I18" s="30">
        <v>0.5</v>
      </c>
      <c r="J18" s="30">
        <f>AVERAGE(2,0.5)</f>
        <v>1.25</v>
      </c>
      <c r="K18" s="30">
        <f>AVERAGE(2,0.5)</f>
        <v>1.25</v>
      </c>
      <c r="L18" s="30">
        <f>AVERAGE(4,0.5)</f>
        <v>2.25</v>
      </c>
      <c r="M18" s="30">
        <f>AVERAGE(4,2)</f>
        <v>3</v>
      </c>
      <c r="N18" s="30"/>
      <c r="O18" s="30"/>
      <c r="P18" s="30">
        <f>AVERAGE(0,2)</f>
        <v>1</v>
      </c>
      <c r="Q18" s="30">
        <f>AVERAGE(0,2)</f>
        <v>1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v>4</v>
      </c>
      <c r="AB18" s="30"/>
      <c r="AC18" s="30"/>
      <c r="AD18" s="30"/>
      <c r="AE18" s="30"/>
      <c r="AF18" s="30"/>
      <c r="AG18" s="30"/>
      <c r="AH18" s="30">
        <v>4</v>
      </c>
    </row>
    <row r="20" spans="1:34" x14ac:dyDescent="0.25">
      <c r="A20" s="31" t="s">
        <v>183</v>
      </c>
    </row>
    <row r="21" spans="1:34" x14ac:dyDescent="0.25">
      <c r="A21" s="26" t="s">
        <v>1001</v>
      </c>
      <c r="B21" s="56" t="s">
        <v>298</v>
      </c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3DAF1-403C-4BCF-BA1B-0B70F3846DC7}">
  <dimension ref="A1:BF39"/>
  <sheetViews>
    <sheetView topLeftCell="W1" workbookViewId="0">
      <selection activeCell="C10" sqref="C10"/>
    </sheetView>
  </sheetViews>
  <sheetFormatPr defaultColWidth="9.140625" defaultRowHeight="15" x14ac:dyDescent="0.25"/>
  <cols>
    <col min="1" max="1" width="23.28515625" style="26" bestFit="1" customWidth="1"/>
    <col min="2" max="59" width="5.7109375" style="26" customWidth="1"/>
    <col min="60" max="16384" width="9.140625" style="26"/>
  </cols>
  <sheetData>
    <row r="1" spans="1:58" x14ac:dyDescent="0.25">
      <c r="A1" s="25" t="s">
        <v>116</v>
      </c>
      <c r="D1" s="25" t="s">
        <v>895</v>
      </c>
      <c r="I1" s="25" t="s">
        <v>896</v>
      </c>
    </row>
    <row r="3" spans="1:58" ht="18" x14ac:dyDescent="0.25">
      <c r="A3" s="25" t="s">
        <v>119</v>
      </c>
      <c r="B3" s="215">
        <v>64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58" ht="18" x14ac:dyDescent="0.25">
      <c r="A4" s="25" t="s">
        <v>121</v>
      </c>
      <c r="B4" s="215" t="s">
        <v>993</v>
      </c>
      <c r="C4" s="215"/>
      <c r="D4" s="215"/>
      <c r="F4" s="246" t="s">
        <v>1002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58" ht="18" x14ac:dyDescent="0.25">
      <c r="A5" s="25" t="s">
        <v>124</v>
      </c>
      <c r="B5" s="215" t="s">
        <v>917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58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  <c r="AJ7" s="32" t="s">
        <v>127</v>
      </c>
      <c r="AK7" s="32" t="s">
        <v>128</v>
      </c>
      <c r="AL7" s="33" t="s">
        <v>129</v>
      </c>
      <c r="AM7" s="34" t="s">
        <v>130</v>
      </c>
      <c r="AN7" s="38" t="s">
        <v>134</v>
      </c>
      <c r="AO7" s="39" t="s">
        <v>135</v>
      </c>
      <c r="AP7" s="39" t="s">
        <v>136</v>
      </c>
      <c r="AQ7" s="39" t="s">
        <v>137</v>
      </c>
      <c r="AR7" s="40" t="s">
        <v>138</v>
      </c>
      <c r="AS7" s="40" t="s">
        <v>139</v>
      </c>
      <c r="AT7" s="45" t="s">
        <v>144</v>
      </c>
      <c r="AU7" s="45" t="s">
        <v>145</v>
      </c>
      <c r="AV7" s="46" t="s">
        <v>146</v>
      </c>
      <c r="AW7" s="46" t="s">
        <v>147</v>
      </c>
      <c r="AX7" s="48" t="s">
        <v>150</v>
      </c>
      <c r="AY7" s="48" t="s">
        <v>151</v>
      </c>
      <c r="AZ7" s="49" t="s">
        <v>152</v>
      </c>
      <c r="BA7" s="49" t="s">
        <v>153</v>
      </c>
      <c r="BB7" s="49" t="s">
        <v>154</v>
      </c>
      <c r="BC7" s="50" t="s">
        <v>155</v>
      </c>
      <c r="BD7" s="51" t="s">
        <v>156</v>
      </c>
      <c r="BE7" s="53" t="s">
        <v>157</v>
      </c>
      <c r="BF7" s="53" t="s">
        <v>158</v>
      </c>
    </row>
    <row r="8" spans="1:58" x14ac:dyDescent="0.25">
      <c r="A8" s="26" t="s">
        <v>159</v>
      </c>
      <c r="B8" s="29" t="s">
        <v>315</v>
      </c>
      <c r="C8" s="29" t="s">
        <v>942</v>
      </c>
      <c r="D8" s="29" t="s">
        <v>942</v>
      </c>
      <c r="E8" s="29" t="s">
        <v>942</v>
      </c>
      <c r="F8" s="29" t="s">
        <v>942</v>
      </c>
      <c r="G8" s="29" t="s">
        <v>942</v>
      </c>
      <c r="H8" s="29" t="s">
        <v>942</v>
      </c>
      <c r="I8" s="29" t="s">
        <v>942</v>
      </c>
      <c r="J8" s="29" t="s">
        <v>1003</v>
      </c>
      <c r="K8" s="29" t="s">
        <v>942</v>
      </c>
      <c r="L8" s="29" t="s">
        <v>942</v>
      </c>
      <c r="M8" s="29" t="s">
        <v>942</v>
      </c>
      <c r="N8" s="29" t="s">
        <v>942</v>
      </c>
      <c r="O8" s="29" t="s">
        <v>942</v>
      </c>
      <c r="P8" s="29" t="s">
        <v>942</v>
      </c>
      <c r="Q8" s="29" t="s">
        <v>942</v>
      </c>
      <c r="R8" s="29" t="s">
        <v>942</v>
      </c>
      <c r="S8" s="29" t="s">
        <v>942</v>
      </c>
      <c r="T8" s="29" t="s">
        <v>942</v>
      </c>
      <c r="U8" s="29" t="s">
        <v>942</v>
      </c>
      <c r="V8" s="29" t="s">
        <v>1004</v>
      </c>
      <c r="W8" s="29" t="s">
        <v>942</v>
      </c>
      <c r="X8" s="29" t="s">
        <v>942</v>
      </c>
      <c r="Y8" s="29" t="s">
        <v>942</v>
      </c>
      <c r="Z8" s="29" t="s">
        <v>942</v>
      </c>
      <c r="AA8" s="29" t="s">
        <v>942</v>
      </c>
      <c r="AB8" s="29" t="s">
        <v>1004</v>
      </c>
      <c r="AC8" s="29" t="s">
        <v>1004</v>
      </c>
      <c r="AD8" s="29" t="s">
        <v>1004</v>
      </c>
      <c r="AE8" s="29" t="s">
        <v>1004</v>
      </c>
      <c r="AF8" s="29" t="s">
        <v>1004</v>
      </c>
      <c r="AG8" s="29" t="s">
        <v>942</v>
      </c>
      <c r="AH8" s="29" t="s">
        <v>942</v>
      </c>
      <c r="AJ8" s="29" t="s">
        <v>302</v>
      </c>
      <c r="AK8" s="29" t="s">
        <v>302</v>
      </c>
      <c r="AL8" s="29" t="s">
        <v>316</v>
      </c>
      <c r="AM8" s="29" t="s">
        <v>316</v>
      </c>
      <c r="AN8" s="29" t="s">
        <v>317</v>
      </c>
      <c r="AO8" s="29" t="s">
        <v>302</v>
      </c>
      <c r="AP8" s="29" t="s">
        <v>302</v>
      </c>
      <c r="AQ8" s="29" t="s">
        <v>302</v>
      </c>
      <c r="AR8" s="29" t="s">
        <v>302</v>
      </c>
      <c r="AS8" s="28" t="s">
        <v>302</v>
      </c>
      <c r="AT8" s="28" t="s">
        <v>1005</v>
      </c>
      <c r="AU8" s="29" t="s">
        <v>319</v>
      </c>
      <c r="AV8" s="28" t="s">
        <v>302</v>
      </c>
      <c r="AW8" s="28" t="s">
        <v>349</v>
      </c>
      <c r="AX8" s="29" t="s">
        <v>321</v>
      </c>
      <c r="AY8" s="29" t="s">
        <v>1006</v>
      </c>
      <c r="AZ8" s="29" t="s">
        <v>1007</v>
      </c>
      <c r="BA8" s="29" t="s">
        <v>1007</v>
      </c>
      <c r="BB8" s="29" t="s">
        <v>1005</v>
      </c>
      <c r="BC8" s="29" t="s">
        <v>1006</v>
      </c>
      <c r="BD8" s="29" t="s">
        <v>323</v>
      </c>
      <c r="BE8" s="29" t="s">
        <v>221</v>
      </c>
      <c r="BF8" s="29" t="s">
        <v>302</v>
      </c>
    </row>
    <row r="9" spans="1:58" x14ac:dyDescent="0.25">
      <c r="A9" s="26" t="s">
        <v>165</v>
      </c>
      <c r="B9" s="28" t="s">
        <v>303</v>
      </c>
      <c r="C9" s="29" t="s">
        <v>614</v>
      </c>
      <c r="D9" s="29" t="s">
        <v>614</v>
      </c>
      <c r="E9" s="29" t="s">
        <v>614</v>
      </c>
      <c r="F9" s="29" t="s">
        <v>614</v>
      </c>
      <c r="G9" s="29" t="s">
        <v>614</v>
      </c>
      <c r="H9" s="29" t="s">
        <v>614</v>
      </c>
      <c r="I9" s="29" t="s">
        <v>614</v>
      </c>
      <c r="J9" s="29" t="s">
        <v>614</v>
      </c>
      <c r="K9" s="29" t="s">
        <v>614</v>
      </c>
      <c r="L9" s="29" t="s">
        <v>614</v>
      </c>
      <c r="M9" s="29" t="s">
        <v>614</v>
      </c>
      <c r="N9" s="29" t="s">
        <v>614</v>
      </c>
      <c r="O9" s="29" t="s">
        <v>614</v>
      </c>
      <c r="P9" s="29" t="s">
        <v>614</v>
      </c>
      <c r="Q9" s="29" t="s">
        <v>614</v>
      </c>
      <c r="R9" s="29" t="s">
        <v>614</v>
      </c>
      <c r="S9" s="29" t="s">
        <v>614</v>
      </c>
      <c r="T9" s="29" t="s">
        <v>614</v>
      </c>
      <c r="U9" s="29" t="s">
        <v>614</v>
      </c>
      <c r="V9" s="29" t="s">
        <v>614</v>
      </c>
      <c r="W9" s="29" t="s">
        <v>614</v>
      </c>
      <c r="X9" s="29" t="s">
        <v>614</v>
      </c>
      <c r="Y9" s="29" t="s">
        <v>614</v>
      </c>
      <c r="Z9" s="29" t="s">
        <v>614</v>
      </c>
      <c r="AA9" s="29" t="s">
        <v>614</v>
      </c>
      <c r="AB9" s="29" t="s">
        <v>614</v>
      </c>
      <c r="AC9" s="29" t="s">
        <v>614</v>
      </c>
      <c r="AD9" s="29" t="s">
        <v>614</v>
      </c>
      <c r="AE9" s="29" t="s">
        <v>614</v>
      </c>
      <c r="AF9" s="29" t="s">
        <v>614</v>
      </c>
      <c r="AG9" s="29" t="s">
        <v>614</v>
      </c>
      <c r="AH9" s="29" t="s">
        <v>614</v>
      </c>
      <c r="AJ9" s="28" t="s">
        <v>324</v>
      </c>
      <c r="AK9" s="28" t="s">
        <v>324</v>
      </c>
      <c r="AL9" s="28" t="s">
        <v>283</v>
      </c>
      <c r="AM9" s="28" t="s">
        <v>283</v>
      </c>
      <c r="AN9" s="29" t="s">
        <v>1008</v>
      </c>
      <c r="AO9" s="28" t="s">
        <v>324</v>
      </c>
      <c r="AP9" s="28" t="s">
        <v>227</v>
      </c>
      <c r="AQ9" s="28" t="s">
        <v>324</v>
      </c>
      <c r="AR9" s="28" t="s">
        <v>227</v>
      </c>
      <c r="AS9" s="28" t="s">
        <v>324</v>
      </c>
      <c r="AT9" s="111" t="s">
        <v>328</v>
      </c>
      <c r="AU9" s="29" t="s">
        <v>329</v>
      </c>
      <c r="AV9" s="29" t="s">
        <v>353</v>
      </c>
      <c r="AW9" s="29" t="s">
        <v>353</v>
      </c>
      <c r="AX9" s="29" t="s">
        <v>331</v>
      </c>
      <c r="AY9" s="28" t="s">
        <v>1009</v>
      </c>
      <c r="AZ9" s="190" t="s">
        <v>1010</v>
      </c>
      <c r="BA9" s="190" t="s">
        <v>1010</v>
      </c>
      <c r="BB9" s="28" t="s">
        <v>1011</v>
      </c>
      <c r="BC9" s="28" t="s">
        <v>1009</v>
      </c>
      <c r="BD9" s="29" t="s">
        <v>332</v>
      </c>
      <c r="BE9" s="29" t="s">
        <v>225</v>
      </c>
      <c r="BF9" s="28" t="s">
        <v>227</v>
      </c>
    </row>
    <row r="10" spans="1:58" x14ac:dyDescent="0.25">
      <c r="A10" s="131" t="s">
        <v>168</v>
      </c>
      <c r="B10" s="157">
        <v>20</v>
      </c>
      <c r="C10" s="157">
        <v>151</v>
      </c>
      <c r="D10" s="157">
        <v>151</v>
      </c>
      <c r="E10" s="157">
        <v>151</v>
      </c>
      <c r="F10" s="157">
        <v>151</v>
      </c>
      <c r="G10" s="157">
        <v>151</v>
      </c>
      <c r="H10" s="157">
        <v>151</v>
      </c>
      <c r="I10" s="157">
        <v>151</v>
      </c>
      <c r="J10" s="157">
        <v>151</v>
      </c>
      <c r="K10" s="157">
        <v>151</v>
      </c>
      <c r="L10" s="157">
        <v>151</v>
      </c>
      <c r="M10" s="157">
        <v>151</v>
      </c>
      <c r="N10" s="157">
        <v>151</v>
      </c>
      <c r="O10" s="157">
        <v>151</v>
      </c>
      <c r="P10" s="157">
        <v>151</v>
      </c>
      <c r="Q10" s="157">
        <v>151</v>
      </c>
      <c r="R10" s="157">
        <v>151</v>
      </c>
      <c r="S10" s="157">
        <v>151</v>
      </c>
      <c r="T10" s="157">
        <v>151</v>
      </c>
      <c r="U10" s="157">
        <v>151</v>
      </c>
      <c r="V10" s="157">
        <v>151</v>
      </c>
      <c r="W10" s="157">
        <v>151</v>
      </c>
      <c r="X10" s="157">
        <v>151</v>
      </c>
      <c r="Y10" s="157">
        <v>151</v>
      </c>
      <c r="Z10" s="157">
        <v>151</v>
      </c>
      <c r="AA10" s="157">
        <v>151</v>
      </c>
      <c r="AB10" s="157">
        <v>151</v>
      </c>
      <c r="AC10" s="157">
        <v>151</v>
      </c>
      <c r="AD10" s="157">
        <v>151</v>
      </c>
      <c r="AE10" s="157">
        <v>151</v>
      </c>
      <c r="AF10" s="157">
        <v>151</v>
      </c>
      <c r="AG10" s="157">
        <v>151</v>
      </c>
      <c r="AH10" s="157">
        <v>151</v>
      </c>
      <c r="AJ10" s="157">
        <v>57</v>
      </c>
      <c r="AK10" s="157">
        <v>57</v>
      </c>
      <c r="AL10" s="157">
        <v>56</v>
      </c>
      <c r="AM10" s="157">
        <v>56</v>
      </c>
      <c r="AN10" s="157">
        <v>61</v>
      </c>
      <c r="AO10" s="157">
        <v>57</v>
      </c>
      <c r="AP10" s="157">
        <v>35</v>
      </c>
      <c r="AQ10" s="157">
        <v>57</v>
      </c>
      <c r="AR10" s="157">
        <v>35</v>
      </c>
      <c r="AS10" s="157">
        <v>57</v>
      </c>
      <c r="AT10" s="157">
        <v>111</v>
      </c>
      <c r="AU10" s="157">
        <v>108</v>
      </c>
      <c r="AV10" s="157">
        <v>153</v>
      </c>
      <c r="AW10" s="157">
        <v>153</v>
      </c>
      <c r="AX10" s="157">
        <v>18</v>
      </c>
      <c r="AY10" s="157">
        <v>187</v>
      </c>
      <c r="AZ10" s="157">
        <v>190</v>
      </c>
      <c r="BA10" s="157">
        <v>190</v>
      </c>
      <c r="BB10" s="157">
        <v>183</v>
      </c>
      <c r="BC10" s="157">
        <v>187</v>
      </c>
      <c r="BD10" s="157">
        <v>109</v>
      </c>
      <c r="BE10" s="157">
        <v>27</v>
      </c>
      <c r="BF10" s="157">
        <v>35</v>
      </c>
    </row>
    <row r="11" spans="1:58" x14ac:dyDescent="0.25">
      <c r="A11" s="26" t="s">
        <v>169</v>
      </c>
      <c r="B11" s="29" t="s">
        <v>170</v>
      </c>
      <c r="C11" s="28" t="s">
        <v>266</v>
      </c>
      <c r="D11" s="28" t="s">
        <v>266</v>
      </c>
      <c r="E11" s="28" t="s">
        <v>266</v>
      </c>
      <c r="F11" s="28" t="s">
        <v>266</v>
      </c>
      <c r="G11" s="28" t="s">
        <v>266</v>
      </c>
      <c r="H11" s="28" t="s">
        <v>266</v>
      </c>
      <c r="I11" s="28" t="s">
        <v>266</v>
      </c>
      <c r="J11" s="28" t="s">
        <v>266</v>
      </c>
      <c r="K11" s="28" t="s">
        <v>266</v>
      </c>
      <c r="L11" s="28" t="s">
        <v>266</v>
      </c>
      <c r="M11" s="28" t="s">
        <v>266</v>
      </c>
      <c r="N11" s="28" t="s">
        <v>266</v>
      </c>
      <c r="O11" s="28" t="s">
        <v>266</v>
      </c>
      <c r="P11" s="28" t="s">
        <v>266</v>
      </c>
      <c r="Q11" s="28" t="s">
        <v>266</v>
      </c>
      <c r="R11" s="28" t="s">
        <v>266</v>
      </c>
      <c r="S11" s="28" t="s">
        <v>266</v>
      </c>
      <c r="T11" s="28" t="s">
        <v>266</v>
      </c>
      <c r="U11" s="28" t="s">
        <v>266</v>
      </c>
      <c r="V11" s="28" t="s">
        <v>266</v>
      </c>
      <c r="W11" s="28" t="s">
        <v>266</v>
      </c>
      <c r="X11" s="28" t="s">
        <v>266</v>
      </c>
      <c r="Y11" s="28" t="s">
        <v>266</v>
      </c>
      <c r="Z11" s="28" t="s">
        <v>266</v>
      </c>
      <c r="AA11" s="28" t="s">
        <v>266</v>
      </c>
      <c r="AB11" s="28" t="s">
        <v>266</v>
      </c>
      <c r="AC11" s="28" t="s">
        <v>266</v>
      </c>
      <c r="AD11" s="28" t="s">
        <v>266</v>
      </c>
      <c r="AE11" s="28" t="s">
        <v>266</v>
      </c>
      <c r="AF11" s="28" t="s">
        <v>266</v>
      </c>
      <c r="AG11" s="28" t="s">
        <v>266</v>
      </c>
      <c r="AH11" s="28" t="s">
        <v>266</v>
      </c>
      <c r="AJ11" s="28" t="s">
        <v>170</v>
      </c>
      <c r="AK11" s="28" t="s">
        <v>170</v>
      </c>
      <c r="AL11" s="28" t="s">
        <v>170</v>
      </c>
      <c r="AM11" s="28" t="s">
        <v>170</v>
      </c>
      <c r="AN11" s="28" t="s">
        <v>170</v>
      </c>
      <c r="AO11" s="28" t="s">
        <v>170</v>
      </c>
      <c r="AP11" s="28" t="s">
        <v>170</v>
      </c>
      <c r="AQ11" s="28" t="s">
        <v>170</v>
      </c>
      <c r="AR11" s="28" t="s">
        <v>170</v>
      </c>
      <c r="AS11" s="28" t="s">
        <v>170</v>
      </c>
      <c r="AT11" s="28" t="s">
        <v>170</v>
      </c>
      <c r="AU11" s="28" t="s">
        <v>170</v>
      </c>
      <c r="AV11" s="29" t="s">
        <v>170</v>
      </c>
      <c r="AW11" s="29" t="s">
        <v>170</v>
      </c>
      <c r="AX11" s="28" t="s">
        <v>170</v>
      </c>
      <c r="AY11" s="28" t="s">
        <v>170</v>
      </c>
      <c r="AZ11" s="28" t="s">
        <v>170</v>
      </c>
      <c r="BA11" s="28" t="s">
        <v>170</v>
      </c>
      <c r="BB11" s="28" t="s">
        <v>170</v>
      </c>
      <c r="BC11" s="28" t="s">
        <v>170</v>
      </c>
      <c r="BD11" s="28" t="s">
        <v>170</v>
      </c>
      <c r="BE11" s="28" t="s">
        <v>170</v>
      </c>
      <c r="BF11" s="28" t="s">
        <v>170</v>
      </c>
    </row>
    <row r="12" spans="1:58" x14ac:dyDescent="0.25">
      <c r="A12" s="26" t="s">
        <v>171</v>
      </c>
      <c r="B12" s="29" t="s">
        <v>170</v>
      </c>
      <c r="C12" s="28" t="s">
        <v>266</v>
      </c>
      <c r="D12" s="28" t="s">
        <v>266</v>
      </c>
      <c r="E12" s="28" t="s">
        <v>266</v>
      </c>
      <c r="F12" s="28" t="s">
        <v>266</v>
      </c>
      <c r="G12" s="28" t="s">
        <v>266</v>
      </c>
      <c r="H12" s="28" t="s">
        <v>266</v>
      </c>
      <c r="I12" s="28" t="s">
        <v>266</v>
      </c>
      <c r="J12" s="28" t="s">
        <v>266</v>
      </c>
      <c r="K12" s="28" t="s">
        <v>266</v>
      </c>
      <c r="L12" s="28" t="s">
        <v>266</v>
      </c>
      <c r="M12" s="28" t="s">
        <v>266</v>
      </c>
      <c r="N12" s="28" t="s">
        <v>266</v>
      </c>
      <c r="O12" s="28" t="s">
        <v>266</v>
      </c>
      <c r="P12" s="28" t="s">
        <v>266</v>
      </c>
      <c r="Q12" s="28" t="s">
        <v>266</v>
      </c>
      <c r="R12" s="28" t="s">
        <v>266</v>
      </c>
      <c r="S12" s="28" t="s">
        <v>266</v>
      </c>
      <c r="T12" s="28" t="s">
        <v>266</v>
      </c>
      <c r="U12" s="28" t="s">
        <v>266</v>
      </c>
      <c r="V12" s="28" t="s">
        <v>266</v>
      </c>
      <c r="W12" s="28" t="s">
        <v>266</v>
      </c>
      <c r="X12" s="28" t="s">
        <v>266</v>
      </c>
      <c r="Y12" s="28" t="s">
        <v>266</v>
      </c>
      <c r="Z12" s="28" t="s">
        <v>266</v>
      </c>
      <c r="AA12" s="28" t="s">
        <v>266</v>
      </c>
      <c r="AB12" s="28" t="s">
        <v>266</v>
      </c>
      <c r="AC12" s="28" t="s">
        <v>266</v>
      </c>
      <c r="AD12" s="28" t="s">
        <v>266</v>
      </c>
      <c r="AE12" s="28" t="s">
        <v>266</v>
      </c>
      <c r="AF12" s="28" t="s">
        <v>266</v>
      </c>
      <c r="AG12" s="28" t="s">
        <v>266</v>
      </c>
      <c r="AH12" s="28" t="s">
        <v>266</v>
      </c>
      <c r="AJ12" s="28" t="s">
        <v>170</v>
      </c>
      <c r="AK12" s="28" t="s">
        <v>170</v>
      </c>
      <c r="AL12" s="28" t="s">
        <v>173</v>
      </c>
      <c r="AM12" s="28" t="s">
        <v>173</v>
      </c>
      <c r="AN12" s="28" t="s">
        <v>170</v>
      </c>
      <c r="AO12" s="28" t="s">
        <v>170</v>
      </c>
      <c r="AP12" s="28" t="s">
        <v>170</v>
      </c>
      <c r="AQ12" s="28" t="s">
        <v>170</v>
      </c>
      <c r="AR12" s="28" t="s">
        <v>170</v>
      </c>
      <c r="AS12" s="28" t="s">
        <v>170</v>
      </c>
      <c r="AT12" s="28" t="s">
        <v>170</v>
      </c>
      <c r="AU12" s="28" t="s">
        <v>170</v>
      </c>
      <c r="AV12" s="28" t="s">
        <v>170</v>
      </c>
      <c r="AW12" s="28" t="s">
        <v>170</v>
      </c>
      <c r="AX12" s="28" t="s">
        <v>170</v>
      </c>
      <c r="AY12" s="28" t="s">
        <v>170</v>
      </c>
      <c r="AZ12" s="28" t="s">
        <v>170</v>
      </c>
      <c r="BA12" s="28" t="s">
        <v>170</v>
      </c>
      <c r="BB12" s="28" t="s">
        <v>170</v>
      </c>
      <c r="BC12" s="28" t="s">
        <v>170</v>
      </c>
      <c r="BD12" s="28" t="s">
        <v>173</v>
      </c>
      <c r="BE12" s="28" t="s">
        <v>170</v>
      </c>
      <c r="BF12" s="28" t="s">
        <v>170</v>
      </c>
    </row>
    <row r="13" spans="1:58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 t="s">
        <v>173</v>
      </c>
      <c r="S13" s="28" t="s">
        <v>173</v>
      </c>
      <c r="T13" s="28" t="s">
        <v>173</v>
      </c>
      <c r="U13" s="28" t="s">
        <v>173</v>
      </c>
      <c r="V13" s="28" t="s">
        <v>173</v>
      </c>
      <c r="W13" s="28" t="s">
        <v>173</v>
      </c>
      <c r="X13" s="28" t="s">
        <v>173</v>
      </c>
      <c r="Y13" s="28" t="s">
        <v>173</v>
      </c>
      <c r="Z13" s="28" t="s">
        <v>173</v>
      </c>
      <c r="AA13" s="28" t="s">
        <v>173</v>
      </c>
      <c r="AB13" s="28" t="s">
        <v>173</v>
      </c>
      <c r="AC13" s="28" t="s">
        <v>173</v>
      </c>
      <c r="AD13" s="28" t="s">
        <v>173</v>
      </c>
      <c r="AE13" s="28" t="s">
        <v>173</v>
      </c>
      <c r="AF13" s="28" t="s">
        <v>173</v>
      </c>
      <c r="AG13" s="28" t="s">
        <v>173</v>
      </c>
      <c r="AH13" s="28" t="s">
        <v>173</v>
      </c>
      <c r="AJ13" s="28" t="s">
        <v>170</v>
      </c>
      <c r="AK13" s="28" t="s">
        <v>170</v>
      </c>
      <c r="AL13" s="28" t="s">
        <v>170</v>
      </c>
      <c r="AM13" s="28" t="s">
        <v>170</v>
      </c>
      <c r="AN13" s="28" t="s">
        <v>173</v>
      </c>
      <c r="AO13" s="28" t="s">
        <v>170</v>
      </c>
      <c r="AP13" s="28" t="s">
        <v>170</v>
      </c>
      <c r="AQ13" s="28" t="s">
        <v>170</v>
      </c>
      <c r="AR13" s="28" t="s">
        <v>170</v>
      </c>
      <c r="AS13" s="28" t="s">
        <v>170</v>
      </c>
      <c r="AT13" s="28" t="s">
        <v>170</v>
      </c>
      <c r="AU13" s="28" t="s">
        <v>170</v>
      </c>
      <c r="AV13" s="28" t="s">
        <v>287</v>
      </c>
      <c r="AW13" s="28" t="s">
        <v>287</v>
      </c>
      <c r="AX13" s="28" t="s">
        <v>173</v>
      </c>
      <c r="AY13" s="28" t="s">
        <v>170</v>
      </c>
      <c r="AZ13" s="28" t="s">
        <v>170</v>
      </c>
      <c r="BA13" s="28" t="s">
        <v>170</v>
      </c>
      <c r="BB13" s="28" t="s">
        <v>170</v>
      </c>
      <c r="BC13" s="28" t="s">
        <v>170</v>
      </c>
      <c r="BD13" s="130" t="s">
        <v>266</v>
      </c>
      <c r="BE13" s="28" t="s">
        <v>170</v>
      </c>
      <c r="BF13" s="28" t="s">
        <v>170</v>
      </c>
    </row>
    <row r="14" spans="1:58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 t="s">
        <v>173</v>
      </c>
      <c r="V14" s="28" t="s">
        <v>173</v>
      </c>
      <c r="W14" s="28" t="s">
        <v>173</v>
      </c>
      <c r="X14" s="28" t="s">
        <v>173</v>
      </c>
      <c r="Y14" s="28" t="s">
        <v>173</v>
      </c>
      <c r="Z14" s="28" t="s">
        <v>173</v>
      </c>
      <c r="AA14" s="28" t="s">
        <v>173</v>
      </c>
      <c r="AB14" s="28" t="s">
        <v>173</v>
      </c>
      <c r="AC14" s="28" t="s">
        <v>173</v>
      </c>
      <c r="AD14" s="28" t="s">
        <v>173</v>
      </c>
      <c r="AE14" s="28" t="s">
        <v>173</v>
      </c>
      <c r="AF14" s="28" t="s">
        <v>173</v>
      </c>
      <c r="AG14" s="28" t="s">
        <v>173</v>
      </c>
      <c r="AH14" s="28" t="s">
        <v>173</v>
      </c>
      <c r="AJ14" s="28" t="s">
        <v>173</v>
      </c>
      <c r="AK14" s="28" t="s">
        <v>173</v>
      </c>
      <c r="AL14" s="28" t="s">
        <v>173</v>
      </c>
      <c r="AM14" s="28" t="s">
        <v>173</v>
      </c>
      <c r="AN14" s="28" t="s">
        <v>173</v>
      </c>
      <c r="AO14" s="28" t="s">
        <v>173</v>
      </c>
      <c r="AP14" s="28" t="s">
        <v>173</v>
      </c>
      <c r="AQ14" s="28" t="s">
        <v>173</v>
      </c>
      <c r="AR14" s="28" t="s">
        <v>173</v>
      </c>
      <c r="AS14" s="28" t="s">
        <v>173</v>
      </c>
      <c r="AT14" s="28" t="s">
        <v>173</v>
      </c>
      <c r="AU14" s="28" t="s">
        <v>173</v>
      </c>
      <c r="AV14" s="28" t="s">
        <v>173</v>
      </c>
      <c r="AW14" s="28" t="s">
        <v>173</v>
      </c>
      <c r="AX14" s="28" t="s">
        <v>173</v>
      </c>
      <c r="AY14" s="28" t="s">
        <v>173</v>
      </c>
      <c r="AZ14" s="28" t="s">
        <v>173</v>
      </c>
      <c r="BA14" s="28" t="s">
        <v>173</v>
      </c>
      <c r="BB14" s="28" t="s">
        <v>173</v>
      </c>
      <c r="BC14" s="28" t="s">
        <v>173</v>
      </c>
      <c r="BD14" s="28" t="s">
        <v>173</v>
      </c>
      <c r="BE14" s="28" t="s">
        <v>173</v>
      </c>
      <c r="BF14" s="28" t="s">
        <v>173</v>
      </c>
    </row>
    <row r="15" spans="1:58" x14ac:dyDescent="0.25">
      <c r="A15" s="26" t="s">
        <v>175</v>
      </c>
      <c r="B15" s="28" t="s">
        <v>267</v>
      </c>
      <c r="C15" s="28" t="s">
        <v>199</v>
      </c>
      <c r="D15" s="28" t="s">
        <v>199</v>
      </c>
      <c r="E15" s="28" t="s">
        <v>199</v>
      </c>
      <c r="F15" s="28" t="s">
        <v>199</v>
      </c>
      <c r="G15" s="28" t="s">
        <v>199</v>
      </c>
      <c r="H15" s="28" t="s">
        <v>199</v>
      </c>
      <c r="I15" s="28" t="s">
        <v>199</v>
      </c>
      <c r="J15" s="28" t="s">
        <v>199</v>
      </c>
      <c r="K15" s="28" t="s">
        <v>199</v>
      </c>
      <c r="L15" s="28" t="s">
        <v>199</v>
      </c>
      <c r="M15" s="28" t="s">
        <v>199</v>
      </c>
      <c r="N15" s="28" t="s">
        <v>199</v>
      </c>
      <c r="O15" s="28" t="s">
        <v>199</v>
      </c>
      <c r="P15" s="28" t="s">
        <v>199</v>
      </c>
      <c r="Q15" s="28" t="s">
        <v>199</v>
      </c>
      <c r="R15" s="28" t="s">
        <v>199</v>
      </c>
      <c r="S15" s="28" t="s">
        <v>199</v>
      </c>
      <c r="T15" s="28" t="s">
        <v>199</v>
      </c>
      <c r="U15" s="28" t="s">
        <v>199</v>
      </c>
      <c r="V15" s="28" t="s">
        <v>199</v>
      </c>
      <c r="W15" s="28" t="s">
        <v>199</v>
      </c>
      <c r="X15" s="28" t="s">
        <v>199</v>
      </c>
      <c r="Y15" s="28" t="s">
        <v>199</v>
      </c>
      <c r="Z15" s="28" t="s">
        <v>199</v>
      </c>
      <c r="AA15" s="28" t="s">
        <v>199</v>
      </c>
      <c r="AB15" s="28" t="s">
        <v>199</v>
      </c>
      <c r="AC15" s="28" t="s">
        <v>199</v>
      </c>
      <c r="AD15" s="28" t="s">
        <v>199</v>
      </c>
      <c r="AE15" s="28" t="s">
        <v>199</v>
      </c>
      <c r="AF15" s="28" t="s">
        <v>199</v>
      </c>
      <c r="AG15" s="28" t="s">
        <v>199</v>
      </c>
      <c r="AH15" s="28" t="s">
        <v>199</v>
      </c>
      <c r="AJ15" s="28" t="s">
        <v>199</v>
      </c>
      <c r="AK15" s="28" t="s">
        <v>199</v>
      </c>
      <c r="AL15" s="28" t="s">
        <v>199</v>
      </c>
      <c r="AM15" s="28" t="s">
        <v>199</v>
      </c>
      <c r="AN15" s="28" t="s">
        <v>199</v>
      </c>
      <c r="AO15" s="28" t="s">
        <v>199</v>
      </c>
      <c r="AP15" s="28" t="s">
        <v>199</v>
      </c>
      <c r="AQ15" s="28" t="s">
        <v>199</v>
      </c>
      <c r="AR15" s="28" t="s">
        <v>199</v>
      </c>
      <c r="AS15" s="28" t="s">
        <v>199</v>
      </c>
      <c r="AT15" s="28" t="s">
        <v>198</v>
      </c>
      <c r="AU15" s="28" t="s">
        <v>268</v>
      </c>
      <c r="AV15" s="28" t="s">
        <v>199</v>
      </c>
      <c r="AW15" s="28" t="s">
        <v>199</v>
      </c>
      <c r="AX15" s="28" t="s">
        <v>199</v>
      </c>
      <c r="AY15" s="28" t="s">
        <v>199</v>
      </c>
      <c r="AZ15" s="28" t="s">
        <v>370</v>
      </c>
      <c r="BA15" s="28" t="s">
        <v>370</v>
      </c>
      <c r="BB15" s="28" t="s">
        <v>199</v>
      </c>
      <c r="BC15" s="28" t="s">
        <v>199</v>
      </c>
      <c r="BD15" s="28" t="s">
        <v>198</v>
      </c>
      <c r="BE15" s="28" t="s">
        <v>198</v>
      </c>
      <c r="BF15" s="28" t="s">
        <v>199</v>
      </c>
    </row>
    <row r="16" spans="1:58" x14ac:dyDescent="0.25">
      <c r="A16" s="26" t="s">
        <v>176</v>
      </c>
      <c r="B16" s="30">
        <v>-3</v>
      </c>
      <c r="C16" s="30">
        <v>-2</v>
      </c>
      <c r="D16" s="30">
        <v>-2</v>
      </c>
      <c r="E16" s="30">
        <v>-2</v>
      </c>
      <c r="F16" s="30">
        <v>-2</v>
      </c>
      <c r="G16" s="30">
        <v>-2</v>
      </c>
      <c r="H16" s="30">
        <v>-2</v>
      </c>
      <c r="I16" s="30">
        <v>-2</v>
      </c>
      <c r="J16" s="30">
        <v>-2</v>
      </c>
      <c r="K16" s="30">
        <v>-2</v>
      </c>
      <c r="L16" s="30">
        <v>-2</v>
      </c>
      <c r="M16" s="30">
        <v>-2</v>
      </c>
      <c r="N16" s="30">
        <v>-2</v>
      </c>
      <c r="O16" s="30">
        <v>-2</v>
      </c>
      <c r="P16" s="30">
        <v>-2</v>
      </c>
      <c r="Q16" s="30">
        <v>-2</v>
      </c>
      <c r="R16" s="30">
        <v>-2</v>
      </c>
      <c r="S16" s="30">
        <v>-2</v>
      </c>
      <c r="T16" s="30">
        <v>-2</v>
      </c>
      <c r="U16" s="30">
        <v>-2</v>
      </c>
      <c r="V16" s="30">
        <v>-2</v>
      </c>
      <c r="W16" s="30">
        <v>-2</v>
      </c>
      <c r="X16" s="30">
        <v>-2</v>
      </c>
      <c r="Y16" s="30">
        <v>-2</v>
      </c>
      <c r="Z16" s="30">
        <v>-2</v>
      </c>
      <c r="AA16" s="30">
        <v>-2</v>
      </c>
      <c r="AB16" s="30">
        <v>-2</v>
      </c>
      <c r="AC16" s="30">
        <v>-2</v>
      </c>
      <c r="AD16" s="30">
        <v>-2</v>
      </c>
      <c r="AE16" s="30">
        <v>-2</v>
      </c>
      <c r="AF16" s="30">
        <v>-2</v>
      </c>
      <c r="AG16" s="30">
        <v>-2</v>
      </c>
      <c r="AH16" s="30">
        <v>-2</v>
      </c>
      <c r="AJ16" s="30">
        <v>-0.5</v>
      </c>
      <c r="AK16" s="30">
        <v>-0.5</v>
      </c>
      <c r="AL16" s="30">
        <v>-0.5</v>
      </c>
      <c r="AM16" s="30">
        <v>-0.5</v>
      </c>
      <c r="AN16" s="30">
        <v>-2</v>
      </c>
      <c r="AO16" s="30">
        <v>-0.5</v>
      </c>
      <c r="AP16" s="30">
        <v>-0.5</v>
      </c>
      <c r="AQ16" s="30">
        <v>-0.5</v>
      </c>
      <c r="AR16" s="30">
        <v>-0.5</v>
      </c>
      <c r="AS16" s="30">
        <v>-0.5</v>
      </c>
      <c r="AT16" s="30">
        <v>1</v>
      </c>
      <c r="AU16" s="30">
        <f>AVERAGE(-0.5,1)</f>
        <v>0.25</v>
      </c>
      <c r="AV16" s="30">
        <f>AVERAGE(-2,-0.5)</f>
        <v>-1.25</v>
      </c>
      <c r="AW16" s="30">
        <f>AVERAGE(-2,-0.5)</f>
        <v>-1.25</v>
      </c>
      <c r="AX16" s="30">
        <v>-2</v>
      </c>
      <c r="AY16" s="30">
        <v>-0.5</v>
      </c>
      <c r="AZ16" s="30">
        <f>AVERAGE(1,-0.5)</f>
        <v>0.25</v>
      </c>
      <c r="BA16" s="30">
        <f>AVERAGE(1,-0.5)</f>
        <v>0.25</v>
      </c>
      <c r="BB16" s="30">
        <v>1</v>
      </c>
      <c r="BC16" s="30">
        <v>-0.5</v>
      </c>
      <c r="BD16" s="30">
        <f>AVERAGE(0.5,2)</f>
        <v>1.25</v>
      </c>
      <c r="BE16" s="30">
        <f>4/3</f>
        <v>1.3333333333333333</v>
      </c>
      <c r="BF16" s="30">
        <v>-0.5</v>
      </c>
    </row>
    <row r="17" spans="1:58" x14ac:dyDescent="0.25">
      <c r="A17" s="26" t="s">
        <v>177</v>
      </c>
      <c r="B17" s="28" t="s">
        <v>178</v>
      </c>
      <c r="C17" s="28" t="s">
        <v>537</v>
      </c>
      <c r="D17" s="28" t="s">
        <v>537</v>
      </c>
      <c r="E17" s="28" t="s">
        <v>537</v>
      </c>
      <c r="F17" s="28" t="s">
        <v>537</v>
      </c>
      <c r="G17" s="28" t="s">
        <v>537</v>
      </c>
      <c r="H17" s="28" t="s">
        <v>537</v>
      </c>
      <c r="I17" s="28" t="s">
        <v>537</v>
      </c>
      <c r="J17" s="28" t="s">
        <v>537</v>
      </c>
      <c r="K17" s="28" t="s">
        <v>537</v>
      </c>
      <c r="L17" s="28" t="s">
        <v>537</v>
      </c>
      <c r="M17" s="28" t="s">
        <v>537</v>
      </c>
      <c r="N17" s="28" t="s">
        <v>537</v>
      </c>
      <c r="O17" s="28" t="s">
        <v>537</v>
      </c>
      <c r="P17" s="28" t="s">
        <v>537</v>
      </c>
      <c r="Q17" s="28" t="s">
        <v>537</v>
      </c>
      <c r="R17" s="28" t="s">
        <v>537</v>
      </c>
      <c r="S17" s="28" t="s">
        <v>537</v>
      </c>
      <c r="T17" s="28" t="s">
        <v>537</v>
      </c>
      <c r="U17" s="28" t="s">
        <v>537</v>
      </c>
      <c r="V17" s="28" t="s">
        <v>537</v>
      </c>
      <c r="W17" s="28" t="s">
        <v>537</v>
      </c>
      <c r="X17" s="28" t="s">
        <v>537</v>
      </c>
      <c r="Y17" s="28" t="s">
        <v>537</v>
      </c>
      <c r="Z17" s="28" t="s">
        <v>537</v>
      </c>
      <c r="AA17" s="28" t="s">
        <v>537</v>
      </c>
      <c r="AB17" s="28" t="s">
        <v>537</v>
      </c>
      <c r="AC17" s="28" t="s">
        <v>537</v>
      </c>
      <c r="AD17" s="28" t="s">
        <v>537</v>
      </c>
      <c r="AE17" s="28" t="s">
        <v>537</v>
      </c>
      <c r="AF17" s="28" t="s">
        <v>537</v>
      </c>
      <c r="AG17" s="28" t="s">
        <v>537</v>
      </c>
      <c r="AH17" s="28" t="s">
        <v>537</v>
      </c>
      <c r="AJ17" s="28" t="s">
        <v>181</v>
      </c>
      <c r="AK17" s="28" t="s">
        <v>181</v>
      </c>
      <c r="AL17" s="28" t="s">
        <v>181</v>
      </c>
      <c r="AM17" s="28" t="s">
        <v>181</v>
      </c>
      <c r="AN17" s="28" t="s">
        <v>181</v>
      </c>
      <c r="AO17" s="28" t="s">
        <v>181</v>
      </c>
      <c r="AP17" s="28" t="s">
        <v>200</v>
      </c>
      <c r="AQ17" s="28" t="s">
        <v>181</v>
      </c>
      <c r="AR17" s="28" t="s">
        <v>200</v>
      </c>
      <c r="AS17" s="28" t="s">
        <v>181</v>
      </c>
      <c r="AT17" s="113" t="s">
        <v>269</v>
      </c>
      <c r="AU17" s="28" t="s">
        <v>292</v>
      </c>
      <c r="AV17" s="28" t="s">
        <v>293</v>
      </c>
      <c r="AW17" s="28" t="s">
        <v>293</v>
      </c>
      <c r="AX17" s="28" t="s">
        <v>178</v>
      </c>
      <c r="AY17" s="28" t="s">
        <v>1012</v>
      </c>
      <c r="AZ17" s="28" t="s">
        <v>1012</v>
      </c>
      <c r="BA17" s="28" t="s">
        <v>1012</v>
      </c>
      <c r="BB17" s="28" t="s">
        <v>1012</v>
      </c>
      <c r="BC17" s="28" t="s">
        <v>1012</v>
      </c>
      <c r="BD17" s="28" t="s">
        <v>181</v>
      </c>
      <c r="BE17" s="28" t="s">
        <v>200</v>
      </c>
      <c r="BF17" s="28" t="s">
        <v>200</v>
      </c>
    </row>
    <row r="18" spans="1:58" x14ac:dyDescent="0.25">
      <c r="A18" s="26" t="s">
        <v>182</v>
      </c>
      <c r="B18" s="30">
        <v>4</v>
      </c>
      <c r="C18" s="30">
        <f t="shared" ref="C18:J18" si="0">AVERAGE(1/3,0)</f>
        <v>0.16666666666666666</v>
      </c>
      <c r="D18" s="30">
        <f t="shared" si="0"/>
        <v>0.16666666666666666</v>
      </c>
      <c r="E18" s="30">
        <f t="shared" si="0"/>
        <v>0.16666666666666666</v>
      </c>
      <c r="F18" s="30">
        <f t="shared" si="0"/>
        <v>0.16666666666666666</v>
      </c>
      <c r="G18" s="30">
        <f t="shared" si="0"/>
        <v>0.16666666666666666</v>
      </c>
      <c r="H18" s="30">
        <f t="shared" si="0"/>
        <v>0.16666666666666666</v>
      </c>
      <c r="I18" s="30">
        <f t="shared" si="0"/>
        <v>0.16666666666666666</v>
      </c>
      <c r="J18" s="30">
        <f t="shared" si="0"/>
        <v>0.16666666666666666</v>
      </c>
      <c r="K18" s="30">
        <f t="shared" ref="K18:O18" si="1">AVERAGE(1/3,0)</f>
        <v>0.16666666666666666</v>
      </c>
      <c r="L18" s="30">
        <f t="shared" si="1"/>
        <v>0.16666666666666666</v>
      </c>
      <c r="M18" s="30">
        <f t="shared" si="1"/>
        <v>0.16666666666666666</v>
      </c>
      <c r="N18" s="30">
        <f t="shared" si="1"/>
        <v>0.16666666666666666</v>
      </c>
      <c r="O18" s="30">
        <f t="shared" si="1"/>
        <v>0.16666666666666666</v>
      </c>
      <c r="P18" s="30">
        <f>AVERAGE(1/3,0)</f>
        <v>0.16666666666666666</v>
      </c>
      <c r="Q18" s="30">
        <f>AVERAGE(1/3,0)</f>
        <v>0.16666666666666666</v>
      </c>
      <c r="R18" s="30">
        <f>AVERAGE(1/3,0)</f>
        <v>0.16666666666666666</v>
      </c>
      <c r="S18" s="30">
        <f>AVERAGE(1/3,0)</f>
        <v>0.16666666666666666</v>
      </c>
      <c r="T18" s="30">
        <f t="shared" ref="T18:Y18" si="2">AVERAGE(1/3,0)</f>
        <v>0.16666666666666666</v>
      </c>
      <c r="U18" s="30">
        <f t="shared" si="2"/>
        <v>0.16666666666666666</v>
      </c>
      <c r="V18" s="30">
        <f t="shared" si="2"/>
        <v>0.16666666666666666</v>
      </c>
      <c r="W18" s="30">
        <f t="shared" si="2"/>
        <v>0.16666666666666666</v>
      </c>
      <c r="X18" s="30">
        <f t="shared" si="2"/>
        <v>0.16666666666666666</v>
      </c>
      <c r="Y18" s="30">
        <f t="shared" si="2"/>
        <v>0.16666666666666666</v>
      </c>
      <c r="Z18" s="30">
        <f>AVERAGE(1/3,0)</f>
        <v>0.16666666666666666</v>
      </c>
      <c r="AA18" s="30">
        <f>AVERAGE(1/3,0)</f>
        <v>0.16666666666666666</v>
      </c>
      <c r="AB18" s="30">
        <f t="shared" ref="AB18:AD18" si="3">AVERAGE(1/3,0)</f>
        <v>0.16666666666666666</v>
      </c>
      <c r="AC18" s="30">
        <f t="shared" si="3"/>
        <v>0.16666666666666666</v>
      </c>
      <c r="AD18" s="30">
        <f t="shared" si="3"/>
        <v>0.16666666666666666</v>
      </c>
      <c r="AE18" s="30">
        <f t="shared" ref="AE18:AF18" si="4">AVERAGE(1/3,0)</f>
        <v>0.16666666666666666</v>
      </c>
      <c r="AF18" s="30">
        <f t="shared" si="4"/>
        <v>0.16666666666666666</v>
      </c>
      <c r="AG18" s="30">
        <f t="shared" ref="AG18:AH18" si="5">AVERAGE(1/3,0)</f>
        <v>0.16666666666666666</v>
      </c>
      <c r="AH18" s="30">
        <f t="shared" si="5"/>
        <v>0.16666666666666666</v>
      </c>
      <c r="AJ18" s="30">
        <v>2</v>
      </c>
      <c r="AK18" s="30">
        <v>2</v>
      </c>
      <c r="AL18" s="30">
        <v>2</v>
      </c>
      <c r="AM18" s="30">
        <v>2</v>
      </c>
      <c r="AN18" s="30">
        <v>2</v>
      </c>
      <c r="AO18" s="30">
        <v>2</v>
      </c>
      <c r="AP18" s="30">
        <v>3</v>
      </c>
      <c r="AQ18" s="30">
        <v>2</v>
      </c>
      <c r="AR18" s="30">
        <v>3</v>
      </c>
      <c r="AS18" s="30">
        <v>2</v>
      </c>
      <c r="AT18" s="30">
        <f>AVERAGE(2,2,3)</f>
        <v>2.3333333333333335</v>
      </c>
      <c r="AU18" s="30">
        <f>AVERAGE(3,2)</f>
        <v>2.5</v>
      </c>
      <c r="AV18" s="30">
        <f>AVERAGE(4,3)</f>
        <v>3.5</v>
      </c>
      <c r="AW18" s="30">
        <f>AVERAGE(4,3)</f>
        <v>3.5</v>
      </c>
      <c r="AX18" s="30">
        <v>4</v>
      </c>
      <c r="AY18" s="30">
        <v>3.75</v>
      </c>
      <c r="AZ18" s="30">
        <v>3.75</v>
      </c>
      <c r="BA18" s="30">
        <v>3.75</v>
      </c>
      <c r="BB18" s="30">
        <v>3.75</v>
      </c>
      <c r="BC18" s="30">
        <v>3.75</v>
      </c>
      <c r="BD18" s="30">
        <v>2</v>
      </c>
      <c r="BE18" s="30">
        <v>3</v>
      </c>
      <c r="BF18" s="30">
        <v>3</v>
      </c>
    </row>
    <row r="19" spans="1:58" ht="15.75" customHeight="1" x14ac:dyDescent="0.25">
      <c r="C19" s="78" t="s">
        <v>1013</v>
      </c>
      <c r="AJ19" s="78" t="s">
        <v>1014</v>
      </c>
    </row>
    <row r="20" spans="1:58" x14ac:dyDescent="0.25">
      <c r="A20" s="31" t="s">
        <v>183</v>
      </c>
    </row>
    <row r="21" spans="1:58" ht="30" x14ac:dyDescent="0.25">
      <c r="A21" s="186" t="s">
        <v>1015</v>
      </c>
      <c r="B21" s="56" t="s">
        <v>1016</v>
      </c>
    </row>
    <row r="22" spans="1:58" ht="15.75" customHeight="1" x14ac:dyDescent="0.25">
      <c r="A22" s="241" t="s">
        <v>1017</v>
      </c>
      <c r="B22" s="56" t="s">
        <v>1018</v>
      </c>
    </row>
    <row r="23" spans="1:58" x14ac:dyDescent="0.25">
      <c r="A23" s="239"/>
      <c r="B23" s="56" t="s">
        <v>1019</v>
      </c>
    </row>
    <row r="25" spans="1:58" x14ac:dyDescent="0.25">
      <c r="A25" s="26" t="s">
        <v>681</v>
      </c>
    </row>
    <row r="27" spans="1:58" x14ac:dyDescent="0.25">
      <c r="A27" s="26" t="s">
        <v>1020</v>
      </c>
      <c r="C27" s="188" t="s">
        <v>322</v>
      </c>
      <c r="D27" s="188"/>
      <c r="E27" s="188"/>
      <c r="F27" s="188"/>
      <c r="G27" s="188" t="s">
        <v>322</v>
      </c>
      <c r="H27" s="188"/>
      <c r="I27" s="188"/>
      <c r="J27" s="188"/>
      <c r="K27" s="189" t="s">
        <v>1021</v>
      </c>
      <c r="L27" s="189"/>
      <c r="M27" s="189"/>
      <c r="P27" s="188"/>
      <c r="Q27" s="188"/>
      <c r="R27" s="188"/>
      <c r="T27" s="188"/>
      <c r="U27" s="188"/>
      <c r="V27" s="188"/>
      <c r="W27" s="188"/>
      <c r="X27" s="188"/>
      <c r="Y27" s="188"/>
      <c r="Z27" s="188"/>
      <c r="AA27" s="189" t="s">
        <v>1021</v>
      </c>
      <c r="AB27" s="188"/>
      <c r="AC27" s="188"/>
      <c r="AD27" s="188"/>
      <c r="AE27" s="188"/>
      <c r="AF27" s="188"/>
      <c r="AG27" s="26" t="s">
        <v>1021</v>
      </c>
      <c r="AH27" s="26" t="s">
        <v>1021</v>
      </c>
    </row>
    <row r="28" spans="1:58" x14ac:dyDescent="0.25">
      <c r="A28" s="26" t="s">
        <v>1022</v>
      </c>
      <c r="C28" s="188" t="s">
        <v>341</v>
      </c>
      <c r="D28" s="188"/>
      <c r="E28" s="188"/>
      <c r="F28" s="188"/>
      <c r="G28" s="188" t="s">
        <v>341</v>
      </c>
      <c r="H28" s="188"/>
      <c r="I28" s="188"/>
      <c r="J28" s="26" t="s">
        <v>943</v>
      </c>
      <c r="K28" s="188" t="s">
        <v>322</v>
      </c>
      <c r="L28" s="188"/>
      <c r="M28" s="188"/>
      <c r="P28" s="188" t="s">
        <v>614</v>
      </c>
      <c r="Q28" s="188"/>
      <c r="T28" s="188"/>
      <c r="U28" s="26" t="s">
        <v>220</v>
      </c>
      <c r="W28" s="26" t="s">
        <v>1021</v>
      </c>
      <c r="AA28" s="188" t="s">
        <v>322</v>
      </c>
      <c r="AF28" s="54"/>
    </row>
    <row r="29" spans="1:58" x14ac:dyDescent="0.25">
      <c r="A29" s="26" t="s">
        <v>1023</v>
      </c>
      <c r="C29" s="189" t="s">
        <v>1021</v>
      </c>
      <c r="D29" s="188"/>
      <c r="E29" s="188"/>
      <c r="F29" s="188"/>
      <c r="G29" s="189" t="s">
        <v>1021</v>
      </c>
      <c r="H29" s="189"/>
      <c r="I29" s="189"/>
      <c r="J29" s="26" t="s">
        <v>1021</v>
      </c>
      <c r="P29" s="188" t="s">
        <v>341</v>
      </c>
      <c r="Q29" s="188"/>
      <c r="R29" s="188"/>
      <c r="T29" s="188"/>
      <c r="U29" s="188"/>
      <c r="W29" s="26" t="s">
        <v>1021</v>
      </c>
      <c r="X29" s="26" t="s">
        <v>1021</v>
      </c>
      <c r="Y29" s="26" t="s">
        <v>1021</v>
      </c>
      <c r="AA29" s="188" t="s">
        <v>614</v>
      </c>
      <c r="AF29" s="188"/>
    </row>
    <row r="30" spans="1:58" x14ac:dyDescent="0.25">
      <c r="A30" s="26" t="s">
        <v>1024</v>
      </c>
      <c r="C30" s="188" t="s">
        <v>341</v>
      </c>
      <c r="D30" s="188"/>
      <c r="E30" s="188"/>
      <c r="F30" s="188"/>
      <c r="G30" s="188" t="s">
        <v>341</v>
      </c>
      <c r="H30" s="188"/>
      <c r="I30" s="188"/>
      <c r="J30" s="54" t="s">
        <v>1008</v>
      </c>
      <c r="K30" s="188" t="s">
        <v>341</v>
      </c>
      <c r="L30" s="188"/>
      <c r="M30" s="188"/>
      <c r="P30" s="188" t="s">
        <v>341</v>
      </c>
      <c r="Q30" s="188"/>
      <c r="R30" s="26" t="s">
        <v>612</v>
      </c>
      <c r="T30" s="188"/>
      <c r="U30" s="188" t="s">
        <v>614</v>
      </c>
      <c r="W30" s="188"/>
      <c r="X30" s="188"/>
      <c r="Y30" s="26" t="s">
        <v>612</v>
      </c>
      <c r="Z30" s="188"/>
      <c r="AA30" s="188" t="s">
        <v>341</v>
      </c>
      <c r="AF30" s="188"/>
      <c r="AG30" s="188"/>
      <c r="AH30" s="188"/>
    </row>
    <row r="31" spans="1:58" x14ac:dyDescent="0.25">
      <c r="A31" s="26" t="s">
        <v>1025</v>
      </c>
      <c r="C31" s="188" t="s">
        <v>614</v>
      </c>
      <c r="D31" s="188"/>
      <c r="E31" s="188"/>
      <c r="F31" s="188"/>
      <c r="G31" s="188" t="s">
        <v>322</v>
      </c>
      <c r="H31" s="188"/>
      <c r="I31" s="188"/>
      <c r="J31" s="188" t="s">
        <v>322</v>
      </c>
      <c r="K31" s="188" t="s">
        <v>322</v>
      </c>
      <c r="L31" s="188"/>
      <c r="M31" s="188"/>
      <c r="P31" s="188" t="s">
        <v>614</v>
      </c>
      <c r="Q31" s="188"/>
      <c r="R31" s="188"/>
      <c r="X31" s="188"/>
      <c r="Y31" s="188"/>
    </row>
    <row r="32" spans="1:58" x14ac:dyDescent="0.25">
      <c r="A32" s="26" t="s">
        <v>1026</v>
      </c>
      <c r="C32" s="188" t="s">
        <v>1027</v>
      </c>
      <c r="D32" s="188"/>
      <c r="E32" s="188"/>
      <c r="F32" s="188"/>
      <c r="G32" s="188" t="s">
        <v>1027</v>
      </c>
      <c r="H32" s="188"/>
      <c r="I32" s="188"/>
      <c r="J32" s="188" t="s">
        <v>341</v>
      </c>
      <c r="K32" s="54" t="s">
        <v>324</v>
      </c>
      <c r="L32" s="54"/>
      <c r="M32" s="54"/>
      <c r="N32" s="188" t="s">
        <v>341</v>
      </c>
      <c r="P32" s="188" t="s">
        <v>341</v>
      </c>
      <c r="Q32" s="188"/>
      <c r="R32" s="188"/>
      <c r="S32" s="188" t="s">
        <v>341</v>
      </c>
      <c r="T32" s="188"/>
      <c r="U32" s="188"/>
      <c r="W32" s="188"/>
      <c r="X32" s="188"/>
      <c r="Y32" s="188"/>
      <c r="Z32" s="188"/>
      <c r="AA32" s="188" t="s">
        <v>341</v>
      </c>
      <c r="AB32" s="188"/>
      <c r="AC32" s="188"/>
      <c r="AD32" s="188"/>
      <c r="AE32" s="188"/>
      <c r="AF32" s="188"/>
    </row>
    <row r="33" spans="1:34" x14ac:dyDescent="0.25">
      <c r="A33" s="26" t="s">
        <v>1028</v>
      </c>
      <c r="C33" s="160" t="s">
        <v>1021</v>
      </c>
      <c r="G33" s="160" t="s">
        <v>1021</v>
      </c>
      <c r="H33" s="160"/>
      <c r="I33" s="160"/>
      <c r="K33" s="188" t="s">
        <v>341</v>
      </c>
      <c r="L33" s="188"/>
      <c r="M33" s="188"/>
      <c r="V33" s="26" t="s">
        <v>1021</v>
      </c>
      <c r="W33" s="188"/>
      <c r="AA33" s="160" t="s">
        <v>1021</v>
      </c>
      <c r="AB33" s="188"/>
      <c r="AC33" s="188"/>
      <c r="AD33" s="188"/>
      <c r="AE33" s="188"/>
    </row>
    <row r="34" spans="1:34" x14ac:dyDescent="0.25">
      <c r="A34" s="26" t="s">
        <v>1029</v>
      </c>
      <c r="C34" s="188"/>
      <c r="D34" s="188"/>
      <c r="E34" s="188"/>
      <c r="F34" s="188"/>
      <c r="G34" s="188" t="s">
        <v>1027</v>
      </c>
      <c r="H34" s="188"/>
      <c r="I34" s="188"/>
      <c r="J34" s="188" t="s">
        <v>341</v>
      </c>
      <c r="K34" s="54" t="s">
        <v>324</v>
      </c>
      <c r="L34" s="54"/>
      <c r="M34" s="54"/>
      <c r="P34" s="188" t="s">
        <v>614</v>
      </c>
      <c r="Q34" s="188"/>
      <c r="T34" s="54"/>
      <c r="V34" s="26" t="s">
        <v>1021</v>
      </c>
      <c r="W34" s="188"/>
      <c r="AA34" s="54" t="s">
        <v>1009</v>
      </c>
      <c r="AB34" s="188"/>
      <c r="AC34" s="188"/>
      <c r="AD34" s="188"/>
      <c r="AE34" s="188"/>
    </row>
    <row r="35" spans="1:34" x14ac:dyDescent="0.25">
      <c r="A35" s="26" t="s">
        <v>1030</v>
      </c>
      <c r="C35" s="188" t="s">
        <v>341</v>
      </c>
      <c r="D35" s="188"/>
      <c r="E35" s="188"/>
      <c r="F35" s="188"/>
      <c r="G35" s="188" t="s">
        <v>341</v>
      </c>
      <c r="H35" s="188"/>
      <c r="I35" s="188"/>
      <c r="J35" s="54"/>
      <c r="K35" s="54" t="s">
        <v>324</v>
      </c>
      <c r="L35" s="54"/>
      <c r="M35" s="54"/>
      <c r="N35" s="54"/>
      <c r="P35" s="188" t="s">
        <v>341</v>
      </c>
      <c r="Q35" s="188"/>
      <c r="T35" s="188"/>
      <c r="U35" s="188"/>
      <c r="V35" s="26" t="s">
        <v>612</v>
      </c>
      <c r="W35" s="188"/>
      <c r="X35" s="26" t="s">
        <v>1021</v>
      </c>
      <c r="Y35" s="26" t="s">
        <v>1021</v>
      </c>
      <c r="Z35" s="188"/>
      <c r="AA35" s="188" t="s">
        <v>341</v>
      </c>
      <c r="AF35" s="188"/>
      <c r="AG35" s="54"/>
      <c r="AH35" s="54"/>
    </row>
    <row r="36" spans="1:34" x14ac:dyDescent="0.25">
      <c r="A36" s="26" t="s">
        <v>1031</v>
      </c>
      <c r="C36" s="188" t="s">
        <v>341</v>
      </c>
      <c r="D36" s="188"/>
      <c r="E36" s="188"/>
      <c r="F36" s="188"/>
      <c r="G36" s="188" t="s">
        <v>341</v>
      </c>
      <c r="H36" s="189"/>
      <c r="I36" s="189"/>
      <c r="J36" s="188"/>
      <c r="K36" s="54" t="s">
        <v>324</v>
      </c>
      <c r="L36" s="187"/>
      <c r="M36" s="187"/>
      <c r="N36" s="54"/>
      <c r="P36" s="188" t="s">
        <v>341</v>
      </c>
      <c r="Q36" s="189"/>
      <c r="T36" s="54" t="s">
        <v>1027</v>
      </c>
      <c r="U36" s="54"/>
      <c r="V36" s="54"/>
      <c r="W36" s="54"/>
      <c r="X36" s="26" t="s">
        <v>1021</v>
      </c>
      <c r="Y36" s="26" t="s">
        <v>1021</v>
      </c>
      <c r="AA36" s="54" t="s">
        <v>1009</v>
      </c>
      <c r="AF36" s="54"/>
      <c r="AG36" s="54"/>
      <c r="AH36" s="54"/>
    </row>
    <row r="37" spans="1:34" x14ac:dyDescent="0.25">
      <c r="A37" s="26" t="s">
        <v>1032</v>
      </c>
      <c r="C37" s="54" t="s">
        <v>324</v>
      </c>
      <c r="D37" s="54"/>
      <c r="E37" s="54"/>
      <c r="F37" s="188"/>
      <c r="G37" s="188" t="s">
        <v>341</v>
      </c>
      <c r="H37" s="188"/>
      <c r="I37" s="188"/>
      <c r="J37" s="26" t="s">
        <v>943</v>
      </c>
      <c r="K37" s="54" t="s">
        <v>324</v>
      </c>
      <c r="L37" s="54"/>
      <c r="M37" s="54"/>
      <c r="N37" s="54"/>
      <c r="P37" s="188" t="s">
        <v>614</v>
      </c>
      <c r="Q37" s="188"/>
      <c r="R37" s="188"/>
      <c r="T37" s="54"/>
      <c r="W37" s="26" t="s">
        <v>220</v>
      </c>
      <c r="X37" s="188"/>
      <c r="Y37" s="188"/>
      <c r="Z37" s="54"/>
      <c r="AA37" s="54" t="s">
        <v>1009</v>
      </c>
      <c r="AF37" s="54"/>
      <c r="AG37" s="54"/>
      <c r="AH37" s="54"/>
    </row>
    <row r="38" spans="1:34" x14ac:dyDescent="0.25">
      <c r="A38" s="26" t="s">
        <v>1033</v>
      </c>
      <c r="C38" s="160"/>
      <c r="G38" s="188" t="s">
        <v>614</v>
      </c>
      <c r="H38" s="188"/>
      <c r="I38" s="188"/>
      <c r="J38" s="188"/>
      <c r="T38" s="54"/>
      <c r="U38" s="54"/>
      <c r="V38" s="188"/>
      <c r="W38" s="54"/>
      <c r="X38" s="188"/>
      <c r="Y38" s="188"/>
      <c r="Z38" s="54"/>
      <c r="AA38" s="54" t="s">
        <v>1009</v>
      </c>
      <c r="AB38" s="54"/>
      <c r="AC38" s="54"/>
      <c r="AD38" s="54"/>
      <c r="AE38" s="54"/>
      <c r="AF38" s="54"/>
      <c r="AG38" s="54"/>
      <c r="AH38" s="54"/>
    </row>
    <row r="39" spans="1:34" x14ac:dyDescent="0.25">
      <c r="A39" s="26" t="s">
        <v>1034</v>
      </c>
      <c r="C39" s="54" t="s">
        <v>324</v>
      </c>
      <c r="D39" s="54"/>
      <c r="E39" s="54"/>
      <c r="F39" s="54"/>
      <c r="G39" s="188" t="s">
        <v>341</v>
      </c>
      <c r="H39" s="188"/>
      <c r="I39" s="188"/>
      <c r="J39" s="26" t="s">
        <v>943</v>
      </c>
      <c r="K39" s="54" t="s">
        <v>324</v>
      </c>
      <c r="L39" s="54"/>
      <c r="M39" s="54"/>
      <c r="N39" s="54"/>
      <c r="P39" s="188" t="s">
        <v>614</v>
      </c>
      <c r="Q39" s="188"/>
      <c r="R39" s="188"/>
      <c r="T39" s="26" t="s">
        <v>1021</v>
      </c>
      <c r="U39" s="26" t="s">
        <v>1021</v>
      </c>
      <c r="V39" s="54"/>
      <c r="W39" s="188"/>
      <c r="X39" s="188"/>
      <c r="Y39" s="188"/>
      <c r="AA39" s="54" t="s">
        <v>1009</v>
      </c>
      <c r="AF39" s="54"/>
      <c r="AG39" s="54"/>
      <c r="AH39" s="54"/>
    </row>
  </sheetData>
  <mergeCells count="6">
    <mergeCell ref="A22:A23"/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D3B64-412A-42D4-9C4C-4A5724B75CFC}">
  <dimension ref="A1:AH21"/>
  <sheetViews>
    <sheetView zoomScaleNormal="100" workbookViewId="0">
      <selection activeCell="B7" sqref="B7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895</v>
      </c>
      <c r="I1" s="25" t="s">
        <v>896</v>
      </c>
    </row>
    <row r="3" spans="1:34" ht="18" x14ac:dyDescent="0.25">
      <c r="A3" s="25" t="s">
        <v>119</v>
      </c>
      <c r="B3" s="215">
        <v>65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1035</v>
      </c>
      <c r="C4" s="215"/>
      <c r="D4" s="215"/>
      <c r="F4" s="216" t="s">
        <v>1036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899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29" t="s">
        <v>378</v>
      </c>
      <c r="C8" s="29" t="s">
        <v>379</v>
      </c>
      <c r="D8" s="29" t="s">
        <v>379</v>
      </c>
      <c r="E8" s="29" t="s">
        <v>379</v>
      </c>
      <c r="F8" s="29" t="s">
        <v>379</v>
      </c>
      <c r="G8" s="29" t="s">
        <v>379</v>
      </c>
      <c r="H8" s="29" t="s">
        <v>379</v>
      </c>
      <c r="I8" s="29" t="s">
        <v>379</v>
      </c>
      <c r="J8" s="29" t="s">
        <v>379</v>
      </c>
      <c r="K8" s="29" t="s">
        <v>379</v>
      </c>
      <c r="L8" s="29" t="s">
        <v>379</v>
      </c>
      <c r="M8" s="29" t="s">
        <v>379</v>
      </c>
      <c r="N8" s="29" t="s">
        <v>379</v>
      </c>
      <c r="O8" s="29" t="s">
        <v>379</v>
      </c>
      <c r="P8" s="29" t="s">
        <v>379</v>
      </c>
      <c r="Q8" s="29" t="s">
        <v>379</v>
      </c>
      <c r="R8" s="29" t="s">
        <v>379</v>
      </c>
      <c r="S8" s="29" t="s">
        <v>379</v>
      </c>
      <c r="T8" s="29" t="s">
        <v>379</v>
      </c>
      <c r="U8" s="29" t="s">
        <v>379</v>
      </c>
      <c r="V8" s="29" t="s">
        <v>379</v>
      </c>
      <c r="W8" s="29" t="s">
        <v>379</v>
      </c>
      <c r="X8" s="29" t="s">
        <v>379</v>
      </c>
      <c r="Y8" s="29" t="s">
        <v>379</v>
      </c>
      <c r="Z8" s="29" t="s">
        <v>379</v>
      </c>
      <c r="AA8" s="29" t="s">
        <v>379</v>
      </c>
      <c r="AB8" s="29" t="s">
        <v>379</v>
      </c>
      <c r="AC8" s="29" t="s">
        <v>379</v>
      </c>
      <c r="AD8" s="29" t="s">
        <v>379</v>
      </c>
      <c r="AE8" s="29" t="s">
        <v>379</v>
      </c>
      <c r="AF8" s="29" t="s">
        <v>379</v>
      </c>
      <c r="AG8" s="29" t="s">
        <v>379</v>
      </c>
      <c r="AH8" s="29" t="s">
        <v>379</v>
      </c>
    </row>
    <row r="9" spans="1:34" x14ac:dyDescent="0.25">
      <c r="A9" s="26" t="s">
        <v>165</v>
      </c>
      <c r="B9" s="28" t="s">
        <v>379</v>
      </c>
      <c r="C9" s="28" t="s">
        <v>379</v>
      </c>
      <c r="D9" s="28" t="s">
        <v>379</v>
      </c>
      <c r="E9" s="28" t="s">
        <v>379</v>
      </c>
      <c r="F9" s="28" t="s">
        <v>379</v>
      </c>
      <c r="G9" s="28" t="s">
        <v>379</v>
      </c>
      <c r="H9" s="28" t="s">
        <v>379</v>
      </c>
      <c r="I9" s="28" t="s">
        <v>379</v>
      </c>
      <c r="J9" s="28" t="s">
        <v>379</v>
      </c>
      <c r="K9" s="28" t="s">
        <v>379</v>
      </c>
      <c r="L9" s="28" t="s">
        <v>379</v>
      </c>
      <c r="M9" s="28" t="s">
        <v>379</v>
      </c>
      <c r="N9" s="28" t="s">
        <v>379</v>
      </c>
      <c r="O9" s="28" t="s">
        <v>379</v>
      </c>
      <c r="P9" s="28" t="s">
        <v>379</v>
      </c>
      <c r="Q9" s="28" t="s">
        <v>379</v>
      </c>
      <c r="R9" s="28" t="s">
        <v>379</v>
      </c>
      <c r="S9" s="28" t="s">
        <v>379</v>
      </c>
      <c r="T9" s="28" t="s">
        <v>379</v>
      </c>
      <c r="U9" s="28" t="s">
        <v>379</v>
      </c>
      <c r="V9" s="28" t="s">
        <v>379</v>
      </c>
      <c r="W9" s="28" t="s">
        <v>379</v>
      </c>
      <c r="X9" s="28" t="s">
        <v>379</v>
      </c>
      <c r="Y9" s="28" t="s">
        <v>379</v>
      </c>
      <c r="Z9" s="28" t="s">
        <v>379</v>
      </c>
      <c r="AA9" s="28" t="s">
        <v>379</v>
      </c>
      <c r="AB9" s="28" t="s">
        <v>379</v>
      </c>
      <c r="AC9" s="28" t="s">
        <v>379</v>
      </c>
      <c r="AD9" s="28" t="s">
        <v>379</v>
      </c>
      <c r="AE9" s="28" t="s">
        <v>379</v>
      </c>
      <c r="AF9" s="28" t="s">
        <v>379</v>
      </c>
      <c r="AG9" s="28" t="s">
        <v>379</v>
      </c>
      <c r="AH9" s="28" t="s">
        <v>379</v>
      </c>
    </row>
    <row r="10" spans="1:34" x14ac:dyDescent="0.25">
      <c r="A10" s="131" t="s">
        <v>168</v>
      </c>
      <c r="B10" s="157">
        <v>70</v>
      </c>
      <c r="C10" s="157">
        <v>70</v>
      </c>
      <c r="D10" s="157">
        <v>70</v>
      </c>
      <c r="E10" s="157">
        <v>70</v>
      </c>
      <c r="F10" s="157">
        <v>70</v>
      </c>
      <c r="G10" s="157">
        <v>70</v>
      </c>
      <c r="H10" s="157">
        <v>70</v>
      </c>
      <c r="I10" s="157">
        <v>70</v>
      </c>
      <c r="J10" s="157">
        <v>70</v>
      </c>
      <c r="K10" s="157">
        <v>70</v>
      </c>
      <c r="L10" s="157">
        <v>70</v>
      </c>
      <c r="M10" s="157">
        <v>70</v>
      </c>
      <c r="N10" s="157">
        <v>70</v>
      </c>
      <c r="O10" s="157">
        <v>70</v>
      </c>
      <c r="P10" s="157">
        <v>70</v>
      </c>
      <c r="Q10" s="157">
        <v>70</v>
      </c>
      <c r="R10" s="157">
        <v>70</v>
      </c>
      <c r="S10" s="157">
        <v>70</v>
      </c>
      <c r="T10" s="157">
        <v>70</v>
      </c>
      <c r="U10" s="157">
        <v>70</v>
      </c>
      <c r="V10" s="157">
        <v>70</v>
      </c>
      <c r="W10" s="157">
        <v>70</v>
      </c>
      <c r="X10" s="157">
        <v>70</v>
      </c>
      <c r="Y10" s="157">
        <v>70</v>
      </c>
      <c r="Z10" s="157">
        <v>70</v>
      </c>
      <c r="AA10" s="157">
        <v>70</v>
      </c>
      <c r="AB10" s="157">
        <v>70</v>
      </c>
      <c r="AC10" s="157">
        <v>70</v>
      </c>
      <c r="AD10" s="157">
        <v>70</v>
      </c>
      <c r="AE10" s="157">
        <v>70</v>
      </c>
      <c r="AF10" s="157">
        <v>70</v>
      </c>
      <c r="AG10" s="157">
        <v>70</v>
      </c>
      <c r="AH10" s="157">
        <v>70</v>
      </c>
    </row>
    <row r="11" spans="1:34" x14ac:dyDescent="0.25">
      <c r="A11" s="26" t="s">
        <v>169</v>
      </c>
      <c r="B11" s="29" t="s">
        <v>170</v>
      </c>
      <c r="C11" s="29" t="s">
        <v>170</v>
      </c>
      <c r="D11" s="29" t="s">
        <v>170</v>
      </c>
      <c r="E11" s="29" t="s">
        <v>170</v>
      </c>
      <c r="F11" s="29" t="s">
        <v>170</v>
      </c>
      <c r="G11" s="29" t="s">
        <v>170</v>
      </c>
      <c r="H11" s="29" t="s">
        <v>170</v>
      </c>
      <c r="I11" s="29" t="s">
        <v>170</v>
      </c>
      <c r="J11" s="29" t="s">
        <v>170</v>
      </c>
      <c r="K11" s="29" t="s">
        <v>170</v>
      </c>
      <c r="L11" s="29" t="s">
        <v>170</v>
      </c>
      <c r="M11" s="29" t="s">
        <v>170</v>
      </c>
      <c r="N11" s="29" t="s">
        <v>170</v>
      </c>
      <c r="O11" s="29" t="s">
        <v>170</v>
      </c>
      <c r="P11" s="29" t="s">
        <v>170</v>
      </c>
      <c r="Q11" s="29" t="s">
        <v>170</v>
      </c>
      <c r="R11" s="29" t="s">
        <v>170</v>
      </c>
      <c r="S11" s="29" t="s">
        <v>170</v>
      </c>
      <c r="T11" s="29" t="s">
        <v>170</v>
      </c>
      <c r="U11" s="29" t="s">
        <v>170</v>
      </c>
      <c r="V11" s="29" t="s">
        <v>170</v>
      </c>
      <c r="W11" s="29" t="s">
        <v>170</v>
      </c>
      <c r="X11" s="29" t="s">
        <v>170</v>
      </c>
      <c r="Y11" s="29" t="s">
        <v>170</v>
      </c>
      <c r="Z11" s="29" t="s">
        <v>170</v>
      </c>
      <c r="AA11" s="29" t="s">
        <v>170</v>
      </c>
      <c r="AB11" s="29" t="s">
        <v>170</v>
      </c>
      <c r="AC11" s="29" t="s">
        <v>170</v>
      </c>
      <c r="AD11" s="29" t="s">
        <v>170</v>
      </c>
      <c r="AE11" s="29" t="s">
        <v>170</v>
      </c>
      <c r="AF11" s="29" t="s">
        <v>170</v>
      </c>
      <c r="AG11" s="29" t="s">
        <v>170</v>
      </c>
      <c r="AH11" s="29" t="s">
        <v>170</v>
      </c>
    </row>
    <row r="12" spans="1:34" x14ac:dyDescent="0.25">
      <c r="A12" s="26" t="s">
        <v>171</v>
      </c>
      <c r="B12" s="29" t="s">
        <v>170</v>
      </c>
      <c r="C12" s="29" t="s">
        <v>170</v>
      </c>
      <c r="D12" s="29" t="s">
        <v>170</v>
      </c>
      <c r="E12" s="29" t="s">
        <v>170</v>
      </c>
      <c r="F12" s="29" t="s">
        <v>170</v>
      </c>
      <c r="G12" s="29" t="s">
        <v>170</v>
      </c>
      <c r="H12" s="29" t="s">
        <v>170</v>
      </c>
      <c r="I12" s="29" t="s">
        <v>170</v>
      </c>
      <c r="J12" s="29" t="s">
        <v>170</v>
      </c>
      <c r="K12" s="29" t="s">
        <v>170</v>
      </c>
      <c r="L12" s="29" t="s">
        <v>170</v>
      </c>
      <c r="M12" s="29" t="s">
        <v>170</v>
      </c>
      <c r="N12" s="29" t="s">
        <v>170</v>
      </c>
      <c r="O12" s="29" t="s">
        <v>170</v>
      </c>
      <c r="P12" s="29" t="s">
        <v>170</v>
      </c>
      <c r="Q12" s="29" t="s">
        <v>170</v>
      </c>
      <c r="R12" s="29" t="s">
        <v>170</v>
      </c>
      <c r="S12" s="29" t="s">
        <v>170</v>
      </c>
      <c r="T12" s="29" t="s">
        <v>170</v>
      </c>
      <c r="U12" s="29" t="s">
        <v>170</v>
      </c>
      <c r="V12" s="29" t="s">
        <v>170</v>
      </c>
      <c r="W12" s="29" t="s">
        <v>170</v>
      </c>
      <c r="X12" s="29" t="s">
        <v>170</v>
      </c>
      <c r="Y12" s="29" t="s">
        <v>170</v>
      </c>
      <c r="Z12" s="29" t="s">
        <v>170</v>
      </c>
      <c r="AA12" s="29" t="s">
        <v>170</v>
      </c>
      <c r="AB12" s="29" t="s">
        <v>170</v>
      </c>
      <c r="AC12" s="29" t="s">
        <v>170</v>
      </c>
      <c r="AD12" s="29" t="s">
        <v>170</v>
      </c>
      <c r="AE12" s="29" t="s">
        <v>170</v>
      </c>
      <c r="AF12" s="29" t="s">
        <v>170</v>
      </c>
      <c r="AG12" s="29" t="s">
        <v>170</v>
      </c>
      <c r="AH12" s="29" t="s">
        <v>170</v>
      </c>
    </row>
    <row r="13" spans="1:34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 t="s">
        <v>173</v>
      </c>
      <c r="S13" s="28" t="s">
        <v>173</v>
      </c>
      <c r="T13" s="28" t="s">
        <v>173</v>
      </c>
      <c r="U13" s="28" t="s">
        <v>173</v>
      </c>
      <c r="V13" s="28" t="s">
        <v>173</v>
      </c>
      <c r="W13" s="28" t="s">
        <v>173</v>
      </c>
      <c r="X13" s="28" t="s">
        <v>173</v>
      </c>
      <c r="Y13" s="28" t="s">
        <v>173</v>
      </c>
      <c r="Z13" s="28" t="s">
        <v>173</v>
      </c>
      <c r="AA13" s="28" t="s">
        <v>173</v>
      </c>
      <c r="AB13" s="28" t="s">
        <v>173</v>
      </c>
      <c r="AC13" s="28" t="s">
        <v>173</v>
      </c>
      <c r="AD13" s="28" t="s">
        <v>173</v>
      </c>
      <c r="AE13" s="28" t="s">
        <v>173</v>
      </c>
      <c r="AF13" s="28" t="s">
        <v>173</v>
      </c>
      <c r="AG13" s="28" t="s">
        <v>173</v>
      </c>
      <c r="AH13" s="28" t="s">
        <v>173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 t="s">
        <v>173</v>
      </c>
      <c r="V14" s="28" t="s">
        <v>173</v>
      </c>
      <c r="W14" s="28" t="s">
        <v>173</v>
      </c>
      <c r="X14" s="28" t="s">
        <v>173</v>
      </c>
      <c r="Y14" s="28" t="s">
        <v>173</v>
      </c>
      <c r="Z14" s="28" t="s">
        <v>173</v>
      </c>
      <c r="AA14" s="28" t="s">
        <v>173</v>
      </c>
      <c r="AB14" s="28" t="s">
        <v>173</v>
      </c>
      <c r="AC14" s="28" t="s">
        <v>173</v>
      </c>
      <c r="AD14" s="28" t="s">
        <v>173</v>
      </c>
      <c r="AE14" s="28" t="s">
        <v>173</v>
      </c>
      <c r="AF14" s="28" t="s">
        <v>173</v>
      </c>
      <c r="AG14" s="28" t="s">
        <v>173</v>
      </c>
      <c r="AH14" s="28" t="s">
        <v>173</v>
      </c>
    </row>
    <row r="15" spans="1:34" x14ac:dyDescent="0.25">
      <c r="A15" s="26" t="s">
        <v>175</v>
      </c>
      <c r="B15" s="28" t="s">
        <v>160</v>
      </c>
      <c r="C15" s="28" t="s">
        <v>160</v>
      </c>
      <c r="D15" s="28" t="s">
        <v>160</v>
      </c>
      <c r="E15" s="28" t="s">
        <v>160</v>
      </c>
      <c r="F15" s="28" t="s">
        <v>160</v>
      </c>
      <c r="G15" s="28" t="s">
        <v>160</v>
      </c>
      <c r="H15" s="28" t="s">
        <v>160</v>
      </c>
      <c r="I15" s="28" t="s">
        <v>160</v>
      </c>
      <c r="J15" s="28" t="s">
        <v>160</v>
      </c>
      <c r="K15" s="28" t="s">
        <v>160</v>
      </c>
      <c r="L15" s="28" t="s">
        <v>160</v>
      </c>
      <c r="M15" s="28" t="s">
        <v>160</v>
      </c>
      <c r="N15" s="28" t="s">
        <v>160</v>
      </c>
      <c r="O15" s="28" t="s">
        <v>160</v>
      </c>
      <c r="P15" s="28" t="s">
        <v>160</v>
      </c>
      <c r="Q15" s="28" t="s">
        <v>160</v>
      </c>
      <c r="R15" s="28" t="s">
        <v>160</v>
      </c>
      <c r="S15" s="28" t="s">
        <v>160</v>
      </c>
      <c r="T15" s="28" t="s">
        <v>160</v>
      </c>
      <c r="U15" s="28" t="s">
        <v>160</v>
      </c>
      <c r="V15" s="28" t="s">
        <v>160</v>
      </c>
      <c r="W15" s="28" t="s">
        <v>160</v>
      </c>
      <c r="X15" s="28" t="s">
        <v>160</v>
      </c>
      <c r="Y15" s="28" t="s">
        <v>160</v>
      </c>
      <c r="Z15" s="28" t="s">
        <v>160</v>
      </c>
      <c r="AA15" s="28" t="s">
        <v>160</v>
      </c>
      <c r="AB15" s="28" t="s">
        <v>160</v>
      </c>
      <c r="AC15" s="28" t="s">
        <v>160</v>
      </c>
      <c r="AD15" s="28" t="s">
        <v>160</v>
      </c>
      <c r="AE15" s="28" t="s">
        <v>160</v>
      </c>
      <c r="AF15" s="28" t="s">
        <v>160</v>
      </c>
      <c r="AG15" s="28" t="s">
        <v>160</v>
      </c>
      <c r="AH15" s="28" t="s">
        <v>160</v>
      </c>
    </row>
    <row r="16" spans="1:34" x14ac:dyDescent="0.25">
      <c r="A16" s="26" t="s">
        <v>176</v>
      </c>
      <c r="B16" s="30">
        <v>3</v>
      </c>
      <c r="C16" s="30">
        <v>3</v>
      </c>
      <c r="D16" s="30">
        <v>3</v>
      </c>
      <c r="E16" s="30">
        <v>3</v>
      </c>
      <c r="F16" s="30">
        <v>3</v>
      </c>
      <c r="G16" s="30">
        <v>3</v>
      </c>
      <c r="H16" s="30">
        <v>3</v>
      </c>
      <c r="I16" s="30">
        <v>3</v>
      </c>
      <c r="J16" s="30">
        <v>3</v>
      </c>
      <c r="K16" s="30">
        <v>3</v>
      </c>
      <c r="L16" s="30">
        <v>3</v>
      </c>
      <c r="M16" s="30">
        <v>3</v>
      </c>
      <c r="N16" s="30">
        <v>3</v>
      </c>
      <c r="O16" s="30">
        <v>3</v>
      </c>
      <c r="P16" s="30">
        <v>3</v>
      </c>
      <c r="Q16" s="30">
        <v>3</v>
      </c>
      <c r="R16" s="30">
        <v>3</v>
      </c>
      <c r="S16" s="30">
        <v>3</v>
      </c>
      <c r="T16" s="30">
        <v>3</v>
      </c>
      <c r="U16" s="30">
        <v>3</v>
      </c>
      <c r="V16" s="30">
        <v>3</v>
      </c>
      <c r="W16" s="30">
        <v>3</v>
      </c>
      <c r="X16" s="30">
        <v>3</v>
      </c>
      <c r="Y16" s="30">
        <v>3</v>
      </c>
      <c r="Z16" s="30">
        <v>3</v>
      </c>
      <c r="AA16" s="30">
        <v>3</v>
      </c>
      <c r="AB16" s="30">
        <v>3</v>
      </c>
      <c r="AC16" s="30">
        <v>3</v>
      </c>
      <c r="AD16" s="30">
        <v>3</v>
      </c>
      <c r="AE16" s="30">
        <v>3</v>
      </c>
      <c r="AF16" s="30">
        <v>3</v>
      </c>
      <c r="AG16" s="30">
        <v>3</v>
      </c>
      <c r="AH16" s="30">
        <v>3</v>
      </c>
    </row>
    <row r="17" spans="1:34" x14ac:dyDescent="0.25">
      <c r="A17" s="26" t="s">
        <v>177</v>
      </c>
      <c r="B17" s="28" t="s">
        <v>365</v>
      </c>
      <c r="C17" s="28" t="s">
        <v>365</v>
      </c>
      <c r="D17" s="28" t="s">
        <v>365</v>
      </c>
      <c r="E17" s="28" t="s">
        <v>365</v>
      </c>
      <c r="F17" s="28" t="s">
        <v>365</v>
      </c>
      <c r="G17" s="28" t="s">
        <v>365</v>
      </c>
      <c r="H17" s="28" t="s">
        <v>365</v>
      </c>
      <c r="I17" s="28" t="s">
        <v>365</v>
      </c>
      <c r="J17" s="28" t="s">
        <v>365</v>
      </c>
      <c r="K17" s="28" t="s">
        <v>365</v>
      </c>
      <c r="L17" s="28" t="s">
        <v>365</v>
      </c>
      <c r="M17" s="28" t="s">
        <v>365</v>
      </c>
      <c r="N17" s="28" t="s">
        <v>365</v>
      </c>
      <c r="O17" s="28" t="s">
        <v>365</v>
      </c>
      <c r="P17" s="28" t="s">
        <v>365</v>
      </c>
      <c r="Q17" s="28" t="s">
        <v>365</v>
      </c>
      <c r="R17" s="28" t="s">
        <v>365</v>
      </c>
      <c r="S17" s="28" t="s">
        <v>365</v>
      </c>
      <c r="T17" s="28" t="s">
        <v>365</v>
      </c>
      <c r="U17" s="28" t="s">
        <v>365</v>
      </c>
      <c r="V17" s="28" t="s">
        <v>365</v>
      </c>
      <c r="W17" s="28" t="s">
        <v>365</v>
      </c>
      <c r="X17" s="28" t="s">
        <v>365</v>
      </c>
      <c r="Y17" s="28" t="s">
        <v>365</v>
      </c>
      <c r="Z17" s="28" t="s">
        <v>365</v>
      </c>
      <c r="AA17" s="28" t="s">
        <v>365</v>
      </c>
      <c r="AB17" s="28" t="s">
        <v>365</v>
      </c>
      <c r="AC17" s="28" t="s">
        <v>365</v>
      </c>
      <c r="AD17" s="28" t="s">
        <v>365</v>
      </c>
      <c r="AE17" s="28" t="s">
        <v>365</v>
      </c>
      <c r="AF17" s="28" t="s">
        <v>365</v>
      </c>
      <c r="AG17" s="28" t="s">
        <v>365</v>
      </c>
      <c r="AH17" s="28" t="s">
        <v>365</v>
      </c>
    </row>
    <row r="18" spans="1:34" x14ac:dyDescent="0.25">
      <c r="A18" s="26" t="s">
        <v>182</v>
      </c>
      <c r="B18" s="30">
        <v>1.5</v>
      </c>
      <c r="C18" s="30">
        <v>1.5</v>
      </c>
      <c r="D18" s="30">
        <v>1.5</v>
      </c>
      <c r="E18" s="30">
        <v>1.5</v>
      </c>
      <c r="F18" s="30">
        <v>1.5</v>
      </c>
      <c r="G18" s="30">
        <v>1.5</v>
      </c>
      <c r="H18" s="30">
        <v>1.5</v>
      </c>
      <c r="I18" s="30">
        <v>1.5</v>
      </c>
      <c r="J18" s="30">
        <v>1.5</v>
      </c>
      <c r="K18" s="30">
        <v>1.5</v>
      </c>
      <c r="L18" s="30">
        <v>1.5</v>
      </c>
      <c r="M18" s="30">
        <v>1.5</v>
      </c>
      <c r="N18" s="30">
        <v>1.5</v>
      </c>
      <c r="O18" s="30">
        <v>1.5</v>
      </c>
      <c r="P18" s="30">
        <v>1.5</v>
      </c>
      <c r="Q18" s="30">
        <v>1.5</v>
      </c>
      <c r="R18" s="30">
        <v>1.5</v>
      </c>
      <c r="S18" s="30">
        <v>1.5</v>
      </c>
      <c r="T18" s="30">
        <v>1.5</v>
      </c>
      <c r="U18" s="30">
        <v>1.5</v>
      </c>
      <c r="V18" s="30">
        <v>1.5</v>
      </c>
      <c r="W18" s="30">
        <v>1.5</v>
      </c>
      <c r="X18" s="30">
        <v>1.5</v>
      </c>
      <c r="Y18" s="30">
        <v>1.5</v>
      </c>
      <c r="Z18" s="30">
        <v>1.5</v>
      </c>
      <c r="AA18" s="30">
        <v>1.5</v>
      </c>
      <c r="AB18" s="30">
        <v>1.5</v>
      </c>
      <c r="AC18" s="30">
        <v>1.5</v>
      </c>
      <c r="AD18" s="30">
        <v>1.5</v>
      </c>
      <c r="AE18" s="30">
        <v>1.5</v>
      </c>
      <c r="AF18" s="30">
        <v>1.5</v>
      </c>
      <c r="AG18" s="30">
        <v>1.5</v>
      </c>
      <c r="AH18" s="30">
        <v>1.5</v>
      </c>
    </row>
    <row r="20" spans="1:34" x14ac:dyDescent="0.25">
      <c r="A20" s="31" t="s">
        <v>183</v>
      </c>
    </row>
    <row r="21" spans="1:34" x14ac:dyDescent="0.25">
      <c r="A21" s="26" t="s">
        <v>1037</v>
      </c>
      <c r="B21" s="56" t="s">
        <v>1038</v>
      </c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9880-0651-4487-A16F-0B5230BBAEAB}">
  <dimension ref="A1:AJ21"/>
  <sheetViews>
    <sheetView workbookViewId="0">
      <selection activeCell="B7" sqref="B7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6" x14ac:dyDescent="0.25">
      <c r="A1" s="25" t="s">
        <v>116</v>
      </c>
      <c r="D1" s="25" t="s">
        <v>895</v>
      </c>
      <c r="I1" s="25" t="s">
        <v>896</v>
      </c>
    </row>
    <row r="3" spans="1:36" ht="18" x14ac:dyDescent="0.25">
      <c r="A3" s="25" t="s">
        <v>119</v>
      </c>
      <c r="B3" s="215">
        <v>66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6" ht="18" x14ac:dyDescent="0.25">
      <c r="A4" s="25" t="s">
        <v>121</v>
      </c>
      <c r="B4" s="215" t="s">
        <v>1039</v>
      </c>
      <c r="C4" s="215"/>
      <c r="D4" s="215"/>
      <c r="F4" s="216" t="s">
        <v>1040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6" ht="18" x14ac:dyDescent="0.25">
      <c r="A5" s="25" t="s">
        <v>124</v>
      </c>
      <c r="B5" s="215" t="s">
        <v>899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6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  <c r="AJ7" s="53" t="s">
        <v>158</v>
      </c>
    </row>
    <row r="8" spans="1:36" x14ac:dyDescent="0.25">
      <c r="A8" s="26" t="s">
        <v>159</v>
      </c>
      <c r="B8" s="29" t="s">
        <v>365</v>
      </c>
      <c r="C8" s="29" t="s">
        <v>1041</v>
      </c>
      <c r="D8" s="29" t="s">
        <v>1041</v>
      </c>
      <c r="E8" s="29" t="s">
        <v>341</v>
      </c>
      <c r="F8" s="29" t="s">
        <v>366</v>
      </c>
      <c r="G8" s="29" t="s">
        <v>366</v>
      </c>
      <c r="H8" s="29" t="s">
        <v>366</v>
      </c>
      <c r="I8" s="29" t="s">
        <v>366</v>
      </c>
      <c r="J8" s="29" t="s">
        <v>366</v>
      </c>
      <c r="K8" s="29" t="s">
        <v>366</v>
      </c>
      <c r="L8" s="29" t="s">
        <v>366</v>
      </c>
      <c r="M8" s="29" t="s">
        <v>366</v>
      </c>
      <c r="N8" s="29" t="s">
        <v>366</v>
      </c>
      <c r="O8" s="29" t="s">
        <v>366</v>
      </c>
      <c r="P8" s="28" t="s">
        <v>366</v>
      </c>
      <c r="Q8" s="28" t="s">
        <v>366</v>
      </c>
      <c r="R8" s="28" t="s">
        <v>366</v>
      </c>
      <c r="S8" s="29" t="s">
        <v>366</v>
      </c>
      <c r="T8" s="29" t="s">
        <v>366</v>
      </c>
      <c r="U8" s="29" t="s">
        <v>366</v>
      </c>
      <c r="V8" s="29" t="s">
        <v>366</v>
      </c>
      <c r="W8" s="29" t="s">
        <v>366</v>
      </c>
      <c r="X8" s="29" t="s">
        <v>366</v>
      </c>
      <c r="Y8" s="29" t="s">
        <v>366</v>
      </c>
      <c r="Z8" s="29" t="s">
        <v>366</v>
      </c>
      <c r="AA8" s="29" t="s">
        <v>366</v>
      </c>
      <c r="AB8" s="29" t="s">
        <v>366</v>
      </c>
      <c r="AC8" s="29" t="s">
        <v>366</v>
      </c>
      <c r="AD8" s="29" t="s">
        <v>366</v>
      </c>
      <c r="AE8" s="29" t="s">
        <v>366</v>
      </c>
      <c r="AF8" s="29" t="s">
        <v>366</v>
      </c>
      <c r="AG8" s="28" t="s">
        <v>366</v>
      </c>
      <c r="AH8" s="28" t="s">
        <v>366</v>
      </c>
      <c r="AJ8" s="87" t="s">
        <v>448</v>
      </c>
    </row>
    <row r="9" spans="1:36" x14ac:dyDescent="0.25">
      <c r="A9" s="26" t="s">
        <v>165</v>
      </c>
      <c r="B9" s="28" t="s">
        <v>366</v>
      </c>
      <c r="C9" s="29" t="s">
        <v>1042</v>
      </c>
      <c r="D9" s="29" t="s">
        <v>1042</v>
      </c>
      <c r="E9" s="29" t="s">
        <v>341</v>
      </c>
      <c r="F9" s="29" t="s">
        <v>366</v>
      </c>
      <c r="G9" s="29" t="s">
        <v>366</v>
      </c>
      <c r="H9" s="29" t="s">
        <v>366</v>
      </c>
      <c r="I9" s="29" t="s">
        <v>366</v>
      </c>
      <c r="J9" s="29" t="s">
        <v>366</v>
      </c>
      <c r="K9" s="29" t="s">
        <v>366</v>
      </c>
      <c r="L9" s="29" t="s">
        <v>366</v>
      </c>
      <c r="M9" s="29" t="s">
        <v>366</v>
      </c>
      <c r="N9" s="29" t="s">
        <v>366</v>
      </c>
      <c r="O9" s="29" t="s">
        <v>366</v>
      </c>
      <c r="P9" s="28" t="s">
        <v>369</v>
      </c>
      <c r="Q9" s="28" t="s">
        <v>369</v>
      </c>
      <c r="R9" s="28" t="s">
        <v>369</v>
      </c>
      <c r="S9" s="29" t="s">
        <v>366</v>
      </c>
      <c r="T9" s="29" t="s">
        <v>366</v>
      </c>
      <c r="U9" s="29" t="s">
        <v>366</v>
      </c>
      <c r="V9" s="29" t="s">
        <v>366</v>
      </c>
      <c r="W9" s="29" t="s">
        <v>366</v>
      </c>
      <c r="X9" s="29" t="s">
        <v>366</v>
      </c>
      <c r="Y9" s="29" t="s">
        <v>366</v>
      </c>
      <c r="Z9" s="29" t="s">
        <v>366</v>
      </c>
      <c r="AA9" s="29" t="s">
        <v>366</v>
      </c>
      <c r="AB9" s="29" t="s">
        <v>366</v>
      </c>
      <c r="AC9" s="29" t="s">
        <v>366</v>
      </c>
      <c r="AD9" s="29" t="s">
        <v>366</v>
      </c>
      <c r="AE9" s="29" t="s">
        <v>366</v>
      </c>
      <c r="AF9" s="29" t="s">
        <v>366</v>
      </c>
      <c r="AG9" s="28" t="s">
        <v>369</v>
      </c>
      <c r="AH9" s="28" t="s">
        <v>369</v>
      </c>
      <c r="AJ9" s="28" t="s">
        <v>457</v>
      </c>
    </row>
    <row r="10" spans="1:36" x14ac:dyDescent="0.25">
      <c r="A10" s="131" t="s">
        <v>168</v>
      </c>
      <c r="B10" s="157">
        <v>73</v>
      </c>
      <c r="C10" s="157">
        <v>191</v>
      </c>
      <c r="D10" s="157">
        <v>191</v>
      </c>
      <c r="E10" s="157" t="s">
        <v>341</v>
      </c>
      <c r="F10" s="157">
        <v>73</v>
      </c>
      <c r="G10" s="157">
        <v>73</v>
      </c>
      <c r="H10" s="157">
        <v>73</v>
      </c>
      <c r="I10" s="157">
        <v>73</v>
      </c>
      <c r="J10" s="157">
        <v>73</v>
      </c>
      <c r="K10" s="157">
        <v>73</v>
      </c>
      <c r="L10" s="157">
        <v>73</v>
      </c>
      <c r="M10" s="157">
        <v>73</v>
      </c>
      <c r="N10" s="157">
        <v>73</v>
      </c>
      <c r="O10" s="157">
        <v>73</v>
      </c>
      <c r="P10" s="157">
        <v>72</v>
      </c>
      <c r="Q10" s="157">
        <v>72</v>
      </c>
      <c r="R10" s="157">
        <v>72</v>
      </c>
      <c r="S10" s="157">
        <v>73</v>
      </c>
      <c r="T10" s="157">
        <v>73</v>
      </c>
      <c r="U10" s="157">
        <v>73</v>
      </c>
      <c r="V10" s="157">
        <v>73</v>
      </c>
      <c r="W10" s="157">
        <v>73</v>
      </c>
      <c r="X10" s="157">
        <v>73</v>
      </c>
      <c r="Y10" s="157">
        <v>73</v>
      </c>
      <c r="Z10" s="157">
        <v>73</v>
      </c>
      <c r="AA10" s="157">
        <v>73</v>
      </c>
      <c r="AB10" s="157">
        <v>73</v>
      </c>
      <c r="AC10" s="157">
        <v>73</v>
      </c>
      <c r="AD10" s="157">
        <v>73</v>
      </c>
      <c r="AE10" s="157">
        <v>73</v>
      </c>
      <c r="AF10" s="157">
        <v>73</v>
      </c>
      <c r="AG10" s="157">
        <v>72</v>
      </c>
      <c r="AH10" s="157">
        <v>72</v>
      </c>
      <c r="AJ10" s="157">
        <v>82</v>
      </c>
    </row>
    <row r="11" spans="1:36" x14ac:dyDescent="0.25">
      <c r="A11" s="26" t="s">
        <v>169</v>
      </c>
      <c r="B11" s="29" t="s">
        <v>170</v>
      </c>
      <c r="C11" s="28" t="s">
        <v>173</v>
      </c>
      <c r="D11" s="28" t="s">
        <v>173</v>
      </c>
      <c r="E11" s="28" t="s">
        <v>173</v>
      </c>
      <c r="F11" s="29" t="s">
        <v>170</v>
      </c>
      <c r="G11" s="29" t="s">
        <v>170</v>
      </c>
      <c r="H11" s="29" t="s">
        <v>170</v>
      </c>
      <c r="I11" s="29" t="s">
        <v>170</v>
      </c>
      <c r="J11" s="29" t="s">
        <v>170</v>
      </c>
      <c r="K11" s="29" t="s">
        <v>170</v>
      </c>
      <c r="L11" s="29" t="s">
        <v>170</v>
      </c>
      <c r="M11" s="29" t="s">
        <v>170</v>
      </c>
      <c r="N11" s="29" t="s">
        <v>170</v>
      </c>
      <c r="O11" s="29" t="s">
        <v>170</v>
      </c>
      <c r="P11" s="29" t="s">
        <v>170</v>
      </c>
      <c r="Q11" s="29" t="s">
        <v>170</v>
      </c>
      <c r="R11" s="29" t="s">
        <v>170</v>
      </c>
      <c r="S11" s="29" t="s">
        <v>170</v>
      </c>
      <c r="T11" s="29" t="s">
        <v>170</v>
      </c>
      <c r="U11" s="29" t="s">
        <v>170</v>
      </c>
      <c r="V11" s="29" t="s">
        <v>170</v>
      </c>
      <c r="W11" s="29" t="s">
        <v>170</v>
      </c>
      <c r="X11" s="29" t="s">
        <v>170</v>
      </c>
      <c r="Y11" s="29" t="s">
        <v>170</v>
      </c>
      <c r="Z11" s="29" t="s">
        <v>170</v>
      </c>
      <c r="AA11" s="29" t="s">
        <v>170</v>
      </c>
      <c r="AB11" s="29" t="s">
        <v>170</v>
      </c>
      <c r="AC11" s="29" t="s">
        <v>170</v>
      </c>
      <c r="AD11" s="29" t="s">
        <v>170</v>
      </c>
      <c r="AE11" s="29" t="s">
        <v>170</v>
      </c>
      <c r="AF11" s="29" t="s">
        <v>170</v>
      </c>
      <c r="AG11" s="29" t="s">
        <v>170</v>
      </c>
      <c r="AH11" s="29" t="s">
        <v>170</v>
      </c>
      <c r="AJ11" s="28" t="s">
        <v>170</v>
      </c>
    </row>
    <row r="12" spans="1:36" x14ac:dyDescent="0.25">
      <c r="A12" s="26" t="s">
        <v>171</v>
      </c>
      <c r="B12" s="29" t="s">
        <v>170</v>
      </c>
      <c r="C12" s="29" t="s">
        <v>170</v>
      </c>
      <c r="D12" s="29" t="s">
        <v>170</v>
      </c>
      <c r="E12" s="28" t="s">
        <v>170</v>
      </c>
      <c r="F12" s="29" t="s">
        <v>170</v>
      </c>
      <c r="G12" s="29" t="s">
        <v>170</v>
      </c>
      <c r="H12" s="29" t="s">
        <v>170</v>
      </c>
      <c r="I12" s="29" t="s">
        <v>170</v>
      </c>
      <c r="J12" s="29" t="s">
        <v>170</v>
      </c>
      <c r="K12" s="29" t="s">
        <v>170</v>
      </c>
      <c r="L12" s="29" t="s">
        <v>170</v>
      </c>
      <c r="M12" s="29" t="s">
        <v>170</v>
      </c>
      <c r="N12" s="29" t="s">
        <v>170</v>
      </c>
      <c r="O12" s="29" t="s">
        <v>170</v>
      </c>
      <c r="P12" s="29" t="s">
        <v>170</v>
      </c>
      <c r="Q12" s="29" t="s">
        <v>170</v>
      </c>
      <c r="R12" s="29" t="s">
        <v>170</v>
      </c>
      <c r="S12" s="29" t="s">
        <v>170</v>
      </c>
      <c r="T12" s="29" t="s">
        <v>170</v>
      </c>
      <c r="U12" s="29" t="s">
        <v>170</v>
      </c>
      <c r="V12" s="29" t="s">
        <v>170</v>
      </c>
      <c r="W12" s="29" t="s">
        <v>170</v>
      </c>
      <c r="X12" s="29" t="s">
        <v>170</v>
      </c>
      <c r="Y12" s="29" t="s">
        <v>170</v>
      </c>
      <c r="Z12" s="29" t="s">
        <v>170</v>
      </c>
      <c r="AA12" s="29" t="s">
        <v>170</v>
      </c>
      <c r="AB12" s="29" t="s">
        <v>170</v>
      </c>
      <c r="AC12" s="29" t="s">
        <v>170</v>
      </c>
      <c r="AD12" s="29" t="s">
        <v>170</v>
      </c>
      <c r="AE12" s="29" t="s">
        <v>170</v>
      </c>
      <c r="AF12" s="29" t="s">
        <v>170</v>
      </c>
      <c r="AG12" s="29" t="s">
        <v>170</v>
      </c>
      <c r="AH12" s="29" t="s">
        <v>170</v>
      </c>
      <c r="AJ12" s="28" t="s">
        <v>170</v>
      </c>
    </row>
    <row r="13" spans="1:36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 t="s">
        <v>173</v>
      </c>
      <c r="S13" s="28" t="s">
        <v>173</v>
      </c>
      <c r="T13" s="28" t="s">
        <v>173</v>
      </c>
      <c r="U13" s="28" t="s">
        <v>173</v>
      </c>
      <c r="V13" s="28" t="s">
        <v>173</v>
      </c>
      <c r="W13" s="28" t="s">
        <v>173</v>
      </c>
      <c r="X13" s="28" t="s">
        <v>173</v>
      </c>
      <c r="Y13" s="28" t="s">
        <v>173</v>
      </c>
      <c r="Z13" s="28" t="s">
        <v>173</v>
      </c>
      <c r="AA13" s="28" t="s">
        <v>173</v>
      </c>
      <c r="AB13" s="28" t="s">
        <v>173</v>
      </c>
      <c r="AC13" s="28" t="s">
        <v>173</v>
      </c>
      <c r="AD13" s="28" t="s">
        <v>173</v>
      </c>
      <c r="AE13" s="28" t="s">
        <v>173</v>
      </c>
      <c r="AF13" s="28" t="s">
        <v>173</v>
      </c>
      <c r="AG13" s="28" t="s">
        <v>173</v>
      </c>
      <c r="AH13" s="28" t="s">
        <v>173</v>
      </c>
      <c r="AJ13" s="28" t="s">
        <v>173</v>
      </c>
    </row>
    <row r="14" spans="1:36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 t="s">
        <v>173</v>
      </c>
      <c r="V14" s="28" t="s">
        <v>173</v>
      </c>
      <c r="W14" s="28" t="s">
        <v>173</v>
      </c>
      <c r="X14" s="28" t="s">
        <v>173</v>
      </c>
      <c r="Y14" s="28" t="s">
        <v>173</v>
      </c>
      <c r="Z14" s="28" t="s">
        <v>173</v>
      </c>
      <c r="AA14" s="28" t="s">
        <v>173</v>
      </c>
      <c r="AB14" s="28" t="s">
        <v>173</v>
      </c>
      <c r="AC14" s="28" t="s">
        <v>173</v>
      </c>
      <c r="AD14" s="28" t="s">
        <v>173</v>
      </c>
      <c r="AE14" s="28" t="s">
        <v>173</v>
      </c>
      <c r="AF14" s="28" t="s">
        <v>173</v>
      </c>
      <c r="AG14" s="28" t="s">
        <v>173</v>
      </c>
      <c r="AH14" s="28" t="s">
        <v>173</v>
      </c>
      <c r="AJ14" s="28" t="s">
        <v>173</v>
      </c>
    </row>
    <row r="15" spans="1:36" x14ac:dyDescent="0.25">
      <c r="A15" s="26" t="s">
        <v>175</v>
      </c>
      <c r="B15" s="28" t="s">
        <v>198</v>
      </c>
      <c r="C15" s="28" t="s">
        <v>198</v>
      </c>
      <c r="D15" s="28" t="s">
        <v>198</v>
      </c>
      <c r="E15" s="28" t="s">
        <v>198</v>
      </c>
      <c r="F15" s="28" t="s">
        <v>198</v>
      </c>
      <c r="G15" s="28" t="s">
        <v>198</v>
      </c>
      <c r="H15" s="28" t="s">
        <v>198</v>
      </c>
      <c r="I15" s="28" t="s">
        <v>198</v>
      </c>
      <c r="J15" s="28" t="s">
        <v>198</v>
      </c>
      <c r="K15" s="28" t="s">
        <v>198</v>
      </c>
      <c r="L15" s="28" t="s">
        <v>198</v>
      </c>
      <c r="M15" s="28" t="s">
        <v>198</v>
      </c>
      <c r="N15" s="28" t="s">
        <v>198</v>
      </c>
      <c r="O15" s="28" t="s">
        <v>198</v>
      </c>
      <c r="P15" s="28" t="s">
        <v>198</v>
      </c>
      <c r="Q15" s="28" t="s">
        <v>198</v>
      </c>
      <c r="R15" s="28" t="s">
        <v>198</v>
      </c>
      <c r="S15" s="28" t="s">
        <v>198</v>
      </c>
      <c r="T15" s="28" t="s">
        <v>198</v>
      </c>
      <c r="U15" s="28" t="s">
        <v>198</v>
      </c>
      <c r="V15" s="28" t="s">
        <v>198</v>
      </c>
      <c r="W15" s="28" t="s">
        <v>198</v>
      </c>
      <c r="X15" s="28" t="s">
        <v>198</v>
      </c>
      <c r="Y15" s="28" t="s">
        <v>198</v>
      </c>
      <c r="Z15" s="28" t="s">
        <v>198</v>
      </c>
      <c r="AA15" s="28" t="s">
        <v>198</v>
      </c>
      <c r="AB15" s="28" t="s">
        <v>198</v>
      </c>
      <c r="AC15" s="28" t="s">
        <v>198</v>
      </c>
      <c r="AD15" s="28" t="s">
        <v>198</v>
      </c>
      <c r="AE15" s="28" t="s">
        <v>198</v>
      </c>
      <c r="AF15" s="28" t="s">
        <v>198</v>
      </c>
      <c r="AG15" s="28" t="s">
        <v>198</v>
      </c>
      <c r="AH15" s="28" t="s">
        <v>198</v>
      </c>
      <c r="AJ15" s="28" t="s">
        <v>198</v>
      </c>
    </row>
    <row r="16" spans="1:36" x14ac:dyDescent="0.25">
      <c r="A16" s="26" t="s">
        <v>176</v>
      </c>
      <c r="B16" s="30">
        <v>0.75</v>
      </c>
      <c r="C16" s="30">
        <v>0.75</v>
      </c>
      <c r="D16" s="30">
        <v>0.75</v>
      </c>
      <c r="E16" s="30">
        <v>0.75</v>
      </c>
      <c r="F16" s="30">
        <v>0.75</v>
      </c>
      <c r="G16" s="30">
        <v>0.75</v>
      </c>
      <c r="H16" s="30">
        <v>0.75</v>
      </c>
      <c r="I16" s="30">
        <v>0.75</v>
      </c>
      <c r="J16" s="30">
        <v>0.75</v>
      </c>
      <c r="K16" s="30">
        <v>0.75</v>
      </c>
      <c r="L16" s="30">
        <v>0.75</v>
      </c>
      <c r="M16" s="30">
        <v>0.75</v>
      </c>
      <c r="N16" s="30">
        <v>0.75</v>
      </c>
      <c r="O16" s="30">
        <v>0.75</v>
      </c>
      <c r="P16" s="30">
        <v>1.67</v>
      </c>
      <c r="Q16" s="30">
        <v>1.67</v>
      </c>
      <c r="R16" s="30">
        <v>1.67</v>
      </c>
      <c r="S16" s="30">
        <v>0.75</v>
      </c>
      <c r="T16" s="30">
        <v>0.75</v>
      </c>
      <c r="U16" s="30">
        <v>0.75</v>
      </c>
      <c r="V16" s="30">
        <v>0.75</v>
      </c>
      <c r="W16" s="30">
        <v>0.75</v>
      </c>
      <c r="X16" s="30">
        <v>0.75</v>
      </c>
      <c r="Y16" s="30">
        <v>0.75</v>
      </c>
      <c r="Z16" s="30">
        <v>0.75</v>
      </c>
      <c r="AA16" s="30">
        <v>0.75</v>
      </c>
      <c r="AB16" s="30">
        <v>0.75</v>
      </c>
      <c r="AC16" s="30">
        <v>0.75</v>
      </c>
      <c r="AD16" s="30">
        <v>0.75</v>
      </c>
      <c r="AE16" s="30">
        <v>0.75</v>
      </c>
      <c r="AF16" s="30">
        <v>0.75</v>
      </c>
      <c r="AG16" s="30">
        <v>1.67</v>
      </c>
      <c r="AH16" s="30">
        <v>1.67</v>
      </c>
      <c r="AJ16" s="30">
        <f>5/3</f>
        <v>1.6666666666666667</v>
      </c>
    </row>
    <row r="17" spans="1:36" x14ac:dyDescent="0.25">
      <c r="A17" s="26" t="s">
        <v>177</v>
      </c>
      <c r="B17" s="28" t="s">
        <v>365</v>
      </c>
      <c r="C17" s="28" t="s">
        <v>1043</v>
      </c>
      <c r="D17" s="28" t="s">
        <v>1043</v>
      </c>
      <c r="E17" s="29" t="s">
        <v>341</v>
      </c>
      <c r="F17" s="28" t="s">
        <v>365</v>
      </c>
      <c r="G17" s="28" t="s">
        <v>365</v>
      </c>
      <c r="H17" s="28" t="s">
        <v>365</v>
      </c>
      <c r="I17" s="28" t="s">
        <v>365</v>
      </c>
      <c r="J17" s="28" t="s">
        <v>365</v>
      </c>
      <c r="K17" s="28" t="s">
        <v>365</v>
      </c>
      <c r="L17" s="28" t="s">
        <v>365</v>
      </c>
      <c r="M17" s="28" t="s">
        <v>365</v>
      </c>
      <c r="N17" s="28" t="s">
        <v>365</v>
      </c>
      <c r="O17" s="28" t="s">
        <v>365</v>
      </c>
      <c r="P17" s="28" t="s">
        <v>365</v>
      </c>
      <c r="Q17" s="28" t="s">
        <v>365</v>
      </c>
      <c r="R17" s="28" t="s">
        <v>365</v>
      </c>
      <c r="S17" s="28" t="s">
        <v>365</v>
      </c>
      <c r="T17" s="28" t="s">
        <v>365</v>
      </c>
      <c r="U17" s="28" t="s">
        <v>365</v>
      </c>
      <c r="V17" s="28" t="s">
        <v>365</v>
      </c>
      <c r="W17" s="28" t="s">
        <v>365</v>
      </c>
      <c r="X17" s="28" t="s">
        <v>365</v>
      </c>
      <c r="Y17" s="28" t="s">
        <v>365</v>
      </c>
      <c r="Z17" s="28" t="s">
        <v>365</v>
      </c>
      <c r="AA17" s="28" t="s">
        <v>365</v>
      </c>
      <c r="AB17" s="28" t="s">
        <v>365</v>
      </c>
      <c r="AC17" s="28" t="s">
        <v>365</v>
      </c>
      <c r="AD17" s="28" t="s">
        <v>365</v>
      </c>
      <c r="AE17" s="28" t="s">
        <v>365</v>
      </c>
      <c r="AF17" s="28" t="s">
        <v>365</v>
      </c>
      <c r="AG17" s="28" t="s">
        <v>365</v>
      </c>
      <c r="AH17" s="28" t="s">
        <v>365</v>
      </c>
      <c r="AJ17" s="28" t="s">
        <v>462</v>
      </c>
    </row>
    <row r="18" spans="1:36" x14ac:dyDescent="0.25">
      <c r="A18" s="26" t="s">
        <v>182</v>
      </c>
      <c r="B18" s="30">
        <v>1.5</v>
      </c>
      <c r="C18" s="30">
        <f>AVERAGE(1.5,0)</f>
        <v>0.75</v>
      </c>
      <c r="D18" s="30">
        <f>AVERAGE(1.5,0)</f>
        <v>0.75</v>
      </c>
      <c r="E18" s="30">
        <v>0</v>
      </c>
      <c r="F18" s="30">
        <v>1.5</v>
      </c>
      <c r="G18" s="30">
        <v>1.5</v>
      </c>
      <c r="H18" s="30">
        <v>1.5</v>
      </c>
      <c r="I18" s="30">
        <v>1.5</v>
      </c>
      <c r="J18" s="30">
        <v>1.5</v>
      </c>
      <c r="K18" s="30">
        <v>1.5</v>
      </c>
      <c r="L18" s="30">
        <v>1.5</v>
      </c>
      <c r="M18" s="30">
        <v>1.5</v>
      </c>
      <c r="N18" s="30">
        <v>1.5</v>
      </c>
      <c r="O18" s="30">
        <v>1.5</v>
      </c>
      <c r="P18" s="30">
        <v>1.5</v>
      </c>
      <c r="Q18" s="30">
        <v>1.5</v>
      </c>
      <c r="R18" s="30">
        <v>1.5</v>
      </c>
      <c r="S18" s="30">
        <v>1.5</v>
      </c>
      <c r="T18" s="30">
        <v>1.5</v>
      </c>
      <c r="U18" s="30">
        <v>1.5</v>
      </c>
      <c r="V18" s="30">
        <v>1.5</v>
      </c>
      <c r="W18" s="30">
        <v>1.5</v>
      </c>
      <c r="X18" s="30">
        <v>1.5</v>
      </c>
      <c r="Y18" s="30">
        <v>1.5</v>
      </c>
      <c r="Z18" s="30">
        <v>1.5</v>
      </c>
      <c r="AA18" s="30">
        <v>1.5</v>
      </c>
      <c r="AB18" s="30">
        <v>1.5</v>
      </c>
      <c r="AC18" s="30">
        <v>1.5</v>
      </c>
      <c r="AD18" s="30">
        <v>1.5</v>
      </c>
      <c r="AE18" s="30">
        <v>1.5</v>
      </c>
      <c r="AF18" s="30">
        <v>1.5</v>
      </c>
      <c r="AG18" s="30">
        <v>1.5</v>
      </c>
      <c r="AH18" s="30">
        <v>1.5</v>
      </c>
      <c r="AJ18" s="30">
        <v>1</v>
      </c>
    </row>
    <row r="19" spans="1:36" x14ac:dyDescent="0.25">
      <c r="AJ19" s="77" t="s">
        <v>1044</v>
      </c>
    </row>
    <row r="20" spans="1:36" x14ac:dyDescent="0.25">
      <c r="A20" s="31" t="s">
        <v>183</v>
      </c>
    </row>
    <row r="21" spans="1:36" x14ac:dyDescent="0.25">
      <c r="A21" s="26" t="s">
        <v>1045</v>
      </c>
      <c r="B21" s="56" t="s">
        <v>1046</v>
      </c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88C55-BE6C-4A3B-81DD-3E01B07F1BB9}">
  <dimension ref="A1:AH21"/>
  <sheetViews>
    <sheetView workbookViewId="0">
      <selection activeCell="N8" sqref="N8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895</v>
      </c>
      <c r="I1" s="25" t="s">
        <v>896</v>
      </c>
    </row>
    <row r="3" spans="1:34" ht="18" x14ac:dyDescent="0.25">
      <c r="A3" s="25" t="s">
        <v>119</v>
      </c>
      <c r="B3" s="215">
        <v>67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1047</v>
      </c>
      <c r="C4" s="215"/>
      <c r="D4" s="215"/>
      <c r="F4" s="216" t="s">
        <v>1048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899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29" t="s">
        <v>181</v>
      </c>
      <c r="C8" s="29" t="s">
        <v>164</v>
      </c>
      <c r="D8" s="29" t="s">
        <v>164</v>
      </c>
      <c r="E8" s="29" t="s">
        <v>164</v>
      </c>
      <c r="F8" s="29" t="s">
        <v>164</v>
      </c>
      <c r="G8" s="29" t="s">
        <v>1049</v>
      </c>
      <c r="H8" s="29" t="s">
        <v>1049</v>
      </c>
      <c r="I8" s="29" t="s">
        <v>1049</v>
      </c>
      <c r="J8" s="28" t="s">
        <v>164</v>
      </c>
      <c r="K8" s="29" t="s">
        <v>164</v>
      </c>
      <c r="L8" s="29" t="s">
        <v>164</v>
      </c>
      <c r="M8" s="29" t="s">
        <v>164</v>
      </c>
      <c r="N8" s="28"/>
      <c r="O8" s="28"/>
      <c r="P8" s="29" t="s">
        <v>340</v>
      </c>
      <c r="Q8" s="28"/>
      <c r="R8" s="28"/>
      <c r="S8" s="28"/>
      <c r="T8" s="28"/>
      <c r="U8" s="28"/>
      <c r="V8" s="28"/>
      <c r="W8" s="28" t="s">
        <v>164</v>
      </c>
      <c r="X8" s="28"/>
      <c r="Y8" s="28"/>
      <c r="Z8" s="28"/>
      <c r="AA8" s="29" t="s">
        <v>385</v>
      </c>
      <c r="AB8" s="28"/>
      <c r="AC8" s="28"/>
      <c r="AD8" s="28"/>
      <c r="AE8" s="28"/>
      <c r="AF8" s="28"/>
      <c r="AG8" s="28"/>
      <c r="AH8" s="29" t="s">
        <v>385</v>
      </c>
    </row>
    <row r="9" spans="1:34" x14ac:dyDescent="0.25">
      <c r="A9" s="26" t="s">
        <v>165</v>
      </c>
      <c r="B9" s="29" t="s">
        <v>387</v>
      </c>
      <c r="C9" s="28" t="s">
        <v>164</v>
      </c>
      <c r="D9" s="28" t="s">
        <v>164</v>
      </c>
      <c r="E9" s="28" t="s">
        <v>901</v>
      </c>
      <c r="F9" s="28" t="s">
        <v>901</v>
      </c>
      <c r="G9" s="29" t="s">
        <v>1050</v>
      </c>
      <c r="H9" s="29" t="s">
        <v>1050</v>
      </c>
      <c r="I9" s="29" t="s">
        <v>1050</v>
      </c>
      <c r="J9" s="28" t="s">
        <v>901</v>
      </c>
      <c r="K9" s="28" t="s">
        <v>902</v>
      </c>
      <c r="L9" s="28" t="s">
        <v>913</v>
      </c>
      <c r="M9" s="28" t="s">
        <v>164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8" t="s">
        <v>385</v>
      </c>
      <c r="AB9" s="29"/>
      <c r="AC9" s="29"/>
      <c r="AD9" s="29"/>
      <c r="AE9" s="29"/>
      <c r="AF9" s="29"/>
      <c r="AG9" s="29"/>
      <c r="AH9" s="28" t="s">
        <v>385</v>
      </c>
    </row>
    <row r="10" spans="1:34" x14ac:dyDescent="0.25">
      <c r="A10" s="131" t="s">
        <v>168</v>
      </c>
      <c r="B10" s="157">
        <v>114</v>
      </c>
      <c r="C10" s="157">
        <v>43</v>
      </c>
      <c r="D10" s="157">
        <v>43</v>
      </c>
      <c r="E10" s="157">
        <v>91</v>
      </c>
      <c r="F10" s="157">
        <v>91</v>
      </c>
      <c r="G10" s="157">
        <v>192</v>
      </c>
      <c r="H10" s="157">
        <v>192</v>
      </c>
      <c r="I10" s="157">
        <v>192</v>
      </c>
      <c r="J10" s="157">
        <v>91</v>
      </c>
      <c r="K10" s="157">
        <v>166</v>
      </c>
      <c r="L10" s="157">
        <v>167</v>
      </c>
      <c r="M10" s="157">
        <v>43</v>
      </c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>
        <v>42</v>
      </c>
      <c r="AB10" s="157"/>
      <c r="AC10" s="157"/>
      <c r="AD10" s="157"/>
      <c r="AE10" s="157"/>
      <c r="AF10" s="157"/>
      <c r="AG10" s="157"/>
      <c r="AH10" s="157">
        <v>42</v>
      </c>
    </row>
    <row r="11" spans="1:34" x14ac:dyDescent="0.25">
      <c r="A11" s="26" t="s">
        <v>169</v>
      </c>
      <c r="B11" s="28" t="s">
        <v>170</v>
      </c>
      <c r="C11" s="29" t="s">
        <v>170</v>
      </c>
      <c r="D11" s="29" t="s">
        <v>170</v>
      </c>
      <c r="E11" s="29" t="s">
        <v>170</v>
      </c>
      <c r="F11" s="29" t="s">
        <v>170</v>
      </c>
      <c r="G11" s="28" t="s">
        <v>266</v>
      </c>
      <c r="H11" s="28" t="s">
        <v>266</v>
      </c>
      <c r="I11" s="28" t="s">
        <v>266</v>
      </c>
      <c r="J11" s="29" t="s">
        <v>170</v>
      </c>
      <c r="K11" s="29" t="s">
        <v>170</v>
      </c>
      <c r="L11" s="29" t="s">
        <v>170</v>
      </c>
      <c r="M11" s="29" t="s">
        <v>170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9" t="s">
        <v>170</v>
      </c>
      <c r="AB11" s="28"/>
      <c r="AC11" s="29"/>
      <c r="AD11" s="28"/>
      <c r="AE11" s="29"/>
      <c r="AF11" s="28"/>
      <c r="AG11" s="28"/>
      <c r="AH11" s="29" t="s">
        <v>170</v>
      </c>
    </row>
    <row r="12" spans="1:34" x14ac:dyDescent="0.25">
      <c r="A12" s="26" t="s">
        <v>171</v>
      </c>
      <c r="B12" s="28" t="s">
        <v>173</v>
      </c>
      <c r="C12" s="28" t="s">
        <v>170</v>
      </c>
      <c r="D12" s="28" t="s">
        <v>170</v>
      </c>
      <c r="E12" s="29" t="s">
        <v>170</v>
      </c>
      <c r="F12" s="29" t="s">
        <v>170</v>
      </c>
      <c r="G12" s="28" t="s">
        <v>170</v>
      </c>
      <c r="H12" s="28" t="s">
        <v>170</v>
      </c>
      <c r="I12" s="28" t="s">
        <v>170</v>
      </c>
      <c r="J12" s="29" t="s">
        <v>170</v>
      </c>
      <c r="K12" s="29" t="s">
        <v>170</v>
      </c>
      <c r="L12" s="28" t="s">
        <v>170</v>
      </c>
      <c r="M12" s="28" t="s">
        <v>170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173</v>
      </c>
      <c r="AB12" s="28"/>
      <c r="AC12" s="28"/>
      <c r="AD12" s="28"/>
      <c r="AE12" s="28"/>
      <c r="AF12" s="28"/>
      <c r="AG12" s="28"/>
      <c r="AH12" s="28" t="s">
        <v>173</v>
      </c>
    </row>
    <row r="13" spans="1:34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173</v>
      </c>
      <c r="AB13" s="28"/>
      <c r="AC13" s="28"/>
      <c r="AD13" s="28"/>
      <c r="AE13" s="28"/>
      <c r="AF13" s="28"/>
      <c r="AG13" s="28"/>
      <c r="AH13" s="28" t="s">
        <v>173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173</v>
      </c>
      <c r="AB14" s="28"/>
      <c r="AC14" s="28"/>
      <c r="AD14" s="28"/>
      <c r="AE14" s="28"/>
      <c r="AF14" s="28"/>
      <c r="AG14" s="28"/>
      <c r="AH14" s="28" t="s">
        <v>173</v>
      </c>
    </row>
    <row r="15" spans="1:34" x14ac:dyDescent="0.25">
      <c r="A15" s="26" t="s">
        <v>175</v>
      </c>
      <c r="B15" s="28" t="s">
        <v>160</v>
      </c>
      <c r="C15" s="28" t="s">
        <v>160</v>
      </c>
      <c r="D15" s="28" t="s">
        <v>160</v>
      </c>
      <c r="E15" s="28" t="s">
        <v>160</v>
      </c>
      <c r="F15" s="28" t="s">
        <v>160</v>
      </c>
      <c r="G15" s="28" t="s">
        <v>160</v>
      </c>
      <c r="H15" s="28" t="s">
        <v>160</v>
      </c>
      <c r="I15" s="28" t="s">
        <v>160</v>
      </c>
      <c r="J15" s="28" t="s">
        <v>160</v>
      </c>
      <c r="K15" s="28" t="s">
        <v>160</v>
      </c>
      <c r="L15" s="28" t="s">
        <v>160</v>
      </c>
      <c r="M15" s="28" t="s">
        <v>160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160</v>
      </c>
      <c r="AB15" s="28"/>
      <c r="AC15" s="28"/>
      <c r="AD15" s="28"/>
      <c r="AE15" s="28"/>
      <c r="AF15" s="28"/>
      <c r="AG15" s="28"/>
      <c r="AH15" s="28" t="s">
        <v>160</v>
      </c>
    </row>
    <row r="16" spans="1:34" x14ac:dyDescent="0.25">
      <c r="A16" s="26" t="s">
        <v>176</v>
      </c>
      <c r="B16" s="30">
        <v>2.75</v>
      </c>
      <c r="C16" s="30">
        <v>2.5</v>
      </c>
      <c r="D16" s="30">
        <v>2.5</v>
      </c>
      <c r="E16" s="30">
        <v>3</v>
      </c>
      <c r="F16" s="30">
        <v>3</v>
      </c>
      <c r="G16" s="30">
        <v>3</v>
      </c>
      <c r="H16" s="30">
        <v>3</v>
      </c>
      <c r="I16" s="30">
        <v>3</v>
      </c>
      <c r="J16" s="30">
        <v>3</v>
      </c>
      <c r="K16" s="30">
        <v>3</v>
      </c>
      <c r="L16" s="30">
        <f>AVERAGE(2.5,3)</f>
        <v>2.75</v>
      </c>
      <c r="M16" s="30">
        <v>2.5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v>2.5</v>
      </c>
      <c r="AB16" s="30"/>
      <c r="AC16" s="30"/>
      <c r="AD16" s="30"/>
      <c r="AE16" s="30"/>
      <c r="AF16" s="30"/>
      <c r="AG16" s="30"/>
      <c r="AH16" s="30">
        <v>2.5</v>
      </c>
    </row>
    <row r="17" spans="1:34" x14ac:dyDescent="0.25">
      <c r="A17" s="26" t="s">
        <v>177</v>
      </c>
      <c r="B17" s="28" t="s">
        <v>181</v>
      </c>
      <c r="C17" s="28" t="s">
        <v>181</v>
      </c>
      <c r="D17" s="28" t="s">
        <v>181</v>
      </c>
      <c r="E17" s="28" t="s">
        <v>334</v>
      </c>
      <c r="F17" s="28" t="s">
        <v>334</v>
      </c>
      <c r="G17" s="103" t="s">
        <v>537</v>
      </c>
      <c r="H17" s="103" t="s">
        <v>537</v>
      </c>
      <c r="I17" s="103" t="s">
        <v>537</v>
      </c>
      <c r="J17" s="28" t="s">
        <v>334</v>
      </c>
      <c r="K17" s="28" t="s">
        <v>905</v>
      </c>
      <c r="L17" s="28" t="s">
        <v>905</v>
      </c>
      <c r="M17" s="28" t="s">
        <v>181</v>
      </c>
      <c r="N17" s="28"/>
      <c r="O17" s="28"/>
      <c r="P17" s="103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181</v>
      </c>
      <c r="AB17" s="28"/>
      <c r="AC17" s="28"/>
      <c r="AD17" s="28"/>
      <c r="AE17" s="28"/>
      <c r="AF17" s="28"/>
      <c r="AG17" s="28"/>
      <c r="AH17" s="28" t="s">
        <v>181</v>
      </c>
    </row>
    <row r="18" spans="1:34" x14ac:dyDescent="0.25">
      <c r="A18" s="26" t="s">
        <v>182</v>
      </c>
      <c r="B18" s="30">
        <v>2</v>
      </c>
      <c r="C18" s="30">
        <v>2</v>
      </c>
      <c r="D18" s="30">
        <v>2</v>
      </c>
      <c r="E18" s="30">
        <v>0.5</v>
      </c>
      <c r="F18" s="30">
        <v>0.5</v>
      </c>
      <c r="G18" s="30">
        <f>AVERAGE(0.5,0)</f>
        <v>0.25</v>
      </c>
      <c r="H18" s="30">
        <f t="shared" ref="H18:I18" si="0">AVERAGE(0.5,0)</f>
        <v>0.25</v>
      </c>
      <c r="I18" s="30">
        <f t="shared" si="0"/>
        <v>0.25</v>
      </c>
      <c r="J18" s="30">
        <v>0.5</v>
      </c>
      <c r="K18" s="30">
        <f>AVERAGE(2,0.5)</f>
        <v>1.25</v>
      </c>
      <c r="L18" s="30">
        <f>AVERAGE(2,0.5)</f>
        <v>1.25</v>
      </c>
      <c r="M18" s="30">
        <v>2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v>2</v>
      </c>
      <c r="AB18" s="30"/>
      <c r="AC18" s="30"/>
      <c r="AD18" s="30"/>
      <c r="AE18" s="30"/>
      <c r="AF18" s="30"/>
      <c r="AG18" s="30"/>
      <c r="AH18" s="30">
        <v>2</v>
      </c>
    </row>
    <row r="20" spans="1:34" x14ac:dyDescent="0.25">
      <c r="A20" s="31" t="s">
        <v>183</v>
      </c>
    </row>
    <row r="21" spans="1:34" x14ac:dyDescent="0.25">
      <c r="A21" s="26" t="s">
        <v>1051</v>
      </c>
      <c r="B21" s="56" t="s">
        <v>1052</v>
      </c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3BFD7-B4E2-4CC1-8709-C3A89BDF4EE3}">
  <dimension ref="A1:AH21"/>
  <sheetViews>
    <sheetView workbookViewId="0">
      <selection activeCell="AH12" sqref="AH12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895</v>
      </c>
      <c r="I1" s="25" t="s">
        <v>896</v>
      </c>
    </row>
    <row r="3" spans="1:34" ht="18" x14ac:dyDescent="0.25">
      <c r="A3" s="25" t="s">
        <v>119</v>
      </c>
      <c r="B3" s="215">
        <v>68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1053</v>
      </c>
      <c r="C4" s="215"/>
      <c r="D4" s="215"/>
      <c r="F4" s="216" t="s">
        <v>1054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899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28" t="s">
        <v>402</v>
      </c>
      <c r="C8" s="28" t="s">
        <v>164</v>
      </c>
      <c r="D8" s="28" t="s">
        <v>164</v>
      </c>
      <c r="E8" s="29" t="s">
        <v>164</v>
      </c>
      <c r="F8" s="29" t="s">
        <v>164</v>
      </c>
      <c r="G8" s="28" t="s">
        <v>164</v>
      </c>
      <c r="H8" s="28" t="s">
        <v>164</v>
      </c>
      <c r="I8" s="28" t="s">
        <v>164</v>
      </c>
      <c r="J8" s="28" t="s">
        <v>164</v>
      </c>
      <c r="K8" s="28" t="s">
        <v>164</v>
      </c>
      <c r="L8" s="28" t="s">
        <v>164</v>
      </c>
      <c r="M8" s="28" t="s">
        <v>164</v>
      </c>
      <c r="N8" s="28"/>
      <c r="O8" s="28"/>
      <c r="P8" s="29" t="s">
        <v>164</v>
      </c>
      <c r="Q8" s="29" t="s">
        <v>164</v>
      </c>
      <c r="R8" s="28"/>
      <c r="S8" s="28"/>
      <c r="T8" s="28"/>
      <c r="U8" s="28"/>
      <c r="V8" s="28"/>
      <c r="W8" s="28"/>
      <c r="X8" s="28"/>
      <c r="Y8" s="28"/>
      <c r="Z8" s="28"/>
      <c r="AA8" s="29" t="s">
        <v>164</v>
      </c>
      <c r="AB8" s="28"/>
      <c r="AC8" s="28"/>
      <c r="AD8" s="28"/>
      <c r="AE8" s="28"/>
      <c r="AF8" s="28"/>
      <c r="AG8" s="28"/>
      <c r="AH8" s="28" t="s">
        <v>532</v>
      </c>
    </row>
    <row r="9" spans="1:34" x14ac:dyDescent="0.25">
      <c r="A9" s="26" t="s">
        <v>165</v>
      </c>
      <c r="B9" s="28" t="s">
        <v>403</v>
      </c>
      <c r="C9" s="28" t="s">
        <v>1055</v>
      </c>
      <c r="D9" s="28" t="s">
        <v>164</v>
      </c>
      <c r="E9" s="28" t="s">
        <v>901</v>
      </c>
      <c r="F9" s="28" t="s">
        <v>901</v>
      </c>
      <c r="G9" s="28" t="s">
        <v>901</v>
      </c>
      <c r="H9" s="28" t="s">
        <v>901</v>
      </c>
      <c r="I9" s="28" t="s">
        <v>901</v>
      </c>
      <c r="J9" s="28" t="s">
        <v>901</v>
      </c>
      <c r="K9" s="28" t="s">
        <v>902</v>
      </c>
      <c r="L9" s="28" t="s">
        <v>913</v>
      </c>
      <c r="M9" s="28" t="s">
        <v>164</v>
      </c>
      <c r="N9" s="29"/>
      <c r="O9" s="29"/>
      <c r="P9" s="28" t="s">
        <v>164</v>
      </c>
      <c r="Q9" s="28" t="s">
        <v>164</v>
      </c>
      <c r="R9" s="29"/>
      <c r="S9" s="29"/>
      <c r="T9" s="29"/>
      <c r="U9" s="29"/>
      <c r="V9" s="29"/>
      <c r="W9" s="29"/>
      <c r="X9" s="29"/>
      <c r="Y9" s="29"/>
      <c r="Z9" s="29"/>
      <c r="AA9" s="28" t="s">
        <v>164</v>
      </c>
      <c r="AB9" s="29"/>
      <c r="AC9" s="29"/>
      <c r="AD9" s="29"/>
      <c r="AE9" s="29"/>
      <c r="AF9" s="29"/>
      <c r="AG9" s="29"/>
      <c r="AH9" s="103" t="s">
        <v>534</v>
      </c>
    </row>
    <row r="10" spans="1:34" x14ac:dyDescent="0.25">
      <c r="A10" s="131" t="s">
        <v>168</v>
      </c>
      <c r="B10" s="157">
        <v>97</v>
      </c>
      <c r="C10" s="157">
        <v>262</v>
      </c>
      <c r="D10" s="157">
        <v>43</v>
      </c>
      <c r="E10" s="157">
        <v>91</v>
      </c>
      <c r="F10" s="157">
        <v>91</v>
      </c>
      <c r="G10" s="157">
        <v>91</v>
      </c>
      <c r="H10" s="157">
        <v>91</v>
      </c>
      <c r="I10" s="157">
        <v>91</v>
      </c>
      <c r="J10" s="157">
        <v>91</v>
      </c>
      <c r="K10" s="157">
        <v>166</v>
      </c>
      <c r="L10" s="157">
        <v>167</v>
      </c>
      <c r="M10" s="157">
        <v>43</v>
      </c>
      <c r="N10" s="157"/>
      <c r="O10" s="157"/>
      <c r="P10" s="157">
        <v>43</v>
      </c>
      <c r="Q10" s="157">
        <v>43</v>
      </c>
      <c r="R10" s="157"/>
      <c r="S10" s="157"/>
      <c r="T10" s="157"/>
      <c r="U10" s="157"/>
      <c r="V10" s="157"/>
      <c r="W10" s="157"/>
      <c r="X10" s="157"/>
      <c r="Y10" s="157"/>
      <c r="Z10" s="157"/>
      <c r="AA10" s="157">
        <v>43</v>
      </c>
      <c r="AB10" s="157"/>
      <c r="AC10" s="157"/>
      <c r="AD10" s="157"/>
      <c r="AE10" s="157"/>
      <c r="AF10" s="157"/>
      <c r="AG10" s="157"/>
      <c r="AH10" s="157">
        <v>134</v>
      </c>
    </row>
    <row r="11" spans="1:34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9" t="s">
        <v>170</v>
      </c>
      <c r="F11" s="29" t="s">
        <v>170</v>
      </c>
      <c r="G11" s="28" t="s">
        <v>170</v>
      </c>
      <c r="H11" s="28" t="s">
        <v>170</v>
      </c>
      <c r="I11" s="28" t="s">
        <v>170</v>
      </c>
      <c r="J11" s="29" t="s">
        <v>170</v>
      </c>
      <c r="K11" s="28" t="s">
        <v>170</v>
      </c>
      <c r="L11" s="28" t="s">
        <v>170</v>
      </c>
      <c r="M11" s="28" t="s">
        <v>170</v>
      </c>
      <c r="N11" s="28"/>
      <c r="O11" s="28"/>
      <c r="P11" s="29" t="s">
        <v>170</v>
      </c>
      <c r="Q11" s="29" t="s">
        <v>170</v>
      </c>
      <c r="R11" s="28"/>
      <c r="S11" s="28"/>
      <c r="T11" s="28"/>
      <c r="U11" s="28"/>
      <c r="V11" s="28"/>
      <c r="W11" s="28"/>
      <c r="X11" s="28"/>
      <c r="Y11" s="28"/>
      <c r="Z11" s="28"/>
      <c r="AA11" s="29" t="s">
        <v>170</v>
      </c>
      <c r="AB11" s="28"/>
      <c r="AC11" s="29"/>
      <c r="AD11" s="28"/>
      <c r="AE11" s="29"/>
      <c r="AF11" s="28"/>
      <c r="AG11" s="28"/>
      <c r="AH11" s="28" t="s">
        <v>266</v>
      </c>
    </row>
    <row r="12" spans="1:34" x14ac:dyDescent="0.25">
      <c r="A12" s="26" t="s">
        <v>171</v>
      </c>
      <c r="B12" s="28" t="s">
        <v>170</v>
      </c>
      <c r="C12" s="28" t="s">
        <v>170</v>
      </c>
      <c r="D12" s="28" t="s">
        <v>170</v>
      </c>
      <c r="E12" s="29" t="s">
        <v>170</v>
      </c>
      <c r="F12" s="29" t="s">
        <v>170</v>
      </c>
      <c r="G12" s="28" t="s">
        <v>170</v>
      </c>
      <c r="H12" s="28" t="s">
        <v>170</v>
      </c>
      <c r="I12" s="28" t="s">
        <v>170</v>
      </c>
      <c r="J12" s="29" t="s">
        <v>170</v>
      </c>
      <c r="K12" s="28" t="s">
        <v>170</v>
      </c>
      <c r="L12" s="28" t="s">
        <v>170</v>
      </c>
      <c r="M12" s="28" t="s">
        <v>170</v>
      </c>
      <c r="N12" s="28"/>
      <c r="O12" s="28"/>
      <c r="P12" s="28" t="s">
        <v>170</v>
      </c>
      <c r="Q12" s="28" t="s">
        <v>170</v>
      </c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170</v>
      </c>
      <c r="AB12" s="28"/>
      <c r="AC12" s="28"/>
      <c r="AD12" s="28"/>
      <c r="AE12" s="28"/>
      <c r="AF12" s="28"/>
      <c r="AG12" s="28"/>
      <c r="AH12" s="28" t="s">
        <v>266</v>
      </c>
    </row>
    <row r="13" spans="1:34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/>
      <c r="O13" s="28"/>
      <c r="P13" s="28" t="s">
        <v>173</v>
      </c>
      <c r="Q13" s="28" t="s">
        <v>173</v>
      </c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173</v>
      </c>
      <c r="AB13" s="28"/>
      <c r="AC13" s="28"/>
      <c r="AD13" s="28"/>
      <c r="AE13" s="28"/>
      <c r="AF13" s="28"/>
      <c r="AG13" s="28"/>
      <c r="AH13" s="28" t="s">
        <v>173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/>
      <c r="O14" s="28"/>
      <c r="P14" s="28" t="s">
        <v>173</v>
      </c>
      <c r="Q14" s="28" t="s">
        <v>173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173</v>
      </c>
      <c r="AB14" s="28"/>
      <c r="AC14" s="28"/>
      <c r="AD14" s="28"/>
      <c r="AE14" s="28"/>
      <c r="AF14" s="28"/>
      <c r="AG14" s="28"/>
      <c r="AH14" s="28" t="s">
        <v>173</v>
      </c>
    </row>
    <row r="15" spans="1:34" x14ac:dyDescent="0.25">
      <c r="A15" s="26" t="s">
        <v>175</v>
      </c>
      <c r="B15" s="28" t="s">
        <v>405</v>
      </c>
      <c r="C15" s="28" t="s">
        <v>160</v>
      </c>
      <c r="D15" s="28" t="s">
        <v>160</v>
      </c>
      <c r="E15" s="28" t="s">
        <v>160</v>
      </c>
      <c r="F15" s="28" t="s">
        <v>160</v>
      </c>
      <c r="G15" s="28" t="s">
        <v>160</v>
      </c>
      <c r="H15" s="28" t="s">
        <v>160</v>
      </c>
      <c r="I15" s="28" t="s">
        <v>160</v>
      </c>
      <c r="J15" s="28" t="s">
        <v>160</v>
      </c>
      <c r="K15" s="28" t="s">
        <v>160</v>
      </c>
      <c r="L15" s="28" t="s">
        <v>160</v>
      </c>
      <c r="M15" s="28" t="s">
        <v>160</v>
      </c>
      <c r="N15" s="28"/>
      <c r="O15" s="28"/>
      <c r="P15" s="28" t="s">
        <v>160</v>
      </c>
      <c r="Q15" s="28" t="s">
        <v>160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160</v>
      </c>
      <c r="AB15" s="28"/>
      <c r="AC15" s="28"/>
      <c r="AD15" s="28"/>
      <c r="AE15" s="28"/>
      <c r="AF15" s="28"/>
      <c r="AG15" s="28"/>
      <c r="AH15" s="28" t="s">
        <v>405</v>
      </c>
    </row>
    <row r="16" spans="1:34" x14ac:dyDescent="0.25">
      <c r="A16" s="26" t="s">
        <v>176</v>
      </c>
      <c r="B16" s="30">
        <v>0</v>
      </c>
      <c r="C16" s="30">
        <f>AVERAGE(2.5,2.5,2.5,3)</f>
        <v>2.625</v>
      </c>
      <c r="D16" s="30">
        <v>2.5</v>
      </c>
      <c r="E16" s="30">
        <v>3</v>
      </c>
      <c r="F16" s="30">
        <v>3</v>
      </c>
      <c r="G16" s="30">
        <v>3</v>
      </c>
      <c r="H16" s="30">
        <v>3</v>
      </c>
      <c r="I16" s="30">
        <v>3</v>
      </c>
      <c r="J16" s="30">
        <v>3</v>
      </c>
      <c r="K16" s="30">
        <v>3</v>
      </c>
      <c r="L16" s="30">
        <f>AVERAGE(2.5,3)</f>
        <v>2.75</v>
      </c>
      <c r="M16" s="30">
        <v>2.5</v>
      </c>
      <c r="N16" s="30"/>
      <c r="O16" s="30"/>
      <c r="P16" s="30">
        <v>2.5</v>
      </c>
      <c r="Q16" s="30">
        <v>2.5</v>
      </c>
      <c r="R16" s="30"/>
      <c r="S16" s="30"/>
      <c r="T16" s="30"/>
      <c r="U16" s="30"/>
      <c r="V16" s="30"/>
      <c r="W16" s="30"/>
      <c r="X16" s="30"/>
      <c r="Y16" s="30"/>
      <c r="Z16" s="30"/>
      <c r="AA16" s="30">
        <v>2.5</v>
      </c>
      <c r="AB16" s="30"/>
      <c r="AC16" s="30"/>
      <c r="AD16" s="30"/>
      <c r="AE16" s="30"/>
      <c r="AF16" s="30"/>
      <c r="AG16" s="30"/>
      <c r="AH16" s="30">
        <v>0</v>
      </c>
    </row>
    <row r="17" spans="1:34" x14ac:dyDescent="0.25">
      <c r="A17" s="26" t="s">
        <v>177</v>
      </c>
      <c r="B17" s="28" t="s">
        <v>334</v>
      </c>
      <c r="C17" s="28" t="s">
        <v>181</v>
      </c>
      <c r="D17" s="28" t="s">
        <v>181</v>
      </c>
      <c r="E17" s="28" t="s">
        <v>334</v>
      </c>
      <c r="F17" s="28" t="s">
        <v>334</v>
      </c>
      <c r="G17" s="28" t="s">
        <v>334</v>
      </c>
      <c r="H17" s="28" t="s">
        <v>334</v>
      </c>
      <c r="I17" s="28" t="s">
        <v>334</v>
      </c>
      <c r="J17" s="28" t="s">
        <v>334</v>
      </c>
      <c r="K17" s="28" t="s">
        <v>905</v>
      </c>
      <c r="L17" s="28" t="s">
        <v>905</v>
      </c>
      <c r="M17" s="28" t="s">
        <v>181</v>
      </c>
      <c r="N17" s="28"/>
      <c r="O17" s="28"/>
      <c r="P17" s="28" t="s">
        <v>181</v>
      </c>
      <c r="Q17" s="28" t="s">
        <v>181</v>
      </c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181</v>
      </c>
      <c r="AB17" s="28"/>
      <c r="AC17" s="28"/>
      <c r="AD17" s="28"/>
      <c r="AE17" s="28"/>
      <c r="AF17" s="28"/>
      <c r="AG17" s="28"/>
      <c r="AH17" s="103" t="s">
        <v>537</v>
      </c>
    </row>
    <row r="18" spans="1:34" x14ac:dyDescent="0.25">
      <c r="A18" s="26" t="s">
        <v>182</v>
      </c>
      <c r="B18" s="30">
        <f>1/3</f>
        <v>0.33333333333333331</v>
      </c>
      <c r="C18" s="30">
        <v>2</v>
      </c>
      <c r="D18" s="30">
        <v>2</v>
      </c>
      <c r="E18" s="30">
        <v>0.5</v>
      </c>
      <c r="F18" s="30">
        <v>0.5</v>
      </c>
      <c r="G18" s="30">
        <v>0.5</v>
      </c>
      <c r="H18" s="30">
        <v>0.5</v>
      </c>
      <c r="I18" s="30">
        <v>0.5</v>
      </c>
      <c r="J18" s="30">
        <v>0.5</v>
      </c>
      <c r="K18" s="30">
        <f>AVERAGE(2,0.5)</f>
        <v>1.25</v>
      </c>
      <c r="L18" s="30">
        <f>AVERAGE(2,0.5)</f>
        <v>1.25</v>
      </c>
      <c r="M18" s="30">
        <v>2</v>
      </c>
      <c r="N18" s="30"/>
      <c r="O18" s="30"/>
      <c r="P18" s="30">
        <v>2</v>
      </c>
      <c r="Q18" s="30">
        <v>2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v>2</v>
      </c>
      <c r="AB18" s="30"/>
      <c r="AC18" s="30"/>
      <c r="AD18" s="30"/>
      <c r="AE18" s="30"/>
      <c r="AF18" s="30"/>
      <c r="AG18" s="30"/>
      <c r="AH18" s="30">
        <f>AVERAGE(1/3,0)</f>
        <v>0.16666666666666666</v>
      </c>
    </row>
    <row r="20" spans="1:34" x14ac:dyDescent="0.25">
      <c r="A20" s="31" t="s">
        <v>183</v>
      </c>
    </row>
    <row r="21" spans="1:34" x14ac:dyDescent="0.25">
      <c r="A21" s="26" t="s">
        <v>1056</v>
      </c>
      <c r="B21" s="56" t="s">
        <v>407</v>
      </c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9AAB7-19EB-4010-9822-C915F68602D3}">
  <dimension ref="A1:AH21"/>
  <sheetViews>
    <sheetView workbookViewId="0">
      <selection activeCell="H21" sqref="H21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895</v>
      </c>
      <c r="I1" s="25" t="s">
        <v>896</v>
      </c>
    </row>
    <row r="3" spans="1:34" ht="18" x14ac:dyDescent="0.25">
      <c r="A3" s="25" t="s">
        <v>119</v>
      </c>
      <c r="B3" s="215">
        <v>69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1057</v>
      </c>
      <c r="C4" s="215"/>
      <c r="D4" s="215"/>
      <c r="F4" s="216" t="s">
        <v>1058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917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28" t="s">
        <v>414</v>
      </c>
      <c r="C8" s="29" t="s">
        <v>256</v>
      </c>
      <c r="D8" s="29" t="s">
        <v>256</v>
      </c>
      <c r="E8" s="28" t="s">
        <v>256</v>
      </c>
      <c r="F8" s="28" t="s">
        <v>256</v>
      </c>
      <c r="G8" s="28" t="s">
        <v>256</v>
      </c>
      <c r="H8" s="28" t="s">
        <v>256</v>
      </c>
      <c r="I8" s="28" t="s">
        <v>256</v>
      </c>
      <c r="J8" s="28" t="s">
        <v>256</v>
      </c>
      <c r="K8" s="29" t="s">
        <v>256</v>
      </c>
      <c r="L8" s="29" t="s">
        <v>256</v>
      </c>
      <c r="M8" s="29" t="s">
        <v>256</v>
      </c>
      <c r="N8" s="28" t="s">
        <v>256</v>
      </c>
      <c r="O8" s="28" t="s">
        <v>256</v>
      </c>
      <c r="P8" s="29" t="s">
        <v>256</v>
      </c>
      <c r="Q8" s="29" t="s">
        <v>256</v>
      </c>
      <c r="R8" s="28"/>
      <c r="S8" s="28"/>
      <c r="T8" s="28"/>
      <c r="U8" s="28"/>
      <c r="V8" s="28"/>
      <c r="W8" s="28"/>
      <c r="X8" s="28"/>
      <c r="Y8" s="28"/>
      <c r="Z8" s="28"/>
      <c r="AA8" s="29" t="s">
        <v>256</v>
      </c>
      <c r="AB8" s="28"/>
      <c r="AC8" s="28"/>
      <c r="AD8" s="28"/>
      <c r="AE8" s="28"/>
      <c r="AF8" s="28" t="s">
        <v>1059</v>
      </c>
      <c r="AG8" s="29" t="s">
        <v>415</v>
      </c>
      <c r="AH8" s="29" t="s">
        <v>415</v>
      </c>
    </row>
    <row r="9" spans="1:34" ht="15.75" customHeight="1" x14ac:dyDescent="0.25">
      <c r="A9" s="26" t="s">
        <v>165</v>
      </c>
      <c r="B9" s="29" t="s">
        <v>260</v>
      </c>
      <c r="C9" s="29" t="s">
        <v>1060</v>
      </c>
      <c r="D9" s="29" t="s">
        <v>222</v>
      </c>
      <c r="E9" s="213" t="s">
        <v>811</v>
      </c>
      <c r="F9" s="28" t="s">
        <v>260</v>
      </c>
      <c r="G9" s="28" t="s">
        <v>260</v>
      </c>
      <c r="H9" s="28" t="s">
        <v>259</v>
      </c>
      <c r="I9" s="28" t="s">
        <v>256</v>
      </c>
      <c r="J9" s="28" t="s">
        <v>260</v>
      </c>
      <c r="K9" s="28" t="s">
        <v>1061</v>
      </c>
      <c r="L9" s="28" t="s">
        <v>1061</v>
      </c>
      <c r="M9" s="28" t="s">
        <v>1061</v>
      </c>
      <c r="N9" s="28" t="s">
        <v>1061</v>
      </c>
      <c r="O9" s="28" t="s">
        <v>1061</v>
      </c>
      <c r="P9" s="29" t="s">
        <v>226</v>
      </c>
      <c r="Q9" s="29" t="s">
        <v>226</v>
      </c>
      <c r="R9" s="29"/>
      <c r="S9" s="29"/>
      <c r="T9" s="29"/>
      <c r="U9" s="29"/>
      <c r="V9" s="29"/>
      <c r="W9" s="29"/>
      <c r="X9" s="29"/>
      <c r="Y9" s="29"/>
      <c r="Z9" s="29"/>
      <c r="AA9" s="29" t="s">
        <v>1062</v>
      </c>
      <c r="AB9" s="29"/>
      <c r="AC9" s="29"/>
      <c r="AD9" s="29"/>
      <c r="AE9" s="29"/>
      <c r="AF9" s="28" t="s">
        <v>1061</v>
      </c>
      <c r="AG9" s="28" t="s">
        <v>283</v>
      </c>
      <c r="AH9" s="28" t="s">
        <v>283</v>
      </c>
    </row>
    <row r="10" spans="1:34" x14ac:dyDescent="0.25">
      <c r="A10" s="131" t="s">
        <v>168</v>
      </c>
      <c r="B10" s="157">
        <v>52</v>
      </c>
      <c r="C10" s="157">
        <v>119</v>
      </c>
      <c r="D10" s="157">
        <v>51</v>
      </c>
      <c r="E10" s="157">
        <v>122</v>
      </c>
      <c r="F10" s="157">
        <v>52</v>
      </c>
      <c r="G10" s="157">
        <v>52</v>
      </c>
      <c r="H10" s="157">
        <v>46</v>
      </c>
      <c r="I10" s="157">
        <v>50</v>
      </c>
      <c r="J10" s="157">
        <v>52</v>
      </c>
      <c r="K10" s="157">
        <v>53</v>
      </c>
      <c r="L10" s="157">
        <v>53</v>
      </c>
      <c r="M10" s="157">
        <v>53</v>
      </c>
      <c r="N10" s="157">
        <v>53</v>
      </c>
      <c r="O10" s="157">
        <v>53</v>
      </c>
      <c r="P10" s="157">
        <v>49</v>
      </c>
      <c r="Q10" s="157">
        <v>49</v>
      </c>
      <c r="R10" s="157"/>
      <c r="S10" s="157"/>
      <c r="T10" s="157"/>
      <c r="U10" s="157"/>
      <c r="V10" s="157"/>
      <c r="W10" s="157"/>
      <c r="X10" s="157"/>
      <c r="Y10" s="157"/>
      <c r="Z10" s="157"/>
      <c r="AA10" s="157">
        <v>253</v>
      </c>
      <c r="AB10" s="157"/>
      <c r="AC10" s="157"/>
      <c r="AD10" s="157"/>
      <c r="AE10" s="157"/>
      <c r="AF10" s="157">
        <v>53</v>
      </c>
      <c r="AG10" s="157">
        <v>56</v>
      </c>
      <c r="AH10" s="157">
        <v>56</v>
      </c>
    </row>
    <row r="11" spans="1:34" x14ac:dyDescent="0.25">
      <c r="A11" s="26" t="s">
        <v>169</v>
      </c>
      <c r="B11" s="29" t="s">
        <v>170</v>
      </c>
      <c r="C11" s="29" t="s">
        <v>170</v>
      </c>
      <c r="D11" s="29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 t="s">
        <v>170</v>
      </c>
      <c r="K11" s="29" t="s">
        <v>170</v>
      </c>
      <c r="L11" s="29" t="s">
        <v>170</v>
      </c>
      <c r="M11" s="29" t="s">
        <v>170</v>
      </c>
      <c r="N11" s="29" t="s">
        <v>170</v>
      </c>
      <c r="O11" s="29" t="s">
        <v>170</v>
      </c>
      <c r="P11" s="29" t="s">
        <v>170</v>
      </c>
      <c r="Q11" s="29" t="s">
        <v>170</v>
      </c>
      <c r="R11" s="28"/>
      <c r="S11" s="28"/>
      <c r="T11" s="28"/>
      <c r="U11" s="28"/>
      <c r="V11" s="28"/>
      <c r="W11" s="28"/>
      <c r="X11" s="28"/>
      <c r="Y11" s="28"/>
      <c r="Z11" s="28"/>
      <c r="AA11" s="29" t="s">
        <v>170</v>
      </c>
      <c r="AB11" s="28"/>
      <c r="AC11" s="29"/>
      <c r="AD11" s="28"/>
      <c r="AE11" s="29"/>
      <c r="AF11" s="29" t="s">
        <v>170</v>
      </c>
      <c r="AG11" s="28" t="s">
        <v>170</v>
      </c>
      <c r="AH11" s="28" t="s">
        <v>170</v>
      </c>
    </row>
    <row r="12" spans="1:34" x14ac:dyDescent="0.25">
      <c r="A12" s="26" t="s">
        <v>171</v>
      </c>
      <c r="B12" s="28" t="s">
        <v>173</v>
      </c>
      <c r="C12" s="29" t="s">
        <v>170</v>
      </c>
      <c r="D12" s="29" t="s">
        <v>170</v>
      </c>
      <c r="E12" s="28" t="s">
        <v>173</v>
      </c>
      <c r="F12" s="28" t="s">
        <v>173</v>
      </c>
      <c r="G12" s="28" t="s">
        <v>173</v>
      </c>
      <c r="H12" s="28" t="s">
        <v>173</v>
      </c>
      <c r="I12" s="28" t="s">
        <v>173</v>
      </c>
      <c r="J12" s="28" t="s">
        <v>173</v>
      </c>
      <c r="K12" s="28" t="s">
        <v>170</v>
      </c>
      <c r="L12" s="28" t="s">
        <v>170</v>
      </c>
      <c r="M12" s="28" t="s">
        <v>170</v>
      </c>
      <c r="N12" s="28" t="s">
        <v>170</v>
      </c>
      <c r="O12" s="28" t="s">
        <v>170</v>
      </c>
      <c r="P12" s="28" t="s">
        <v>170</v>
      </c>
      <c r="Q12" s="28" t="s">
        <v>170</v>
      </c>
      <c r="R12" s="28"/>
      <c r="S12" s="28"/>
      <c r="T12" s="28"/>
      <c r="U12" s="28"/>
      <c r="V12" s="28"/>
      <c r="W12" s="28"/>
      <c r="X12" s="28"/>
      <c r="Y12" s="28"/>
      <c r="Z12" s="28"/>
      <c r="AA12" s="28" t="s">
        <v>266</v>
      </c>
      <c r="AB12" s="28"/>
      <c r="AC12" s="28"/>
      <c r="AD12" s="28"/>
      <c r="AE12" s="28"/>
      <c r="AF12" s="28" t="s">
        <v>170</v>
      </c>
      <c r="AG12" s="28" t="s">
        <v>173</v>
      </c>
      <c r="AH12" s="28" t="s">
        <v>173</v>
      </c>
    </row>
    <row r="13" spans="1:34" x14ac:dyDescent="0.25">
      <c r="A13" s="26" t="s">
        <v>172</v>
      </c>
      <c r="B13" s="28" t="s">
        <v>170</v>
      </c>
      <c r="C13" s="28" t="s">
        <v>170</v>
      </c>
      <c r="D13" s="28" t="s">
        <v>170</v>
      </c>
      <c r="E13" s="28" t="s">
        <v>170</v>
      </c>
      <c r="F13" s="28" t="s">
        <v>170</v>
      </c>
      <c r="G13" s="28" t="s">
        <v>170</v>
      </c>
      <c r="H13" s="28" t="s">
        <v>170</v>
      </c>
      <c r="I13" s="28" t="s">
        <v>170</v>
      </c>
      <c r="J13" s="28" t="s">
        <v>170</v>
      </c>
      <c r="K13" s="28" t="s">
        <v>170</v>
      </c>
      <c r="L13" s="28" t="s">
        <v>170</v>
      </c>
      <c r="M13" s="28" t="s">
        <v>170</v>
      </c>
      <c r="N13" s="28" t="s">
        <v>170</v>
      </c>
      <c r="O13" s="28" t="s">
        <v>170</v>
      </c>
      <c r="P13" s="28" t="s">
        <v>170</v>
      </c>
      <c r="Q13" s="28" t="s">
        <v>170</v>
      </c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170</v>
      </c>
      <c r="AB13" s="28"/>
      <c r="AC13" s="28"/>
      <c r="AD13" s="28"/>
      <c r="AE13" s="28"/>
      <c r="AF13" s="28" t="s">
        <v>170</v>
      </c>
      <c r="AG13" s="28" t="s">
        <v>170</v>
      </c>
      <c r="AH13" s="28" t="s">
        <v>170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173</v>
      </c>
      <c r="AB14" s="28"/>
      <c r="AC14" s="28"/>
      <c r="AD14" s="28"/>
      <c r="AE14" s="28"/>
      <c r="AF14" s="28" t="s">
        <v>173</v>
      </c>
      <c r="AG14" s="28" t="s">
        <v>173</v>
      </c>
      <c r="AH14" s="28" t="s">
        <v>173</v>
      </c>
    </row>
    <row r="15" spans="1:34" x14ac:dyDescent="0.25">
      <c r="A15" s="26" t="s">
        <v>175</v>
      </c>
      <c r="B15" s="28" t="s">
        <v>198</v>
      </c>
      <c r="C15" s="28" t="s">
        <v>198</v>
      </c>
      <c r="D15" s="28" t="s">
        <v>198</v>
      </c>
      <c r="E15" s="28" t="s">
        <v>198</v>
      </c>
      <c r="F15" s="28" t="s">
        <v>198</v>
      </c>
      <c r="G15" s="28" t="s">
        <v>198</v>
      </c>
      <c r="H15" s="28" t="s">
        <v>198</v>
      </c>
      <c r="I15" s="28" t="s">
        <v>198</v>
      </c>
      <c r="J15" s="28" t="s">
        <v>198</v>
      </c>
      <c r="K15" s="28" t="s">
        <v>198</v>
      </c>
      <c r="L15" s="28" t="s">
        <v>198</v>
      </c>
      <c r="M15" s="28" t="s">
        <v>198</v>
      </c>
      <c r="N15" s="28" t="s">
        <v>198</v>
      </c>
      <c r="O15" s="28" t="s">
        <v>198</v>
      </c>
      <c r="P15" s="28" t="s">
        <v>198</v>
      </c>
      <c r="Q15" s="28" t="s">
        <v>198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198</v>
      </c>
      <c r="AB15" s="28"/>
      <c r="AC15" s="28"/>
      <c r="AD15" s="28"/>
      <c r="AE15" s="28"/>
      <c r="AF15" s="28" t="s">
        <v>198</v>
      </c>
      <c r="AG15" s="28" t="s">
        <v>199</v>
      </c>
      <c r="AH15" s="28" t="s">
        <v>199</v>
      </c>
    </row>
    <row r="16" spans="1:34" x14ac:dyDescent="0.25">
      <c r="A16" s="26" t="s">
        <v>176</v>
      </c>
      <c r="B16" s="30">
        <v>0.5</v>
      </c>
      <c r="C16" s="30">
        <v>0.875</v>
      </c>
      <c r="D16" s="30">
        <v>1</v>
      </c>
      <c r="E16" s="30">
        <f>AVERAGE(0.5,0.5,0.5,1)</f>
        <v>0.625</v>
      </c>
      <c r="F16" s="30">
        <v>0.5</v>
      </c>
      <c r="G16" s="30">
        <v>0.5</v>
      </c>
      <c r="H16" s="30">
        <f>5/3</f>
        <v>1.6666666666666667</v>
      </c>
      <c r="I16" s="30">
        <v>1</v>
      </c>
      <c r="J16" s="30">
        <v>0.5</v>
      </c>
      <c r="K16" s="30">
        <v>0.5</v>
      </c>
      <c r="L16" s="30">
        <v>0.5</v>
      </c>
      <c r="M16" s="30">
        <v>0.5</v>
      </c>
      <c r="N16" s="30">
        <v>0.5</v>
      </c>
      <c r="O16" s="30">
        <v>0.5</v>
      </c>
      <c r="P16" s="30">
        <f>4/3</f>
        <v>1.3333333333333333</v>
      </c>
      <c r="Q16" s="30">
        <f>4/3</f>
        <v>1.3333333333333333</v>
      </c>
      <c r="R16" s="30"/>
      <c r="S16" s="30"/>
      <c r="T16" s="30"/>
      <c r="U16" s="30"/>
      <c r="V16" s="30"/>
      <c r="W16" s="30"/>
      <c r="X16" s="30"/>
      <c r="Y16" s="30"/>
      <c r="Z16" s="30"/>
      <c r="AA16" s="30">
        <v>1</v>
      </c>
      <c r="AB16" s="30"/>
      <c r="AC16" s="30"/>
      <c r="AD16" s="30"/>
      <c r="AE16" s="30"/>
      <c r="AF16" s="30">
        <v>0.5</v>
      </c>
      <c r="AG16" s="30">
        <v>-0.5</v>
      </c>
      <c r="AH16" s="30">
        <v>-0.5</v>
      </c>
    </row>
    <row r="17" spans="1:34" x14ac:dyDescent="0.25">
      <c r="A17" s="26" t="s">
        <v>177</v>
      </c>
      <c r="B17" s="28" t="s">
        <v>181</v>
      </c>
      <c r="C17" s="28" t="s">
        <v>181</v>
      </c>
      <c r="D17" s="28" t="s">
        <v>181</v>
      </c>
      <c r="E17" s="28" t="s">
        <v>181</v>
      </c>
      <c r="F17" s="28" t="s">
        <v>181</v>
      </c>
      <c r="G17" s="28" t="s">
        <v>181</v>
      </c>
      <c r="H17" s="28" t="s">
        <v>181</v>
      </c>
      <c r="I17" s="28" t="s">
        <v>181</v>
      </c>
      <c r="J17" s="28" t="s">
        <v>181</v>
      </c>
      <c r="K17" s="28" t="s">
        <v>181</v>
      </c>
      <c r="L17" s="28" t="s">
        <v>181</v>
      </c>
      <c r="M17" s="28" t="s">
        <v>181</v>
      </c>
      <c r="N17" s="28" t="s">
        <v>181</v>
      </c>
      <c r="O17" s="28" t="s">
        <v>181</v>
      </c>
      <c r="P17" s="28" t="s">
        <v>181</v>
      </c>
      <c r="Q17" s="28" t="s">
        <v>181</v>
      </c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181</v>
      </c>
      <c r="AB17" s="28"/>
      <c r="AC17" s="28"/>
      <c r="AD17" s="28"/>
      <c r="AE17" s="28"/>
      <c r="AF17" s="28" t="s">
        <v>181</v>
      </c>
      <c r="AG17" s="28" t="s">
        <v>181</v>
      </c>
      <c r="AH17" s="28" t="s">
        <v>181</v>
      </c>
    </row>
    <row r="18" spans="1:34" x14ac:dyDescent="0.25">
      <c r="A18" s="26" t="s">
        <v>182</v>
      </c>
      <c r="B18" s="30">
        <v>2</v>
      </c>
      <c r="C18" s="30">
        <v>2</v>
      </c>
      <c r="D18" s="30">
        <v>2</v>
      </c>
      <c r="E18" s="30">
        <v>2</v>
      </c>
      <c r="F18" s="30">
        <v>2</v>
      </c>
      <c r="G18" s="30">
        <v>2</v>
      </c>
      <c r="H18" s="30">
        <v>2</v>
      </c>
      <c r="I18" s="30">
        <v>2</v>
      </c>
      <c r="J18" s="30">
        <v>2</v>
      </c>
      <c r="K18" s="30">
        <v>2</v>
      </c>
      <c r="L18" s="30">
        <v>2</v>
      </c>
      <c r="M18" s="30">
        <v>2</v>
      </c>
      <c r="N18" s="30">
        <v>2</v>
      </c>
      <c r="O18" s="30">
        <v>2</v>
      </c>
      <c r="P18" s="30">
        <v>2</v>
      </c>
      <c r="Q18" s="30">
        <v>2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v>2</v>
      </c>
      <c r="AB18" s="30"/>
      <c r="AC18" s="30"/>
      <c r="AD18" s="30"/>
      <c r="AE18" s="30"/>
      <c r="AF18" s="30">
        <v>2</v>
      </c>
      <c r="AG18" s="30">
        <v>2</v>
      </c>
      <c r="AH18" s="30">
        <v>2</v>
      </c>
    </row>
    <row r="20" spans="1:34" x14ac:dyDescent="0.25">
      <c r="A20" s="31" t="s">
        <v>183</v>
      </c>
    </row>
    <row r="21" spans="1:34" x14ac:dyDescent="0.25">
      <c r="A21" s="26" t="s">
        <v>1063</v>
      </c>
      <c r="B21" s="56" t="s">
        <v>1064</v>
      </c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0DA2-720E-48EE-BE53-AA506815E7E7}">
  <dimension ref="A1:AH21"/>
  <sheetViews>
    <sheetView workbookViewId="0">
      <selection activeCell="E9" sqref="E9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895</v>
      </c>
      <c r="I1" s="25" t="s">
        <v>896</v>
      </c>
    </row>
    <row r="3" spans="1:34" ht="18" x14ac:dyDescent="0.25">
      <c r="A3" s="25" t="s">
        <v>119</v>
      </c>
      <c r="B3" s="215">
        <v>70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1057</v>
      </c>
      <c r="C4" s="215"/>
      <c r="D4" s="215"/>
      <c r="F4" s="216" t="s">
        <v>1065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938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28" t="s">
        <v>414</v>
      </c>
      <c r="C8" s="29" t="s">
        <v>256</v>
      </c>
      <c r="D8" s="29" t="s">
        <v>256</v>
      </c>
      <c r="E8" s="28" t="s">
        <v>256</v>
      </c>
      <c r="F8" s="28" t="s">
        <v>256</v>
      </c>
      <c r="G8" s="28" t="s">
        <v>256</v>
      </c>
      <c r="H8" s="28" t="s">
        <v>256</v>
      </c>
      <c r="I8" s="28" t="s">
        <v>256</v>
      </c>
      <c r="J8" s="28" t="s">
        <v>256</v>
      </c>
      <c r="K8" s="29" t="s">
        <v>256</v>
      </c>
      <c r="L8" s="29" t="s">
        <v>256</v>
      </c>
      <c r="M8" s="29" t="s">
        <v>256</v>
      </c>
      <c r="N8" s="28" t="s">
        <v>256</v>
      </c>
      <c r="O8" s="28" t="s">
        <v>256</v>
      </c>
      <c r="P8" s="29" t="s">
        <v>256</v>
      </c>
      <c r="Q8" s="29" t="s">
        <v>256</v>
      </c>
      <c r="R8" s="28"/>
      <c r="S8" s="28"/>
      <c r="T8" s="28"/>
      <c r="U8" s="28"/>
      <c r="V8" s="28"/>
      <c r="W8" s="28"/>
      <c r="X8" s="28"/>
      <c r="Y8" s="28"/>
      <c r="Z8" s="28"/>
      <c r="AA8" s="29" t="s">
        <v>256</v>
      </c>
      <c r="AB8" s="28"/>
      <c r="AC8" s="28"/>
      <c r="AD8" s="28"/>
      <c r="AE8" s="28"/>
      <c r="AF8" s="28" t="s">
        <v>1059</v>
      </c>
      <c r="AG8" s="29" t="s">
        <v>256</v>
      </c>
      <c r="AH8" s="29" t="s">
        <v>256</v>
      </c>
    </row>
    <row r="9" spans="1:34" ht="15.75" customHeight="1" x14ac:dyDescent="0.25">
      <c r="A9" s="26" t="s">
        <v>165</v>
      </c>
      <c r="B9" s="29" t="s">
        <v>260</v>
      </c>
      <c r="C9" s="29" t="s">
        <v>1060</v>
      </c>
      <c r="D9" s="29" t="s">
        <v>222</v>
      </c>
      <c r="E9" s="28" t="s">
        <v>811</v>
      </c>
      <c r="F9" s="28" t="s">
        <v>260</v>
      </c>
      <c r="G9" s="28" t="s">
        <v>260</v>
      </c>
      <c r="H9" s="28" t="s">
        <v>259</v>
      </c>
      <c r="I9" s="28" t="s">
        <v>256</v>
      </c>
      <c r="J9" s="28" t="s">
        <v>260</v>
      </c>
      <c r="K9" s="28" t="s">
        <v>1061</v>
      </c>
      <c r="L9" s="28" t="s">
        <v>1061</v>
      </c>
      <c r="M9" s="28" t="s">
        <v>1061</v>
      </c>
      <c r="N9" s="28" t="s">
        <v>1061</v>
      </c>
      <c r="O9" s="28" t="s">
        <v>1061</v>
      </c>
      <c r="P9" s="29" t="s">
        <v>226</v>
      </c>
      <c r="Q9" s="29" t="s">
        <v>226</v>
      </c>
      <c r="R9" s="29"/>
      <c r="S9" s="29"/>
      <c r="T9" s="29"/>
      <c r="U9" s="29"/>
      <c r="V9" s="29"/>
      <c r="W9" s="29"/>
      <c r="X9" s="29"/>
      <c r="Y9" s="29"/>
      <c r="Z9" s="29"/>
      <c r="AA9" s="29" t="s">
        <v>1062</v>
      </c>
      <c r="AB9" s="29"/>
      <c r="AC9" s="29"/>
      <c r="AD9" s="29"/>
      <c r="AE9" s="29"/>
      <c r="AF9" s="28" t="s">
        <v>1061</v>
      </c>
      <c r="AG9" s="29" t="s">
        <v>261</v>
      </c>
      <c r="AH9" s="29" t="s">
        <v>261</v>
      </c>
    </row>
    <row r="10" spans="1:34" x14ac:dyDescent="0.25">
      <c r="A10" s="131" t="s">
        <v>168</v>
      </c>
      <c r="B10" s="157">
        <v>52</v>
      </c>
      <c r="C10" s="157">
        <v>119</v>
      </c>
      <c r="D10" s="157">
        <v>51</v>
      </c>
      <c r="E10" s="157">
        <v>122</v>
      </c>
      <c r="F10" s="157">
        <v>52</v>
      </c>
      <c r="G10" s="157">
        <v>52</v>
      </c>
      <c r="H10" s="157">
        <v>46</v>
      </c>
      <c r="I10" s="157">
        <v>50</v>
      </c>
      <c r="J10" s="157">
        <v>52</v>
      </c>
      <c r="K10" s="157">
        <v>53</v>
      </c>
      <c r="L10" s="157">
        <v>53</v>
      </c>
      <c r="M10" s="157">
        <v>53</v>
      </c>
      <c r="N10" s="157">
        <v>53</v>
      </c>
      <c r="O10" s="157">
        <v>53</v>
      </c>
      <c r="P10" s="157">
        <v>49</v>
      </c>
      <c r="Q10" s="157">
        <v>49</v>
      </c>
      <c r="R10" s="157"/>
      <c r="S10" s="157"/>
      <c r="T10" s="157"/>
      <c r="U10" s="157"/>
      <c r="V10" s="157"/>
      <c r="W10" s="157"/>
      <c r="X10" s="157"/>
      <c r="Y10" s="157"/>
      <c r="Z10" s="157"/>
      <c r="AA10" s="157">
        <v>253</v>
      </c>
      <c r="AB10" s="157"/>
      <c r="AC10" s="157"/>
      <c r="AD10" s="157"/>
      <c r="AE10" s="157"/>
      <c r="AF10" s="157">
        <v>53</v>
      </c>
      <c r="AG10" s="157">
        <v>48</v>
      </c>
      <c r="AH10" s="157">
        <v>48</v>
      </c>
    </row>
    <row r="11" spans="1:34" x14ac:dyDescent="0.25">
      <c r="A11" s="26" t="s">
        <v>169</v>
      </c>
      <c r="B11" s="29" t="s">
        <v>170</v>
      </c>
      <c r="C11" s="29" t="s">
        <v>170</v>
      </c>
      <c r="D11" s="29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 t="s">
        <v>170</v>
      </c>
      <c r="K11" s="29" t="s">
        <v>170</v>
      </c>
      <c r="L11" s="29" t="s">
        <v>170</v>
      </c>
      <c r="M11" s="29" t="s">
        <v>170</v>
      </c>
      <c r="N11" s="29" t="s">
        <v>170</v>
      </c>
      <c r="O11" s="29" t="s">
        <v>170</v>
      </c>
      <c r="P11" s="29" t="s">
        <v>170</v>
      </c>
      <c r="Q11" s="29" t="s">
        <v>170</v>
      </c>
      <c r="R11" s="28"/>
      <c r="S11" s="28"/>
      <c r="T11" s="28"/>
      <c r="U11" s="28"/>
      <c r="V11" s="28"/>
      <c r="W11" s="28"/>
      <c r="X11" s="28"/>
      <c r="Y11" s="28"/>
      <c r="Z11" s="28"/>
      <c r="AA11" s="29" t="s">
        <v>170</v>
      </c>
      <c r="AB11" s="28"/>
      <c r="AC11" s="29"/>
      <c r="AD11" s="28"/>
      <c r="AE11" s="29"/>
      <c r="AF11" s="29" t="s">
        <v>170</v>
      </c>
      <c r="AG11" s="29" t="s">
        <v>170</v>
      </c>
      <c r="AH11" s="29" t="s">
        <v>170</v>
      </c>
    </row>
    <row r="12" spans="1:34" x14ac:dyDescent="0.25">
      <c r="A12" s="26" t="s">
        <v>171</v>
      </c>
      <c r="B12" s="28" t="s">
        <v>173</v>
      </c>
      <c r="C12" s="29" t="s">
        <v>170</v>
      </c>
      <c r="D12" s="29" t="s">
        <v>170</v>
      </c>
      <c r="E12" s="28" t="s">
        <v>173</v>
      </c>
      <c r="F12" s="28" t="s">
        <v>173</v>
      </c>
      <c r="G12" s="28" t="s">
        <v>173</v>
      </c>
      <c r="H12" s="28" t="s">
        <v>173</v>
      </c>
      <c r="I12" s="28" t="s">
        <v>173</v>
      </c>
      <c r="J12" s="28" t="s">
        <v>173</v>
      </c>
      <c r="K12" s="28" t="s">
        <v>170</v>
      </c>
      <c r="L12" s="28" t="s">
        <v>170</v>
      </c>
      <c r="M12" s="28" t="s">
        <v>170</v>
      </c>
      <c r="N12" s="28" t="s">
        <v>170</v>
      </c>
      <c r="O12" s="28" t="s">
        <v>170</v>
      </c>
      <c r="P12" s="28" t="s">
        <v>170</v>
      </c>
      <c r="Q12" s="28" t="s">
        <v>170</v>
      </c>
      <c r="R12" s="28"/>
      <c r="S12" s="28"/>
      <c r="T12" s="28"/>
      <c r="U12" s="28"/>
      <c r="V12" s="28"/>
      <c r="W12" s="28"/>
      <c r="X12" s="28"/>
      <c r="Y12" s="28"/>
      <c r="Z12" s="28"/>
      <c r="AA12" s="28" t="s">
        <v>266</v>
      </c>
      <c r="AB12" s="28"/>
      <c r="AC12" s="28"/>
      <c r="AD12" s="28"/>
      <c r="AE12" s="28"/>
      <c r="AF12" s="28" t="s">
        <v>170</v>
      </c>
      <c r="AG12" s="28" t="s">
        <v>173</v>
      </c>
      <c r="AH12" s="28" t="s">
        <v>173</v>
      </c>
    </row>
    <row r="13" spans="1:34" x14ac:dyDescent="0.25">
      <c r="A13" s="26" t="s">
        <v>172</v>
      </c>
      <c r="B13" s="28" t="s">
        <v>170</v>
      </c>
      <c r="C13" s="28" t="s">
        <v>170</v>
      </c>
      <c r="D13" s="28" t="s">
        <v>170</v>
      </c>
      <c r="E13" s="28" t="s">
        <v>170</v>
      </c>
      <c r="F13" s="28" t="s">
        <v>170</v>
      </c>
      <c r="G13" s="28" t="s">
        <v>170</v>
      </c>
      <c r="H13" s="28" t="s">
        <v>170</v>
      </c>
      <c r="I13" s="28" t="s">
        <v>170</v>
      </c>
      <c r="J13" s="28" t="s">
        <v>170</v>
      </c>
      <c r="K13" s="28" t="s">
        <v>170</v>
      </c>
      <c r="L13" s="28" t="s">
        <v>170</v>
      </c>
      <c r="M13" s="28" t="s">
        <v>170</v>
      </c>
      <c r="N13" s="28" t="s">
        <v>170</v>
      </c>
      <c r="O13" s="28" t="s">
        <v>170</v>
      </c>
      <c r="P13" s="28" t="s">
        <v>170</v>
      </c>
      <c r="Q13" s="28" t="s">
        <v>170</v>
      </c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170</v>
      </c>
      <c r="AB13" s="28"/>
      <c r="AC13" s="28"/>
      <c r="AD13" s="28"/>
      <c r="AE13" s="28"/>
      <c r="AF13" s="28" t="s">
        <v>170</v>
      </c>
      <c r="AG13" s="28" t="s">
        <v>170</v>
      </c>
      <c r="AH13" s="28" t="s">
        <v>170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173</v>
      </c>
      <c r="AB14" s="28"/>
      <c r="AC14" s="28"/>
      <c r="AD14" s="28"/>
      <c r="AE14" s="28"/>
      <c r="AF14" s="28" t="s">
        <v>173</v>
      </c>
      <c r="AG14" s="28" t="s">
        <v>173</v>
      </c>
      <c r="AH14" s="28" t="s">
        <v>173</v>
      </c>
    </row>
    <row r="15" spans="1:34" x14ac:dyDescent="0.25">
      <c r="A15" s="26" t="s">
        <v>175</v>
      </c>
      <c r="B15" s="28" t="s">
        <v>198</v>
      </c>
      <c r="C15" s="28" t="s">
        <v>198</v>
      </c>
      <c r="D15" s="28" t="s">
        <v>198</v>
      </c>
      <c r="E15" s="28" t="s">
        <v>198</v>
      </c>
      <c r="F15" s="28" t="s">
        <v>198</v>
      </c>
      <c r="G15" s="28" t="s">
        <v>198</v>
      </c>
      <c r="H15" s="28" t="s">
        <v>198</v>
      </c>
      <c r="I15" s="28" t="s">
        <v>198</v>
      </c>
      <c r="J15" s="28" t="s">
        <v>198</v>
      </c>
      <c r="K15" s="28" t="s">
        <v>198</v>
      </c>
      <c r="L15" s="28" t="s">
        <v>198</v>
      </c>
      <c r="M15" s="28" t="s">
        <v>198</v>
      </c>
      <c r="N15" s="28" t="s">
        <v>198</v>
      </c>
      <c r="O15" s="28" t="s">
        <v>198</v>
      </c>
      <c r="P15" s="28" t="s">
        <v>198</v>
      </c>
      <c r="Q15" s="28" t="s">
        <v>198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198</v>
      </c>
      <c r="AB15" s="28"/>
      <c r="AC15" s="28"/>
      <c r="AD15" s="28"/>
      <c r="AE15" s="28"/>
      <c r="AF15" s="28" t="s">
        <v>198</v>
      </c>
      <c r="AG15" s="28" t="s">
        <v>198</v>
      </c>
      <c r="AH15" s="28" t="s">
        <v>198</v>
      </c>
    </row>
    <row r="16" spans="1:34" x14ac:dyDescent="0.25">
      <c r="A16" s="26" t="s">
        <v>176</v>
      </c>
      <c r="B16" s="30">
        <v>0.5</v>
      </c>
      <c r="C16" s="30">
        <f>AVERAGE(1,1,1,0.5)</f>
        <v>0.875</v>
      </c>
      <c r="D16" s="30">
        <v>1</v>
      </c>
      <c r="E16" s="30">
        <f>AVERAGE(0.5,0.5,0.5,1)</f>
        <v>0.625</v>
      </c>
      <c r="F16" s="30">
        <v>0.5</v>
      </c>
      <c r="G16" s="30">
        <v>0.5</v>
      </c>
      <c r="H16" s="30">
        <f>5/3</f>
        <v>1.6666666666666667</v>
      </c>
      <c r="I16" s="30">
        <v>1</v>
      </c>
      <c r="J16" s="30">
        <v>0.5</v>
      </c>
      <c r="K16" s="30">
        <v>0.5</v>
      </c>
      <c r="L16" s="30">
        <v>0.5</v>
      </c>
      <c r="M16" s="30">
        <v>0.5</v>
      </c>
      <c r="N16" s="30">
        <v>0.5</v>
      </c>
      <c r="O16" s="30">
        <v>0.5</v>
      </c>
      <c r="P16" s="30">
        <f>4/3</f>
        <v>1.3333333333333333</v>
      </c>
      <c r="Q16" s="30">
        <f>4/3</f>
        <v>1.3333333333333333</v>
      </c>
      <c r="R16" s="30"/>
      <c r="S16" s="30"/>
      <c r="T16" s="30"/>
      <c r="U16" s="30"/>
      <c r="V16" s="30"/>
      <c r="W16" s="30"/>
      <c r="X16" s="30"/>
      <c r="Y16" s="30"/>
      <c r="Z16" s="30"/>
      <c r="AA16" s="30">
        <v>1</v>
      </c>
      <c r="AB16" s="30"/>
      <c r="AC16" s="30"/>
      <c r="AD16" s="30"/>
      <c r="AE16" s="30"/>
      <c r="AF16" s="30">
        <v>0.5</v>
      </c>
      <c r="AG16" s="30">
        <f>4/3</f>
        <v>1.3333333333333333</v>
      </c>
      <c r="AH16" s="30">
        <f>4/3</f>
        <v>1.3333333333333333</v>
      </c>
    </row>
    <row r="17" spans="1:34" x14ac:dyDescent="0.25">
      <c r="A17" s="26" t="s">
        <v>177</v>
      </c>
      <c r="B17" s="28" t="s">
        <v>181</v>
      </c>
      <c r="C17" s="28" t="s">
        <v>181</v>
      </c>
      <c r="D17" s="28" t="s">
        <v>181</v>
      </c>
      <c r="E17" s="28" t="s">
        <v>181</v>
      </c>
      <c r="F17" s="28" t="s">
        <v>181</v>
      </c>
      <c r="G17" s="28" t="s">
        <v>181</v>
      </c>
      <c r="H17" s="28" t="s">
        <v>181</v>
      </c>
      <c r="I17" s="28" t="s">
        <v>181</v>
      </c>
      <c r="J17" s="28" t="s">
        <v>181</v>
      </c>
      <c r="K17" s="28" t="s">
        <v>181</v>
      </c>
      <c r="L17" s="28" t="s">
        <v>181</v>
      </c>
      <c r="M17" s="28" t="s">
        <v>181</v>
      </c>
      <c r="N17" s="28" t="s">
        <v>181</v>
      </c>
      <c r="O17" s="28" t="s">
        <v>181</v>
      </c>
      <c r="P17" s="28" t="s">
        <v>181</v>
      </c>
      <c r="Q17" s="28" t="s">
        <v>181</v>
      </c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181</v>
      </c>
      <c r="AB17" s="28"/>
      <c r="AC17" s="28"/>
      <c r="AD17" s="28"/>
      <c r="AE17" s="28"/>
      <c r="AF17" s="28" t="s">
        <v>181</v>
      </c>
      <c r="AG17" s="28" t="s">
        <v>181</v>
      </c>
      <c r="AH17" s="28" t="s">
        <v>181</v>
      </c>
    </row>
    <row r="18" spans="1:34" x14ac:dyDescent="0.25">
      <c r="A18" s="26" t="s">
        <v>182</v>
      </c>
      <c r="B18" s="30">
        <v>2</v>
      </c>
      <c r="C18" s="30">
        <v>2</v>
      </c>
      <c r="D18" s="30">
        <v>2</v>
      </c>
      <c r="E18" s="30">
        <v>2</v>
      </c>
      <c r="F18" s="30">
        <v>2</v>
      </c>
      <c r="G18" s="30">
        <v>2</v>
      </c>
      <c r="H18" s="30">
        <v>2</v>
      </c>
      <c r="I18" s="30">
        <v>2</v>
      </c>
      <c r="J18" s="30">
        <v>2</v>
      </c>
      <c r="K18" s="30">
        <v>2</v>
      </c>
      <c r="L18" s="30">
        <v>2</v>
      </c>
      <c r="M18" s="30">
        <v>2</v>
      </c>
      <c r="N18" s="30">
        <v>2</v>
      </c>
      <c r="O18" s="30">
        <v>2</v>
      </c>
      <c r="P18" s="30">
        <v>2</v>
      </c>
      <c r="Q18" s="30">
        <v>2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v>2</v>
      </c>
      <c r="AB18" s="30"/>
      <c r="AC18" s="30"/>
      <c r="AD18" s="30"/>
      <c r="AE18" s="30"/>
      <c r="AF18" s="30">
        <v>2</v>
      </c>
      <c r="AG18" s="30">
        <v>2</v>
      </c>
      <c r="AH18" s="30">
        <v>2</v>
      </c>
    </row>
    <row r="20" spans="1:34" x14ac:dyDescent="0.25">
      <c r="A20" s="31" t="s">
        <v>183</v>
      </c>
    </row>
    <row r="21" spans="1:34" x14ac:dyDescent="0.25">
      <c r="A21" s="26" t="s">
        <v>1066</v>
      </c>
      <c r="B21" s="56" t="s">
        <v>1064</v>
      </c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DDEF4-EC9B-4E86-AA01-559A4068BAFC}">
  <dimension ref="A1:AJ21"/>
  <sheetViews>
    <sheetView topLeftCell="K1" workbookViewId="0">
      <selection activeCell="T9" sqref="T9"/>
    </sheetView>
  </sheetViews>
  <sheetFormatPr defaultColWidth="9.140625" defaultRowHeight="15" x14ac:dyDescent="0.25"/>
  <cols>
    <col min="1" max="1" width="23.28515625" style="26" bestFit="1" customWidth="1"/>
    <col min="2" max="50" width="5.7109375" style="26" customWidth="1"/>
    <col min="51" max="16384" width="9.140625" style="26"/>
  </cols>
  <sheetData>
    <row r="1" spans="1:36" x14ac:dyDescent="0.25">
      <c r="A1" s="25" t="s">
        <v>116</v>
      </c>
      <c r="D1" s="25" t="s">
        <v>895</v>
      </c>
      <c r="I1" s="25" t="s">
        <v>896</v>
      </c>
    </row>
    <row r="3" spans="1:36" ht="18" x14ac:dyDescent="0.25">
      <c r="A3" s="25" t="s">
        <v>119</v>
      </c>
      <c r="B3" s="215">
        <v>71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6" ht="18" x14ac:dyDescent="0.25">
      <c r="A4" s="25" t="s">
        <v>121</v>
      </c>
      <c r="B4" s="215" t="s">
        <v>1067</v>
      </c>
      <c r="C4" s="215"/>
      <c r="D4" s="215"/>
      <c r="F4" s="216" t="s">
        <v>1068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6" ht="18" x14ac:dyDescent="0.25">
      <c r="A5" s="25" t="s">
        <v>124</v>
      </c>
      <c r="B5" s="215" t="s">
        <v>899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6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66" t="s">
        <v>142</v>
      </c>
      <c r="S7" s="68" t="s">
        <v>143</v>
      </c>
      <c r="T7" s="69" t="s">
        <v>144</v>
      </c>
      <c r="U7" s="69" t="s">
        <v>145</v>
      </c>
      <c r="V7" s="70" t="s">
        <v>146</v>
      </c>
      <c r="W7" s="70" t="s">
        <v>147</v>
      </c>
      <c r="X7" s="71" t="s">
        <v>148</v>
      </c>
      <c r="Y7" s="71" t="s">
        <v>149</v>
      </c>
      <c r="Z7" s="72" t="s">
        <v>150</v>
      </c>
      <c r="AA7" s="72" t="s">
        <v>151</v>
      </c>
      <c r="AB7" s="73" t="s">
        <v>152</v>
      </c>
      <c r="AC7" s="73" t="s">
        <v>153</v>
      </c>
      <c r="AD7" s="73" t="s">
        <v>154</v>
      </c>
      <c r="AE7" s="74" t="s">
        <v>155</v>
      </c>
      <c r="AF7" s="75" t="s">
        <v>156</v>
      </c>
      <c r="AG7" s="76" t="s">
        <v>157</v>
      </c>
      <c r="AH7" s="76" t="s">
        <v>158</v>
      </c>
      <c r="AJ7" s="53" t="s">
        <v>158</v>
      </c>
    </row>
    <row r="8" spans="1:36" x14ac:dyDescent="0.25">
      <c r="A8" s="26" t="s">
        <v>159</v>
      </c>
      <c r="B8" s="28" t="s">
        <v>447</v>
      </c>
      <c r="C8" s="28" t="s">
        <v>448</v>
      </c>
      <c r="D8" s="28" t="s">
        <v>448</v>
      </c>
      <c r="E8" s="28" t="s">
        <v>448</v>
      </c>
      <c r="F8" s="28" t="s">
        <v>448</v>
      </c>
      <c r="G8" s="28" t="s">
        <v>448</v>
      </c>
      <c r="H8" s="28" t="s">
        <v>448</v>
      </c>
      <c r="I8" s="28" t="s">
        <v>448</v>
      </c>
      <c r="J8" s="28" t="s">
        <v>448</v>
      </c>
      <c r="K8" s="28" t="s">
        <v>448</v>
      </c>
      <c r="L8" s="28" t="s">
        <v>448</v>
      </c>
      <c r="M8" s="28" t="s">
        <v>448</v>
      </c>
      <c r="N8" s="28" t="s">
        <v>448</v>
      </c>
      <c r="O8" s="28" t="s">
        <v>448</v>
      </c>
      <c r="P8" s="28" t="s">
        <v>448</v>
      </c>
      <c r="Q8" s="86" t="s">
        <v>448</v>
      </c>
      <c r="R8" s="28" t="s">
        <v>448</v>
      </c>
      <c r="S8" s="28" t="s">
        <v>448</v>
      </c>
      <c r="T8" s="28" t="s">
        <v>942</v>
      </c>
      <c r="U8" s="28"/>
      <c r="V8" s="28"/>
      <c r="W8" s="28"/>
      <c r="X8" s="28" t="s">
        <v>448</v>
      </c>
      <c r="Y8" s="28" t="s">
        <v>448</v>
      </c>
      <c r="Z8" s="28"/>
      <c r="AA8" s="28" t="s">
        <v>448</v>
      </c>
      <c r="AB8" s="28" t="s">
        <v>448</v>
      </c>
      <c r="AC8" s="28" t="s">
        <v>448</v>
      </c>
      <c r="AD8" s="28" t="s">
        <v>448</v>
      </c>
      <c r="AE8" s="28" t="s">
        <v>448</v>
      </c>
      <c r="AF8" s="28" t="s">
        <v>448</v>
      </c>
      <c r="AG8" s="28" t="s">
        <v>448</v>
      </c>
      <c r="AH8" s="28" t="s">
        <v>448</v>
      </c>
      <c r="AJ8" s="28" t="s">
        <v>366</v>
      </c>
    </row>
    <row r="9" spans="1:36" x14ac:dyDescent="0.2">
      <c r="A9" s="26" t="s">
        <v>165</v>
      </c>
      <c r="B9" s="28" t="s">
        <v>448</v>
      </c>
      <c r="C9" s="28" t="s">
        <v>561</v>
      </c>
      <c r="D9" s="28" t="s">
        <v>561</v>
      </c>
      <c r="E9" s="28" t="s">
        <v>561</v>
      </c>
      <c r="F9" s="28" t="s">
        <v>561</v>
      </c>
      <c r="G9" s="28" t="s">
        <v>561</v>
      </c>
      <c r="H9" s="28" t="s">
        <v>561</v>
      </c>
      <c r="I9" s="28" t="s">
        <v>561</v>
      </c>
      <c r="J9" s="28" t="s">
        <v>561</v>
      </c>
      <c r="K9" s="28" t="s">
        <v>561</v>
      </c>
      <c r="L9" s="28" t="s">
        <v>561</v>
      </c>
      <c r="M9" s="28" t="s">
        <v>561</v>
      </c>
      <c r="N9" s="28" t="s">
        <v>561</v>
      </c>
      <c r="O9" s="28" t="s">
        <v>561</v>
      </c>
      <c r="P9" s="113" t="s">
        <v>453</v>
      </c>
      <c r="Q9" s="193" t="s">
        <v>453</v>
      </c>
      <c r="R9" s="28" t="s">
        <v>454</v>
      </c>
      <c r="S9" s="28" t="s">
        <v>1069</v>
      </c>
      <c r="T9" s="28" t="s">
        <v>614</v>
      </c>
      <c r="U9" s="28"/>
      <c r="V9" s="28"/>
      <c r="W9" s="28"/>
      <c r="X9" s="28" t="s">
        <v>561</v>
      </c>
      <c r="Y9" s="28" t="s">
        <v>561</v>
      </c>
      <c r="Z9" s="28"/>
      <c r="AA9" s="28" t="s">
        <v>561</v>
      </c>
      <c r="AB9" s="28" t="s">
        <v>561</v>
      </c>
      <c r="AC9" s="28" t="s">
        <v>561</v>
      </c>
      <c r="AD9" s="28" t="s">
        <v>561</v>
      </c>
      <c r="AE9" s="28" t="s">
        <v>561</v>
      </c>
      <c r="AF9" s="28" t="s">
        <v>561</v>
      </c>
      <c r="AG9" s="28" t="s">
        <v>457</v>
      </c>
      <c r="AH9" s="28" t="s">
        <v>457</v>
      </c>
      <c r="AJ9" s="212" t="s">
        <v>369</v>
      </c>
    </row>
    <row r="10" spans="1:36" x14ac:dyDescent="0.25">
      <c r="A10" s="131" t="s">
        <v>168</v>
      </c>
      <c r="B10" s="157">
        <v>79</v>
      </c>
      <c r="C10" s="157">
        <v>83</v>
      </c>
      <c r="D10" s="157">
        <v>83</v>
      </c>
      <c r="E10" s="157">
        <v>83</v>
      </c>
      <c r="F10" s="157">
        <v>83</v>
      </c>
      <c r="G10" s="157">
        <v>83</v>
      </c>
      <c r="H10" s="157">
        <v>83</v>
      </c>
      <c r="I10" s="157">
        <v>83</v>
      </c>
      <c r="J10" s="157">
        <v>83</v>
      </c>
      <c r="K10" s="157">
        <v>83</v>
      </c>
      <c r="L10" s="157">
        <v>83</v>
      </c>
      <c r="M10" s="157">
        <v>83</v>
      </c>
      <c r="N10" s="157">
        <v>83</v>
      </c>
      <c r="O10" s="157">
        <v>83</v>
      </c>
      <c r="P10" s="157">
        <v>142</v>
      </c>
      <c r="Q10" s="161">
        <v>142</v>
      </c>
      <c r="R10" s="157">
        <v>81</v>
      </c>
      <c r="S10" s="157">
        <v>127</v>
      </c>
      <c r="T10" s="157">
        <v>151</v>
      </c>
      <c r="U10" s="157"/>
      <c r="V10" s="157"/>
      <c r="W10" s="157"/>
      <c r="X10" s="157">
        <v>83</v>
      </c>
      <c r="Y10" s="157">
        <v>83</v>
      </c>
      <c r="Z10" s="157"/>
      <c r="AA10" s="157">
        <v>83</v>
      </c>
      <c r="AB10" s="157">
        <v>83</v>
      </c>
      <c r="AC10" s="157">
        <v>83</v>
      </c>
      <c r="AD10" s="157">
        <v>83</v>
      </c>
      <c r="AE10" s="157">
        <v>83</v>
      </c>
      <c r="AF10" s="157">
        <v>83</v>
      </c>
      <c r="AG10" s="157">
        <v>82</v>
      </c>
      <c r="AH10" s="157">
        <v>82</v>
      </c>
      <c r="AJ10" s="157">
        <v>72</v>
      </c>
    </row>
    <row r="11" spans="1:36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28" t="s">
        <v>170</v>
      </c>
      <c r="O11" s="28" t="s">
        <v>170</v>
      </c>
      <c r="P11" s="28" t="s">
        <v>170</v>
      </c>
      <c r="Q11" s="86" t="s">
        <v>170</v>
      </c>
      <c r="R11" s="28" t="s">
        <v>170</v>
      </c>
      <c r="S11" s="28" t="s">
        <v>170</v>
      </c>
      <c r="T11" s="28" t="s">
        <v>266</v>
      </c>
      <c r="U11" s="28"/>
      <c r="V11" s="28"/>
      <c r="W11" s="28"/>
      <c r="X11" s="28" t="s">
        <v>170</v>
      </c>
      <c r="Y11" s="28" t="s">
        <v>170</v>
      </c>
      <c r="Z11" s="28"/>
      <c r="AA11" s="28" t="s">
        <v>170</v>
      </c>
      <c r="AB11" s="28" t="s">
        <v>170</v>
      </c>
      <c r="AC11" s="28" t="s">
        <v>170</v>
      </c>
      <c r="AD11" s="28" t="s">
        <v>170</v>
      </c>
      <c r="AE11" s="28" t="s">
        <v>170</v>
      </c>
      <c r="AF11" s="28" t="s">
        <v>170</v>
      </c>
      <c r="AG11" s="28" t="s">
        <v>170</v>
      </c>
      <c r="AH11" s="28" t="s">
        <v>170</v>
      </c>
      <c r="AJ11" s="29" t="s">
        <v>170</v>
      </c>
    </row>
    <row r="12" spans="1:36" x14ac:dyDescent="0.25">
      <c r="A12" s="26" t="s">
        <v>171</v>
      </c>
      <c r="B12" s="28" t="s">
        <v>170</v>
      </c>
      <c r="C12" s="28" t="s">
        <v>170</v>
      </c>
      <c r="D12" s="28" t="s">
        <v>170</v>
      </c>
      <c r="E12" s="28" t="s">
        <v>170</v>
      </c>
      <c r="F12" s="28" t="s">
        <v>170</v>
      </c>
      <c r="G12" s="28" t="s">
        <v>170</v>
      </c>
      <c r="H12" s="28" t="s">
        <v>170</v>
      </c>
      <c r="I12" s="28" t="s">
        <v>170</v>
      </c>
      <c r="J12" s="28" t="s">
        <v>170</v>
      </c>
      <c r="K12" s="28" t="s">
        <v>170</v>
      </c>
      <c r="L12" s="28" t="s">
        <v>170</v>
      </c>
      <c r="M12" s="28" t="s">
        <v>170</v>
      </c>
      <c r="N12" s="28" t="s">
        <v>170</v>
      </c>
      <c r="O12" s="28" t="s">
        <v>170</v>
      </c>
      <c r="P12" s="28" t="s">
        <v>170</v>
      </c>
      <c r="Q12" s="86" t="s">
        <v>170</v>
      </c>
      <c r="R12" s="28" t="s">
        <v>170</v>
      </c>
      <c r="S12" s="28" t="s">
        <v>170</v>
      </c>
      <c r="T12" s="28" t="s">
        <v>266</v>
      </c>
      <c r="U12" s="28"/>
      <c r="V12" s="28"/>
      <c r="W12" s="28"/>
      <c r="X12" s="28" t="s">
        <v>170</v>
      </c>
      <c r="Y12" s="28" t="s">
        <v>170</v>
      </c>
      <c r="Z12" s="28"/>
      <c r="AA12" s="28" t="s">
        <v>170</v>
      </c>
      <c r="AB12" s="28" t="s">
        <v>170</v>
      </c>
      <c r="AC12" s="28" t="s">
        <v>170</v>
      </c>
      <c r="AD12" s="28" t="s">
        <v>170</v>
      </c>
      <c r="AE12" s="28" t="s">
        <v>170</v>
      </c>
      <c r="AF12" s="28" t="s">
        <v>170</v>
      </c>
      <c r="AG12" s="28" t="s">
        <v>170</v>
      </c>
      <c r="AH12" s="28" t="s">
        <v>170</v>
      </c>
      <c r="AJ12" s="29" t="s">
        <v>170</v>
      </c>
    </row>
    <row r="13" spans="1:36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86" t="s">
        <v>173</v>
      </c>
      <c r="R13" s="28" t="s">
        <v>173</v>
      </c>
      <c r="S13" s="28" t="s">
        <v>173</v>
      </c>
      <c r="T13" s="28" t="s">
        <v>173</v>
      </c>
      <c r="U13" s="28"/>
      <c r="V13" s="28"/>
      <c r="W13" s="28"/>
      <c r="X13" s="28" t="s">
        <v>173</v>
      </c>
      <c r="Y13" s="28" t="s">
        <v>173</v>
      </c>
      <c r="Z13" s="28"/>
      <c r="AA13" s="28" t="s">
        <v>173</v>
      </c>
      <c r="AB13" s="28" t="s">
        <v>173</v>
      </c>
      <c r="AC13" s="28" t="s">
        <v>173</v>
      </c>
      <c r="AD13" s="28" t="s">
        <v>173</v>
      </c>
      <c r="AE13" s="28" t="s">
        <v>173</v>
      </c>
      <c r="AF13" s="28" t="s">
        <v>173</v>
      </c>
      <c r="AG13" s="28" t="s">
        <v>173</v>
      </c>
      <c r="AH13" s="28" t="s">
        <v>173</v>
      </c>
      <c r="AJ13" s="28" t="s">
        <v>173</v>
      </c>
    </row>
    <row r="14" spans="1:36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86" t="s">
        <v>173</v>
      </c>
      <c r="R14" s="28" t="s">
        <v>173</v>
      </c>
      <c r="S14" s="28" t="s">
        <v>173</v>
      </c>
      <c r="T14" s="28" t="s">
        <v>173</v>
      </c>
      <c r="U14" s="28"/>
      <c r="V14" s="28"/>
      <c r="W14" s="28"/>
      <c r="X14" s="28" t="s">
        <v>173</v>
      </c>
      <c r="Y14" s="28" t="s">
        <v>173</v>
      </c>
      <c r="Z14" s="28"/>
      <c r="AA14" s="28" t="s">
        <v>173</v>
      </c>
      <c r="AB14" s="28" t="s">
        <v>173</v>
      </c>
      <c r="AC14" s="28" t="s">
        <v>173</v>
      </c>
      <c r="AD14" s="28" t="s">
        <v>173</v>
      </c>
      <c r="AE14" s="28" t="s">
        <v>173</v>
      </c>
      <c r="AF14" s="28" t="s">
        <v>173</v>
      </c>
      <c r="AG14" s="28" t="s">
        <v>173</v>
      </c>
      <c r="AH14" s="28" t="s">
        <v>173</v>
      </c>
      <c r="AJ14" s="28" t="s">
        <v>173</v>
      </c>
    </row>
    <row r="15" spans="1:36" x14ac:dyDescent="0.25">
      <c r="A15" s="26" t="s">
        <v>175</v>
      </c>
      <c r="B15" s="28" t="s">
        <v>198</v>
      </c>
      <c r="C15" s="28" t="s">
        <v>198</v>
      </c>
      <c r="D15" s="28" t="s">
        <v>198</v>
      </c>
      <c r="E15" s="28" t="s">
        <v>198</v>
      </c>
      <c r="F15" s="28" t="s">
        <v>198</v>
      </c>
      <c r="G15" s="28" t="s">
        <v>198</v>
      </c>
      <c r="H15" s="28" t="s">
        <v>198</v>
      </c>
      <c r="I15" s="28" t="s">
        <v>198</v>
      </c>
      <c r="J15" s="28" t="s">
        <v>198</v>
      </c>
      <c r="K15" s="28" t="s">
        <v>198</v>
      </c>
      <c r="L15" s="28" t="s">
        <v>198</v>
      </c>
      <c r="M15" s="28" t="s">
        <v>198</v>
      </c>
      <c r="N15" s="28" t="s">
        <v>198</v>
      </c>
      <c r="O15" s="28" t="s">
        <v>198</v>
      </c>
      <c r="P15" s="28" t="s">
        <v>461</v>
      </c>
      <c r="Q15" s="86" t="s">
        <v>461</v>
      </c>
      <c r="R15" s="28" t="s">
        <v>461</v>
      </c>
      <c r="S15" s="113" t="s">
        <v>460</v>
      </c>
      <c r="T15" s="29" t="s">
        <v>199</v>
      </c>
      <c r="U15" s="28"/>
      <c r="V15" s="28"/>
      <c r="W15" s="28"/>
      <c r="X15" s="28" t="s">
        <v>198</v>
      </c>
      <c r="Y15" s="28" t="s">
        <v>198</v>
      </c>
      <c r="Z15" s="28"/>
      <c r="AA15" s="28" t="s">
        <v>198</v>
      </c>
      <c r="AB15" s="28" t="s">
        <v>198</v>
      </c>
      <c r="AC15" s="28" t="s">
        <v>198</v>
      </c>
      <c r="AD15" s="28" t="s">
        <v>198</v>
      </c>
      <c r="AE15" s="28" t="s">
        <v>198</v>
      </c>
      <c r="AF15" s="28" t="s">
        <v>198</v>
      </c>
      <c r="AG15" s="28" t="s">
        <v>198</v>
      </c>
      <c r="AH15" s="28" t="s">
        <v>198</v>
      </c>
      <c r="AJ15" s="28" t="s">
        <v>198</v>
      </c>
    </row>
    <row r="16" spans="1:36" x14ac:dyDescent="0.25">
      <c r="A16" s="26" t="s">
        <v>176</v>
      </c>
      <c r="B16" s="30">
        <v>0.75</v>
      </c>
      <c r="C16" s="30">
        <v>0.75</v>
      </c>
      <c r="D16" s="30">
        <v>0.75</v>
      </c>
      <c r="E16" s="30">
        <v>0.75</v>
      </c>
      <c r="F16" s="30">
        <v>0.75</v>
      </c>
      <c r="G16" s="30">
        <v>0.75</v>
      </c>
      <c r="H16" s="30">
        <v>0.75</v>
      </c>
      <c r="I16" s="30">
        <v>0.75</v>
      </c>
      <c r="J16" s="30">
        <v>0.75</v>
      </c>
      <c r="K16" s="30">
        <v>0.75</v>
      </c>
      <c r="L16" s="30">
        <v>0.75</v>
      </c>
      <c r="M16" s="30">
        <v>0.75</v>
      </c>
      <c r="N16" s="30">
        <v>0.75</v>
      </c>
      <c r="O16" s="30">
        <v>0.75</v>
      </c>
      <c r="P16" s="30">
        <v>-4</v>
      </c>
      <c r="Q16" s="92">
        <v>-4</v>
      </c>
      <c r="R16" s="30">
        <v>-4</v>
      </c>
      <c r="S16" s="30">
        <f>AVERAGE(0.75,0.75,-4)</f>
        <v>-0.83333333333333337</v>
      </c>
      <c r="T16" s="30">
        <v>-2</v>
      </c>
      <c r="U16" s="30"/>
      <c r="V16" s="30"/>
      <c r="W16" s="30"/>
      <c r="X16" s="30">
        <v>0.75</v>
      </c>
      <c r="Y16" s="30">
        <v>0.75</v>
      </c>
      <c r="Z16" s="30"/>
      <c r="AA16" s="30">
        <v>0.75</v>
      </c>
      <c r="AB16" s="30">
        <v>0.75</v>
      </c>
      <c r="AC16" s="30">
        <v>0.75</v>
      </c>
      <c r="AD16" s="30">
        <v>0.75</v>
      </c>
      <c r="AE16" s="30">
        <v>0.75</v>
      </c>
      <c r="AF16" s="30">
        <v>0.75</v>
      </c>
      <c r="AG16" s="30">
        <f>5/3</f>
        <v>1.6666666666666667</v>
      </c>
      <c r="AH16" s="30">
        <f>5/3</f>
        <v>1.6666666666666667</v>
      </c>
      <c r="AJ16" s="30">
        <v>1.67</v>
      </c>
    </row>
    <row r="17" spans="1:36" x14ac:dyDescent="0.25">
      <c r="A17" s="26" t="s">
        <v>177</v>
      </c>
      <c r="B17" s="28" t="s">
        <v>462</v>
      </c>
      <c r="C17" s="28" t="s">
        <v>462</v>
      </c>
      <c r="D17" s="28" t="s">
        <v>462</v>
      </c>
      <c r="E17" s="28" t="s">
        <v>462</v>
      </c>
      <c r="F17" s="28" t="s">
        <v>462</v>
      </c>
      <c r="G17" s="28" t="s">
        <v>462</v>
      </c>
      <c r="H17" s="28" t="s">
        <v>462</v>
      </c>
      <c r="I17" s="28" t="s">
        <v>462</v>
      </c>
      <c r="J17" s="28" t="s">
        <v>462</v>
      </c>
      <c r="K17" s="28" t="s">
        <v>462</v>
      </c>
      <c r="L17" s="28" t="s">
        <v>462</v>
      </c>
      <c r="M17" s="28" t="s">
        <v>462</v>
      </c>
      <c r="N17" s="28" t="s">
        <v>462</v>
      </c>
      <c r="O17" s="28" t="s">
        <v>462</v>
      </c>
      <c r="P17" s="113" t="s">
        <v>464</v>
      </c>
      <c r="Q17" s="193" t="s">
        <v>464</v>
      </c>
      <c r="R17" s="28" t="s">
        <v>462</v>
      </c>
      <c r="S17" s="113" t="s">
        <v>1070</v>
      </c>
      <c r="T17" s="29" t="s">
        <v>537</v>
      </c>
      <c r="U17" s="28"/>
      <c r="V17" s="28"/>
      <c r="W17" s="28"/>
      <c r="X17" s="28" t="s">
        <v>462</v>
      </c>
      <c r="Y17" s="28" t="s">
        <v>462</v>
      </c>
      <c r="Z17" s="28"/>
      <c r="AA17" s="28" t="s">
        <v>462</v>
      </c>
      <c r="AB17" s="28" t="s">
        <v>462</v>
      </c>
      <c r="AC17" s="28" t="s">
        <v>462</v>
      </c>
      <c r="AD17" s="28" t="s">
        <v>462</v>
      </c>
      <c r="AE17" s="28" t="s">
        <v>462</v>
      </c>
      <c r="AF17" s="28" t="s">
        <v>462</v>
      </c>
      <c r="AG17" s="28" t="s">
        <v>462</v>
      </c>
      <c r="AH17" s="28" t="s">
        <v>462</v>
      </c>
      <c r="AJ17" s="28" t="s">
        <v>365</v>
      </c>
    </row>
    <row r="18" spans="1:36" x14ac:dyDescent="0.25">
      <c r="A18" s="26" t="s">
        <v>182</v>
      </c>
      <c r="B18" s="30">
        <v>1.25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1.75</v>
      </c>
      <c r="Q18" s="92">
        <v>1.75</v>
      </c>
      <c r="R18" s="30">
        <v>1.25</v>
      </c>
      <c r="S18" s="30">
        <f>AVERAGE(25/16,25/16,1.25)</f>
        <v>1.4583333333333333</v>
      </c>
      <c r="T18" s="30">
        <f t="shared" ref="T18" si="0">AVERAGE(1/3,0)</f>
        <v>0.16666666666666666</v>
      </c>
      <c r="U18" s="30"/>
      <c r="V18" s="30"/>
      <c r="W18" s="30"/>
      <c r="X18" s="30">
        <v>1</v>
      </c>
      <c r="Y18" s="30">
        <v>1</v>
      </c>
      <c r="Z18" s="30"/>
      <c r="AA18" s="30">
        <v>1</v>
      </c>
      <c r="AB18" s="30">
        <v>1</v>
      </c>
      <c r="AC18" s="30">
        <v>1</v>
      </c>
      <c r="AD18" s="30">
        <v>1</v>
      </c>
      <c r="AE18" s="30">
        <v>1</v>
      </c>
      <c r="AF18" s="30">
        <v>1</v>
      </c>
      <c r="AG18" s="30">
        <v>1</v>
      </c>
      <c r="AH18" s="30">
        <v>1</v>
      </c>
      <c r="AJ18" s="30">
        <v>1.5</v>
      </c>
    </row>
    <row r="19" spans="1:36" x14ac:dyDescent="0.25">
      <c r="AH19" s="78" t="s">
        <v>1071</v>
      </c>
      <c r="AJ19" s="78" t="s">
        <v>1072</v>
      </c>
    </row>
    <row r="20" spans="1:36" x14ac:dyDescent="0.25">
      <c r="A20" s="31" t="s">
        <v>183</v>
      </c>
    </row>
    <row r="21" spans="1:36" x14ac:dyDescent="0.25">
      <c r="A21" s="26" t="s">
        <v>1073</v>
      </c>
      <c r="B21" s="56" t="s">
        <v>1074</v>
      </c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DABB6-6C79-478B-9C2C-0A4F489CB6E1}">
  <dimension ref="A1:AJ24"/>
  <sheetViews>
    <sheetView topLeftCell="C1" workbookViewId="0">
      <selection activeCell="AJ9" sqref="AJ9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6" x14ac:dyDescent="0.25">
      <c r="A1" s="25" t="s">
        <v>116</v>
      </c>
      <c r="D1" s="25" t="s">
        <v>895</v>
      </c>
      <c r="I1" s="25" t="s">
        <v>896</v>
      </c>
    </row>
    <row r="3" spans="1:36" ht="18" x14ac:dyDescent="0.25">
      <c r="A3" s="25" t="s">
        <v>119</v>
      </c>
      <c r="B3" s="215">
        <v>72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6" ht="18" x14ac:dyDescent="0.25">
      <c r="A4" s="25" t="s">
        <v>121</v>
      </c>
      <c r="B4" s="215" t="s">
        <v>1075</v>
      </c>
      <c r="C4" s="215"/>
      <c r="D4" s="215"/>
      <c r="F4" s="216" t="s">
        <v>1076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6" ht="18" x14ac:dyDescent="0.25">
      <c r="A5" s="25" t="s">
        <v>124</v>
      </c>
      <c r="B5" s="215" t="s">
        <v>899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6" ht="45" x14ac:dyDescent="0.25">
      <c r="A7" s="27" t="s">
        <v>126</v>
      </c>
      <c r="B7" s="57" t="s">
        <v>17</v>
      </c>
      <c r="C7" s="58" t="s">
        <v>127</v>
      </c>
      <c r="D7" s="58" t="s">
        <v>128</v>
      </c>
      <c r="E7" s="59" t="s">
        <v>129</v>
      </c>
      <c r="F7" s="60" t="s">
        <v>130</v>
      </c>
      <c r="G7" s="61" t="s">
        <v>131</v>
      </c>
      <c r="H7" s="61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  <c r="AJ7" s="43" t="s">
        <v>17</v>
      </c>
    </row>
    <row r="8" spans="1:36" x14ac:dyDescent="0.25">
      <c r="A8" s="26" t="s">
        <v>159</v>
      </c>
      <c r="B8" s="28" t="s">
        <v>462</v>
      </c>
      <c r="C8" s="80" t="s">
        <v>341</v>
      </c>
      <c r="D8" s="80" t="s">
        <v>341</v>
      </c>
      <c r="E8" s="80" t="s">
        <v>341</v>
      </c>
      <c r="F8" s="28" t="s">
        <v>473</v>
      </c>
      <c r="G8" s="28" t="s">
        <v>473</v>
      </c>
      <c r="H8" s="28" t="s">
        <v>473</v>
      </c>
      <c r="I8" s="85" t="s">
        <v>473</v>
      </c>
      <c r="J8" s="29" t="s">
        <v>473</v>
      </c>
      <c r="K8" s="29" t="s">
        <v>473</v>
      </c>
      <c r="L8" s="29" t="s">
        <v>473</v>
      </c>
      <c r="M8" s="29" t="s">
        <v>473</v>
      </c>
      <c r="N8" s="29" t="s">
        <v>473</v>
      </c>
      <c r="O8" s="29" t="s">
        <v>473</v>
      </c>
      <c r="P8" s="29" t="s">
        <v>473</v>
      </c>
      <c r="Q8" s="29" t="s">
        <v>473</v>
      </c>
      <c r="R8" s="29" t="s">
        <v>473</v>
      </c>
      <c r="S8" s="29" t="s">
        <v>473</v>
      </c>
      <c r="T8" s="28" t="s">
        <v>942</v>
      </c>
      <c r="U8" s="29" t="s">
        <v>473</v>
      </c>
      <c r="V8" s="29" t="s">
        <v>473</v>
      </c>
      <c r="W8" s="29" t="s">
        <v>473</v>
      </c>
      <c r="X8" s="29" t="s">
        <v>473</v>
      </c>
      <c r="Y8" s="29" t="s">
        <v>473</v>
      </c>
      <c r="Z8" s="29" t="s">
        <v>473</v>
      </c>
      <c r="AA8" s="28" t="s">
        <v>473</v>
      </c>
      <c r="AB8" s="28" t="s">
        <v>473</v>
      </c>
      <c r="AC8" s="29" t="s">
        <v>473</v>
      </c>
      <c r="AD8" s="28" t="s">
        <v>473</v>
      </c>
      <c r="AE8" s="29" t="s">
        <v>473</v>
      </c>
      <c r="AF8" s="29" t="s">
        <v>1077</v>
      </c>
      <c r="AG8" s="29" t="s">
        <v>448</v>
      </c>
      <c r="AH8" s="29" t="s">
        <v>448</v>
      </c>
      <c r="AJ8" s="28" t="s">
        <v>462</v>
      </c>
    </row>
    <row r="9" spans="1:36" x14ac:dyDescent="0.25">
      <c r="A9" s="26" t="s">
        <v>165</v>
      </c>
      <c r="B9" s="28" t="s">
        <v>479</v>
      </c>
      <c r="C9" s="80" t="s">
        <v>341</v>
      </c>
      <c r="D9" s="80" t="s">
        <v>341</v>
      </c>
      <c r="E9" s="80" t="s">
        <v>341</v>
      </c>
      <c r="F9" s="28" t="s">
        <v>473</v>
      </c>
      <c r="G9" s="28" t="s">
        <v>473</v>
      </c>
      <c r="H9" s="28" t="s">
        <v>473</v>
      </c>
      <c r="I9" s="83" t="s">
        <v>473</v>
      </c>
      <c r="J9" s="28" t="s">
        <v>473</v>
      </c>
      <c r="K9" s="28" t="s">
        <v>473</v>
      </c>
      <c r="L9" s="28" t="s">
        <v>558</v>
      </c>
      <c r="M9" s="28" t="s">
        <v>559</v>
      </c>
      <c r="N9" s="28" t="s">
        <v>473</v>
      </c>
      <c r="O9" s="28" t="s">
        <v>473</v>
      </c>
      <c r="P9" s="28" t="s">
        <v>473</v>
      </c>
      <c r="Q9" s="28" t="s">
        <v>473</v>
      </c>
      <c r="R9" s="28" t="s">
        <v>473</v>
      </c>
      <c r="S9" s="28" t="s">
        <v>473</v>
      </c>
      <c r="T9" s="28" t="s">
        <v>614</v>
      </c>
      <c r="U9" s="28" t="s">
        <v>473</v>
      </c>
      <c r="V9" s="28" t="s">
        <v>473</v>
      </c>
      <c r="W9" s="28" t="s">
        <v>473</v>
      </c>
      <c r="X9" s="28" t="s">
        <v>473</v>
      </c>
      <c r="Y9" s="28" t="s">
        <v>473</v>
      </c>
      <c r="Z9" s="28" t="s">
        <v>473</v>
      </c>
      <c r="AA9" s="28" t="s">
        <v>473</v>
      </c>
      <c r="AB9" s="28" t="s">
        <v>473</v>
      </c>
      <c r="AC9" s="28" t="s">
        <v>473</v>
      </c>
      <c r="AD9" s="28" t="s">
        <v>473</v>
      </c>
      <c r="AE9" s="28" t="s">
        <v>473</v>
      </c>
      <c r="AF9" s="29" t="s">
        <v>1078</v>
      </c>
      <c r="AG9" s="28" t="s">
        <v>457</v>
      </c>
      <c r="AH9" s="28" t="s">
        <v>457</v>
      </c>
      <c r="AJ9" s="28" t="s">
        <v>484</v>
      </c>
    </row>
    <row r="10" spans="1:36" x14ac:dyDescent="0.25">
      <c r="A10" s="131" t="s">
        <v>168</v>
      </c>
      <c r="B10" s="157">
        <v>87</v>
      </c>
      <c r="C10" s="198"/>
      <c r="D10" s="198"/>
      <c r="E10" s="198"/>
      <c r="F10" s="157">
        <v>85</v>
      </c>
      <c r="G10" s="157">
        <v>85</v>
      </c>
      <c r="H10" s="157">
        <v>85</v>
      </c>
      <c r="I10" s="158">
        <v>85</v>
      </c>
      <c r="J10" s="157">
        <v>85</v>
      </c>
      <c r="K10" s="157">
        <v>85</v>
      </c>
      <c r="L10" s="157">
        <v>89</v>
      </c>
      <c r="M10" s="157">
        <v>140</v>
      </c>
      <c r="N10" s="157">
        <v>85</v>
      </c>
      <c r="O10" s="157">
        <v>85</v>
      </c>
      <c r="P10" s="157">
        <v>85</v>
      </c>
      <c r="Q10" s="157">
        <v>85</v>
      </c>
      <c r="R10" s="157">
        <v>85</v>
      </c>
      <c r="S10" s="157">
        <v>85</v>
      </c>
      <c r="T10" s="157">
        <v>151</v>
      </c>
      <c r="U10" s="157">
        <v>85</v>
      </c>
      <c r="V10" s="157">
        <v>85</v>
      </c>
      <c r="W10" s="157">
        <v>85</v>
      </c>
      <c r="X10" s="157">
        <v>85</v>
      </c>
      <c r="Y10" s="157">
        <v>85</v>
      </c>
      <c r="Z10" s="157">
        <v>85</v>
      </c>
      <c r="AA10" s="157">
        <v>85</v>
      </c>
      <c r="AB10" s="157">
        <v>85</v>
      </c>
      <c r="AC10" s="157">
        <v>85</v>
      </c>
      <c r="AD10" s="157">
        <v>85</v>
      </c>
      <c r="AE10" s="157">
        <v>85</v>
      </c>
      <c r="AF10" s="157">
        <v>131</v>
      </c>
      <c r="AG10" s="157">
        <v>82</v>
      </c>
      <c r="AH10" s="157">
        <v>82</v>
      </c>
      <c r="AJ10" s="157">
        <v>139</v>
      </c>
    </row>
    <row r="11" spans="1:36" x14ac:dyDescent="0.25">
      <c r="A11" s="26" t="s">
        <v>169</v>
      </c>
      <c r="B11" s="28" t="s">
        <v>170</v>
      </c>
      <c r="C11" s="80" t="s">
        <v>173</v>
      </c>
      <c r="D11" s="80" t="s">
        <v>173</v>
      </c>
      <c r="E11" s="80" t="s">
        <v>173</v>
      </c>
      <c r="F11" s="28" t="s">
        <v>170</v>
      </c>
      <c r="G11" s="28" t="s">
        <v>170</v>
      </c>
      <c r="H11" s="28" t="s">
        <v>170</v>
      </c>
      <c r="I11" s="83" t="s">
        <v>170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28" t="s">
        <v>170</v>
      </c>
      <c r="O11" s="28" t="s">
        <v>170</v>
      </c>
      <c r="P11" s="28" t="s">
        <v>170</v>
      </c>
      <c r="Q11" s="28" t="s">
        <v>170</v>
      </c>
      <c r="R11" s="28" t="s">
        <v>170</v>
      </c>
      <c r="S11" s="28" t="s">
        <v>170</v>
      </c>
      <c r="T11" s="28" t="s">
        <v>266</v>
      </c>
      <c r="U11" s="28" t="s">
        <v>170</v>
      </c>
      <c r="V11" s="28" t="s">
        <v>170</v>
      </c>
      <c r="W11" s="28" t="s">
        <v>170</v>
      </c>
      <c r="X11" s="28" t="s">
        <v>170</v>
      </c>
      <c r="Y11" s="28" t="s">
        <v>170</v>
      </c>
      <c r="Z11" s="28" t="s">
        <v>170</v>
      </c>
      <c r="AA11" s="28" t="s">
        <v>170</v>
      </c>
      <c r="AB11" s="28" t="s">
        <v>170</v>
      </c>
      <c r="AC11" s="28" t="s">
        <v>170</v>
      </c>
      <c r="AD11" s="28" t="s">
        <v>170</v>
      </c>
      <c r="AE11" s="28" t="s">
        <v>170</v>
      </c>
      <c r="AF11" s="28" t="s">
        <v>170</v>
      </c>
      <c r="AG11" s="28" t="s">
        <v>170</v>
      </c>
      <c r="AH11" s="28" t="s">
        <v>170</v>
      </c>
      <c r="AJ11" s="28" t="s">
        <v>170</v>
      </c>
    </row>
    <row r="12" spans="1:36" x14ac:dyDescent="0.25">
      <c r="A12" s="26" t="s">
        <v>171</v>
      </c>
      <c r="B12" s="28" t="s">
        <v>170</v>
      </c>
      <c r="C12" s="80" t="s">
        <v>173</v>
      </c>
      <c r="D12" s="80" t="s">
        <v>173</v>
      </c>
      <c r="E12" s="80" t="s">
        <v>173</v>
      </c>
      <c r="F12" s="28" t="s">
        <v>170</v>
      </c>
      <c r="G12" s="28" t="s">
        <v>170</v>
      </c>
      <c r="H12" s="28" t="s">
        <v>170</v>
      </c>
      <c r="I12" s="83" t="s">
        <v>170</v>
      </c>
      <c r="J12" s="28" t="s">
        <v>170</v>
      </c>
      <c r="K12" s="28" t="s">
        <v>170</v>
      </c>
      <c r="L12" s="28" t="s">
        <v>170</v>
      </c>
      <c r="M12" s="28" t="s">
        <v>170</v>
      </c>
      <c r="N12" s="28" t="s">
        <v>170</v>
      </c>
      <c r="O12" s="28" t="s">
        <v>170</v>
      </c>
      <c r="P12" s="28" t="s">
        <v>170</v>
      </c>
      <c r="Q12" s="28" t="s">
        <v>170</v>
      </c>
      <c r="R12" s="28" t="s">
        <v>170</v>
      </c>
      <c r="S12" s="28" t="s">
        <v>170</v>
      </c>
      <c r="T12" s="28" t="s">
        <v>266</v>
      </c>
      <c r="U12" s="28" t="s">
        <v>170</v>
      </c>
      <c r="V12" s="28" t="s">
        <v>170</v>
      </c>
      <c r="W12" s="28" t="s">
        <v>170</v>
      </c>
      <c r="X12" s="28" t="s">
        <v>170</v>
      </c>
      <c r="Y12" s="28" t="s">
        <v>170</v>
      </c>
      <c r="Z12" s="28" t="s">
        <v>170</v>
      </c>
      <c r="AA12" s="28" t="s">
        <v>170</v>
      </c>
      <c r="AB12" s="28" t="s">
        <v>170</v>
      </c>
      <c r="AC12" s="28" t="s">
        <v>170</v>
      </c>
      <c r="AD12" s="28" t="s">
        <v>170</v>
      </c>
      <c r="AE12" s="28" t="s">
        <v>170</v>
      </c>
      <c r="AF12" s="28" t="s">
        <v>170</v>
      </c>
      <c r="AG12" s="28" t="s">
        <v>170</v>
      </c>
      <c r="AH12" s="28" t="s">
        <v>170</v>
      </c>
      <c r="AJ12" s="28" t="s">
        <v>170</v>
      </c>
    </row>
    <row r="13" spans="1:36" x14ac:dyDescent="0.25">
      <c r="A13" s="26" t="s">
        <v>172</v>
      </c>
      <c r="B13" s="28" t="s">
        <v>173</v>
      </c>
      <c r="C13" s="80" t="s">
        <v>173</v>
      </c>
      <c r="D13" s="80" t="s">
        <v>173</v>
      </c>
      <c r="E13" s="80" t="s">
        <v>173</v>
      </c>
      <c r="F13" s="28" t="s">
        <v>173</v>
      </c>
      <c r="G13" s="28" t="s">
        <v>173</v>
      </c>
      <c r="H13" s="28" t="s">
        <v>173</v>
      </c>
      <c r="I13" s="83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 t="s">
        <v>173</v>
      </c>
      <c r="S13" s="28" t="s">
        <v>173</v>
      </c>
      <c r="T13" s="28" t="s">
        <v>173</v>
      </c>
      <c r="U13" s="28" t="s">
        <v>173</v>
      </c>
      <c r="V13" s="28" t="s">
        <v>173</v>
      </c>
      <c r="W13" s="28" t="s">
        <v>173</v>
      </c>
      <c r="X13" s="28" t="s">
        <v>173</v>
      </c>
      <c r="Y13" s="28" t="s">
        <v>173</v>
      </c>
      <c r="Z13" s="28" t="s">
        <v>173</v>
      </c>
      <c r="AA13" s="28" t="s">
        <v>173</v>
      </c>
      <c r="AB13" s="28" t="s">
        <v>173</v>
      </c>
      <c r="AC13" s="28" t="s">
        <v>173</v>
      </c>
      <c r="AD13" s="28" t="s">
        <v>173</v>
      </c>
      <c r="AE13" s="28" t="s">
        <v>173</v>
      </c>
      <c r="AF13" s="28" t="s">
        <v>173</v>
      </c>
      <c r="AG13" s="28" t="s">
        <v>173</v>
      </c>
      <c r="AH13" s="28" t="s">
        <v>173</v>
      </c>
      <c r="AJ13" s="28" t="s">
        <v>173</v>
      </c>
    </row>
    <row r="14" spans="1:36" x14ac:dyDescent="0.25">
      <c r="A14" s="26" t="s">
        <v>174</v>
      </c>
      <c r="B14" s="28" t="s">
        <v>170</v>
      </c>
      <c r="C14" s="80" t="s">
        <v>173</v>
      </c>
      <c r="D14" s="80" t="s">
        <v>173</v>
      </c>
      <c r="E14" s="80" t="s">
        <v>173</v>
      </c>
      <c r="F14" s="28" t="s">
        <v>170</v>
      </c>
      <c r="G14" s="28" t="s">
        <v>170</v>
      </c>
      <c r="H14" s="28" t="s">
        <v>170</v>
      </c>
      <c r="I14" s="83" t="s">
        <v>170</v>
      </c>
      <c r="J14" s="28" t="s">
        <v>170</v>
      </c>
      <c r="K14" s="28" t="s">
        <v>170</v>
      </c>
      <c r="L14" s="28" t="s">
        <v>170</v>
      </c>
      <c r="M14" s="28" t="s">
        <v>170</v>
      </c>
      <c r="N14" s="28" t="s">
        <v>170</v>
      </c>
      <c r="O14" s="28" t="s">
        <v>170</v>
      </c>
      <c r="P14" s="28" t="s">
        <v>170</v>
      </c>
      <c r="Q14" s="28" t="s">
        <v>170</v>
      </c>
      <c r="R14" s="28" t="s">
        <v>170</v>
      </c>
      <c r="S14" s="28" t="s">
        <v>170</v>
      </c>
      <c r="T14" s="28" t="s">
        <v>173</v>
      </c>
      <c r="U14" s="28" t="s">
        <v>170</v>
      </c>
      <c r="V14" s="28" t="s">
        <v>170</v>
      </c>
      <c r="W14" s="28" t="s">
        <v>170</v>
      </c>
      <c r="X14" s="28" t="s">
        <v>170</v>
      </c>
      <c r="Y14" s="28" t="s">
        <v>170</v>
      </c>
      <c r="Z14" s="28" t="s">
        <v>170</v>
      </c>
      <c r="AA14" s="28" t="s">
        <v>170</v>
      </c>
      <c r="AB14" s="28" t="s">
        <v>170</v>
      </c>
      <c r="AC14" s="28" t="s">
        <v>170</v>
      </c>
      <c r="AD14" s="28" t="s">
        <v>170</v>
      </c>
      <c r="AE14" s="28" t="s">
        <v>170</v>
      </c>
      <c r="AF14" s="28" t="s">
        <v>266</v>
      </c>
      <c r="AG14" s="28" t="s">
        <v>173</v>
      </c>
      <c r="AH14" s="28" t="s">
        <v>173</v>
      </c>
      <c r="AJ14" s="28" t="s">
        <v>170</v>
      </c>
    </row>
    <row r="15" spans="1:36" x14ac:dyDescent="0.25">
      <c r="A15" s="26" t="s">
        <v>175</v>
      </c>
      <c r="B15" s="28" t="s">
        <v>486</v>
      </c>
      <c r="C15" s="80" t="s">
        <v>198</v>
      </c>
      <c r="D15" s="80" t="s">
        <v>198</v>
      </c>
      <c r="E15" s="80" t="s">
        <v>198</v>
      </c>
      <c r="F15" s="28" t="s">
        <v>198</v>
      </c>
      <c r="G15" s="28" t="s">
        <v>198</v>
      </c>
      <c r="H15" s="28" t="s">
        <v>198</v>
      </c>
      <c r="I15" s="83" t="s">
        <v>198</v>
      </c>
      <c r="J15" s="28" t="s">
        <v>198</v>
      </c>
      <c r="K15" s="28" t="s">
        <v>198</v>
      </c>
      <c r="L15" s="28" t="s">
        <v>486</v>
      </c>
      <c r="M15" s="28" t="s">
        <v>267</v>
      </c>
      <c r="N15" s="28" t="s">
        <v>198</v>
      </c>
      <c r="O15" s="28" t="s">
        <v>198</v>
      </c>
      <c r="P15" s="28" t="s">
        <v>198</v>
      </c>
      <c r="Q15" s="28" t="s">
        <v>198</v>
      </c>
      <c r="R15" s="28" t="s">
        <v>198</v>
      </c>
      <c r="S15" s="28" t="s">
        <v>198</v>
      </c>
      <c r="T15" s="29" t="s">
        <v>199</v>
      </c>
      <c r="U15" s="28" t="s">
        <v>198</v>
      </c>
      <c r="V15" s="28" t="s">
        <v>198</v>
      </c>
      <c r="W15" s="28" t="s">
        <v>198</v>
      </c>
      <c r="X15" s="28" t="s">
        <v>198</v>
      </c>
      <c r="Y15" s="28" t="s">
        <v>198</v>
      </c>
      <c r="Z15" s="28" t="s">
        <v>198</v>
      </c>
      <c r="AA15" s="28" t="s">
        <v>198</v>
      </c>
      <c r="AB15" s="28" t="s">
        <v>198</v>
      </c>
      <c r="AC15" s="28" t="s">
        <v>198</v>
      </c>
      <c r="AD15" s="28" t="s">
        <v>198</v>
      </c>
      <c r="AE15" s="28" t="s">
        <v>198</v>
      </c>
      <c r="AF15" s="28" t="s">
        <v>1079</v>
      </c>
      <c r="AG15" s="28" t="s">
        <v>198</v>
      </c>
      <c r="AH15" s="28" t="s">
        <v>198</v>
      </c>
      <c r="AJ15" s="28" t="s">
        <v>199</v>
      </c>
    </row>
    <row r="16" spans="1:36" x14ac:dyDescent="0.25">
      <c r="A16" s="26" t="s">
        <v>176</v>
      </c>
      <c r="B16" s="30">
        <f>-7/6</f>
        <v>-1.1666666666666667</v>
      </c>
      <c r="C16" s="82">
        <v>0.75</v>
      </c>
      <c r="D16" s="82">
        <v>0.75</v>
      </c>
      <c r="E16" s="82">
        <v>0.75</v>
      </c>
      <c r="F16" s="30">
        <v>0.75</v>
      </c>
      <c r="G16" s="30">
        <v>0.75</v>
      </c>
      <c r="H16" s="30">
        <v>0.75</v>
      </c>
      <c r="I16" s="88">
        <v>0.75</v>
      </c>
      <c r="J16" s="30">
        <v>0.75</v>
      </c>
      <c r="K16" s="30">
        <v>0.75</v>
      </c>
      <c r="L16" s="30">
        <v>-1.625</v>
      </c>
      <c r="M16" s="30">
        <v>-3</v>
      </c>
      <c r="N16" s="30">
        <v>0.75</v>
      </c>
      <c r="O16" s="30">
        <v>0.75</v>
      </c>
      <c r="P16" s="30">
        <v>0.75</v>
      </c>
      <c r="Q16" s="30">
        <v>0.75</v>
      </c>
      <c r="R16" s="30">
        <v>0.75</v>
      </c>
      <c r="S16" s="30">
        <v>0.75</v>
      </c>
      <c r="T16" s="30">
        <v>-2</v>
      </c>
      <c r="U16" s="30">
        <v>0.75</v>
      </c>
      <c r="V16" s="30">
        <v>0.75</v>
      </c>
      <c r="W16" s="30">
        <v>0.75</v>
      </c>
      <c r="X16" s="30">
        <v>0.75</v>
      </c>
      <c r="Y16" s="30">
        <v>0.75</v>
      </c>
      <c r="Z16" s="30">
        <v>0.75</v>
      </c>
      <c r="AA16" s="30">
        <v>0.75</v>
      </c>
      <c r="AB16" s="30">
        <v>0.75</v>
      </c>
      <c r="AC16" s="30">
        <v>0.75</v>
      </c>
      <c r="AD16" s="30">
        <v>0.75</v>
      </c>
      <c r="AE16" s="30">
        <v>0.75</v>
      </c>
      <c r="AF16" s="30">
        <f>AVERAGE(0.75,-3)</f>
        <v>-1.125</v>
      </c>
      <c r="AG16" s="30">
        <f>5/3</f>
        <v>1.6666666666666667</v>
      </c>
      <c r="AH16" s="30">
        <f>5/3</f>
        <v>1.6666666666666667</v>
      </c>
      <c r="AJ16" s="30">
        <f>-1/6</f>
        <v>-0.16666666666666666</v>
      </c>
    </row>
    <row r="17" spans="1:36" x14ac:dyDescent="0.25">
      <c r="A17" s="26" t="s">
        <v>177</v>
      </c>
      <c r="B17" s="28" t="s">
        <v>489</v>
      </c>
      <c r="C17" s="80" t="s">
        <v>341</v>
      </c>
      <c r="D17" s="80" t="s">
        <v>341</v>
      </c>
      <c r="E17" s="80" t="s">
        <v>341</v>
      </c>
      <c r="F17" s="28" t="s">
        <v>489</v>
      </c>
      <c r="G17" s="28" t="s">
        <v>489</v>
      </c>
      <c r="H17" s="28" t="s">
        <v>489</v>
      </c>
      <c r="I17" s="83" t="s">
        <v>489</v>
      </c>
      <c r="J17" s="28" t="s">
        <v>489</v>
      </c>
      <c r="K17" s="28" t="s">
        <v>489</v>
      </c>
      <c r="L17" s="28" t="s">
        <v>489</v>
      </c>
      <c r="M17" s="28" t="s">
        <v>489</v>
      </c>
      <c r="N17" s="28" t="s">
        <v>489</v>
      </c>
      <c r="O17" s="28" t="s">
        <v>489</v>
      </c>
      <c r="P17" s="28" t="s">
        <v>489</v>
      </c>
      <c r="Q17" s="28" t="s">
        <v>489</v>
      </c>
      <c r="R17" s="28" t="s">
        <v>489</v>
      </c>
      <c r="S17" s="28" t="s">
        <v>489</v>
      </c>
      <c r="T17" s="29" t="s">
        <v>537</v>
      </c>
      <c r="U17" s="28" t="s">
        <v>489</v>
      </c>
      <c r="V17" s="28" t="s">
        <v>489</v>
      </c>
      <c r="W17" s="28" t="s">
        <v>489</v>
      </c>
      <c r="X17" s="28" t="s">
        <v>489</v>
      </c>
      <c r="Y17" s="28" t="s">
        <v>489</v>
      </c>
      <c r="Z17" s="28" t="s">
        <v>489</v>
      </c>
      <c r="AA17" s="28" t="s">
        <v>489</v>
      </c>
      <c r="AB17" s="28" t="s">
        <v>489</v>
      </c>
      <c r="AC17" s="28" t="s">
        <v>489</v>
      </c>
      <c r="AD17" s="28" t="s">
        <v>489</v>
      </c>
      <c r="AE17" s="28" t="s">
        <v>489</v>
      </c>
      <c r="AF17" s="119" t="s">
        <v>615</v>
      </c>
      <c r="AG17" s="28" t="s">
        <v>462</v>
      </c>
      <c r="AH17" s="28" t="s">
        <v>462</v>
      </c>
      <c r="AJ17" s="28" t="s">
        <v>489</v>
      </c>
    </row>
    <row r="18" spans="1:36" x14ac:dyDescent="0.25">
      <c r="A18" s="26" t="s">
        <v>182</v>
      </c>
      <c r="B18" s="30">
        <v>0.75</v>
      </c>
      <c r="C18" s="82">
        <v>0</v>
      </c>
      <c r="D18" s="82">
        <v>0</v>
      </c>
      <c r="E18" s="82">
        <v>0</v>
      </c>
      <c r="F18" s="30">
        <v>0.75</v>
      </c>
      <c r="G18" s="30">
        <v>0.75</v>
      </c>
      <c r="H18" s="30">
        <v>0.75</v>
      </c>
      <c r="I18" s="88">
        <v>0.75</v>
      </c>
      <c r="J18" s="30">
        <v>0.75</v>
      </c>
      <c r="K18" s="30">
        <v>0.75</v>
      </c>
      <c r="L18" s="30">
        <v>0.75</v>
      </c>
      <c r="M18" s="30">
        <v>0.75</v>
      </c>
      <c r="N18" s="30">
        <v>0.75</v>
      </c>
      <c r="O18" s="30">
        <v>0.75</v>
      </c>
      <c r="P18" s="30">
        <v>0.75</v>
      </c>
      <c r="Q18" s="30">
        <v>0.75</v>
      </c>
      <c r="R18" s="30">
        <v>0.75</v>
      </c>
      <c r="S18" s="30">
        <v>0.75</v>
      </c>
      <c r="T18" s="30">
        <f t="shared" ref="T18" si="0">AVERAGE(1/3,0)</f>
        <v>0.16666666666666666</v>
      </c>
      <c r="U18" s="30">
        <v>0.75</v>
      </c>
      <c r="V18" s="30">
        <v>0.75</v>
      </c>
      <c r="W18" s="30">
        <v>0.75</v>
      </c>
      <c r="X18" s="30">
        <v>0.75</v>
      </c>
      <c r="Y18" s="30">
        <v>0.75</v>
      </c>
      <c r="Z18" s="30">
        <v>0.75</v>
      </c>
      <c r="AA18" s="30">
        <v>0.75</v>
      </c>
      <c r="AB18" s="30">
        <v>0.75</v>
      </c>
      <c r="AC18" s="30">
        <v>0.75</v>
      </c>
      <c r="AD18" s="30">
        <v>0.75</v>
      </c>
      <c r="AE18" s="30">
        <v>0.75</v>
      </c>
      <c r="AF18" s="30">
        <f>AVERAGE(0.75,1/3)</f>
        <v>0.54166666666666663</v>
      </c>
      <c r="AG18" s="30">
        <v>0.875</v>
      </c>
      <c r="AH18" s="30">
        <v>0.875</v>
      </c>
      <c r="AJ18" s="30">
        <v>0.75</v>
      </c>
    </row>
    <row r="19" spans="1:36" x14ac:dyDescent="0.25">
      <c r="B19" s="78" t="s">
        <v>1080</v>
      </c>
      <c r="AJ19" s="78" t="s">
        <v>1081</v>
      </c>
    </row>
    <row r="20" spans="1:36" x14ac:dyDescent="0.25">
      <c r="A20" s="31" t="s">
        <v>183</v>
      </c>
    </row>
    <row r="21" spans="1:36" x14ac:dyDescent="0.25">
      <c r="A21" s="26" t="s">
        <v>1082</v>
      </c>
      <c r="B21" s="56" t="s">
        <v>1083</v>
      </c>
    </row>
    <row r="22" spans="1:36" x14ac:dyDescent="0.25">
      <c r="A22" s="26" t="s">
        <v>1084</v>
      </c>
    </row>
    <row r="24" spans="1:36" x14ac:dyDescent="0.25">
      <c r="AD24" s="174"/>
      <c r="AE24" s="174"/>
      <c r="AF24" s="174"/>
      <c r="AG24" s="174"/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76540-A0F8-439E-B692-CC58BE6A7CC1}">
  <dimension ref="A1:BK37"/>
  <sheetViews>
    <sheetView workbookViewId="0">
      <selection activeCell="C10" sqref="C10"/>
    </sheetView>
  </sheetViews>
  <sheetFormatPr defaultColWidth="9.140625" defaultRowHeight="15" x14ac:dyDescent="0.25"/>
  <cols>
    <col min="1" max="1" width="26.7109375" style="26" customWidth="1"/>
    <col min="2" max="66" width="5.7109375" style="26" customWidth="1"/>
    <col min="67" max="16384" width="9.140625" style="26"/>
  </cols>
  <sheetData>
    <row r="1" spans="1:63" x14ac:dyDescent="0.25">
      <c r="A1" s="25" t="s">
        <v>116</v>
      </c>
      <c r="D1" s="25" t="s">
        <v>895</v>
      </c>
      <c r="I1" s="25" t="s">
        <v>896</v>
      </c>
    </row>
    <row r="3" spans="1:63" ht="18" x14ac:dyDescent="0.25">
      <c r="A3" s="25" t="s">
        <v>119</v>
      </c>
      <c r="B3" s="215">
        <v>73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63" ht="18" x14ac:dyDescent="0.25">
      <c r="A4" s="25" t="s">
        <v>121</v>
      </c>
      <c r="B4" s="215" t="s">
        <v>1085</v>
      </c>
      <c r="C4" s="215"/>
      <c r="D4" s="215"/>
      <c r="F4" s="216" t="s">
        <v>1086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63" ht="18" x14ac:dyDescent="0.25">
      <c r="A5" s="25" t="s">
        <v>124</v>
      </c>
      <c r="B5" s="215" t="s">
        <v>1087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63" ht="45" x14ac:dyDescent="0.25">
      <c r="A7" s="27" t="s">
        <v>126</v>
      </c>
      <c r="B7" s="57" t="s">
        <v>17</v>
      </c>
      <c r="C7" s="58" t="s">
        <v>127</v>
      </c>
      <c r="D7" s="58" t="s">
        <v>128</v>
      </c>
      <c r="E7" s="59" t="s">
        <v>129</v>
      </c>
      <c r="F7" s="60" t="s">
        <v>130</v>
      </c>
      <c r="G7" s="61" t="s">
        <v>131</v>
      </c>
      <c r="H7" s="61" t="s">
        <v>132</v>
      </c>
      <c r="I7" s="62" t="s">
        <v>133</v>
      </c>
      <c r="J7" s="63" t="s">
        <v>134</v>
      </c>
      <c r="K7" s="64" t="s">
        <v>135</v>
      </c>
      <c r="L7" s="64" t="s">
        <v>136</v>
      </c>
      <c r="M7" s="64" t="s">
        <v>137</v>
      </c>
      <c r="N7" s="65" t="s">
        <v>138</v>
      </c>
      <c r="O7" s="65" t="s">
        <v>139</v>
      </c>
      <c r="P7" s="67" t="s">
        <v>140</v>
      </c>
      <c r="Q7" s="67" t="s">
        <v>141</v>
      </c>
      <c r="R7" s="66" t="s">
        <v>142</v>
      </c>
      <c r="S7" s="68" t="s">
        <v>143</v>
      </c>
      <c r="T7" s="69" t="s">
        <v>144</v>
      </c>
      <c r="U7" s="69" t="s">
        <v>145</v>
      </c>
      <c r="V7" s="70" t="s">
        <v>146</v>
      </c>
      <c r="W7" s="70" t="s">
        <v>147</v>
      </c>
      <c r="X7" s="71" t="s">
        <v>148</v>
      </c>
      <c r="Y7" s="71" t="s">
        <v>149</v>
      </c>
      <c r="Z7" s="72" t="s">
        <v>150</v>
      </c>
      <c r="AA7" s="72" t="s">
        <v>151</v>
      </c>
      <c r="AB7" s="73" t="s">
        <v>152</v>
      </c>
      <c r="AC7" s="73" t="s">
        <v>153</v>
      </c>
      <c r="AD7" s="73" t="s">
        <v>154</v>
      </c>
      <c r="AE7" s="74" t="s">
        <v>155</v>
      </c>
      <c r="AF7" s="75" t="s">
        <v>156</v>
      </c>
      <c r="AG7" s="76" t="s">
        <v>157</v>
      </c>
      <c r="AH7" s="76" t="s">
        <v>158</v>
      </c>
      <c r="AJ7" s="58" t="s">
        <v>127</v>
      </c>
      <c r="AK7" s="58" t="s">
        <v>128</v>
      </c>
      <c r="AL7" s="59" t="s">
        <v>129</v>
      </c>
      <c r="AM7" s="60" t="s">
        <v>130</v>
      </c>
      <c r="AN7" s="61" t="s">
        <v>131</v>
      </c>
      <c r="AO7" s="61" t="s">
        <v>132</v>
      </c>
      <c r="AP7" s="62" t="s">
        <v>133</v>
      </c>
      <c r="AQ7" s="63" t="s">
        <v>134</v>
      </c>
      <c r="AR7" s="64" t="s">
        <v>135</v>
      </c>
      <c r="AS7" s="64" t="s">
        <v>136</v>
      </c>
      <c r="AT7" s="64" t="s">
        <v>137</v>
      </c>
      <c r="AU7" s="65" t="s">
        <v>138</v>
      </c>
      <c r="AV7" s="65" t="s">
        <v>139</v>
      </c>
      <c r="AW7" s="69" t="s">
        <v>144</v>
      </c>
      <c r="AX7" s="69" t="s">
        <v>145</v>
      </c>
      <c r="AY7" s="70" t="s">
        <v>146</v>
      </c>
      <c r="AZ7" s="70" t="s">
        <v>147</v>
      </c>
      <c r="BA7" s="71" t="s">
        <v>148</v>
      </c>
      <c r="BB7" s="71" t="s">
        <v>149</v>
      </c>
      <c r="BC7" s="72" t="s">
        <v>150</v>
      </c>
      <c r="BD7" s="72" t="s">
        <v>151</v>
      </c>
      <c r="BE7" s="73" t="s">
        <v>152</v>
      </c>
      <c r="BF7" s="73" t="s">
        <v>153</v>
      </c>
      <c r="BG7" s="73" t="s">
        <v>154</v>
      </c>
      <c r="BH7" s="74" t="s">
        <v>155</v>
      </c>
      <c r="BI7" s="75" t="s">
        <v>156</v>
      </c>
      <c r="BJ7" s="76" t="s">
        <v>157</v>
      </c>
      <c r="BK7" s="76" t="s">
        <v>158</v>
      </c>
    </row>
    <row r="8" spans="1:63" ht="15.75" customHeight="1" x14ac:dyDescent="0.25">
      <c r="A8" s="26" t="s">
        <v>159</v>
      </c>
      <c r="B8" s="28" t="s">
        <v>509</v>
      </c>
      <c r="C8" s="28" t="s">
        <v>942</v>
      </c>
      <c r="D8" s="28" t="s">
        <v>942</v>
      </c>
      <c r="E8" s="28" t="s">
        <v>942</v>
      </c>
      <c r="F8" s="80" t="s">
        <v>341</v>
      </c>
      <c r="G8" s="80" t="s">
        <v>341</v>
      </c>
      <c r="H8" s="80" t="s">
        <v>341</v>
      </c>
      <c r="I8" s="80" t="s">
        <v>341</v>
      </c>
      <c r="J8" s="28" t="s">
        <v>942</v>
      </c>
      <c r="K8" s="199"/>
      <c r="L8" s="199"/>
      <c r="M8" s="199"/>
      <c r="N8" s="28" t="s">
        <v>556</v>
      </c>
      <c r="O8" s="28" t="s">
        <v>556</v>
      </c>
      <c r="P8" s="28" t="s">
        <v>942</v>
      </c>
      <c r="Q8" s="28" t="s">
        <v>942</v>
      </c>
      <c r="R8" s="28" t="s">
        <v>942</v>
      </c>
      <c r="S8" s="28" t="s">
        <v>942</v>
      </c>
      <c r="T8" s="199"/>
      <c r="U8" s="28"/>
      <c r="V8" s="28"/>
      <c r="W8" s="28"/>
      <c r="X8" s="28"/>
      <c r="Y8" s="28"/>
      <c r="Z8" s="28"/>
      <c r="AA8" s="28" t="s">
        <v>1088</v>
      </c>
      <c r="AB8" s="28"/>
      <c r="AC8" s="28"/>
      <c r="AD8" s="28"/>
      <c r="AE8" s="28"/>
      <c r="AF8" s="28"/>
      <c r="AG8" s="28"/>
      <c r="AH8" s="28" t="s">
        <v>341</v>
      </c>
      <c r="AJ8" s="28" t="s">
        <v>322</v>
      </c>
      <c r="AK8" s="28" t="s">
        <v>322</v>
      </c>
      <c r="AL8" s="28" t="s">
        <v>316</v>
      </c>
      <c r="AM8" s="28" t="s">
        <v>1089</v>
      </c>
      <c r="AN8" s="28" t="s">
        <v>317</v>
      </c>
      <c r="AO8" s="28" t="s">
        <v>317</v>
      </c>
      <c r="AP8" s="28" t="s">
        <v>317</v>
      </c>
      <c r="AQ8" s="28" t="s">
        <v>317</v>
      </c>
      <c r="AR8" s="28" t="s">
        <v>322</v>
      </c>
      <c r="AS8" s="28" t="s">
        <v>322</v>
      </c>
      <c r="AT8" s="28" t="s">
        <v>322</v>
      </c>
      <c r="AU8" s="28" t="s">
        <v>350</v>
      </c>
      <c r="AV8" s="28" t="s">
        <v>350</v>
      </c>
      <c r="AW8" s="28"/>
      <c r="AX8" s="28"/>
      <c r="AY8" s="28"/>
      <c r="AZ8" s="28"/>
      <c r="BA8" s="28"/>
      <c r="BB8" s="28"/>
      <c r="BC8" s="28"/>
      <c r="BD8" s="28" t="s">
        <v>348</v>
      </c>
      <c r="BE8" s="28"/>
      <c r="BF8" s="28"/>
      <c r="BG8" s="28"/>
      <c r="BH8" s="28"/>
      <c r="BI8" s="28"/>
      <c r="BJ8" s="28"/>
      <c r="BK8" s="28" t="s">
        <v>322</v>
      </c>
    </row>
    <row r="9" spans="1:63" ht="15.75" customHeight="1" x14ac:dyDescent="0.25">
      <c r="A9" s="26" t="s">
        <v>165</v>
      </c>
      <c r="B9" s="28" t="s">
        <v>1090</v>
      </c>
      <c r="C9" s="28" t="s">
        <v>614</v>
      </c>
      <c r="D9" s="28" t="s">
        <v>614</v>
      </c>
      <c r="E9" s="28" t="s">
        <v>614</v>
      </c>
      <c r="F9" s="80" t="s">
        <v>341</v>
      </c>
      <c r="G9" s="80" t="s">
        <v>341</v>
      </c>
      <c r="H9" s="80" t="s">
        <v>341</v>
      </c>
      <c r="I9" s="80" t="s">
        <v>341</v>
      </c>
      <c r="J9" s="28" t="s">
        <v>614</v>
      </c>
      <c r="K9" s="199"/>
      <c r="L9" s="199"/>
      <c r="M9" s="199"/>
      <c r="N9" s="28" t="s">
        <v>322</v>
      </c>
      <c r="O9" s="28" t="s">
        <v>322</v>
      </c>
      <c r="P9" s="28" t="s">
        <v>614</v>
      </c>
      <c r="Q9" s="28" t="s">
        <v>614</v>
      </c>
      <c r="R9" s="28" t="s">
        <v>614</v>
      </c>
      <c r="S9" s="28" t="s">
        <v>614</v>
      </c>
      <c r="T9" s="199"/>
      <c r="U9" s="28"/>
      <c r="V9" s="28"/>
      <c r="W9" s="28"/>
      <c r="X9" s="28"/>
      <c r="Y9" s="28"/>
      <c r="Z9" s="28"/>
      <c r="AA9" s="28" t="s">
        <v>1009</v>
      </c>
      <c r="AB9" s="28"/>
      <c r="AC9" s="28"/>
      <c r="AD9" s="28"/>
      <c r="AE9" s="28"/>
      <c r="AF9" s="28"/>
      <c r="AG9" s="28"/>
      <c r="AH9" s="28" t="s">
        <v>341</v>
      </c>
      <c r="AJ9" s="28" t="s">
        <v>324</v>
      </c>
      <c r="AK9" s="28" t="s">
        <v>324</v>
      </c>
      <c r="AL9" s="28" t="s">
        <v>283</v>
      </c>
      <c r="AM9" s="28" t="s">
        <v>1091</v>
      </c>
      <c r="AN9" s="28" t="s">
        <v>1008</v>
      </c>
      <c r="AO9" s="28" t="s">
        <v>1008</v>
      </c>
      <c r="AP9" s="28" t="s">
        <v>1008</v>
      </c>
      <c r="AQ9" s="28" t="s">
        <v>1008</v>
      </c>
      <c r="AR9" s="28" t="s">
        <v>324</v>
      </c>
      <c r="AS9" s="28" t="s">
        <v>227</v>
      </c>
      <c r="AT9" s="28" t="s">
        <v>324</v>
      </c>
      <c r="AU9" s="115" t="s">
        <v>326</v>
      </c>
      <c r="AV9" s="28" t="s">
        <v>324</v>
      </c>
      <c r="AW9" s="28"/>
      <c r="AX9" s="28"/>
      <c r="AY9" s="28"/>
      <c r="AZ9" s="28"/>
      <c r="BA9" s="28"/>
      <c r="BB9" s="28"/>
      <c r="BC9" s="28"/>
      <c r="BD9" s="28" t="s">
        <v>1009</v>
      </c>
      <c r="BE9" s="28"/>
      <c r="BF9" s="28"/>
      <c r="BG9" s="28"/>
      <c r="BH9" s="28"/>
      <c r="BI9" s="28"/>
      <c r="BJ9" s="28"/>
      <c r="BK9" s="28" t="s">
        <v>324</v>
      </c>
    </row>
    <row r="10" spans="1:63" x14ac:dyDescent="0.25">
      <c r="A10" s="131" t="s">
        <v>168</v>
      </c>
      <c r="B10" s="157">
        <v>251</v>
      </c>
      <c r="C10" s="157">
        <v>151</v>
      </c>
      <c r="D10" s="157">
        <v>151</v>
      </c>
      <c r="E10" s="157">
        <v>151</v>
      </c>
      <c r="F10" s="198"/>
      <c r="G10" s="198"/>
      <c r="H10" s="198"/>
      <c r="I10" s="198"/>
      <c r="J10" s="157">
        <v>151</v>
      </c>
      <c r="K10" s="198"/>
      <c r="L10" s="198"/>
      <c r="M10" s="198"/>
      <c r="N10" s="157">
        <v>98</v>
      </c>
      <c r="O10" s="157">
        <v>98</v>
      </c>
      <c r="P10" s="157">
        <v>151</v>
      </c>
      <c r="Q10" s="157">
        <v>151</v>
      </c>
      <c r="R10" s="157">
        <v>151</v>
      </c>
      <c r="S10" s="157">
        <v>151</v>
      </c>
      <c r="T10" s="198"/>
      <c r="U10" s="157"/>
      <c r="V10" s="157"/>
      <c r="W10" s="157"/>
      <c r="X10" s="157"/>
      <c r="Y10" s="157"/>
      <c r="Z10" s="157"/>
      <c r="AA10" s="157">
        <v>187</v>
      </c>
      <c r="AB10" s="157"/>
      <c r="AC10" s="157"/>
      <c r="AD10" s="157"/>
      <c r="AE10" s="157"/>
      <c r="AF10" s="157"/>
      <c r="AG10" s="157"/>
      <c r="AH10" s="157" t="s">
        <v>341</v>
      </c>
      <c r="AJ10" s="157">
        <v>57</v>
      </c>
      <c r="AK10" s="157">
        <v>57</v>
      </c>
      <c r="AL10" s="157">
        <v>56</v>
      </c>
      <c r="AM10" s="157">
        <v>193</v>
      </c>
      <c r="AN10" s="157">
        <v>61</v>
      </c>
      <c r="AO10" s="157">
        <v>61</v>
      </c>
      <c r="AP10" s="157">
        <v>61</v>
      </c>
      <c r="AQ10" s="157">
        <v>61</v>
      </c>
      <c r="AR10" s="157">
        <v>57</v>
      </c>
      <c r="AS10" s="157">
        <v>35</v>
      </c>
      <c r="AT10" s="157">
        <v>57</v>
      </c>
      <c r="AU10" s="157">
        <v>194</v>
      </c>
      <c r="AV10" s="157">
        <v>57</v>
      </c>
      <c r="AW10" s="157"/>
      <c r="AX10" s="157"/>
      <c r="AY10" s="157"/>
      <c r="AZ10" s="157"/>
      <c r="BA10" s="157"/>
      <c r="BB10" s="157"/>
      <c r="BC10" s="157"/>
      <c r="BD10" s="157">
        <v>187</v>
      </c>
      <c r="BE10" s="157"/>
      <c r="BF10" s="157"/>
      <c r="BG10" s="157"/>
      <c r="BH10" s="157"/>
      <c r="BI10" s="157"/>
      <c r="BJ10" s="157"/>
      <c r="BK10" s="132">
        <v>57</v>
      </c>
    </row>
    <row r="11" spans="1:63" x14ac:dyDescent="0.25">
      <c r="A11" s="26" t="s">
        <v>169</v>
      </c>
      <c r="B11" s="28" t="s">
        <v>170</v>
      </c>
      <c r="C11" s="28" t="s">
        <v>266</v>
      </c>
      <c r="D11" s="28" t="s">
        <v>266</v>
      </c>
      <c r="E11" s="28" t="s">
        <v>266</v>
      </c>
      <c r="F11" s="80" t="s">
        <v>173</v>
      </c>
      <c r="G11" s="80" t="s">
        <v>173</v>
      </c>
      <c r="H11" s="80" t="s">
        <v>173</v>
      </c>
      <c r="I11" s="80" t="s">
        <v>173</v>
      </c>
      <c r="J11" s="28" t="s">
        <v>266</v>
      </c>
      <c r="K11" s="199"/>
      <c r="L11" s="199"/>
      <c r="M11" s="199"/>
      <c r="N11" s="28" t="s">
        <v>170</v>
      </c>
      <c r="O11" s="28" t="s">
        <v>170</v>
      </c>
      <c r="P11" s="28" t="s">
        <v>266</v>
      </c>
      <c r="Q11" s="28" t="s">
        <v>266</v>
      </c>
      <c r="R11" s="28" t="s">
        <v>266</v>
      </c>
      <c r="S11" s="28" t="s">
        <v>266</v>
      </c>
      <c r="T11" s="199"/>
      <c r="U11" s="28"/>
      <c r="V11" s="28"/>
      <c r="W11" s="28"/>
      <c r="X11" s="28"/>
      <c r="Y11" s="28"/>
      <c r="Z11" s="28"/>
      <c r="AA11" s="28" t="s">
        <v>170</v>
      </c>
      <c r="AB11" s="28"/>
      <c r="AC11" s="28"/>
      <c r="AD11" s="28"/>
      <c r="AE11" s="28"/>
      <c r="AF11" s="28"/>
      <c r="AG11" s="28"/>
      <c r="AH11" s="28" t="s">
        <v>173</v>
      </c>
      <c r="AJ11" s="29" t="s">
        <v>170</v>
      </c>
      <c r="AK11" s="29" t="s">
        <v>170</v>
      </c>
      <c r="AL11" s="29" t="s">
        <v>170</v>
      </c>
      <c r="AM11" s="29" t="s">
        <v>170</v>
      </c>
      <c r="AN11" s="29" t="s">
        <v>170</v>
      </c>
      <c r="AO11" s="29" t="s">
        <v>170</v>
      </c>
      <c r="AP11" s="29" t="s">
        <v>170</v>
      </c>
      <c r="AQ11" s="29" t="s">
        <v>170</v>
      </c>
      <c r="AR11" s="29" t="s">
        <v>170</v>
      </c>
      <c r="AS11" s="29" t="s">
        <v>170</v>
      </c>
      <c r="AT11" s="29" t="s">
        <v>170</v>
      </c>
      <c r="AU11" s="29" t="s">
        <v>170</v>
      </c>
      <c r="AV11" s="29" t="s">
        <v>170</v>
      </c>
      <c r="AW11" s="29"/>
      <c r="AX11" s="29"/>
      <c r="AY11" s="28"/>
      <c r="AZ11" s="28"/>
      <c r="BA11" s="28"/>
      <c r="BB11" s="28"/>
      <c r="BC11" s="28"/>
      <c r="BD11" s="28" t="s">
        <v>170</v>
      </c>
      <c r="BE11" s="28"/>
      <c r="BF11" s="28"/>
      <c r="BG11" s="28"/>
      <c r="BH11" s="28"/>
      <c r="BI11" s="28"/>
      <c r="BJ11" s="28"/>
      <c r="BK11" s="28" t="s">
        <v>170</v>
      </c>
    </row>
    <row r="12" spans="1:63" x14ac:dyDescent="0.25">
      <c r="A12" s="26" t="s">
        <v>171</v>
      </c>
      <c r="B12" s="28" t="s">
        <v>170</v>
      </c>
      <c r="C12" s="28" t="s">
        <v>266</v>
      </c>
      <c r="D12" s="28" t="s">
        <v>266</v>
      </c>
      <c r="E12" s="28" t="s">
        <v>266</v>
      </c>
      <c r="F12" s="80" t="s">
        <v>173</v>
      </c>
      <c r="G12" s="80" t="s">
        <v>173</v>
      </c>
      <c r="H12" s="80" t="s">
        <v>173</v>
      </c>
      <c r="I12" s="80" t="s">
        <v>173</v>
      </c>
      <c r="J12" s="28" t="s">
        <v>266</v>
      </c>
      <c r="K12" s="199"/>
      <c r="L12" s="199"/>
      <c r="M12" s="199"/>
      <c r="N12" s="28" t="s">
        <v>170</v>
      </c>
      <c r="O12" s="28" t="s">
        <v>170</v>
      </c>
      <c r="P12" s="28" t="s">
        <v>266</v>
      </c>
      <c r="Q12" s="28" t="s">
        <v>266</v>
      </c>
      <c r="R12" s="28" t="s">
        <v>266</v>
      </c>
      <c r="S12" s="28" t="s">
        <v>266</v>
      </c>
      <c r="T12" s="199"/>
      <c r="U12" s="28"/>
      <c r="V12" s="28"/>
      <c r="W12" s="28"/>
      <c r="X12" s="28"/>
      <c r="Y12" s="28"/>
      <c r="Z12" s="28"/>
      <c r="AA12" s="28" t="s">
        <v>170</v>
      </c>
      <c r="AB12" s="28"/>
      <c r="AC12" s="28"/>
      <c r="AD12" s="28"/>
      <c r="AE12" s="28"/>
      <c r="AF12" s="28"/>
      <c r="AG12" s="28"/>
      <c r="AH12" s="28" t="s">
        <v>170</v>
      </c>
      <c r="AJ12" s="28" t="s">
        <v>170</v>
      </c>
      <c r="AK12" s="28" t="s">
        <v>170</v>
      </c>
      <c r="AL12" s="29" t="s">
        <v>173</v>
      </c>
      <c r="AM12" s="28" t="s">
        <v>266</v>
      </c>
      <c r="AN12" s="28" t="s">
        <v>170</v>
      </c>
      <c r="AO12" s="28" t="s">
        <v>170</v>
      </c>
      <c r="AP12" s="28" t="s">
        <v>170</v>
      </c>
      <c r="AQ12" s="28" t="s">
        <v>170</v>
      </c>
      <c r="AR12" s="28" t="s">
        <v>170</v>
      </c>
      <c r="AS12" s="28" t="s">
        <v>170</v>
      </c>
      <c r="AT12" s="28" t="s">
        <v>170</v>
      </c>
      <c r="AU12" s="28" t="s">
        <v>170</v>
      </c>
      <c r="AV12" s="28" t="s">
        <v>170</v>
      </c>
      <c r="AW12" s="28"/>
      <c r="AX12" s="28"/>
      <c r="AY12" s="28"/>
      <c r="AZ12" s="28"/>
      <c r="BA12" s="28"/>
      <c r="BB12" s="28"/>
      <c r="BC12" s="28"/>
      <c r="BD12" s="28" t="s">
        <v>170</v>
      </c>
      <c r="BE12" s="28"/>
      <c r="BF12" s="28"/>
      <c r="BG12" s="28"/>
      <c r="BH12" s="28"/>
      <c r="BI12" s="28"/>
      <c r="BJ12" s="28"/>
      <c r="BK12" s="28" t="s">
        <v>170</v>
      </c>
    </row>
    <row r="13" spans="1:63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80" t="s">
        <v>173</v>
      </c>
      <c r="G13" s="80" t="s">
        <v>173</v>
      </c>
      <c r="H13" s="80" t="s">
        <v>173</v>
      </c>
      <c r="I13" s="80" t="s">
        <v>173</v>
      </c>
      <c r="J13" s="28" t="s">
        <v>173</v>
      </c>
      <c r="K13" s="199"/>
      <c r="L13" s="199"/>
      <c r="M13" s="199"/>
      <c r="N13" s="28" t="s">
        <v>173</v>
      </c>
      <c r="O13" s="28" t="s">
        <v>173</v>
      </c>
      <c r="P13" s="28" t="s">
        <v>173</v>
      </c>
      <c r="Q13" s="28" t="s">
        <v>173</v>
      </c>
      <c r="R13" s="28" t="s">
        <v>173</v>
      </c>
      <c r="S13" s="28" t="s">
        <v>173</v>
      </c>
      <c r="T13" s="199"/>
      <c r="U13" s="28"/>
      <c r="V13" s="28"/>
      <c r="W13" s="28"/>
      <c r="X13" s="28"/>
      <c r="Y13" s="28"/>
      <c r="Z13" s="28"/>
      <c r="AA13" s="28" t="s">
        <v>170</v>
      </c>
      <c r="AB13" s="28"/>
      <c r="AC13" s="28"/>
      <c r="AD13" s="28"/>
      <c r="AE13" s="28"/>
      <c r="AF13" s="28"/>
      <c r="AG13" s="28"/>
      <c r="AH13" s="28" t="s">
        <v>173</v>
      </c>
      <c r="AJ13" s="28" t="s">
        <v>170</v>
      </c>
      <c r="AK13" s="28" t="s">
        <v>170</v>
      </c>
      <c r="AL13" s="28" t="s">
        <v>170</v>
      </c>
      <c r="AM13" s="28" t="s">
        <v>287</v>
      </c>
      <c r="AN13" s="28" t="s">
        <v>173</v>
      </c>
      <c r="AO13" s="28" t="s">
        <v>173</v>
      </c>
      <c r="AP13" s="28" t="s">
        <v>173</v>
      </c>
      <c r="AQ13" s="28" t="s">
        <v>173</v>
      </c>
      <c r="AR13" s="28" t="s">
        <v>170</v>
      </c>
      <c r="AS13" s="28" t="s">
        <v>170</v>
      </c>
      <c r="AT13" s="28" t="s">
        <v>170</v>
      </c>
      <c r="AU13" s="28" t="s">
        <v>170</v>
      </c>
      <c r="AV13" s="28" t="s">
        <v>170</v>
      </c>
      <c r="AW13" s="28"/>
      <c r="AX13" s="28"/>
      <c r="AY13" s="28"/>
      <c r="AZ13" s="28"/>
      <c r="BA13" s="28"/>
      <c r="BB13" s="28"/>
      <c r="BC13" s="28"/>
      <c r="BD13" s="28" t="s">
        <v>170</v>
      </c>
      <c r="BE13" s="28"/>
      <c r="BF13" s="28"/>
      <c r="BG13" s="28"/>
      <c r="BH13" s="28"/>
      <c r="BI13" s="28"/>
      <c r="BJ13" s="28"/>
      <c r="BK13" s="28" t="s">
        <v>170</v>
      </c>
    </row>
    <row r="14" spans="1:63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80" t="s">
        <v>173</v>
      </c>
      <c r="G14" s="80" t="s">
        <v>173</v>
      </c>
      <c r="H14" s="80" t="s">
        <v>173</v>
      </c>
      <c r="I14" s="80" t="s">
        <v>173</v>
      </c>
      <c r="J14" s="28" t="s">
        <v>173</v>
      </c>
      <c r="K14" s="199"/>
      <c r="L14" s="199"/>
      <c r="M14" s="199"/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199"/>
      <c r="U14" s="28"/>
      <c r="V14" s="28"/>
      <c r="W14" s="28"/>
      <c r="X14" s="28"/>
      <c r="Y14" s="28"/>
      <c r="Z14" s="28"/>
      <c r="AA14" s="28" t="s">
        <v>173</v>
      </c>
      <c r="AB14" s="28"/>
      <c r="AC14" s="28"/>
      <c r="AD14" s="28"/>
      <c r="AE14" s="28"/>
      <c r="AF14" s="28"/>
      <c r="AG14" s="28"/>
      <c r="AH14" s="28" t="s">
        <v>173</v>
      </c>
      <c r="AJ14" s="28" t="s">
        <v>173</v>
      </c>
      <c r="AK14" s="28" t="s">
        <v>173</v>
      </c>
      <c r="AL14" s="28" t="s">
        <v>173</v>
      </c>
      <c r="AM14" s="28" t="s">
        <v>173</v>
      </c>
      <c r="AN14" s="28" t="s">
        <v>173</v>
      </c>
      <c r="AO14" s="28" t="s">
        <v>173</v>
      </c>
      <c r="AP14" s="28" t="s">
        <v>173</v>
      </c>
      <c r="AQ14" s="28" t="s">
        <v>173</v>
      </c>
      <c r="AR14" s="28" t="s">
        <v>173</v>
      </c>
      <c r="AS14" s="28" t="s">
        <v>173</v>
      </c>
      <c r="AT14" s="28" t="s">
        <v>173</v>
      </c>
      <c r="AU14" s="28" t="s">
        <v>173</v>
      </c>
      <c r="AV14" s="28" t="s">
        <v>173</v>
      </c>
      <c r="AW14" s="28"/>
      <c r="AX14" s="28"/>
      <c r="AY14" s="28"/>
      <c r="AZ14" s="28"/>
      <c r="BA14" s="28"/>
      <c r="BB14" s="28"/>
      <c r="BC14" s="28"/>
      <c r="BD14" s="28" t="s">
        <v>173</v>
      </c>
      <c r="BE14" s="28"/>
      <c r="BF14" s="28"/>
      <c r="BG14" s="28"/>
      <c r="BH14" s="28"/>
      <c r="BI14" s="28"/>
      <c r="BJ14" s="28"/>
      <c r="BK14" s="28" t="s">
        <v>173</v>
      </c>
    </row>
    <row r="15" spans="1:63" x14ac:dyDescent="0.25">
      <c r="A15" s="26" t="s">
        <v>175</v>
      </c>
      <c r="B15" s="29" t="s">
        <v>199</v>
      </c>
      <c r="C15" s="29" t="s">
        <v>199</v>
      </c>
      <c r="D15" s="29" t="s">
        <v>199</v>
      </c>
      <c r="E15" s="29" t="s">
        <v>199</v>
      </c>
      <c r="F15" s="81" t="s">
        <v>199</v>
      </c>
      <c r="G15" s="81" t="s">
        <v>199</v>
      </c>
      <c r="H15" s="81" t="s">
        <v>199</v>
      </c>
      <c r="I15" s="81" t="s">
        <v>199</v>
      </c>
      <c r="J15" s="29" t="s">
        <v>199</v>
      </c>
      <c r="K15" s="200"/>
      <c r="L15" s="200"/>
      <c r="M15" s="200"/>
      <c r="N15" s="29" t="s">
        <v>199</v>
      </c>
      <c r="O15" s="29" t="s">
        <v>199</v>
      </c>
      <c r="P15" s="29" t="s">
        <v>199</v>
      </c>
      <c r="Q15" s="29" t="s">
        <v>199</v>
      </c>
      <c r="R15" s="29" t="s">
        <v>199</v>
      </c>
      <c r="S15" s="29" t="s">
        <v>199</v>
      </c>
      <c r="T15" s="200"/>
      <c r="U15" s="29"/>
      <c r="V15" s="29"/>
      <c r="W15" s="29"/>
      <c r="X15" s="29"/>
      <c r="Y15" s="29"/>
      <c r="Z15" s="29"/>
      <c r="AA15" s="29" t="s">
        <v>199</v>
      </c>
      <c r="AB15" s="29"/>
      <c r="AC15" s="29"/>
      <c r="AD15" s="29"/>
      <c r="AE15" s="29"/>
      <c r="AF15" s="29"/>
      <c r="AG15" s="29"/>
      <c r="AH15" s="29" t="s">
        <v>199</v>
      </c>
      <c r="AJ15" s="28" t="s">
        <v>199</v>
      </c>
      <c r="AK15" s="28" t="s">
        <v>199</v>
      </c>
      <c r="AL15" s="28" t="s">
        <v>199</v>
      </c>
      <c r="AM15" s="28" t="s">
        <v>199</v>
      </c>
      <c r="AN15" s="28" t="s">
        <v>199</v>
      </c>
      <c r="AO15" s="28" t="s">
        <v>199</v>
      </c>
      <c r="AP15" s="28" t="s">
        <v>199</v>
      </c>
      <c r="AQ15" s="28" t="s">
        <v>199</v>
      </c>
      <c r="AR15" s="28" t="s">
        <v>199</v>
      </c>
      <c r="AS15" s="28" t="s">
        <v>199</v>
      </c>
      <c r="AT15" s="28" t="s">
        <v>199</v>
      </c>
      <c r="AU15" s="28" t="s">
        <v>333</v>
      </c>
      <c r="AV15" s="28" t="s">
        <v>199</v>
      </c>
      <c r="AW15" s="28"/>
      <c r="AX15" s="28"/>
      <c r="AY15" s="29"/>
      <c r="AZ15" s="29"/>
      <c r="BA15" s="29"/>
      <c r="BB15" s="29"/>
      <c r="BC15" s="29"/>
      <c r="BD15" s="29" t="s">
        <v>199</v>
      </c>
      <c r="BE15" s="29"/>
      <c r="BF15" s="29"/>
      <c r="BG15" s="29"/>
      <c r="BH15" s="29"/>
      <c r="BI15" s="29"/>
      <c r="BJ15" s="29"/>
      <c r="BK15" s="28" t="s">
        <v>199</v>
      </c>
    </row>
    <row r="16" spans="1:63" x14ac:dyDescent="0.25">
      <c r="A16" s="26" t="s">
        <v>176</v>
      </c>
      <c r="B16" s="30">
        <v>-2</v>
      </c>
      <c r="C16" s="30">
        <v>-2</v>
      </c>
      <c r="D16" s="30">
        <v>-2</v>
      </c>
      <c r="E16" s="30">
        <v>-2</v>
      </c>
      <c r="F16" s="82">
        <v>-2</v>
      </c>
      <c r="G16" s="82">
        <v>-2</v>
      </c>
      <c r="H16" s="82">
        <v>-2</v>
      </c>
      <c r="I16" s="82">
        <v>-2</v>
      </c>
      <c r="J16" s="30">
        <v>-2</v>
      </c>
      <c r="K16" s="201"/>
      <c r="L16" s="201"/>
      <c r="M16" s="201"/>
      <c r="N16" s="30">
        <v>-2</v>
      </c>
      <c r="O16" s="30">
        <v>-2</v>
      </c>
      <c r="P16" s="30">
        <v>-2</v>
      </c>
      <c r="Q16" s="30">
        <v>-2</v>
      </c>
      <c r="R16" s="30">
        <v>-2</v>
      </c>
      <c r="S16" s="30">
        <v>-2</v>
      </c>
      <c r="T16" s="201"/>
      <c r="U16" s="30"/>
      <c r="V16" s="30"/>
      <c r="W16" s="30"/>
      <c r="X16" s="30"/>
      <c r="Y16" s="30"/>
      <c r="Z16" s="30"/>
      <c r="AA16" s="30">
        <v>-0.5</v>
      </c>
      <c r="AB16" s="30"/>
      <c r="AC16" s="30"/>
      <c r="AD16" s="30"/>
      <c r="AE16" s="30"/>
      <c r="AF16" s="30"/>
      <c r="AG16" s="30"/>
      <c r="AH16" s="30">
        <v>-2</v>
      </c>
      <c r="AJ16" s="30">
        <v>-0.5</v>
      </c>
      <c r="AK16" s="30">
        <v>-0.5</v>
      </c>
      <c r="AL16" s="30">
        <v>-0.5</v>
      </c>
      <c r="AM16" s="30">
        <f>AVERAGE(-2,-0.5)</f>
        <v>-1.25</v>
      </c>
      <c r="AN16" s="30">
        <v>-2</v>
      </c>
      <c r="AO16" s="30">
        <v>-2</v>
      </c>
      <c r="AP16" s="30">
        <v>-2</v>
      </c>
      <c r="AQ16" s="30">
        <v>-2</v>
      </c>
      <c r="AR16" s="30">
        <v>-0.5</v>
      </c>
      <c r="AS16" s="30">
        <v>-0.5</v>
      </c>
      <c r="AT16" s="30">
        <v>-0.5</v>
      </c>
      <c r="AU16" s="30">
        <f>AVERAGE(-0.5,-0.5,0.5)</f>
        <v>-0.16666666666666666</v>
      </c>
      <c r="AV16" s="30">
        <v>-0.5</v>
      </c>
      <c r="AW16" s="30"/>
      <c r="AX16" s="30"/>
      <c r="AY16" s="30"/>
      <c r="AZ16" s="30"/>
      <c r="BA16" s="30"/>
      <c r="BB16" s="30"/>
      <c r="BC16" s="30"/>
      <c r="BD16" s="30">
        <v>-0.5</v>
      </c>
      <c r="BE16" s="30"/>
      <c r="BF16" s="30"/>
      <c r="BG16" s="30"/>
      <c r="BH16" s="30"/>
      <c r="BI16" s="30"/>
      <c r="BJ16" s="30"/>
      <c r="BK16" s="30">
        <v>-0.5</v>
      </c>
    </row>
    <row r="17" spans="1:63" ht="15.75" customHeight="1" x14ac:dyDescent="0.25">
      <c r="A17" s="26" t="s">
        <v>177</v>
      </c>
      <c r="B17" s="28" t="s">
        <v>1092</v>
      </c>
      <c r="C17" s="29" t="s">
        <v>537</v>
      </c>
      <c r="D17" s="29" t="s">
        <v>537</v>
      </c>
      <c r="E17" s="29" t="s">
        <v>537</v>
      </c>
      <c r="F17" s="81" t="s">
        <v>341</v>
      </c>
      <c r="G17" s="81" t="s">
        <v>341</v>
      </c>
      <c r="H17" s="81" t="s">
        <v>341</v>
      </c>
      <c r="I17" s="81" t="s">
        <v>341</v>
      </c>
      <c r="J17" s="29" t="s">
        <v>537</v>
      </c>
      <c r="K17" s="200"/>
      <c r="L17" s="200"/>
      <c r="M17" s="200"/>
      <c r="N17" s="28" t="s">
        <v>334</v>
      </c>
      <c r="O17" s="28" t="s">
        <v>334</v>
      </c>
      <c r="P17" s="29" t="s">
        <v>537</v>
      </c>
      <c r="Q17" s="29" t="s">
        <v>537</v>
      </c>
      <c r="R17" s="29" t="s">
        <v>537</v>
      </c>
      <c r="S17" s="29" t="s">
        <v>537</v>
      </c>
      <c r="T17" s="200"/>
      <c r="U17" s="28"/>
      <c r="V17" s="28"/>
      <c r="W17" s="28"/>
      <c r="X17" s="28"/>
      <c r="Y17" s="28"/>
      <c r="Z17" s="28"/>
      <c r="AA17" s="28" t="s">
        <v>1012</v>
      </c>
      <c r="AB17" s="28"/>
      <c r="AC17" s="28"/>
      <c r="AD17" s="28"/>
      <c r="AE17" s="28"/>
      <c r="AF17" s="28"/>
      <c r="AG17" s="28"/>
      <c r="AH17" s="29" t="s">
        <v>341</v>
      </c>
      <c r="AJ17" s="28" t="s">
        <v>181</v>
      </c>
      <c r="AK17" s="28" t="s">
        <v>181</v>
      </c>
      <c r="AL17" s="28" t="s">
        <v>181</v>
      </c>
      <c r="AM17" s="28" t="s">
        <v>181</v>
      </c>
      <c r="AN17" s="28" t="s">
        <v>181</v>
      </c>
      <c r="AO17" s="28" t="s">
        <v>181</v>
      </c>
      <c r="AP17" s="28" t="s">
        <v>181</v>
      </c>
      <c r="AQ17" s="28" t="s">
        <v>181</v>
      </c>
      <c r="AR17" s="28" t="s">
        <v>181</v>
      </c>
      <c r="AS17" s="28" t="s">
        <v>200</v>
      </c>
      <c r="AT17" s="28" t="s">
        <v>181</v>
      </c>
      <c r="AU17" s="28" t="s">
        <v>200</v>
      </c>
      <c r="AV17" s="28" t="s">
        <v>181</v>
      </c>
      <c r="AW17" s="28"/>
      <c r="AX17" s="28"/>
      <c r="AY17" s="28"/>
      <c r="AZ17" s="28"/>
      <c r="BA17" s="28"/>
      <c r="BB17" s="28"/>
      <c r="BC17" s="28"/>
      <c r="BD17" s="28" t="s">
        <v>1012</v>
      </c>
      <c r="BE17" s="28"/>
      <c r="BF17" s="28"/>
      <c r="BG17" s="28"/>
      <c r="BH17" s="28"/>
      <c r="BI17" s="28"/>
      <c r="BJ17" s="28"/>
      <c r="BK17" s="28" t="s">
        <v>181</v>
      </c>
    </row>
    <row r="18" spans="1:63" x14ac:dyDescent="0.25">
      <c r="A18" s="26" t="s">
        <v>182</v>
      </c>
      <c r="B18" s="30">
        <f>1/3*1.25</f>
        <v>0.41666666666666663</v>
      </c>
      <c r="C18" s="30">
        <f>AVERAGE(1/3,0)</f>
        <v>0.16666666666666666</v>
      </c>
      <c r="D18" s="30">
        <f>AVERAGE(1/3,0)</f>
        <v>0.16666666666666666</v>
      </c>
      <c r="E18" s="30">
        <f>AVERAGE(1/3,0)</f>
        <v>0.16666666666666666</v>
      </c>
      <c r="F18" s="82">
        <v>0</v>
      </c>
      <c r="G18" s="82">
        <v>0</v>
      </c>
      <c r="H18" s="82">
        <v>0</v>
      </c>
      <c r="I18" s="82">
        <v>0</v>
      </c>
      <c r="J18" s="30">
        <f>AVERAGE(1/3,0)</f>
        <v>0.16666666666666666</v>
      </c>
      <c r="K18" s="201"/>
      <c r="L18" s="201"/>
      <c r="M18" s="201"/>
      <c r="N18" s="30">
        <f>1/3</f>
        <v>0.33333333333333331</v>
      </c>
      <c r="O18" s="30">
        <f>1/3</f>
        <v>0.33333333333333331</v>
      </c>
      <c r="P18" s="30">
        <f t="shared" ref="P18:S18" si="0">AVERAGE(1/3,0)</f>
        <v>0.16666666666666666</v>
      </c>
      <c r="Q18" s="30">
        <f t="shared" si="0"/>
        <v>0.16666666666666666</v>
      </c>
      <c r="R18" s="30">
        <f t="shared" si="0"/>
        <v>0.16666666666666666</v>
      </c>
      <c r="S18" s="30">
        <f t="shared" si="0"/>
        <v>0.16666666666666666</v>
      </c>
      <c r="T18" s="201"/>
      <c r="U18" s="30"/>
      <c r="V18" s="30"/>
      <c r="W18" s="30"/>
      <c r="X18" s="30"/>
      <c r="Y18" s="30"/>
      <c r="Z18" s="30"/>
      <c r="AA18" s="30">
        <v>3.75</v>
      </c>
      <c r="AB18" s="30"/>
      <c r="AC18" s="30"/>
      <c r="AD18" s="30"/>
      <c r="AE18" s="30"/>
      <c r="AF18" s="30"/>
      <c r="AG18" s="30"/>
      <c r="AH18" s="30">
        <v>0</v>
      </c>
      <c r="AJ18" s="30">
        <v>2</v>
      </c>
      <c r="AK18" s="30">
        <v>2</v>
      </c>
      <c r="AL18" s="30">
        <v>2</v>
      </c>
      <c r="AM18" s="30">
        <v>2</v>
      </c>
      <c r="AN18" s="30">
        <v>2</v>
      </c>
      <c r="AO18" s="30">
        <v>2</v>
      </c>
      <c r="AP18" s="30">
        <v>2</v>
      </c>
      <c r="AQ18" s="30">
        <v>2</v>
      </c>
      <c r="AR18" s="30">
        <v>2</v>
      </c>
      <c r="AS18" s="30">
        <v>3</v>
      </c>
      <c r="AT18" s="30">
        <v>2</v>
      </c>
      <c r="AU18" s="30">
        <v>3</v>
      </c>
      <c r="AV18" s="30">
        <v>2</v>
      </c>
      <c r="AW18" s="30"/>
      <c r="AX18" s="30"/>
      <c r="AY18" s="30"/>
      <c r="AZ18" s="30"/>
      <c r="BA18" s="30"/>
      <c r="BB18" s="30"/>
      <c r="BC18" s="30"/>
      <c r="BD18" s="30">
        <v>3.75</v>
      </c>
      <c r="BE18" s="30"/>
      <c r="BF18" s="30"/>
      <c r="BG18" s="30"/>
      <c r="BH18" s="30"/>
      <c r="BI18" s="30"/>
      <c r="BJ18" s="30"/>
      <c r="BK18" s="30">
        <v>2</v>
      </c>
    </row>
    <row r="19" spans="1:63" ht="15.75" customHeight="1" x14ac:dyDescent="0.25">
      <c r="C19" s="126" t="s">
        <v>1093</v>
      </c>
      <c r="AJ19" s="126" t="s">
        <v>1094</v>
      </c>
    </row>
    <row r="20" spans="1:63" x14ac:dyDescent="0.25">
      <c r="A20" s="31" t="s">
        <v>183</v>
      </c>
    </row>
    <row r="21" spans="1:63" ht="35.25" customHeight="1" x14ac:dyDescent="0.25">
      <c r="A21" s="191" t="s">
        <v>1095</v>
      </c>
      <c r="B21" s="93"/>
    </row>
    <row r="22" spans="1:63" ht="35.25" customHeight="1" x14ac:dyDescent="0.25">
      <c r="A22" s="191" t="s">
        <v>1096</v>
      </c>
      <c r="B22" s="93"/>
    </row>
    <row r="23" spans="1:63" x14ac:dyDescent="0.25">
      <c r="A23" s="93"/>
    </row>
    <row r="24" spans="1:63" x14ac:dyDescent="0.25">
      <c r="A24" s="93"/>
    </row>
    <row r="25" spans="1:63" x14ac:dyDescent="0.25">
      <c r="A25" s="26" t="s">
        <v>681</v>
      </c>
    </row>
    <row r="26" spans="1:63" ht="15.75" customHeight="1" x14ac:dyDescent="0.25">
      <c r="A26" s="109" t="s">
        <v>1097</v>
      </c>
      <c r="C26" s="188" t="s">
        <v>341</v>
      </c>
      <c r="D26" s="188"/>
      <c r="E26" s="26" t="s">
        <v>1027</v>
      </c>
      <c r="F26" s="26" t="s">
        <v>1027</v>
      </c>
      <c r="G26" s="54" t="s">
        <v>1008</v>
      </c>
      <c r="H26" s="54"/>
      <c r="I26" s="54"/>
      <c r="J26" s="54" t="s">
        <v>1008</v>
      </c>
      <c r="K26" s="54" t="s">
        <v>324</v>
      </c>
      <c r="L26" s="54"/>
      <c r="M26" s="54"/>
      <c r="N26" s="54"/>
      <c r="O26" s="54"/>
      <c r="P26" s="188" t="s">
        <v>614</v>
      </c>
      <c r="Q26" s="188"/>
      <c r="R26" s="188"/>
      <c r="S26" s="188"/>
      <c r="T26" s="54"/>
      <c r="U26" s="54"/>
      <c r="AA26" s="54" t="s">
        <v>1009</v>
      </c>
      <c r="AF26" s="54"/>
      <c r="AH26" s="188" t="s">
        <v>341</v>
      </c>
    </row>
    <row r="27" spans="1:63" ht="15.75" customHeight="1" x14ac:dyDescent="0.25">
      <c r="A27" s="26" t="s">
        <v>1098</v>
      </c>
      <c r="C27" s="188" t="s">
        <v>341</v>
      </c>
      <c r="D27" s="188"/>
      <c r="E27" s="188" t="s">
        <v>341</v>
      </c>
      <c r="F27" s="188"/>
      <c r="G27" s="188" t="s">
        <v>341</v>
      </c>
      <c r="H27" s="188"/>
      <c r="I27" s="188"/>
      <c r="J27" s="188" t="s">
        <v>614</v>
      </c>
      <c r="K27" s="54" t="s">
        <v>227</v>
      </c>
      <c r="L27" s="54"/>
      <c r="M27" s="54"/>
      <c r="N27" s="26" t="s">
        <v>1099</v>
      </c>
      <c r="P27" s="188" t="s">
        <v>322</v>
      </c>
      <c r="Q27" s="188"/>
      <c r="R27" s="188"/>
      <c r="T27" s="54"/>
      <c r="AA27" s="54" t="s">
        <v>1009</v>
      </c>
      <c r="AE27" s="188" t="s">
        <v>322</v>
      </c>
    </row>
    <row r="28" spans="1:63" ht="15.75" customHeight="1" x14ac:dyDescent="0.25">
      <c r="A28" s="26" t="s">
        <v>1100</v>
      </c>
      <c r="C28" s="188" t="s">
        <v>341</v>
      </c>
      <c r="D28" s="188"/>
      <c r="G28" s="188" t="s">
        <v>341</v>
      </c>
      <c r="H28" s="188"/>
      <c r="I28" s="188"/>
      <c r="K28" s="54" t="s">
        <v>227</v>
      </c>
      <c r="L28" s="54"/>
      <c r="M28" s="54"/>
      <c r="T28" s="54"/>
      <c r="AA28" s="54" t="s">
        <v>1009</v>
      </c>
    </row>
    <row r="29" spans="1:63" ht="15.75" customHeight="1" x14ac:dyDescent="0.25">
      <c r="A29" s="26" t="s">
        <v>1101</v>
      </c>
      <c r="C29" s="54" t="s">
        <v>324</v>
      </c>
      <c r="D29" s="54"/>
      <c r="E29" s="54" t="s">
        <v>283</v>
      </c>
      <c r="F29" s="54" t="s">
        <v>1008</v>
      </c>
      <c r="G29" s="54" t="s">
        <v>1008</v>
      </c>
      <c r="H29" s="54"/>
      <c r="I29" s="54"/>
      <c r="J29" s="54" t="s">
        <v>1008</v>
      </c>
      <c r="K29" s="54" t="s">
        <v>324</v>
      </c>
      <c r="L29" s="54"/>
      <c r="M29" s="54"/>
      <c r="P29" s="188" t="s">
        <v>614</v>
      </c>
      <c r="Q29" s="188"/>
      <c r="R29" s="188"/>
      <c r="S29" s="188"/>
      <c r="T29" s="54"/>
      <c r="AA29" s="54" t="s">
        <v>1102</v>
      </c>
      <c r="AG29" s="54" t="s">
        <v>227</v>
      </c>
      <c r="AH29" s="54" t="s">
        <v>324</v>
      </c>
    </row>
    <row r="30" spans="1:63" ht="15.75" customHeight="1" x14ac:dyDescent="0.25">
      <c r="A30" s="26" t="s">
        <v>1103</v>
      </c>
      <c r="C30" s="54" t="s">
        <v>324</v>
      </c>
      <c r="D30" s="54"/>
      <c r="E30" s="54" t="s">
        <v>283</v>
      </c>
      <c r="F30" s="54" t="s">
        <v>1008</v>
      </c>
      <c r="G30" s="54" t="s">
        <v>1008</v>
      </c>
      <c r="H30" s="54"/>
      <c r="I30" s="54"/>
      <c r="J30" s="54" t="s">
        <v>1008</v>
      </c>
      <c r="K30" s="54" t="s">
        <v>324</v>
      </c>
      <c r="L30" s="54"/>
      <c r="M30" s="54"/>
      <c r="P30" s="188" t="s">
        <v>614</v>
      </c>
      <c r="Q30" s="188"/>
      <c r="R30" s="188"/>
      <c r="S30" s="188"/>
      <c r="T30" s="54"/>
      <c r="V30" s="54"/>
      <c r="W30" s="54"/>
      <c r="AF30" s="54"/>
      <c r="AG30" s="54" t="s">
        <v>227</v>
      </c>
      <c r="AH30" s="54" t="s">
        <v>324</v>
      </c>
    </row>
    <row r="31" spans="1:63" ht="15.75" customHeight="1" x14ac:dyDescent="0.25">
      <c r="A31" s="26" t="s">
        <v>1104</v>
      </c>
      <c r="C31" s="54" t="s">
        <v>324</v>
      </c>
      <c r="D31" s="54"/>
      <c r="E31" s="54" t="s">
        <v>283</v>
      </c>
      <c r="F31" s="54" t="s">
        <v>283</v>
      </c>
      <c r="G31" s="188" t="s">
        <v>341</v>
      </c>
      <c r="H31" s="188"/>
      <c r="I31" s="188"/>
      <c r="J31" s="26" t="s">
        <v>1021</v>
      </c>
      <c r="K31" s="26" t="s">
        <v>1021</v>
      </c>
      <c r="N31" s="26" t="s">
        <v>1021</v>
      </c>
      <c r="P31" s="26" t="s">
        <v>1021</v>
      </c>
      <c r="AA31" s="26" t="s">
        <v>1021</v>
      </c>
    </row>
    <row r="32" spans="1:6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A5B58-F4B6-47B4-A4AB-5F8D9AD8CE9E}">
  <dimension ref="A1:AY32"/>
  <sheetViews>
    <sheetView workbookViewId="0">
      <selection activeCell="B7" sqref="B7"/>
    </sheetView>
  </sheetViews>
  <sheetFormatPr defaultColWidth="9.140625" defaultRowHeight="15" x14ac:dyDescent="0.25"/>
  <cols>
    <col min="1" max="1" width="26.7109375" style="26" customWidth="1"/>
    <col min="2" max="60" width="5.7109375" style="26" customWidth="1"/>
    <col min="61" max="16384" width="9.140625" style="26"/>
  </cols>
  <sheetData>
    <row r="1" spans="1:51" x14ac:dyDescent="0.25">
      <c r="A1" s="25" t="s">
        <v>116</v>
      </c>
      <c r="D1" s="25" t="s">
        <v>895</v>
      </c>
      <c r="I1" s="25" t="s">
        <v>896</v>
      </c>
    </row>
    <row r="3" spans="1:51" ht="18" x14ac:dyDescent="0.25">
      <c r="A3" s="25" t="s">
        <v>119</v>
      </c>
      <c r="B3" s="215">
        <v>74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51" ht="18" x14ac:dyDescent="0.25">
      <c r="A4" s="25" t="s">
        <v>121</v>
      </c>
      <c r="B4" s="215" t="s">
        <v>1085</v>
      </c>
      <c r="C4" s="215"/>
      <c r="D4" s="215"/>
      <c r="F4" s="216" t="s">
        <v>1105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51" ht="18" x14ac:dyDescent="0.25">
      <c r="A5" s="25" t="s">
        <v>124</v>
      </c>
      <c r="B5" s="215" t="s">
        <v>1106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51" ht="45" x14ac:dyDescent="0.25">
      <c r="A7" s="27" t="s">
        <v>126</v>
      </c>
      <c r="B7" s="57" t="s">
        <v>17</v>
      </c>
      <c r="C7" s="58" t="s">
        <v>127</v>
      </c>
      <c r="D7" s="58" t="s">
        <v>128</v>
      </c>
      <c r="E7" s="59" t="s">
        <v>129</v>
      </c>
      <c r="F7" s="60" t="s">
        <v>130</v>
      </c>
      <c r="G7" s="61" t="s">
        <v>131</v>
      </c>
      <c r="H7" s="61" t="s">
        <v>132</v>
      </c>
      <c r="I7" s="62" t="s">
        <v>133</v>
      </c>
      <c r="J7" s="63" t="s">
        <v>134</v>
      </c>
      <c r="K7" s="64" t="s">
        <v>135</v>
      </c>
      <c r="L7" s="64" t="s">
        <v>136</v>
      </c>
      <c r="M7" s="64" t="s">
        <v>137</v>
      </c>
      <c r="N7" s="65" t="s">
        <v>138</v>
      </c>
      <c r="O7" s="65" t="s">
        <v>139</v>
      </c>
      <c r="P7" s="67" t="s">
        <v>140</v>
      </c>
      <c r="Q7" s="67" t="s">
        <v>141</v>
      </c>
      <c r="R7" s="66" t="s">
        <v>142</v>
      </c>
      <c r="S7" s="68" t="s">
        <v>143</v>
      </c>
      <c r="T7" s="69" t="s">
        <v>144</v>
      </c>
      <c r="U7" s="69" t="s">
        <v>145</v>
      </c>
      <c r="V7" s="70" t="s">
        <v>146</v>
      </c>
      <c r="W7" s="70" t="s">
        <v>147</v>
      </c>
      <c r="X7" s="71" t="s">
        <v>148</v>
      </c>
      <c r="Y7" s="71" t="s">
        <v>149</v>
      </c>
      <c r="Z7" s="72" t="s">
        <v>150</v>
      </c>
      <c r="AA7" s="72" t="s">
        <v>151</v>
      </c>
      <c r="AB7" s="73" t="s">
        <v>152</v>
      </c>
      <c r="AC7" s="73" t="s">
        <v>153</v>
      </c>
      <c r="AD7" s="73" t="s">
        <v>154</v>
      </c>
      <c r="AE7" s="74" t="s">
        <v>155</v>
      </c>
      <c r="AF7" s="75" t="s">
        <v>156</v>
      </c>
      <c r="AG7" s="76" t="s">
        <v>157</v>
      </c>
      <c r="AH7" s="76" t="s">
        <v>158</v>
      </c>
      <c r="AJ7" s="58" t="s">
        <v>127</v>
      </c>
      <c r="AK7" s="58" t="s">
        <v>128</v>
      </c>
      <c r="AL7" s="59" t="s">
        <v>129</v>
      </c>
      <c r="AM7" s="60" t="s">
        <v>130</v>
      </c>
      <c r="AN7" s="61" t="s">
        <v>131</v>
      </c>
      <c r="AO7" s="61" t="s">
        <v>132</v>
      </c>
      <c r="AP7" s="62" t="s">
        <v>133</v>
      </c>
      <c r="AQ7" s="63" t="s">
        <v>134</v>
      </c>
      <c r="AR7" s="64" t="s">
        <v>135</v>
      </c>
      <c r="AS7" s="64" t="s">
        <v>136</v>
      </c>
      <c r="AT7" s="64" t="s">
        <v>137</v>
      </c>
      <c r="AU7" s="65" t="s">
        <v>138</v>
      </c>
      <c r="AV7" s="65" t="s">
        <v>139</v>
      </c>
      <c r="AW7" s="68" t="s">
        <v>143</v>
      </c>
      <c r="AX7" s="69" t="s">
        <v>144</v>
      </c>
      <c r="AY7" s="69" t="s">
        <v>145</v>
      </c>
    </row>
    <row r="8" spans="1:51" x14ac:dyDescent="0.25">
      <c r="A8" s="26" t="s">
        <v>159</v>
      </c>
      <c r="B8" s="28" t="s">
        <v>509</v>
      </c>
      <c r="C8" s="28" t="s">
        <v>942</v>
      </c>
      <c r="D8" s="28" t="s">
        <v>942</v>
      </c>
      <c r="E8" s="28" t="s">
        <v>942</v>
      </c>
      <c r="F8" s="80" t="s">
        <v>341</v>
      </c>
      <c r="G8" s="80" t="s">
        <v>341</v>
      </c>
      <c r="H8" s="80" t="s">
        <v>341</v>
      </c>
      <c r="I8" s="80" t="s">
        <v>341</v>
      </c>
      <c r="J8" s="28" t="s">
        <v>942</v>
      </c>
      <c r="K8" s="28" t="s">
        <v>942</v>
      </c>
      <c r="L8" s="28" t="s">
        <v>942</v>
      </c>
      <c r="M8" s="28" t="s">
        <v>942</v>
      </c>
      <c r="N8" s="28" t="s">
        <v>556</v>
      </c>
      <c r="O8" s="28" t="s">
        <v>556</v>
      </c>
      <c r="P8" s="28" t="s">
        <v>942</v>
      </c>
      <c r="Q8" s="28" t="s">
        <v>942</v>
      </c>
      <c r="R8" s="28" t="s">
        <v>942</v>
      </c>
      <c r="S8" s="28" t="s">
        <v>942</v>
      </c>
      <c r="T8" s="28" t="s">
        <v>942</v>
      </c>
      <c r="U8" s="28"/>
      <c r="V8" s="28"/>
      <c r="W8" s="28"/>
      <c r="X8" s="28"/>
      <c r="Y8" s="28"/>
      <c r="Z8" s="28"/>
      <c r="AA8" s="28" t="s">
        <v>1088</v>
      </c>
      <c r="AB8" s="28"/>
      <c r="AC8" s="28"/>
      <c r="AD8" s="28"/>
      <c r="AE8" s="28"/>
      <c r="AF8" s="28"/>
      <c r="AG8" s="28"/>
      <c r="AH8" s="28" t="s">
        <v>556</v>
      </c>
      <c r="AJ8" s="28" t="s">
        <v>322</v>
      </c>
      <c r="AK8" s="28" t="s">
        <v>322</v>
      </c>
      <c r="AL8" s="28" t="s">
        <v>316</v>
      </c>
      <c r="AM8" s="28" t="s">
        <v>1089</v>
      </c>
      <c r="AN8" s="28" t="s">
        <v>317</v>
      </c>
      <c r="AO8" s="28" t="s">
        <v>317</v>
      </c>
      <c r="AP8" s="28" t="s">
        <v>317</v>
      </c>
      <c r="AQ8" s="28" t="s">
        <v>317</v>
      </c>
      <c r="AR8" s="28" t="s">
        <v>322</v>
      </c>
      <c r="AS8" s="28" t="s">
        <v>322</v>
      </c>
      <c r="AT8" s="28" t="s">
        <v>322</v>
      </c>
      <c r="AU8" s="28" t="s">
        <v>350</v>
      </c>
      <c r="AV8" s="28" t="s">
        <v>350</v>
      </c>
      <c r="AW8" s="28"/>
      <c r="AX8" s="28"/>
      <c r="AY8" s="28"/>
    </row>
    <row r="9" spans="1:51" ht="15.75" customHeight="1" x14ac:dyDescent="0.25">
      <c r="A9" s="26" t="s">
        <v>165</v>
      </c>
      <c r="B9" s="28" t="s">
        <v>1090</v>
      </c>
      <c r="C9" s="28" t="s">
        <v>614</v>
      </c>
      <c r="D9" s="28" t="s">
        <v>614</v>
      </c>
      <c r="E9" s="28" t="s">
        <v>614</v>
      </c>
      <c r="F9" s="80" t="s">
        <v>341</v>
      </c>
      <c r="G9" s="80" t="s">
        <v>341</v>
      </c>
      <c r="H9" s="80" t="s">
        <v>341</v>
      </c>
      <c r="I9" s="80" t="s">
        <v>341</v>
      </c>
      <c r="J9" s="28" t="s">
        <v>614</v>
      </c>
      <c r="K9" s="28" t="s">
        <v>614</v>
      </c>
      <c r="L9" s="28" t="s">
        <v>614</v>
      </c>
      <c r="M9" s="28" t="s">
        <v>614</v>
      </c>
      <c r="N9" s="28" t="s">
        <v>322</v>
      </c>
      <c r="O9" s="28" t="s">
        <v>322</v>
      </c>
      <c r="P9" s="28" t="s">
        <v>614</v>
      </c>
      <c r="Q9" s="28" t="s">
        <v>614</v>
      </c>
      <c r="R9" s="28" t="s">
        <v>614</v>
      </c>
      <c r="S9" s="28" t="s">
        <v>614</v>
      </c>
      <c r="T9" s="28" t="s">
        <v>614</v>
      </c>
      <c r="U9" s="28"/>
      <c r="V9" s="28"/>
      <c r="W9" s="28"/>
      <c r="X9" s="28"/>
      <c r="Y9" s="28"/>
      <c r="Z9" s="28"/>
      <c r="AA9" s="28" t="s">
        <v>1009</v>
      </c>
      <c r="AB9" s="28"/>
      <c r="AC9" s="28"/>
      <c r="AD9" s="28"/>
      <c r="AE9" s="28"/>
      <c r="AF9" s="28"/>
      <c r="AG9" s="28"/>
      <c r="AH9" s="28" t="s">
        <v>322</v>
      </c>
      <c r="AJ9" s="28" t="s">
        <v>324</v>
      </c>
      <c r="AK9" s="28" t="s">
        <v>324</v>
      </c>
      <c r="AL9" s="28" t="s">
        <v>283</v>
      </c>
      <c r="AM9" s="28" t="s">
        <v>1091</v>
      </c>
      <c r="AN9" s="28" t="s">
        <v>1008</v>
      </c>
      <c r="AO9" s="28" t="s">
        <v>1008</v>
      </c>
      <c r="AP9" s="28" t="s">
        <v>1008</v>
      </c>
      <c r="AQ9" s="28" t="s">
        <v>1008</v>
      </c>
      <c r="AR9" s="28" t="s">
        <v>324</v>
      </c>
      <c r="AS9" s="28" t="s">
        <v>227</v>
      </c>
      <c r="AT9" s="28" t="s">
        <v>324</v>
      </c>
      <c r="AU9" s="115" t="s">
        <v>326</v>
      </c>
      <c r="AV9" s="28" t="s">
        <v>324</v>
      </c>
      <c r="AW9" s="28"/>
      <c r="AX9" s="28"/>
      <c r="AY9" s="28"/>
    </row>
    <row r="10" spans="1:51" ht="15.75" customHeight="1" x14ac:dyDescent="0.25">
      <c r="A10" s="131" t="s">
        <v>168</v>
      </c>
      <c r="B10" s="157">
        <v>251</v>
      </c>
      <c r="C10" s="157">
        <v>151</v>
      </c>
      <c r="D10" s="157">
        <v>151</v>
      </c>
      <c r="E10" s="157">
        <v>151</v>
      </c>
      <c r="F10" s="198"/>
      <c r="G10" s="198"/>
      <c r="H10" s="198"/>
      <c r="I10" s="198"/>
      <c r="J10" s="157">
        <v>151</v>
      </c>
      <c r="K10" s="157">
        <v>151</v>
      </c>
      <c r="L10" s="157">
        <v>151</v>
      </c>
      <c r="M10" s="157">
        <v>151</v>
      </c>
      <c r="N10" s="157">
        <v>98</v>
      </c>
      <c r="O10" s="157">
        <v>98</v>
      </c>
      <c r="P10" s="157">
        <v>151</v>
      </c>
      <c r="Q10" s="157">
        <v>151</v>
      </c>
      <c r="R10" s="157">
        <v>151</v>
      </c>
      <c r="S10" s="157">
        <v>151</v>
      </c>
      <c r="T10" s="157">
        <v>151</v>
      </c>
      <c r="U10" s="157"/>
      <c r="V10" s="157"/>
      <c r="W10" s="157"/>
      <c r="X10" s="157"/>
      <c r="Y10" s="157"/>
      <c r="Z10" s="157"/>
      <c r="AA10" s="157">
        <v>187</v>
      </c>
      <c r="AB10" s="157"/>
      <c r="AC10" s="157"/>
      <c r="AD10" s="157"/>
      <c r="AE10" s="157"/>
      <c r="AF10" s="157"/>
      <c r="AG10" s="157"/>
      <c r="AH10" s="157">
        <v>98</v>
      </c>
      <c r="AJ10" s="157">
        <v>57</v>
      </c>
      <c r="AK10" s="157">
        <v>57</v>
      </c>
      <c r="AL10" s="157">
        <v>56</v>
      </c>
      <c r="AM10" s="157">
        <v>193</v>
      </c>
      <c r="AN10" s="157">
        <v>61</v>
      </c>
      <c r="AO10" s="157">
        <v>61</v>
      </c>
      <c r="AP10" s="157">
        <v>61</v>
      </c>
      <c r="AQ10" s="157">
        <v>61</v>
      </c>
      <c r="AR10" s="157">
        <v>57</v>
      </c>
      <c r="AS10" s="157">
        <v>35</v>
      </c>
      <c r="AT10" s="157">
        <v>57</v>
      </c>
      <c r="AU10" s="157">
        <v>194</v>
      </c>
      <c r="AV10" s="157">
        <v>57</v>
      </c>
      <c r="AW10" s="157"/>
      <c r="AX10" s="157"/>
      <c r="AY10" s="157"/>
    </row>
    <row r="11" spans="1:51" x14ac:dyDescent="0.25">
      <c r="A11" s="26" t="s">
        <v>169</v>
      </c>
      <c r="B11" s="28" t="s">
        <v>170</v>
      </c>
      <c r="C11" s="28" t="s">
        <v>266</v>
      </c>
      <c r="D11" s="28" t="s">
        <v>266</v>
      </c>
      <c r="E11" s="28" t="s">
        <v>266</v>
      </c>
      <c r="F11" s="80" t="s">
        <v>173</v>
      </c>
      <c r="G11" s="80" t="s">
        <v>173</v>
      </c>
      <c r="H11" s="80" t="s">
        <v>173</v>
      </c>
      <c r="I11" s="80" t="s">
        <v>173</v>
      </c>
      <c r="J11" s="28" t="s">
        <v>266</v>
      </c>
      <c r="K11" s="28" t="s">
        <v>266</v>
      </c>
      <c r="L11" s="28" t="s">
        <v>266</v>
      </c>
      <c r="M11" s="28" t="s">
        <v>266</v>
      </c>
      <c r="N11" s="28" t="s">
        <v>170</v>
      </c>
      <c r="O11" s="28" t="s">
        <v>170</v>
      </c>
      <c r="P11" s="28" t="s">
        <v>266</v>
      </c>
      <c r="Q11" s="28" t="s">
        <v>266</v>
      </c>
      <c r="R11" s="28" t="s">
        <v>266</v>
      </c>
      <c r="S11" s="28" t="s">
        <v>266</v>
      </c>
      <c r="T11" s="28" t="s">
        <v>266</v>
      </c>
      <c r="U11" s="28"/>
      <c r="V11" s="28"/>
      <c r="W11" s="28"/>
      <c r="X11" s="28"/>
      <c r="Y11" s="28"/>
      <c r="Z11" s="28"/>
      <c r="AA11" s="28" t="s">
        <v>170</v>
      </c>
      <c r="AB11" s="28"/>
      <c r="AC11" s="28"/>
      <c r="AD11" s="28"/>
      <c r="AE11" s="28"/>
      <c r="AF11" s="28"/>
      <c r="AG11" s="28"/>
      <c r="AH11" s="28" t="s">
        <v>170</v>
      </c>
      <c r="AJ11" s="28" t="s">
        <v>170</v>
      </c>
      <c r="AK11" s="28" t="s">
        <v>170</v>
      </c>
      <c r="AL11" s="28" t="s">
        <v>170</v>
      </c>
      <c r="AM11" s="28" t="s">
        <v>170</v>
      </c>
      <c r="AN11" s="28" t="s">
        <v>170</v>
      </c>
      <c r="AO11" s="28" t="s">
        <v>170</v>
      </c>
      <c r="AP11" s="28" t="s">
        <v>170</v>
      </c>
      <c r="AQ11" s="28" t="s">
        <v>170</v>
      </c>
      <c r="AR11" s="28" t="s">
        <v>170</v>
      </c>
      <c r="AS11" s="28" t="s">
        <v>170</v>
      </c>
      <c r="AT11" s="28" t="s">
        <v>170</v>
      </c>
      <c r="AU11" s="28" t="s">
        <v>170</v>
      </c>
      <c r="AV11" s="28" t="s">
        <v>170</v>
      </c>
      <c r="AW11" s="28"/>
      <c r="AX11" s="28"/>
      <c r="AY11" s="28"/>
    </row>
    <row r="12" spans="1:51" x14ac:dyDescent="0.25">
      <c r="A12" s="26" t="s">
        <v>171</v>
      </c>
      <c r="B12" s="29" t="s">
        <v>170</v>
      </c>
      <c r="C12" s="29" t="s">
        <v>266</v>
      </c>
      <c r="D12" s="29" t="s">
        <v>266</v>
      </c>
      <c r="E12" s="29" t="s">
        <v>266</v>
      </c>
      <c r="F12" s="80" t="s">
        <v>173</v>
      </c>
      <c r="G12" s="80" t="s">
        <v>173</v>
      </c>
      <c r="H12" s="80" t="s">
        <v>173</v>
      </c>
      <c r="I12" s="80" t="s">
        <v>173</v>
      </c>
      <c r="J12" s="29" t="s">
        <v>266</v>
      </c>
      <c r="K12" s="29" t="s">
        <v>266</v>
      </c>
      <c r="L12" s="29" t="s">
        <v>266</v>
      </c>
      <c r="M12" s="29" t="s">
        <v>266</v>
      </c>
      <c r="N12" s="29" t="s">
        <v>170</v>
      </c>
      <c r="O12" s="29" t="s">
        <v>170</v>
      </c>
      <c r="P12" s="29" t="s">
        <v>266</v>
      </c>
      <c r="Q12" s="29" t="s">
        <v>266</v>
      </c>
      <c r="R12" s="29" t="s">
        <v>266</v>
      </c>
      <c r="S12" s="29" t="s">
        <v>266</v>
      </c>
      <c r="T12" s="29" t="s">
        <v>266</v>
      </c>
      <c r="U12" s="29"/>
      <c r="V12" s="29"/>
      <c r="W12" s="29"/>
      <c r="X12" s="29"/>
      <c r="Y12" s="29"/>
      <c r="Z12" s="29"/>
      <c r="AA12" s="29" t="s">
        <v>170</v>
      </c>
      <c r="AB12" s="29"/>
      <c r="AC12" s="29"/>
      <c r="AD12" s="29"/>
      <c r="AE12" s="29"/>
      <c r="AF12" s="29"/>
      <c r="AG12" s="29"/>
      <c r="AH12" s="29" t="s">
        <v>170</v>
      </c>
      <c r="AJ12" s="28" t="s">
        <v>170</v>
      </c>
      <c r="AK12" s="28" t="s">
        <v>170</v>
      </c>
      <c r="AL12" s="28" t="s">
        <v>173</v>
      </c>
      <c r="AM12" s="28" t="s">
        <v>266</v>
      </c>
      <c r="AN12" s="28" t="s">
        <v>170</v>
      </c>
      <c r="AO12" s="28" t="s">
        <v>170</v>
      </c>
      <c r="AP12" s="28" t="s">
        <v>170</v>
      </c>
      <c r="AQ12" s="28" t="s">
        <v>170</v>
      </c>
      <c r="AR12" s="28" t="s">
        <v>170</v>
      </c>
      <c r="AS12" s="28" t="s">
        <v>170</v>
      </c>
      <c r="AT12" s="28" t="s">
        <v>170</v>
      </c>
      <c r="AU12" s="28" t="s">
        <v>170</v>
      </c>
      <c r="AV12" s="28" t="s">
        <v>170</v>
      </c>
      <c r="AW12" s="28"/>
      <c r="AX12" s="28"/>
      <c r="AY12" s="28"/>
    </row>
    <row r="13" spans="1:51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80" t="s">
        <v>173</v>
      </c>
      <c r="G13" s="80" t="s">
        <v>173</v>
      </c>
      <c r="H13" s="80" t="s">
        <v>173</v>
      </c>
      <c r="I13" s="80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 t="s">
        <v>173</v>
      </c>
      <c r="S13" s="28" t="s">
        <v>173</v>
      </c>
      <c r="T13" s="28" t="s">
        <v>173</v>
      </c>
      <c r="U13" s="28"/>
      <c r="V13" s="28"/>
      <c r="W13" s="28"/>
      <c r="X13" s="28"/>
      <c r="Y13" s="28"/>
      <c r="Z13" s="28"/>
      <c r="AA13" s="28" t="s">
        <v>170</v>
      </c>
      <c r="AB13" s="28"/>
      <c r="AC13" s="28"/>
      <c r="AD13" s="28"/>
      <c r="AE13" s="28"/>
      <c r="AF13" s="28"/>
      <c r="AG13" s="28"/>
      <c r="AH13" s="28" t="s">
        <v>173</v>
      </c>
      <c r="AJ13" s="29" t="s">
        <v>170</v>
      </c>
      <c r="AK13" s="29" t="s">
        <v>170</v>
      </c>
      <c r="AL13" s="29" t="s">
        <v>170</v>
      </c>
      <c r="AM13" s="29" t="s">
        <v>287</v>
      </c>
      <c r="AN13" s="29" t="s">
        <v>173</v>
      </c>
      <c r="AO13" s="29" t="s">
        <v>173</v>
      </c>
      <c r="AP13" s="29" t="s">
        <v>173</v>
      </c>
      <c r="AQ13" s="29" t="s">
        <v>173</v>
      </c>
      <c r="AR13" s="29" t="s">
        <v>170</v>
      </c>
      <c r="AS13" s="29" t="s">
        <v>170</v>
      </c>
      <c r="AT13" s="29" t="s">
        <v>170</v>
      </c>
      <c r="AU13" s="29" t="s">
        <v>170</v>
      </c>
      <c r="AV13" s="29" t="s">
        <v>170</v>
      </c>
      <c r="AW13" s="29"/>
      <c r="AX13" s="29"/>
      <c r="AY13" s="29"/>
    </row>
    <row r="14" spans="1:51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80" t="s">
        <v>173</v>
      </c>
      <c r="G14" s="80" t="s">
        <v>173</v>
      </c>
      <c r="H14" s="80" t="s">
        <v>173</v>
      </c>
      <c r="I14" s="80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 t="s">
        <v>173</v>
      </c>
      <c r="U14" s="28"/>
      <c r="V14" s="28"/>
      <c r="W14" s="28"/>
      <c r="X14" s="28"/>
      <c r="Y14" s="28"/>
      <c r="Z14" s="28"/>
      <c r="AA14" s="28" t="s">
        <v>173</v>
      </c>
      <c r="AB14" s="28"/>
      <c r="AC14" s="28"/>
      <c r="AD14" s="28"/>
      <c r="AE14" s="28"/>
      <c r="AF14" s="28"/>
      <c r="AG14" s="28"/>
      <c r="AH14" s="28" t="s">
        <v>173</v>
      </c>
      <c r="AJ14" s="28" t="s">
        <v>173</v>
      </c>
      <c r="AK14" s="28" t="s">
        <v>173</v>
      </c>
      <c r="AL14" s="28" t="s">
        <v>173</v>
      </c>
      <c r="AM14" s="28" t="s">
        <v>173</v>
      </c>
      <c r="AN14" s="28" t="s">
        <v>173</v>
      </c>
      <c r="AO14" s="28" t="s">
        <v>173</v>
      </c>
      <c r="AP14" s="28" t="s">
        <v>173</v>
      </c>
      <c r="AQ14" s="28" t="s">
        <v>173</v>
      </c>
      <c r="AR14" s="28" t="s">
        <v>173</v>
      </c>
      <c r="AS14" s="28" t="s">
        <v>173</v>
      </c>
      <c r="AT14" s="28" t="s">
        <v>173</v>
      </c>
      <c r="AU14" s="28" t="s">
        <v>173</v>
      </c>
      <c r="AV14" s="28" t="s">
        <v>173</v>
      </c>
      <c r="AW14" s="28"/>
      <c r="AX14" s="28"/>
      <c r="AY14" s="28"/>
    </row>
    <row r="15" spans="1:51" x14ac:dyDescent="0.25">
      <c r="A15" s="26" t="s">
        <v>175</v>
      </c>
      <c r="B15" s="28" t="s">
        <v>199</v>
      </c>
      <c r="C15" s="28" t="s">
        <v>199</v>
      </c>
      <c r="D15" s="28" t="s">
        <v>199</v>
      </c>
      <c r="E15" s="28" t="s">
        <v>199</v>
      </c>
      <c r="F15" s="81" t="s">
        <v>199</v>
      </c>
      <c r="G15" s="81" t="s">
        <v>199</v>
      </c>
      <c r="H15" s="81" t="s">
        <v>199</v>
      </c>
      <c r="I15" s="81" t="s">
        <v>199</v>
      </c>
      <c r="J15" s="28" t="s">
        <v>199</v>
      </c>
      <c r="K15" s="28" t="s">
        <v>199</v>
      </c>
      <c r="L15" s="28" t="s">
        <v>199</v>
      </c>
      <c r="M15" s="28" t="s">
        <v>199</v>
      </c>
      <c r="N15" s="28" t="s">
        <v>199</v>
      </c>
      <c r="O15" s="28" t="s">
        <v>199</v>
      </c>
      <c r="P15" s="28" t="s">
        <v>199</v>
      </c>
      <c r="Q15" s="28" t="s">
        <v>199</v>
      </c>
      <c r="R15" s="28" t="s">
        <v>199</v>
      </c>
      <c r="S15" s="28" t="s">
        <v>199</v>
      </c>
      <c r="T15" s="28" t="s">
        <v>199</v>
      </c>
      <c r="U15" s="28"/>
      <c r="V15" s="28"/>
      <c r="W15" s="28"/>
      <c r="X15" s="28"/>
      <c r="Y15" s="28"/>
      <c r="Z15" s="28"/>
      <c r="AA15" s="28" t="s">
        <v>199</v>
      </c>
      <c r="AB15" s="28"/>
      <c r="AC15" s="28"/>
      <c r="AD15" s="28"/>
      <c r="AE15" s="28"/>
      <c r="AF15" s="28"/>
      <c r="AG15" s="28"/>
      <c r="AH15" s="28" t="s">
        <v>199</v>
      </c>
      <c r="AJ15" s="28" t="s">
        <v>199</v>
      </c>
      <c r="AK15" s="28" t="s">
        <v>199</v>
      </c>
      <c r="AL15" s="28" t="s">
        <v>199</v>
      </c>
      <c r="AM15" s="28" t="s">
        <v>199</v>
      </c>
      <c r="AN15" s="28" t="s">
        <v>199</v>
      </c>
      <c r="AO15" s="28" t="s">
        <v>199</v>
      </c>
      <c r="AP15" s="28" t="s">
        <v>199</v>
      </c>
      <c r="AQ15" s="28" t="s">
        <v>199</v>
      </c>
      <c r="AR15" s="28" t="s">
        <v>199</v>
      </c>
      <c r="AS15" s="28" t="s">
        <v>199</v>
      </c>
      <c r="AT15" s="28" t="s">
        <v>199</v>
      </c>
      <c r="AU15" s="28" t="s">
        <v>333</v>
      </c>
      <c r="AV15" s="28" t="s">
        <v>199</v>
      </c>
      <c r="AW15" s="28"/>
      <c r="AX15" s="28"/>
      <c r="AY15" s="28"/>
    </row>
    <row r="16" spans="1:51" x14ac:dyDescent="0.25">
      <c r="A16" s="26" t="s">
        <v>176</v>
      </c>
      <c r="B16" s="30">
        <v>-2</v>
      </c>
      <c r="C16" s="30">
        <v>-2</v>
      </c>
      <c r="D16" s="30">
        <v>-2</v>
      </c>
      <c r="E16" s="30">
        <v>-2</v>
      </c>
      <c r="F16" s="82">
        <v>-2</v>
      </c>
      <c r="G16" s="82">
        <v>-2</v>
      </c>
      <c r="H16" s="82">
        <v>-2</v>
      </c>
      <c r="I16" s="82">
        <v>-2</v>
      </c>
      <c r="J16" s="30">
        <v>-2</v>
      </c>
      <c r="K16" s="30">
        <v>-2</v>
      </c>
      <c r="L16" s="30">
        <v>-2</v>
      </c>
      <c r="M16" s="30">
        <v>-2</v>
      </c>
      <c r="N16" s="30">
        <v>-2</v>
      </c>
      <c r="O16" s="30">
        <v>-2</v>
      </c>
      <c r="P16" s="30">
        <v>-2</v>
      </c>
      <c r="Q16" s="30">
        <v>-2</v>
      </c>
      <c r="R16" s="30">
        <v>-2</v>
      </c>
      <c r="S16" s="30">
        <v>-2</v>
      </c>
      <c r="T16" s="102">
        <v>-2</v>
      </c>
      <c r="U16" s="30"/>
      <c r="V16" s="30"/>
      <c r="W16" s="30"/>
      <c r="X16" s="30"/>
      <c r="Y16" s="30"/>
      <c r="Z16" s="30"/>
      <c r="AA16" s="30">
        <v>-0.5</v>
      </c>
      <c r="AB16" s="30"/>
      <c r="AC16" s="30"/>
      <c r="AD16" s="30"/>
      <c r="AE16" s="30"/>
      <c r="AF16" s="30"/>
      <c r="AG16" s="30"/>
      <c r="AH16" s="30">
        <v>-2</v>
      </c>
      <c r="AJ16" s="30">
        <v>-0.5</v>
      </c>
      <c r="AK16" s="30">
        <v>-0.5</v>
      </c>
      <c r="AL16" s="30">
        <v>-0.5</v>
      </c>
      <c r="AM16" s="30">
        <f>AVERAGE(-2,-0.5)</f>
        <v>-1.25</v>
      </c>
      <c r="AN16" s="30">
        <v>-2</v>
      </c>
      <c r="AO16" s="30">
        <v>-2</v>
      </c>
      <c r="AP16" s="30">
        <v>-2</v>
      </c>
      <c r="AQ16" s="30">
        <v>-2</v>
      </c>
      <c r="AR16" s="30">
        <v>-0.5</v>
      </c>
      <c r="AS16" s="30">
        <v>-0.5</v>
      </c>
      <c r="AT16" s="30">
        <v>-0.5</v>
      </c>
      <c r="AU16" s="30">
        <f>AVERAGE(-0.5,-0.5,0.5)</f>
        <v>-0.16666666666666666</v>
      </c>
      <c r="AV16" s="30">
        <v>-0.5</v>
      </c>
      <c r="AW16" s="30"/>
      <c r="AX16" s="30"/>
      <c r="AY16" s="30"/>
    </row>
    <row r="17" spans="1:51" ht="15.75" customHeight="1" x14ac:dyDescent="0.25">
      <c r="A17" s="26" t="s">
        <v>177</v>
      </c>
      <c r="B17" s="28" t="s">
        <v>1092</v>
      </c>
      <c r="C17" s="29" t="s">
        <v>537</v>
      </c>
      <c r="D17" s="29" t="s">
        <v>537</v>
      </c>
      <c r="E17" s="29" t="s">
        <v>537</v>
      </c>
      <c r="F17" s="81" t="s">
        <v>341</v>
      </c>
      <c r="G17" s="81" t="s">
        <v>341</v>
      </c>
      <c r="H17" s="81" t="s">
        <v>341</v>
      </c>
      <c r="I17" s="81" t="s">
        <v>341</v>
      </c>
      <c r="J17" s="29" t="s">
        <v>537</v>
      </c>
      <c r="K17" s="29" t="s">
        <v>537</v>
      </c>
      <c r="L17" s="29" t="s">
        <v>537</v>
      </c>
      <c r="M17" s="29" t="s">
        <v>537</v>
      </c>
      <c r="N17" s="28" t="s">
        <v>334</v>
      </c>
      <c r="O17" s="28" t="s">
        <v>334</v>
      </c>
      <c r="P17" s="29" t="s">
        <v>537</v>
      </c>
      <c r="Q17" s="29" t="s">
        <v>537</v>
      </c>
      <c r="R17" s="29" t="s">
        <v>537</v>
      </c>
      <c r="S17" s="91" t="s">
        <v>537</v>
      </c>
      <c r="T17" s="28" t="s">
        <v>537</v>
      </c>
      <c r="U17" s="83"/>
      <c r="V17" s="28"/>
      <c r="W17" s="28"/>
      <c r="X17" s="28"/>
      <c r="Y17" s="28"/>
      <c r="Z17" s="28"/>
      <c r="AA17" s="28" t="s">
        <v>1012</v>
      </c>
      <c r="AB17" s="28"/>
      <c r="AC17" s="28"/>
      <c r="AD17" s="28"/>
      <c r="AE17" s="28"/>
      <c r="AF17" s="28"/>
      <c r="AG17" s="28"/>
      <c r="AH17" s="28" t="s">
        <v>334</v>
      </c>
      <c r="AJ17" s="28" t="s">
        <v>181</v>
      </c>
      <c r="AK17" s="28" t="s">
        <v>181</v>
      </c>
      <c r="AL17" s="28" t="s">
        <v>181</v>
      </c>
      <c r="AM17" s="28" t="s">
        <v>181</v>
      </c>
      <c r="AN17" s="28" t="s">
        <v>181</v>
      </c>
      <c r="AO17" s="28" t="s">
        <v>181</v>
      </c>
      <c r="AP17" s="28" t="s">
        <v>181</v>
      </c>
      <c r="AQ17" s="28" t="s">
        <v>181</v>
      </c>
      <c r="AR17" s="28" t="s">
        <v>181</v>
      </c>
      <c r="AS17" s="28" t="s">
        <v>200</v>
      </c>
      <c r="AT17" s="28" t="s">
        <v>181</v>
      </c>
      <c r="AU17" s="28" t="s">
        <v>200</v>
      </c>
      <c r="AV17" s="28" t="s">
        <v>181</v>
      </c>
      <c r="AW17" s="28"/>
      <c r="AX17" s="28"/>
      <c r="AY17" s="28"/>
    </row>
    <row r="18" spans="1:51" x14ac:dyDescent="0.25">
      <c r="A18" s="26" t="s">
        <v>182</v>
      </c>
      <c r="B18" s="30">
        <f>1/3*1.25</f>
        <v>0.41666666666666663</v>
      </c>
      <c r="C18" s="30">
        <f>AVERAGE(1/3,0)</f>
        <v>0.16666666666666666</v>
      </c>
      <c r="D18" s="30">
        <f>AVERAGE(1/3,0)</f>
        <v>0.16666666666666666</v>
      </c>
      <c r="E18" s="30">
        <f>AVERAGE(1/3,0)</f>
        <v>0.16666666666666666</v>
      </c>
      <c r="F18" s="82">
        <v>0</v>
      </c>
      <c r="G18" s="82">
        <v>0</v>
      </c>
      <c r="H18" s="82">
        <v>0</v>
      </c>
      <c r="I18" s="82">
        <v>0</v>
      </c>
      <c r="J18" s="30">
        <f>AVERAGE(1/3,0)</f>
        <v>0.16666666666666666</v>
      </c>
      <c r="K18" s="30">
        <f t="shared" ref="K18:M18" si="0">AVERAGE(1/3,0)</f>
        <v>0.16666666666666666</v>
      </c>
      <c r="L18" s="30">
        <f t="shared" si="0"/>
        <v>0.16666666666666666</v>
      </c>
      <c r="M18" s="30">
        <f t="shared" si="0"/>
        <v>0.16666666666666666</v>
      </c>
      <c r="N18" s="30">
        <f>1/3</f>
        <v>0.33333333333333331</v>
      </c>
      <c r="O18" s="30">
        <f>1/3</f>
        <v>0.33333333333333331</v>
      </c>
      <c r="P18" s="30">
        <f t="shared" ref="P18:T18" si="1">AVERAGE(1/3,0)</f>
        <v>0.16666666666666666</v>
      </c>
      <c r="Q18" s="30">
        <f t="shared" si="1"/>
        <v>0.16666666666666666</v>
      </c>
      <c r="R18" s="30">
        <f t="shared" si="1"/>
        <v>0.16666666666666666</v>
      </c>
      <c r="S18" s="30">
        <f t="shared" si="1"/>
        <v>0.16666666666666666</v>
      </c>
      <c r="T18" s="120">
        <f t="shared" si="1"/>
        <v>0.16666666666666666</v>
      </c>
      <c r="U18" s="30"/>
      <c r="V18" s="30"/>
      <c r="W18" s="30"/>
      <c r="X18" s="30"/>
      <c r="Y18" s="30"/>
      <c r="Z18" s="30"/>
      <c r="AA18" s="30">
        <v>3.75</v>
      </c>
      <c r="AB18" s="30"/>
      <c r="AC18" s="30"/>
      <c r="AD18" s="30"/>
      <c r="AE18" s="30"/>
      <c r="AF18" s="30"/>
      <c r="AG18" s="30"/>
      <c r="AH18" s="30">
        <f>1/3</f>
        <v>0.33333333333333331</v>
      </c>
      <c r="AJ18" s="120">
        <v>2</v>
      </c>
      <c r="AK18" s="120">
        <v>2</v>
      </c>
      <c r="AL18" s="120">
        <v>2</v>
      </c>
      <c r="AM18" s="120">
        <v>2</v>
      </c>
      <c r="AN18" s="120">
        <v>2</v>
      </c>
      <c r="AO18" s="120">
        <v>2</v>
      </c>
      <c r="AP18" s="120">
        <v>2</v>
      </c>
      <c r="AQ18" s="120">
        <v>2</v>
      </c>
      <c r="AR18" s="120">
        <v>2</v>
      </c>
      <c r="AS18" s="120">
        <v>3</v>
      </c>
      <c r="AT18" s="120">
        <v>2</v>
      </c>
      <c r="AU18" s="120">
        <v>3</v>
      </c>
      <c r="AV18" s="120">
        <v>2</v>
      </c>
      <c r="AW18" s="120"/>
      <c r="AX18" s="120"/>
      <c r="AY18" s="120"/>
    </row>
    <row r="19" spans="1:51" ht="15.75" customHeight="1" x14ac:dyDescent="0.25">
      <c r="C19" s="125" t="s">
        <v>1107</v>
      </c>
      <c r="D19" s="125"/>
      <c r="E19" s="125"/>
      <c r="G19" s="125"/>
      <c r="H19" s="125"/>
      <c r="I19" s="125"/>
      <c r="K19" s="125"/>
      <c r="L19" s="125"/>
      <c r="M19" s="125"/>
      <c r="AA19" s="78"/>
      <c r="AJ19" s="127" t="s">
        <v>1108</v>
      </c>
      <c r="AN19" s="127"/>
      <c r="AO19" s="107"/>
      <c r="AP19" s="107"/>
    </row>
    <row r="20" spans="1:51" x14ac:dyDescent="0.25">
      <c r="A20" s="31" t="s">
        <v>183</v>
      </c>
    </row>
    <row r="21" spans="1:51" ht="35.25" customHeight="1" x14ac:dyDescent="0.25">
      <c r="A21" s="191" t="s">
        <v>1109</v>
      </c>
      <c r="B21" s="93"/>
    </row>
    <row r="22" spans="1:51" ht="35.25" customHeight="1" x14ac:dyDescent="0.25">
      <c r="A22" s="191" t="s">
        <v>1110</v>
      </c>
      <c r="B22" s="93"/>
    </row>
    <row r="24" spans="1:51" x14ac:dyDescent="0.25">
      <c r="A24" s="26" t="s">
        <v>681</v>
      </c>
    </row>
    <row r="25" spans="1:51" x14ac:dyDescent="0.25">
      <c r="A25" s="26" t="s">
        <v>1111</v>
      </c>
      <c r="C25" s="188" t="s">
        <v>614</v>
      </c>
      <c r="D25" s="188"/>
      <c r="G25" s="26" t="s">
        <v>1099</v>
      </c>
      <c r="K25" s="188"/>
      <c r="L25" s="188"/>
      <c r="M25" s="188"/>
      <c r="P25" s="188" t="s">
        <v>614</v>
      </c>
      <c r="Q25" s="188"/>
      <c r="R25" s="188"/>
      <c r="T25" s="54"/>
      <c r="U25" s="54"/>
      <c r="X25" s="188" t="s">
        <v>322</v>
      </c>
      <c r="Y25" s="188"/>
      <c r="AA25" s="54" t="s">
        <v>1009</v>
      </c>
      <c r="AE25" s="188" t="s">
        <v>322</v>
      </c>
      <c r="AF25" s="54"/>
    </row>
    <row r="26" spans="1:51" x14ac:dyDescent="0.25">
      <c r="A26" s="160" t="s">
        <v>1112</v>
      </c>
      <c r="C26" s="188"/>
      <c r="D26" s="188"/>
      <c r="G26" s="26" t="s">
        <v>1099</v>
      </c>
      <c r="N26" s="54" t="s">
        <v>227</v>
      </c>
      <c r="O26" s="54"/>
      <c r="P26" s="188" t="s">
        <v>614</v>
      </c>
      <c r="Q26" s="188"/>
      <c r="R26" s="188"/>
      <c r="S26" s="188"/>
      <c r="T26" s="54"/>
      <c r="X26" s="188"/>
      <c r="Y26" s="188"/>
      <c r="AA26" s="54"/>
      <c r="AE26" s="188"/>
      <c r="AF26" s="54"/>
    </row>
    <row r="27" spans="1:51" x14ac:dyDescent="0.25">
      <c r="A27" s="109" t="s">
        <v>1113</v>
      </c>
      <c r="C27" s="188" t="s">
        <v>322</v>
      </c>
      <c r="D27" s="188"/>
      <c r="E27" s="188"/>
      <c r="F27" s="54" t="s">
        <v>1008</v>
      </c>
      <c r="G27" s="54" t="s">
        <v>1008</v>
      </c>
      <c r="H27" s="54"/>
      <c r="I27" s="54"/>
      <c r="J27" s="54" t="s">
        <v>1008</v>
      </c>
      <c r="K27" s="26" t="s">
        <v>612</v>
      </c>
      <c r="L27" s="26" t="s">
        <v>612</v>
      </c>
      <c r="M27" s="26" t="s">
        <v>612</v>
      </c>
      <c r="N27" s="188" t="s">
        <v>322</v>
      </c>
      <c r="O27" s="188"/>
      <c r="P27" s="188" t="s">
        <v>614</v>
      </c>
      <c r="Q27" s="188"/>
      <c r="R27" s="188"/>
      <c r="S27" s="188"/>
      <c r="T27" s="54"/>
      <c r="U27" s="54"/>
      <c r="V27" s="54"/>
      <c r="W27" s="188"/>
      <c r="Z27" s="54"/>
      <c r="AA27" s="54" t="s">
        <v>1009</v>
      </c>
      <c r="AC27" s="188" t="s">
        <v>322</v>
      </c>
      <c r="AE27" s="188" t="s">
        <v>322</v>
      </c>
      <c r="AG27" s="188" t="s">
        <v>322</v>
      </c>
    </row>
    <row r="28" spans="1:51" x14ac:dyDescent="0.25">
      <c r="A28" s="26" t="s">
        <v>1114</v>
      </c>
      <c r="C28" s="26" t="s">
        <v>1021</v>
      </c>
      <c r="G28" s="26" t="s">
        <v>1021</v>
      </c>
      <c r="J28" s="26" t="s">
        <v>1021</v>
      </c>
      <c r="K28" s="54" t="s">
        <v>324</v>
      </c>
      <c r="L28" s="54"/>
      <c r="M28" s="54"/>
      <c r="N28" s="54" t="s">
        <v>227</v>
      </c>
      <c r="O28" s="54"/>
      <c r="P28" s="188" t="s">
        <v>614</v>
      </c>
      <c r="Q28" s="188"/>
      <c r="R28" s="26" t="s">
        <v>1099</v>
      </c>
      <c r="S28" s="54"/>
      <c r="U28" s="26" t="s">
        <v>1099</v>
      </c>
      <c r="W28" s="188" t="s">
        <v>322</v>
      </c>
      <c r="Z28" s="54"/>
      <c r="AA28" s="54" t="s">
        <v>1009</v>
      </c>
      <c r="AC28" s="54" t="s">
        <v>1009</v>
      </c>
      <c r="AE28" s="54" t="s">
        <v>1009</v>
      </c>
      <c r="AG28" s="188" t="s">
        <v>322</v>
      </c>
      <c r="AH28" s="188" t="s">
        <v>322</v>
      </c>
    </row>
    <row r="29" spans="1:51" x14ac:dyDescent="0.25">
      <c r="A29" s="26" t="s">
        <v>1115</v>
      </c>
      <c r="C29" s="188" t="s">
        <v>322</v>
      </c>
      <c r="D29" s="188"/>
      <c r="E29" s="188"/>
      <c r="F29" s="54" t="s">
        <v>1008</v>
      </c>
      <c r="G29" s="54" t="s">
        <v>1008</v>
      </c>
      <c r="H29" s="54"/>
      <c r="I29" s="54"/>
      <c r="J29" s="54" t="s">
        <v>1008</v>
      </c>
      <c r="K29" s="54" t="s">
        <v>324</v>
      </c>
      <c r="L29" s="54"/>
      <c r="M29" s="54"/>
      <c r="O29" s="188" t="s">
        <v>322</v>
      </c>
      <c r="P29" s="188" t="s">
        <v>614</v>
      </c>
      <c r="Q29" s="188"/>
      <c r="R29" s="188" t="s">
        <v>322</v>
      </c>
      <c r="T29" s="54"/>
      <c r="AA29" s="54" t="s">
        <v>1116</v>
      </c>
    </row>
    <row r="30" spans="1:51" x14ac:dyDescent="0.25">
      <c r="A30" s="26" t="s">
        <v>1117</v>
      </c>
      <c r="C30" s="26" t="s">
        <v>1021</v>
      </c>
      <c r="G30" s="26" t="s">
        <v>1021</v>
      </c>
      <c r="J30" s="26" t="s">
        <v>1021</v>
      </c>
      <c r="K30" s="54" t="s">
        <v>324</v>
      </c>
      <c r="L30" s="54"/>
      <c r="M30" s="54"/>
      <c r="N30" s="54" t="s">
        <v>227</v>
      </c>
      <c r="O30" s="54"/>
      <c r="P30" s="188" t="s">
        <v>614</v>
      </c>
      <c r="Q30" s="188"/>
      <c r="R30" s="188" t="s">
        <v>322</v>
      </c>
      <c r="S30" s="188" t="s">
        <v>322</v>
      </c>
      <c r="T30" s="188"/>
      <c r="U30" s="188" t="s">
        <v>322</v>
      </c>
    </row>
    <row r="31" spans="1:51" x14ac:dyDescent="0.25">
      <c r="A31" s="26" t="s">
        <v>1118</v>
      </c>
      <c r="C31" s="54" t="s">
        <v>324</v>
      </c>
      <c r="D31" s="54"/>
      <c r="E31" s="54" t="s">
        <v>283</v>
      </c>
      <c r="F31" s="54" t="s">
        <v>283</v>
      </c>
      <c r="G31" s="188" t="s">
        <v>341</v>
      </c>
      <c r="H31" s="188"/>
      <c r="I31" s="188"/>
      <c r="J31" s="26" t="s">
        <v>1021</v>
      </c>
      <c r="K31" s="26" t="s">
        <v>1021</v>
      </c>
      <c r="N31" s="26" t="s">
        <v>1021</v>
      </c>
      <c r="P31" s="26" t="s">
        <v>1021</v>
      </c>
    </row>
    <row r="32" spans="1:51" x14ac:dyDescent="0.25">
      <c r="A32" s="26" t="s">
        <v>1119</v>
      </c>
      <c r="C32" s="26" t="s">
        <v>557</v>
      </c>
      <c r="E32" s="26" t="s">
        <v>557</v>
      </c>
      <c r="G32" s="26" t="s">
        <v>1027</v>
      </c>
      <c r="J32" s="188" t="s">
        <v>341</v>
      </c>
      <c r="K32" s="54" t="s">
        <v>324</v>
      </c>
      <c r="L32" s="54"/>
      <c r="M32" s="54"/>
      <c r="N32" s="188" t="s">
        <v>322</v>
      </c>
      <c r="O32" s="188"/>
      <c r="P32" s="188"/>
      <c r="Q32" s="188"/>
      <c r="R32" s="188"/>
      <c r="S32" s="188"/>
      <c r="AA32" s="54" t="s">
        <v>1009</v>
      </c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2A039-0E58-4039-B151-84A27719B49C}">
  <dimension ref="A1:AK42"/>
  <sheetViews>
    <sheetView topLeftCell="K5" workbookViewId="0">
      <selection activeCell="K22" sqref="K22"/>
    </sheetView>
  </sheetViews>
  <sheetFormatPr defaultColWidth="9.140625" defaultRowHeight="15" x14ac:dyDescent="0.25"/>
  <cols>
    <col min="1" max="1" width="23.28515625" style="26" bestFit="1" customWidth="1"/>
    <col min="2" max="51" width="5.7109375" style="26" customWidth="1"/>
    <col min="52" max="16384" width="9.140625" style="26"/>
  </cols>
  <sheetData>
    <row r="1" spans="1:37" x14ac:dyDescent="0.25">
      <c r="A1" s="25" t="s">
        <v>116</v>
      </c>
      <c r="D1" s="25" t="s">
        <v>895</v>
      </c>
      <c r="I1" s="25" t="s">
        <v>1120</v>
      </c>
    </row>
    <row r="3" spans="1:37" ht="18" x14ac:dyDescent="0.25">
      <c r="A3" s="25" t="s">
        <v>119</v>
      </c>
      <c r="B3" s="215">
        <v>75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7" ht="18" x14ac:dyDescent="0.25">
      <c r="A4" s="25" t="s">
        <v>121</v>
      </c>
      <c r="B4" s="215" t="s">
        <v>1121</v>
      </c>
      <c r="C4" s="215"/>
      <c r="D4" s="215"/>
      <c r="F4" s="216" t="s">
        <v>1122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7" ht="18" x14ac:dyDescent="0.25">
      <c r="A5" s="25" t="s">
        <v>124</v>
      </c>
      <c r="B5" s="215" t="s">
        <v>899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7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76" t="s">
        <v>157</v>
      </c>
      <c r="AH7" s="76" t="s">
        <v>158</v>
      </c>
      <c r="AJ7" s="72" t="s">
        <v>151</v>
      </c>
      <c r="AK7" s="76" t="s">
        <v>158</v>
      </c>
    </row>
    <row r="8" spans="1:37" x14ac:dyDescent="0.25">
      <c r="A8" s="26" t="s">
        <v>159</v>
      </c>
      <c r="B8" s="28" t="s">
        <v>178</v>
      </c>
      <c r="C8" s="28" t="s">
        <v>556</v>
      </c>
      <c r="D8" s="28" t="s">
        <v>556</v>
      </c>
      <c r="E8" s="28" t="s">
        <v>556</v>
      </c>
      <c r="F8" s="28" t="s">
        <v>552</v>
      </c>
      <c r="G8" s="28" t="s">
        <v>552</v>
      </c>
      <c r="H8" s="28" t="s">
        <v>552</v>
      </c>
      <c r="I8" s="28" t="s">
        <v>552</v>
      </c>
      <c r="J8" s="28" t="s">
        <v>552</v>
      </c>
      <c r="K8" s="28" t="s">
        <v>552</v>
      </c>
      <c r="L8" s="28" t="s">
        <v>552</v>
      </c>
      <c r="M8" s="28" t="s">
        <v>552</v>
      </c>
      <c r="N8" s="28" t="s">
        <v>552</v>
      </c>
      <c r="O8" s="28" t="s">
        <v>552</v>
      </c>
      <c r="P8" s="80" t="s">
        <v>341</v>
      </c>
      <c r="Q8" s="80" t="s">
        <v>341</v>
      </c>
      <c r="R8" s="28"/>
      <c r="S8" s="28"/>
      <c r="T8" s="28"/>
      <c r="U8" s="28"/>
      <c r="V8" s="28"/>
      <c r="W8" s="28"/>
      <c r="X8" s="28"/>
      <c r="Y8" s="28"/>
      <c r="Z8" s="28"/>
      <c r="AA8" s="28" t="s">
        <v>1123</v>
      </c>
      <c r="AB8" s="28"/>
      <c r="AC8" s="28"/>
      <c r="AD8" s="28"/>
      <c r="AE8" s="28"/>
      <c r="AF8" s="28"/>
      <c r="AG8" s="28" t="s">
        <v>252</v>
      </c>
      <c r="AH8" s="28" t="s">
        <v>556</v>
      </c>
      <c r="AJ8" s="28" t="s">
        <v>552</v>
      </c>
      <c r="AK8" s="28" t="s">
        <v>552</v>
      </c>
    </row>
    <row r="9" spans="1:37" x14ac:dyDescent="0.25">
      <c r="A9" s="26" t="s">
        <v>165</v>
      </c>
      <c r="B9" s="29" t="s">
        <v>552</v>
      </c>
      <c r="C9" s="28" t="s">
        <v>322</v>
      </c>
      <c r="D9" s="28" t="s">
        <v>322</v>
      </c>
      <c r="E9" s="28" t="s">
        <v>322</v>
      </c>
      <c r="F9" s="29" t="s">
        <v>552</v>
      </c>
      <c r="G9" s="29" t="s">
        <v>552</v>
      </c>
      <c r="H9" s="29" t="s">
        <v>552</v>
      </c>
      <c r="I9" s="29" t="s">
        <v>552</v>
      </c>
      <c r="J9" s="29" t="s">
        <v>552</v>
      </c>
      <c r="K9" s="29" t="s">
        <v>552</v>
      </c>
      <c r="L9" s="29" t="s">
        <v>552</v>
      </c>
      <c r="M9" s="29" t="s">
        <v>552</v>
      </c>
      <c r="N9" s="29" t="s">
        <v>552</v>
      </c>
      <c r="O9" s="29" t="s">
        <v>552</v>
      </c>
      <c r="P9" s="80" t="s">
        <v>341</v>
      </c>
      <c r="Q9" s="80" t="s">
        <v>341</v>
      </c>
      <c r="R9" s="28" t="s">
        <v>1124</v>
      </c>
      <c r="S9" s="29"/>
      <c r="T9" s="29"/>
      <c r="U9" s="29"/>
      <c r="V9" s="29"/>
      <c r="W9" s="29"/>
      <c r="X9" s="29"/>
      <c r="Y9" s="29"/>
      <c r="Z9" s="29"/>
      <c r="AA9" s="29" t="s">
        <v>1123</v>
      </c>
      <c r="AB9" s="29"/>
      <c r="AC9" s="29"/>
      <c r="AD9" s="29"/>
      <c r="AE9" s="29"/>
      <c r="AF9" s="29"/>
      <c r="AG9" s="29" t="s">
        <v>254</v>
      </c>
      <c r="AH9" s="28" t="s">
        <v>322</v>
      </c>
      <c r="AJ9" s="29" t="s">
        <v>552</v>
      </c>
      <c r="AK9" s="29" t="s">
        <v>552</v>
      </c>
    </row>
    <row r="10" spans="1:37" x14ac:dyDescent="0.25">
      <c r="A10" s="131" t="s">
        <v>168</v>
      </c>
      <c r="B10" s="157">
        <v>1</v>
      </c>
      <c r="C10" s="157">
        <v>98</v>
      </c>
      <c r="D10" s="157">
        <v>98</v>
      </c>
      <c r="E10" s="157">
        <v>98</v>
      </c>
      <c r="F10" s="157">
        <v>1</v>
      </c>
      <c r="G10" s="157">
        <v>1</v>
      </c>
      <c r="H10" s="157">
        <v>1</v>
      </c>
      <c r="I10" s="157">
        <v>1</v>
      </c>
      <c r="J10" s="157">
        <v>1</v>
      </c>
      <c r="K10" s="157">
        <v>1</v>
      </c>
      <c r="L10" s="157">
        <v>1</v>
      </c>
      <c r="M10" s="157">
        <v>1</v>
      </c>
      <c r="N10" s="157">
        <v>1</v>
      </c>
      <c r="O10" s="157">
        <v>1</v>
      </c>
      <c r="P10" s="198"/>
      <c r="Q10" s="198"/>
      <c r="R10" s="157"/>
      <c r="S10" s="157"/>
      <c r="T10" s="157"/>
      <c r="U10" s="157"/>
      <c r="V10" s="157"/>
      <c r="W10" s="157"/>
      <c r="X10" s="157"/>
      <c r="Y10" s="157"/>
      <c r="Z10" s="157"/>
      <c r="AA10" s="157">
        <v>195</v>
      </c>
      <c r="AB10" s="157"/>
      <c r="AC10" s="157"/>
      <c r="AD10" s="157"/>
      <c r="AE10" s="157"/>
      <c r="AF10" s="157"/>
      <c r="AG10" s="157">
        <v>19</v>
      </c>
      <c r="AH10" s="157">
        <v>98</v>
      </c>
      <c r="AJ10" s="157">
        <v>1</v>
      </c>
      <c r="AK10" s="157">
        <v>1</v>
      </c>
    </row>
    <row r="11" spans="1:37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28" t="s">
        <v>170</v>
      </c>
      <c r="O11" s="28" t="s">
        <v>170</v>
      </c>
      <c r="P11" s="80" t="s">
        <v>173</v>
      </c>
      <c r="Q11" s="80" t="s">
        <v>173</v>
      </c>
      <c r="R11" s="28"/>
      <c r="S11" s="28"/>
      <c r="T11" s="28"/>
      <c r="U11" s="28"/>
      <c r="V11" s="28"/>
      <c r="W11" s="28"/>
      <c r="X11" s="28"/>
      <c r="Y11" s="28"/>
      <c r="Z11" s="28"/>
      <c r="AA11" s="29" t="s">
        <v>170</v>
      </c>
      <c r="AB11" s="28"/>
      <c r="AC11" s="29"/>
      <c r="AD11" s="28"/>
      <c r="AE11" s="29"/>
      <c r="AF11" s="28"/>
      <c r="AG11" s="29" t="s">
        <v>170</v>
      </c>
      <c r="AH11" s="28" t="s">
        <v>170</v>
      </c>
      <c r="AJ11" s="28" t="s">
        <v>170</v>
      </c>
      <c r="AK11" s="28" t="s">
        <v>170</v>
      </c>
    </row>
    <row r="12" spans="1:37" x14ac:dyDescent="0.25">
      <c r="A12" s="26" t="s">
        <v>171</v>
      </c>
      <c r="B12" s="28" t="s">
        <v>173</v>
      </c>
      <c r="C12" s="28" t="s">
        <v>170</v>
      </c>
      <c r="D12" s="28" t="s">
        <v>170</v>
      </c>
      <c r="E12" s="28" t="s">
        <v>170</v>
      </c>
      <c r="F12" s="28" t="s">
        <v>173</v>
      </c>
      <c r="G12" s="28" t="s">
        <v>173</v>
      </c>
      <c r="H12" s="28" t="s">
        <v>173</v>
      </c>
      <c r="I12" s="28" t="s">
        <v>173</v>
      </c>
      <c r="J12" s="28" t="s">
        <v>173</v>
      </c>
      <c r="K12" s="28" t="s">
        <v>173</v>
      </c>
      <c r="L12" s="28" t="s">
        <v>173</v>
      </c>
      <c r="M12" s="28" t="s">
        <v>173</v>
      </c>
      <c r="N12" s="28" t="s">
        <v>173</v>
      </c>
      <c r="O12" s="28" t="s">
        <v>173</v>
      </c>
      <c r="P12" s="80" t="s">
        <v>173</v>
      </c>
      <c r="Q12" s="80" t="s">
        <v>173</v>
      </c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173</v>
      </c>
      <c r="AB12" s="28"/>
      <c r="AC12" s="28"/>
      <c r="AD12" s="28"/>
      <c r="AE12" s="28"/>
      <c r="AF12" s="28"/>
      <c r="AG12" s="28" t="s">
        <v>173</v>
      </c>
      <c r="AH12" s="28" t="s">
        <v>170</v>
      </c>
      <c r="AJ12" s="28" t="s">
        <v>173</v>
      </c>
      <c r="AK12" s="28" t="s">
        <v>173</v>
      </c>
    </row>
    <row r="13" spans="1:37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80" t="s">
        <v>173</v>
      </c>
      <c r="Q13" s="80" t="s">
        <v>173</v>
      </c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173</v>
      </c>
      <c r="AB13" s="28"/>
      <c r="AC13" s="28"/>
      <c r="AD13" s="28"/>
      <c r="AE13" s="28"/>
      <c r="AF13" s="28"/>
      <c r="AG13" s="28" t="s">
        <v>173</v>
      </c>
      <c r="AH13" s="28" t="s">
        <v>173</v>
      </c>
      <c r="AJ13" s="28" t="s">
        <v>173</v>
      </c>
      <c r="AK13" s="28" t="s">
        <v>173</v>
      </c>
    </row>
    <row r="14" spans="1:37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80" t="s">
        <v>173</v>
      </c>
      <c r="Q14" s="80" t="s">
        <v>173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173</v>
      </c>
      <c r="AB14" s="28"/>
      <c r="AC14" s="28"/>
      <c r="AD14" s="28"/>
      <c r="AE14" s="28"/>
      <c r="AF14" s="28"/>
      <c r="AG14" s="28" t="s">
        <v>173</v>
      </c>
      <c r="AH14" s="28" t="s">
        <v>173</v>
      </c>
      <c r="AJ14" s="28" t="s">
        <v>173</v>
      </c>
      <c r="AK14" s="28" t="s">
        <v>173</v>
      </c>
    </row>
    <row r="15" spans="1:37" x14ac:dyDescent="0.25">
      <c r="A15" s="26" t="s">
        <v>175</v>
      </c>
      <c r="B15" s="28" t="s">
        <v>160</v>
      </c>
      <c r="C15" s="28" t="s">
        <v>199</v>
      </c>
      <c r="D15" s="28" t="s">
        <v>199</v>
      </c>
      <c r="E15" s="28" t="s">
        <v>199</v>
      </c>
      <c r="F15" s="28" t="s">
        <v>160</v>
      </c>
      <c r="G15" s="28" t="s">
        <v>160</v>
      </c>
      <c r="H15" s="28" t="s">
        <v>160</v>
      </c>
      <c r="I15" s="28" t="s">
        <v>160</v>
      </c>
      <c r="J15" s="28" t="s">
        <v>160</v>
      </c>
      <c r="K15" s="28" t="s">
        <v>160</v>
      </c>
      <c r="L15" s="28" t="s">
        <v>160</v>
      </c>
      <c r="M15" s="28" t="s">
        <v>160</v>
      </c>
      <c r="N15" s="28" t="s">
        <v>160</v>
      </c>
      <c r="O15" s="28" t="s">
        <v>160</v>
      </c>
      <c r="P15" s="80" t="s">
        <v>160</v>
      </c>
      <c r="Q15" s="80" t="s">
        <v>160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160</v>
      </c>
      <c r="AB15" s="28"/>
      <c r="AC15" s="28"/>
      <c r="AD15" s="28"/>
      <c r="AE15" s="28"/>
      <c r="AF15" s="28"/>
      <c r="AG15" s="28" t="s">
        <v>267</v>
      </c>
      <c r="AH15" s="28" t="s">
        <v>199</v>
      </c>
      <c r="AJ15" s="28" t="s">
        <v>160</v>
      </c>
      <c r="AK15" s="28" t="s">
        <v>160</v>
      </c>
    </row>
    <row r="16" spans="1:37" x14ac:dyDescent="0.25">
      <c r="A16" s="26" t="s">
        <v>176</v>
      </c>
      <c r="B16" s="30">
        <v>3</v>
      </c>
      <c r="C16" s="30">
        <v>-2</v>
      </c>
      <c r="D16" s="30">
        <v>-2</v>
      </c>
      <c r="E16" s="30">
        <v>-2</v>
      </c>
      <c r="F16" s="30">
        <v>3</v>
      </c>
      <c r="G16" s="30">
        <v>3</v>
      </c>
      <c r="H16" s="30">
        <v>3</v>
      </c>
      <c r="I16" s="30">
        <v>3</v>
      </c>
      <c r="J16" s="30">
        <v>3</v>
      </c>
      <c r="K16" s="30">
        <v>3</v>
      </c>
      <c r="L16" s="30">
        <v>3</v>
      </c>
      <c r="M16" s="30">
        <v>3</v>
      </c>
      <c r="N16" s="30">
        <v>3</v>
      </c>
      <c r="O16" s="30">
        <v>3</v>
      </c>
      <c r="P16" s="82">
        <v>3</v>
      </c>
      <c r="Q16" s="82">
        <v>3</v>
      </c>
      <c r="R16" s="30"/>
      <c r="S16" s="30"/>
      <c r="T16" s="30"/>
      <c r="U16" s="30"/>
      <c r="V16" s="30"/>
      <c r="W16" s="30"/>
      <c r="X16" s="30"/>
      <c r="Y16" s="30"/>
      <c r="Z16" s="30"/>
      <c r="AA16" s="30">
        <v>3</v>
      </c>
      <c r="AB16" s="30"/>
      <c r="AC16" s="30"/>
      <c r="AD16" s="30"/>
      <c r="AE16" s="30"/>
      <c r="AF16" s="30"/>
      <c r="AG16" s="30">
        <v>-3</v>
      </c>
      <c r="AH16" s="30">
        <v>-2</v>
      </c>
      <c r="AJ16" s="30">
        <v>3</v>
      </c>
      <c r="AK16" s="30">
        <v>3</v>
      </c>
    </row>
    <row r="17" spans="1:37" x14ac:dyDescent="0.25">
      <c r="A17" s="26" t="s">
        <v>177</v>
      </c>
      <c r="B17" s="28" t="s">
        <v>178</v>
      </c>
      <c r="C17" s="28" t="s">
        <v>334</v>
      </c>
      <c r="D17" s="28" t="s">
        <v>334</v>
      </c>
      <c r="E17" s="28" t="s">
        <v>334</v>
      </c>
      <c r="F17" s="28" t="s">
        <v>178</v>
      </c>
      <c r="G17" s="28" t="s">
        <v>178</v>
      </c>
      <c r="H17" s="28" t="s">
        <v>178</v>
      </c>
      <c r="I17" s="28" t="s">
        <v>178</v>
      </c>
      <c r="J17" s="28" t="s">
        <v>178</v>
      </c>
      <c r="K17" s="28" t="s">
        <v>178</v>
      </c>
      <c r="L17" s="28" t="s">
        <v>178</v>
      </c>
      <c r="M17" s="28" t="s">
        <v>178</v>
      </c>
      <c r="N17" s="28" t="s">
        <v>178</v>
      </c>
      <c r="O17" s="28" t="s">
        <v>178</v>
      </c>
      <c r="P17" s="80" t="s">
        <v>341</v>
      </c>
      <c r="Q17" s="80" t="s">
        <v>341</v>
      </c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1125</v>
      </c>
      <c r="AB17" s="28"/>
      <c r="AC17" s="28"/>
      <c r="AD17" s="28"/>
      <c r="AE17" s="28"/>
      <c r="AF17" s="28"/>
      <c r="AG17" s="28" t="s">
        <v>178</v>
      </c>
      <c r="AH17" s="28" t="s">
        <v>334</v>
      </c>
      <c r="AJ17" s="28" t="s">
        <v>178</v>
      </c>
      <c r="AK17" s="28" t="s">
        <v>178</v>
      </c>
    </row>
    <row r="18" spans="1:37" x14ac:dyDescent="0.25">
      <c r="A18" s="26" t="s">
        <v>182</v>
      </c>
      <c r="B18" s="30">
        <v>4</v>
      </c>
      <c r="C18" s="30">
        <f>1/3</f>
        <v>0.33333333333333331</v>
      </c>
      <c r="D18" s="30">
        <f>1/3</f>
        <v>0.33333333333333331</v>
      </c>
      <c r="E18" s="30">
        <f>1/3</f>
        <v>0.33333333333333331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82">
        <v>0</v>
      </c>
      <c r="Q18" s="82">
        <v>0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v>5</v>
      </c>
      <c r="AB18" s="30"/>
      <c r="AC18" s="30"/>
      <c r="AD18" s="30"/>
      <c r="AE18" s="30"/>
      <c r="AF18" s="30"/>
      <c r="AG18" s="30">
        <v>4</v>
      </c>
      <c r="AH18" s="30">
        <f>1/3</f>
        <v>0.33333333333333331</v>
      </c>
      <c r="AJ18" s="30">
        <v>4</v>
      </c>
      <c r="AK18" s="30">
        <v>4</v>
      </c>
    </row>
    <row r="20" spans="1:37" x14ac:dyDescent="0.25">
      <c r="A20" s="26" t="s">
        <v>159</v>
      </c>
      <c r="B20" s="28" t="s">
        <v>1126</v>
      </c>
      <c r="C20" s="28" t="s">
        <v>161</v>
      </c>
      <c r="D20" s="28" t="s">
        <v>161</v>
      </c>
      <c r="E20" s="28" t="s">
        <v>161</v>
      </c>
      <c r="F20" s="28" t="s">
        <v>556</v>
      </c>
      <c r="G20" s="28" t="s">
        <v>556</v>
      </c>
      <c r="H20" s="28" t="s">
        <v>556</v>
      </c>
      <c r="I20" s="28" t="s">
        <v>556</v>
      </c>
      <c r="J20" s="28" t="s">
        <v>556</v>
      </c>
      <c r="K20" s="28" t="s">
        <v>556</v>
      </c>
      <c r="L20" s="28" t="s">
        <v>556</v>
      </c>
      <c r="M20" s="28" t="s">
        <v>556</v>
      </c>
      <c r="N20" s="28" t="s">
        <v>556</v>
      </c>
      <c r="O20" s="28" t="s">
        <v>556</v>
      </c>
      <c r="P20" s="28" t="s">
        <v>252</v>
      </c>
      <c r="Q20" s="28" t="s">
        <v>252</v>
      </c>
      <c r="R20" s="28"/>
      <c r="S20" s="28"/>
      <c r="T20" s="28"/>
      <c r="U20" s="28"/>
      <c r="V20" s="28"/>
      <c r="W20" s="28"/>
      <c r="X20" s="28"/>
      <c r="Y20" s="28"/>
      <c r="Z20" s="28"/>
      <c r="AA20" s="28" t="s">
        <v>556</v>
      </c>
      <c r="AB20" s="28"/>
      <c r="AC20" s="28"/>
      <c r="AD20" s="28"/>
      <c r="AE20" s="28"/>
      <c r="AF20" s="28"/>
      <c r="AG20" s="28" t="s">
        <v>556</v>
      </c>
      <c r="AH20" s="28" t="s">
        <v>552</v>
      </c>
      <c r="AJ20" s="28" t="s">
        <v>556</v>
      </c>
      <c r="AK20" s="28" t="s">
        <v>556</v>
      </c>
    </row>
    <row r="21" spans="1:37" x14ac:dyDescent="0.25">
      <c r="A21" s="26" t="s">
        <v>165</v>
      </c>
      <c r="B21" s="28" t="s">
        <v>322</v>
      </c>
      <c r="C21" s="28" t="s">
        <v>900</v>
      </c>
      <c r="D21" s="28" t="s">
        <v>161</v>
      </c>
      <c r="E21" s="28" t="s">
        <v>901</v>
      </c>
      <c r="F21" s="28" t="s">
        <v>322</v>
      </c>
      <c r="G21" s="28" t="s">
        <v>322</v>
      </c>
      <c r="H21" s="28" t="s">
        <v>322</v>
      </c>
      <c r="I21" s="28" t="s">
        <v>322</v>
      </c>
      <c r="J21" s="28" t="s">
        <v>322</v>
      </c>
      <c r="K21" s="29" t="s">
        <v>614</v>
      </c>
      <c r="L21" s="29" t="s">
        <v>614</v>
      </c>
      <c r="M21" s="29" t="s">
        <v>614</v>
      </c>
      <c r="N21" s="28" t="s">
        <v>322</v>
      </c>
      <c r="O21" s="28" t="s">
        <v>322</v>
      </c>
      <c r="P21" s="28" t="s">
        <v>283</v>
      </c>
      <c r="Q21" s="28" t="s">
        <v>283</v>
      </c>
      <c r="R21" s="29"/>
      <c r="S21" s="29"/>
      <c r="T21" s="29"/>
      <c r="U21" s="29"/>
      <c r="V21" s="29"/>
      <c r="W21" s="29"/>
      <c r="X21" s="29"/>
      <c r="Y21" s="29"/>
      <c r="Z21" s="29"/>
      <c r="AA21" s="28" t="s">
        <v>322</v>
      </c>
      <c r="AB21" s="29"/>
      <c r="AC21" s="29"/>
      <c r="AD21" s="29"/>
      <c r="AE21" s="29"/>
      <c r="AF21" s="29"/>
      <c r="AG21" s="29" t="s">
        <v>322</v>
      </c>
      <c r="AH21" s="29" t="s">
        <v>552</v>
      </c>
      <c r="AJ21" s="28" t="s">
        <v>322</v>
      </c>
      <c r="AK21" s="28" t="s">
        <v>614</v>
      </c>
    </row>
    <row r="22" spans="1:37" x14ac:dyDescent="0.25">
      <c r="A22" s="131" t="s">
        <v>168</v>
      </c>
      <c r="B22" s="157">
        <v>98</v>
      </c>
      <c r="C22" s="157">
        <v>41</v>
      </c>
      <c r="D22" s="157">
        <v>2</v>
      </c>
      <c r="E22" s="157">
        <v>91</v>
      </c>
      <c r="F22" s="157">
        <v>98</v>
      </c>
      <c r="G22" s="157">
        <v>98</v>
      </c>
      <c r="H22" s="157">
        <v>98</v>
      </c>
      <c r="I22" s="157">
        <v>98</v>
      </c>
      <c r="J22" s="157">
        <v>98</v>
      </c>
      <c r="K22" s="157">
        <v>151</v>
      </c>
      <c r="L22" s="157">
        <v>151</v>
      </c>
      <c r="M22" s="157">
        <v>151</v>
      </c>
      <c r="N22" s="157">
        <v>98</v>
      </c>
      <c r="O22" s="157">
        <v>98</v>
      </c>
      <c r="P22" s="157">
        <v>56</v>
      </c>
      <c r="Q22" s="157">
        <v>56</v>
      </c>
      <c r="R22" s="157"/>
      <c r="S22" s="157"/>
      <c r="T22" s="157"/>
      <c r="U22" s="157"/>
      <c r="V22" s="157"/>
      <c r="W22" s="157"/>
      <c r="X22" s="157"/>
      <c r="Y22" s="157"/>
      <c r="Z22" s="157"/>
      <c r="AA22" s="157">
        <v>98</v>
      </c>
      <c r="AB22" s="157"/>
      <c r="AC22" s="157"/>
      <c r="AD22" s="157"/>
      <c r="AE22" s="157"/>
      <c r="AF22" s="157"/>
      <c r="AG22" s="157">
        <v>98</v>
      </c>
      <c r="AH22" s="157">
        <v>1</v>
      </c>
      <c r="AJ22" s="157">
        <v>98</v>
      </c>
      <c r="AK22" s="157">
        <v>151</v>
      </c>
    </row>
    <row r="23" spans="1:37" x14ac:dyDescent="0.25">
      <c r="A23" s="26" t="s">
        <v>169</v>
      </c>
      <c r="B23" s="28" t="s">
        <v>170</v>
      </c>
      <c r="C23" s="29" t="s">
        <v>170</v>
      </c>
      <c r="D23" s="29" t="s">
        <v>170</v>
      </c>
      <c r="E23" s="29" t="s">
        <v>170</v>
      </c>
      <c r="F23" s="28" t="s">
        <v>170</v>
      </c>
      <c r="G23" s="28" t="s">
        <v>170</v>
      </c>
      <c r="H23" s="28" t="s">
        <v>170</v>
      </c>
      <c r="I23" s="28" t="s">
        <v>170</v>
      </c>
      <c r="J23" s="28" t="s">
        <v>170</v>
      </c>
      <c r="K23" s="29" t="s">
        <v>266</v>
      </c>
      <c r="L23" s="29" t="s">
        <v>266</v>
      </c>
      <c r="M23" s="29" t="s">
        <v>266</v>
      </c>
      <c r="N23" s="28" t="s">
        <v>170</v>
      </c>
      <c r="O23" s="28" t="s">
        <v>170</v>
      </c>
      <c r="P23" s="28" t="s">
        <v>170</v>
      </c>
      <c r="Q23" s="28" t="s">
        <v>170</v>
      </c>
      <c r="R23" s="28"/>
      <c r="S23" s="28"/>
      <c r="T23" s="28"/>
      <c r="U23" s="28"/>
      <c r="V23" s="28"/>
      <c r="W23" s="28"/>
      <c r="X23" s="28"/>
      <c r="Y23" s="28"/>
      <c r="Z23" s="28"/>
      <c r="AA23" s="28" t="s">
        <v>170</v>
      </c>
      <c r="AB23" s="28"/>
      <c r="AC23" s="29"/>
      <c r="AD23" s="28"/>
      <c r="AE23" s="29"/>
      <c r="AF23" s="28"/>
      <c r="AG23" s="28" t="s">
        <v>170</v>
      </c>
      <c r="AH23" s="28" t="s">
        <v>170</v>
      </c>
      <c r="AJ23" s="28" t="s">
        <v>170</v>
      </c>
      <c r="AK23" s="28" t="s">
        <v>266</v>
      </c>
    </row>
    <row r="24" spans="1:37" x14ac:dyDescent="0.25">
      <c r="A24" s="26" t="s">
        <v>171</v>
      </c>
      <c r="B24" s="28" t="s">
        <v>170</v>
      </c>
      <c r="C24" s="29" t="s">
        <v>170</v>
      </c>
      <c r="D24" s="29" t="s">
        <v>170</v>
      </c>
      <c r="E24" s="29" t="s">
        <v>170</v>
      </c>
      <c r="F24" s="28" t="s">
        <v>170</v>
      </c>
      <c r="G24" s="28" t="s">
        <v>170</v>
      </c>
      <c r="H24" s="28" t="s">
        <v>170</v>
      </c>
      <c r="I24" s="28" t="s">
        <v>170</v>
      </c>
      <c r="J24" s="28" t="s">
        <v>170</v>
      </c>
      <c r="K24" s="28" t="s">
        <v>266</v>
      </c>
      <c r="L24" s="28" t="s">
        <v>266</v>
      </c>
      <c r="M24" s="28" t="s">
        <v>266</v>
      </c>
      <c r="N24" s="28" t="s">
        <v>170</v>
      </c>
      <c r="O24" s="28" t="s">
        <v>170</v>
      </c>
      <c r="P24" s="28" t="s">
        <v>173</v>
      </c>
      <c r="Q24" s="28" t="s">
        <v>173</v>
      </c>
      <c r="R24" s="28"/>
      <c r="S24" s="28"/>
      <c r="T24" s="28"/>
      <c r="U24" s="28"/>
      <c r="V24" s="28"/>
      <c r="W24" s="28"/>
      <c r="X24" s="28"/>
      <c r="Y24" s="28"/>
      <c r="Z24" s="28"/>
      <c r="AA24" s="28" t="s">
        <v>170</v>
      </c>
      <c r="AB24" s="28"/>
      <c r="AC24" s="28"/>
      <c r="AD24" s="28"/>
      <c r="AE24" s="28"/>
      <c r="AF24" s="28"/>
      <c r="AG24" s="28" t="s">
        <v>170</v>
      </c>
      <c r="AH24" s="28" t="s">
        <v>173</v>
      </c>
      <c r="AJ24" s="28" t="s">
        <v>170</v>
      </c>
      <c r="AK24" s="28" t="s">
        <v>266</v>
      </c>
    </row>
    <row r="25" spans="1:37" x14ac:dyDescent="0.25">
      <c r="A25" s="26" t="s">
        <v>172</v>
      </c>
      <c r="B25" s="28" t="s">
        <v>173</v>
      </c>
      <c r="C25" s="28" t="s">
        <v>173</v>
      </c>
      <c r="D25" s="28" t="s">
        <v>173</v>
      </c>
      <c r="E25" s="28" t="s">
        <v>173</v>
      </c>
      <c r="F25" s="28" t="s">
        <v>173</v>
      </c>
      <c r="G25" s="28" t="s">
        <v>173</v>
      </c>
      <c r="H25" s="28" t="s">
        <v>173</v>
      </c>
      <c r="I25" s="28" t="s">
        <v>173</v>
      </c>
      <c r="J25" s="28" t="s">
        <v>173</v>
      </c>
      <c r="K25" s="28" t="s">
        <v>173</v>
      </c>
      <c r="L25" s="28" t="s">
        <v>173</v>
      </c>
      <c r="M25" s="28" t="s">
        <v>173</v>
      </c>
      <c r="N25" s="28" t="s">
        <v>173</v>
      </c>
      <c r="O25" s="28" t="s">
        <v>173</v>
      </c>
      <c r="P25" s="28" t="s">
        <v>170</v>
      </c>
      <c r="Q25" s="28" t="s">
        <v>170</v>
      </c>
      <c r="R25" s="28"/>
      <c r="S25" s="28"/>
      <c r="T25" s="28"/>
      <c r="U25" s="28"/>
      <c r="V25" s="28"/>
      <c r="W25" s="28"/>
      <c r="X25" s="28"/>
      <c r="Y25" s="28"/>
      <c r="Z25" s="28"/>
      <c r="AA25" s="28" t="s">
        <v>173</v>
      </c>
      <c r="AB25" s="28"/>
      <c r="AC25" s="28"/>
      <c r="AD25" s="28"/>
      <c r="AE25" s="28"/>
      <c r="AF25" s="28"/>
      <c r="AG25" s="28" t="s">
        <v>173</v>
      </c>
      <c r="AH25" s="28" t="s">
        <v>173</v>
      </c>
      <c r="AJ25" s="28" t="s">
        <v>173</v>
      </c>
      <c r="AK25" s="28" t="s">
        <v>173</v>
      </c>
    </row>
    <row r="26" spans="1:37" x14ac:dyDescent="0.25">
      <c r="A26" s="26" t="s">
        <v>174</v>
      </c>
      <c r="B26" s="28" t="s">
        <v>173</v>
      </c>
      <c r="C26" s="28" t="s">
        <v>173</v>
      </c>
      <c r="D26" s="28" t="s">
        <v>173</v>
      </c>
      <c r="E26" s="28" t="s">
        <v>173</v>
      </c>
      <c r="F26" s="28" t="s">
        <v>173</v>
      </c>
      <c r="G26" s="28" t="s">
        <v>173</v>
      </c>
      <c r="H26" s="28" t="s">
        <v>173</v>
      </c>
      <c r="I26" s="28" t="s">
        <v>173</v>
      </c>
      <c r="J26" s="28" t="s">
        <v>173</v>
      </c>
      <c r="K26" s="28" t="s">
        <v>173</v>
      </c>
      <c r="L26" s="28" t="s">
        <v>173</v>
      </c>
      <c r="M26" s="28" t="s">
        <v>173</v>
      </c>
      <c r="N26" s="28" t="s">
        <v>173</v>
      </c>
      <c r="O26" s="28" t="s">
        <v>173</v>
      </c>
      <c r="P26" s="28" t="s">
        <v>173</v>
      </c>
      <c r="Q26" s="28" t="s">
        <v>173</v>
      </c>
      <c r="R26" s="28"/>
      <c r="S26" s="28"/>
      <c r="T26" s="28"/>
      <c r="U26" s="28"/>
      <c r="V26" s="28"/>
      <c r="W26" s="28"/>
      <c r="X26" s="28"/>
      <c r="Y26" s="28"/>
      <c r="Z26" s="28"/>
      <c r="AA26" s="28" t="s">
        <v>173</v>
      </c>
      <c r="AB26" s="28"/>
      <c r="AC26" s="28"/>
      <c r="AD26" s="28"/>
      <c r="AE26" s="28"/>
      <c r="AF26" s="28"/>
      <c r="AG26" s="28" t="s">
        <v>173</v>
      </c>
      <c r="AH26" s="28" t="s">
        <v>173</v>
      </c>
      <c r="AJ26" s="28" t="s">
        <v>173</v>
      </c>
      <c r="AK26" s="28" t="s">
        <v>173</v>
      </c>
    </row>
    <row r="27" spans="1:37" x14ac:dyDescent="0.25">
      <c r="A27" s="26" t="s">
        <v>175</v>
      </c>
      <c r="B27" s="28" t="s">
        <v>199</v>
      </c>
      <c r="C27" s="28" t="s">
        <v>160</v>
      </c>
      <c r="D27" s="28" t="s">
        <v>160</v>
      </c>
      <c r="E27" s="28" t="s">
        <v>160</v>
      </c>
      <c r="F27" s="28" t="s">
        <v>199</v>
      </c>
      <c r="G27" s="28" t="s">
        <v>199</v>
      </c>
      <c r="H27" s="28" t="s">
        <v>199</v>
      </c>
      <c r="I27" s="28" t="s">
        <v>199</v>
      </c>
      <c r="J27" s="28" t="s">
        <v>199</v>
      </c>
      <c r="K27" s="28" t="s">
        <v>199</v>
      </c>
      <c r="L27" s="28" t="s">
        <v>199</v>
      </c>
      <c r="M27" s="28" t="s">
        <v>199</v>
      </c>
      <c r="N27" s="28" t="s">
        <v>199</v>
      </c>
      <c r="O27" s="28" t="s">
        <v>199</v>
      </c>
      <c r="P27" s="28" t="s">
        <v>199</v>
      </c>
      <c r="Q27" s="28" t="s">
        <v>199</v>
      </c>
      <c r="R27" s="28"/>
      <c r="S27" s="28"/>
      <c r="T27" s="28"/>
      <c r="U27" s="28"/>
      <c r="V27" s="28"/>
      <c r="W27" s="28"/>
      <c r="X27" s="28"/>
      <c r="Y27" s="28"/>
      <c r="Z27" s="28"/>
      <c r="AA27" s="28" t="s">
        <v>199</v>
      </c>
      <c r="AB27" s="28"/>
      <c r="AC27" s="28"/>
      <c r="AD27" s="28"/>
      <c r="AE27" s="28"/>
      <c r="AF27" s="28"/>
      <c r="AG27" s="28" t="s">
        <v>199</v>
      </c>
      <c r="AH27" s="28" t="s">
        <v>160</v>
      </c>
      <c r="AJ27" s="28" t="s">
        <v>199</v>
      </c>
      <c r="AK27" s="28" t="s">
        <v>199</v>
      </c>
    </row>
    <row r="28" spans="1:37" x14ac:dyDescent="0.25">
      <c r="A28" s="26" t="s">
        <v>176</v>
      </c>
      <c r="B28" s="30">
        <v>-2</v>
      </c>
      <c r="C28" s="30">
        <v>3</v>
      </c>
      <c r="D28" s="30">
        <v>3</v>
      </c>
      <c r="E28" s="30">
        <v>3</v>
      </c>
      <c r="F28" s="30">
        <v>-2</v>
      </c>
      <c r="G28" s="30">
        <v>-2</v>
      </c>
      <c r="H28" s="30">
        <v>-2</v>
      </c>
      <c r="I28" s="30">
        <v>-2</v>
      </c>
      <c r="J28" s="30">
        <v>-2</v>
      </c>
      <c r="K28" s="30">
        <v>-2</v>
      </c>
      <c r="L28" s="30">
        <v>-2</v>
      </c>
      <c r="M28" s="30">
        <v>-2</v>
      </c>
      <c r="N28" s="30">
        <v>-2</v>
      </c>
      <c r="O28" s="30">
        <v>-2</v>
      </c>
      <c r="P28" s="30">
        <v>-0.5</v>
      </c>
      <c r="Q28" s="30">
        <v>-0.5</v>
      </c>
      <c r="R28" s="30"/>
      <c r="S28" s="30"/>
      <c r="T28" s="30"/>
      <c r="U28" s="30"/>
      <c r="V28" s="30"/>
      <c r="W28" s="30"/>
      <c r="X28" s="30"/>
      <c r="Y28" s="30"/>
      <c r="Z28" s="30"/>
      <c r="AA28" s="30">
        <v>-2</v>
      </c>
      <c r="AB28" s="30"/>
      <c r="AC28" s="30"/>
      <c r="AD28" s="30"/>
      <c r="AE28" s="30"/>
      <c r="AF28" s="30"/>
      <c r="AG28" s="30">
        <v>-2</v>
      </c>
      <c r="AH28" s="30">
        <v>3</v>
      </c>
      <c r="AJ28" s="30">
        <v>-2</v>
      </c>
      <c r="AK28" s="30">
        <v>-2</v>
      </c>
    </row>
    <row r="29" spans="1:37" x14ac:dyDescent="0.25">
      <c r="A29" s="26" t="s">
        <v>177</v>
      </c>
      <c r="B29" s="28" t="s">
        <v>334</v>
      </c>
      <c r="C29" s="28" t="s">
        <v>181</v>
      </c>
      <c r="D29" s="28" t="s">
        <v>178</v>
      </c>
      <c r="E29" s="28" t="s">
        <v>334</v>
      </c>
      <c r="F29" s="28" t="s">
        <v>334</v>
      </c>
      <c r="G29" s="28" t="s">
        <v>334</v>
      </c>
      <c r="H29" s="28" t="s">
        <v>334</v>
      </c>
      <c r="I29" s="28" t="s">
        <v>334</v>
      </c>
      <c r="J29" s="28" t="s">
        <v>334</v>
      </c>
      <c r="K29" s="29" t="s">
        <v>537</v>
      </c>
      <c r="L29" s="29" t="s">
        <v>537</v>
      </c>
      <c r="M29" s="29" t="s">
        <v>537</v>
      </c>
      <c r="N29" s="28" t="s">
        <v>334</v>
      </c>
      <c r="O29" s="28" t="s">
        <v>334</v>
      </c>
      <c r="P29" s="28" t="s">
        <v>181</v>
      </c>
      <c r="Q29" s="28" t="s">
        <v>181</v>
      </c>
      <c r="R29" s="28"/>
      <c r="S29" s="28"/>
      <c r="T29" s="28"/>
      <c r="U29" s="28"/>
      <c r="V29" s="28"/>
      <c r="W29" s="28"/>
      <c r="X29" s="28"/>
      <c r="Y29" s="28"/>
      <c r="Z29" s="28"/>
      <c r="AA29" s="28" t="s">
        <v>334</v>
      </c>
      <c r="AB29" s="28"/>
      <c r="AC29" s="28"/>
      <c r="AD29" s="28"/>
      <c r="AE29" s="28"/>
      <c r="AF29" s="28"/>
      <c r="AG29" s="28" t="s">
        <v>334</v>
      </c>
      <c r="AH29" s="28" t="s">
        <v>178</v>
      </c>
      <c r="AJ29" s="28" t="s">
        <v>334</v>
      </c>
      <c r="AK29" s="103" t="s">
        <v>537</v>
      </c>
    </row>
    <row r="30" spans="1:37" x14ac:dyDescent="0.25">
      <c r="A30" s="26" t="s">
        <v>182</v>
      </c>
      <c r="B30" s="30">
        <f>1/3</f>
        <v>0.33333333333333331</v>
      </c>
      <c r="C30" s="30">
        <v>2</v>
      </c>
      <c r="D30" s="30">
        <v>4</v>
      </c>
      <c r="E30" s="30">
        <v>0.5</v>
      </c>
      <c r="F30" s="30">
        <f>1/3</f>
        <v>0.33333333333333331</v>
      </c>
      <c r="G30" s="30">
        <f>1/3</f>
        <v>0.33333333333333331</v>
      </c>
      <c r="H30" s="30">
        <f>1/3</f>
        <v>0.33333333333333331</v>
      </c>
      <c r="I30" s="30">
        <f>1/3</f>
        <v>0.33333333333333331</v>
      </c>
      <c r="J30" s="30">
        <f>1/3</f>
        <v>0.33333333333333331</v>
      </c>
      <c r="K30" s="30">
        <f>AVERAGE(1/3,0)</f>
        <v>0.16666666666666666</v>
      </c>
      <c r="L30" s="30">
        <f>AVERAGE(1/3,0)</f>
        <v>0.16666666666666666</v>
      </c>
      <c r="M30" s="30">
        <f>AVERAGE(1/3,0)</f>
        <v>0.16666666666666666</v>
      </c>
      <c r="N30" s="30">
        <f>1/3</f>
        <v>0.33333333333333331</v>
      </c>
      <c r="O30" s="30">
        <f>1/3</f>
        <v>0.33333333333333331</v>
      </c>
      <c r="P30" s="30">
        <v>2</v>
      </c>
      <c r="Q30" s="30">
        <v>2</v>
      </c>
      <c r="R30" s="30"/>
      <c r="S30" s="30"/>
      <c r="T30" s="30"/>
      <c r="U30" s="30"/>
      <c r="V30" s="30"/>
      <c r="W30" s="30"/>
      <c r="X30" s="30"/>
      <c r="Y30" s="30"/>
      <c r="Z30" s="30"/>
      <c r="AA30" s="30">
        <f>1/3</f>
        <v>0.33333333333333331</v>
      </c>
      <c r="AB30" s="30"/>
      <c r="AC30" s="30"/>
      <c r="AD30" s="30"/>
      <c r="AE30" s="30"/>
      <c r="AF30" s="30"/>
      <c r="AG30" s="30">
        <f>1/3</f>
        <v>0.33333333333333331</v>
      </c>
      <c r="AH30" s="30">
        <v>4</v>
      </c>
      <c r="AJ30" s="30">
        <f>1/3</f>
        <v>0.33333333333333331</v>
      </c>
      <c r="AK30" s="30">
        <f>AVERAGE(1/3,0)</f>
        <v>0.16666666666666666</v>
      </c>
    </row>
    <row r="31" spans="1:37" x14ac:dyDescent="0.25">
      <c r="AA31" s="26" t="s">
        <v>1127</v>
      </c>
      <c r="AH31" s="26" t="s">
        <v>1127</v>
      </c>
      <c r="AJ31" s="247" t="s">
        <v>1128</v>
      </c>
      <c r="AK31" s="247"/>
    </row>
    <row r="32" spans="1:37" x14ac:dyDescent="0.25">
      <c r="A32" s="31" t="s">
        <v>183</v>
      </c>
    </row>
    <row r="33" spans="1:21" x14ac:dyDescent="0.25">
      <c r="A33" s="93" t="s">
        <v>1129</v>
      </c>
      <c r="B33" s="56"/>
    </row>
    <row r="34" spans="1:21" x14ac:dyDescent="0.25">
      <c r="A34" s="93" t="s">
        <v>1130</v>
      </c>
      <c r="B34" s="56"/>
    </row>
    <row r="36" spans="1:21" x14ac:dyDescent="0.25">
      <c r="C36" s="26" t="s">
        <v>1131</v>
      </c>
      <c r="D36" s="26" t="s">
        <v>1132</v>
      </c>
      <c r="E36" s="26" t="s">
        <v>1133</v>
      </c>
      <c r="F36" s="27" t="s">
        <v>1134</v>
      </c>
      <c r="G36" s="27" t="s">
        <v>1134</v>
      </c>
      <c r="H36" s="27" t="s">
        <v>1134</v>
      </c>
      <c r="I36" s="27" t="s">
        <v>1134</v>
      </c>
      <c r="J36" s="26" t="s">
        <v>1134</v>
      </c>
      <c r="K36" s="26" t="s">
        <v>1135</v>
      </c>
      <c r="L36" s="26" t="s">
        <v>1135</v>
      </c>
      <c r="M36" s="26" t="s">
        <v>1135</v>
      </c>
      <c r="N36" s="26" t="s">
        <v>1136</v>
      </c>
      <c r="O36" s="26" t="s">
        <v>1136</v>
      </c>
      <c r="P36" s="26" t="s">
        <v>283</v>
      </c>
      <c r="Q36" s="26" t="s">
        <v>283</v>
      </c>
      <c r="S36" s="26" t="s">
        <v>1137</v>
      </c>
    </row>
    <row r="37" spans="1:21" x14ac:dyDescent="0.25">
      <c r="C37" s="27" t="s">
        <v>1138</v>
      </c>
      <c r="D37" s="27" t="s">
        <v>1138</v>
      </c>
      <c r="E37" s="27" t="s">
        <v>1139</v>
      </c>
      <c r="F37" s="26" t="s">
        <v>1139</v>
      </c>
      <c r="G37" s="26" t="s">
        <v>1139</v>
      </c>
      <c r="H37" s="26" t="s">
        <v>1139</v>
      </c>
      <c r="I37" s="26" t="s">
        <v>1139</v>
      </c>
      <c r="J37" s="26" t="s">
        <v>1139</v>
      </c>
      <c r="K37" s="26" t="s">
        <v>1140</v>
      </c>
      <c r="L37" s="26" t="s">
        <v>1140</v>
      </c>
      <c r="M37" s="26" t="s">
        <v>1140</v>
      </c>
      <c r="N37" s="26" t="s">
        <v>1140</v>
      </c>
      <c r="O37" s="26" t="s">
        <v>1140</v>
      </c>
      <c r="P37" s="26" t="s">
        <v>283</v>
      </c>
      <c r="Q37" s="26" t="s">
        <v>283</v>
      </c>
      <c r="S37" s="26" t="s">
        <v>1139</v>
      </c>
      <c r="T37" s="26" t="s">
        <v>1021</v>
      </c>
      <c r="U37" s="26" t="s">
        <v>1021</v>
      </c>
    </row>
    <row r="38" spans="1:21" x14ac:dyDescent="0.25">
      <c r="C38" s="26" t="s">
        <v>1099</v>
      </c>
      <c r="D38" s="26" t="s">
        <v>1099</v>
      </c>
      <c r="E38" s="26" t="s">
        <v>1099</v>
      </c>
      <c r="F38" s="26" t="s">
        <v>1099</v>
      </c>
      <c r="K38" s="26" t="s">
        <v>1140</v>
      </c>
      <c r="L38" s="26" t="s">
        <v>1140</v>
      </c>
      <c r="M38" s="26" t="s">
        <v>1140</v>
      </c>
      <c r="N38" s="27" t="s">
        <v>197</v>
      </c>
      <c r="O38" s="27" t="s">
        <v>197</v>
      </c>
      <c r="P38" s="26" t="s">
        <v>283</v>
      </c>
      <c r="Q38" s="26" t="s">
        <v>283</v>
      </c>
      <c r="S38" s="26" t="s">
        <v>1141</v>
      </c>
    </row>
    <row r="39" spans="1:21" x14ac:dyDescent="0.25">
      <c r="C39" s="27" t="s">
        <v>1142</v>
      </c>
      <c r="D39" s="27" t="s">
        <v>1143</v>
      </c>
      <c r="E39" s="27" t="s">
        <v>1144</v>
      </c>
      <c r="F39" s="27" t="s">
        <v>1145</v>
      </c>
      <c r="G39" s="27" t="s">
        <v>1145</v>
      </c>
      <c r="H39" s="27" t="s">
        <v>1145</v>
      </c>
      <c r="I39" s="27" t="s">
        <v>1145</v>
      </c>
      <c r="J39" s="26" t="s">
        <v>1139</v>
      </c>
      <c r="K39" s="26" t="s">
        <v>1140</v>
      </c>
      <c r="L39" s="26" t="s">
        <v>1140</v>
      </c>
      <c r="M39" s="26" t="s">
        <v>1140</v>
      </c>
      <c r="N39" s="26" t="s">
        <v>1139</v>
      </c>
      <c r="O39" s="26" t="s">
        <v>1146</v>
      </c>
      <c r="P39" s="26" t="s">
        <v>283</v>
      </c>
      <c r="Q39" s="26" t="s">
        <v>283</v>
      </c>
      <c r="T39" s="26" t="s">
        <v>1139</v>
      </c>
      <c r="U39" s="26" t="s">
        <v>1140</v>
      </c>
    </row>
    <row r="40" spans="1:21" x14ac:dyDescent="0.25">
      <c r="C40" s="26" t="s">
        <v>1021</v>
      </c>
      <c r="D40" s="26" t="s">
        <v>1021</v>
      </c>
      <c r="E40" s="26" t="s">
        <v>1021</v>
      </c>
      <c r="F40" s="26" t="s">
        <v>1021</v>
      </c>
      <c r="G40" s="26" t="s">
        <v>1021</v>
      </c>
      <c r="H40" s="26" t="s">
        <v>1021</v>
      </c>
      <c r="I40" s="26" t="s">
        <v>1021</v>
      </c>
      <c r="J40" s="26" t="s">
        <v>1021</v>
      </c>
      <c r="K40" s="26" t="s">
        <v>1021</v>
      </c>
      <c r="L40" s="26" t="s">
        <v>1021</v>
      </c>
      <c r="M40" s="26" t="s">
        <v>1021</v>
      </c>
      <c r="N40" s="26" t="s">
        <v>1021</v>
      </c>
      <c r="O40" s="26" t="s">
        <v>1021</v>
      </c>
      <c r="P40" s="26" t="s">
        <v>1021</v>
      </c>
      <c r="Q40" s="26" t="s">
        <v>1021</v>
      </c>
    </row>
    <row r="42" spans="1:21" x14ac:dyDescent="0.25">
      <c r="C42" s="26" t="s">
        <v>1099</v>
      </c>
      <c r="D42" s="26" t="s">
        <v>1099</v>
      </c>
      <c r="E42" s="26" t="s">
        <v>1099</v>
      </c>
      <c r="F42" s="26" t="s">
        <v>1099</v>
      </c>
      <c r="G42" s="26" t="s">
        <v>1099</v>
      </c>
      <c r="H42" s="26" t="s">
        <v>1099</v>
      </c>
      <c r="I42" s="26" t="s">
        <v>1099</v>
      </c>
      <c r="K42" s="26" t="s">
        <v>1099</v>
      </c>
      <c r="L42" s="26" t="s">
        <v>1099</v>
      </c>
      <c r="M42" s="26" t="s">
        <v>1099</v>
      </c>
      <c r="N42" s="26" t="s">
        <v>1099</v>
      </c>
      <c r="O42" s="26" t="s">
        <v>1099</v>
      </c>
      <c r="P42" s="26" t="s">
        <v>283</v>
      </c>
      <c r="Q42" s="26" t="s">
        <v>283</v>
      </c>
    </row>
  </sheetData>
  <mergeCells count="6">
    <mergeCell ref="AJ31:AK31"/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F9712-B7F4-4770-ACDD-DF1CD834A6CE}">
  <dimension ref="A1:CV49"/>
  <sheetViews>
    <sheetView topLeftCell="A5" workbookViewId="0">
      <selection activeCell="K22" sqref="K22"/>
    </sheetView>
  </sheetViews>
  <sheetFormatPr defaultColWidth="9.140625" defaultRowHeight="15" x14ac:dyDescent="0.25"/>
  <cols>
    <col min="1" max="1" width="23.28515625" style="26" bestFit="1" customWidth="1"/>
    <col min="2" max="100" width="5.7109375" style="26" customWidth="1"/>
    <col min="101" max="16384" width="9.140625" style="26"/>
  </cols>
  <sheetData>
    <row r="1" spans="1:100" x14ac:dyDescent="0.25">
      <c r="A1" s="25" t="s">
        <v>116</v>
      </c>
      <c r="D1" s="25" t="s">
        <v>895</v>
      </c>
      <c r="I1" s="25" t="s">
        <v>1120</v>
      </c>
    </row>
    <row r="3" spans="1:100" ht="18" x14ac:dyDescent="0.25">
      <c r="A3" s="25" t="s">
        <v>119</v>
      </c>
      <c r="B3" s="215">
        <v>76</v>
      </c>
      <c r="C3" s="215"/>
      <c r="D3" s="215"/>
      <c r="E3" s="25"/>
      <c r="F3" s="234" t="s">
        <v>120</v>
      </c>
      <c r="G3" s="234"/>
      <c r="H3" s="234"/>
      <c r="I3" s="234"/>
      <c r="J3" s="234"/>
      <c r="K3" s="234"/>
      <c r="L3" s="234"/>
      <c r="M3" s="234"/>
      <c r="N3" s="234"/>
      <c r="O3" s="234"/>
    </row>
    <row r="4" spans="1:100" ht="18" x14ac:dyDescent="0.25">
      <c r="A4" s="25" t="s">
        <v>121</v>
      </c>
      <c r="B4" s="215" t="s">
        <v>1147</v>
      </c>
      <c r="C4" s="215"/>
      <c r="D4" s="215"/>
      <c r="F4" s="216" t="s">
        <v>1148</v>
      </c>
      <c r="G4" s="217"/>
      <c r="H4" s="217"/>
      <c r="I4" s="217"/>
      <c r="J4" s="217"/>
      <c r="K4" s="217"/>
      <c r="L4" s="217"/>
      <c r="M4" s="217"/>
      <c r="N4" s="217"/>
      <c r="O4" s="217"/>
      <c r="P4" s="218"/>
    </row>
    <row r="5" spans="1:100" ht="18" x14ac:dyDescent="0.25">
      <c r="A5" s="25" t="s">
        <v>124</v>
      </c>
      <c r="B5" s="215" t="s">
        <v>899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0"/>
      <c r="P5" s="221"/>
    </row>
    <row r="7" spans="1:100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76" t="s">
        <v>157</v>
      </c>
      <c r="AH7" s="76" t="s">
        <v>158</v>
      </c>
      <c r="AJ7" s="32" t="s">
        <v>127</v>
      </c>
      <c r="AK7" s="32" t="s">
        <v>128</v>
      </c>
      <c r="AL7" s="33" t="s">
        <v>129</v>
      </c>
      <c r="AM7" s="34" t="s">
        <v>130</v>
      </c>
      <c r="AN7" s="35" t="s">
        <v>131</v>
      </c>
      <c r="AO7" s="35" t="s">
        <v>132</v>
      </c>
      <c r="AP7" s="36" t="s">
        <v>133</v>
      </c>
      <c r="AQ7" s="38" t="s">
        <v>134</v>
      </c>
      <c r="AR7" s="39" t="s">
        <v>135</v>
      </c>
      <c r="AS7" s="110" t="s">
        <v>136</v>
      </c>
      <c r="AT7" s="39" t="s">
        <v>137</v>
      </c>
      <c r="AU7" s="40" t="s">
        <v>138</v>
      </c>
      <c r="AV7" s="40" t="s">
        <v>139</v>
      </c>
      <c r="AW7" s="42" t="s">
        <v>140</v>
      </c>
      <c r="AX7" s="42" t="s">
        <v>141</v>
      </c>
      <c r="AY7" s="41" t="s">
        <v>142</v>
      </c>
      <c r="AZ7" s="44" t="s">
        <v>143</v>
      </c>
      <c r="BA7" s="45" t="s">
        <v>144</v>
      </c>
      <c r="BB7" s="45" t="s">
        <v>145</v>
      </c>
      <c r="BC7" s="46" t="s">
        <v>146</v>
      </c>
      <c r="BD7" s="46" t="s">
        <v>147</v>
      </c>
      <c r="BE7" s="47" t="s">
        <v>148</v>
      </c>
      <c r="BF7" s="47" t="s">
        <v>149</v>
      </c>
      <c r="BG7" s="48" t="s">
        <v>150</v>
      </c>
      <c r="BH7" s="48" t="s">
        <v>151</v>
      </c>
      <c r="BI7" s="49" t="s">
        <v>152</v>
      </c>
      <c r="BJ7" s="49" t="s">
        <v>153</v>
      </c>
      <c r="BK7" s="49" t="s">
        <v>154</v>
      </c>
      <c r="BL7" s="50" t="s">
        <v>155</v>
      </c>
      <c r="BM7" s="51" t="s">
        <v>156</v>
      </c>
      <c r="BN7" s="76" t="s">
        <v>157</v>
      </c>
      <c r="BO7" s="53" t="s">
        <v>158</v>
      </c>
      <c r="BQ7" s="32" t="s">
        <v>127</v>
      </c>
      <c r="BR7" s="32" t="s">
        <v>128</v>
      </c>
      <c r="BS7" s="33" t="s">
        <v>129</v>
      </c>
      <c r="BT7" s="34" t="s">
        <v>130</v>
      </c>
      <c r="BU7" s="35" t="s">
        <v>131</v>
      </c>
      <c r="BV7" s="35" t="s">
        <v>132</v>
      </c>
      <c r="BW7" s="36" t="s">
        <v>133</v>
      </c>
      <c r="BX7" s="38" t="s">
        <v>134</v>
      </c>
      <c r="BY7" s="39" t="s">
        <v>135</v>
      </c>
      <c r="BZ7" s="39" t="s">
        <v>136</v>
      </c>
      <c r="CA7" s="64" t="s">
        <v>137</v>
      </c>
      <c r="CB7" s="40" t="s">
        <v>138</v>
      </c>
      <c r="CC7" s="40" t="s">
        <v>139</v>
      </c>
      <c r="CD7" s="67" t="s">
        <v>140</v>
      </c>
      <c r="CE7" s="42" t="s">
        <v>141</v>
      </c>
      <c r="CF7" s="41" t="s">
        <v>142</v>
      </c>
      <c r="CG7" s="44" t="s">
        <v>143</v>
      </c>
      <c r="CH7" s="45" t="s">
        <v>144</v>
      </c>
      <c r="CI7" s="45" t="s">
        <v>145</v>
      </c>
      <c r="CJ7" s="46" t="s">
        <v>146</v>
      </c>
      <c r="CK7" s="46" t="s">
        <v>147</v>
      </c>
      <c r="CL7" s="47" t="s">
        <v>148</v>
      </c>
      <c r="CM7" s="47" t="s">
        <v>149</v>
      </c>
      <c r="CN7" s="48" t="s">
        <v>150</v>
      </c>
      <c r="CO7" s="72" t="s">
        <v>151</v>
      </c>
      <c r="CP7" s="49" t="s">
        <v>153</v>
      </c>
      <c r="CQ7" s="49" t="s">
        <v>154</v>
      </c>
      <c r="CR7" s="50" t="s">
        <v>155</v>
      </c>
      <c r="CS7" s="51" t="s">
        <v>156</v>
      </c>
      <c r="CT7" s="76" t="s">
        <v>157</v>
      </c>
      <c r="CU7" s="76" t="s">
        <v>157</v>
      </c>
      <c r="CV7" s="76" t="s">
        <v>158</v>
      </c>
    </row>
    <row r="8" spans="1:100" x14ac:dyDescent="0.25">
      <c r="A8" s="26" t="s">
        <v>159</v>
      </c>
      <c r="B8" s="28" t="s">
        <v>160</v>
      </c>
      <c r="C8" s="28" t="s">
        <v>556</v>
      </c>
      <c r="D8" s="28" t="s">
        <v>556</v>
      </c>
      <c r="E8" s="28" t="s">
        <v>161</v>
      </c>
      <c r="F8" s="28"/>
      <c r="G8" s="28" t="s">
        <v>161</v>
      </c>
      <c r="H8" s="28" t="s">
        <v>161</v>
      </c>
      <c r="I8" s="28" t="s">
        <v>161</v>
      </c>
      <c r="J8" s="28"/>
      <c r="K8" s="28" t="s">
        <v>1149</v>
      </c>
      <c r="L8" s="28" t="s">
        <v>1149</v>
      </c>
      <c r="M8" s="28" t="s">
        <v>1149</v>
      </c>
      <c r="N8" s="28"/>
      <c r="O8" s="28"/>
      <c r="P8" s="80" t="s">
        <v>341</v>
      </c>
      <c r="Q8" s="80" t="s">
        <v>341</v>
      </c>
      <c r="R8" s="28"/>
      <c r="S8" s="28"/>
      <c r="T8" s="28"/>
      <c r="U8" s="28"/>
      <c r="V8" s="28"/>
      <c r="W8" s="28"/>
      <c r="X8" s="28"/>
      <c r="Y8" s="28"/>
      <c r="Z8" s="28"/>
      <c r="AA8" s="28" t="s">
        <v>1150</v>
      </c>
      <c r="AB8" s="28"/>
      <c r="AC8" s="28"/>
      <c r="AD8" s="28"/>
      <c r="AE8" s="28"/>
      <c r="AF8" s="28"/>
      <c r="AG8" s="28"/>
      <c r="AH8" s="28" t="s">
        <v>556</v>
      </c>
      <c r="AJ8" s="80" t="s">
        <v>341</v>
      </c>
      <c r="AK8" s="80" t="s">
        <v>341</v>
      </c>
      <c r="AL8" s="28"/>
      <c r="AM8" s="28"/>
      <c r="AN8" s="80" t="s">
        <v>341</v>
      </c>
      <c r="AO8" s="80" t="s">
        <v>341</v>
      </c>
      <c r="AP8" s="80" t="s">
        <v>341</v>
      </c>
      <c r="AQ8" s="28"/>
      <c r="AR8" s="80" t="s">
        <v>341</v>
      </c>
      <c r="AS8" s="80" t="s">
        <v>341</v>
      </c>
      <c r="AT8" s="80" t="s">
        <v>341</v>
      </c>
      <c r="AU8" s="28"/>
      <c r="AV8" s="28"/>
      <c r="AW8" s="80" t="s">
        <v>341</v>
      </c>
      <c r="AX8" s="80" t="s">
        <v>341</v>
      </c>
      <c r="AY8" s="28"/>
      <c r="AZ8" s="28"/>
      <c r="BA8" s="28"/>
      <c r="BB8" s="28"/>
      <c r="BC8" s="28"/>
      <c r="BD8" s="28"/>
      <c r="BE8" s="28"/>
      <c r="BF8" s="28"/>
      <c r="BG8" s="28"/>
      <c r="BH8" s="28" t="s">
        <v>1150</v>
      </c>
      <c r="BI8" s="28"/>
      <c r="BJ8" s="28"/>
      <c r="BK8" s="28"/>
      <c r="BL8" s="28"/>
      <c r="BM8" s="28"/>
      <c r="BN8" s="28"/>
      <c r="BO8" s="28" t="s">
        <v>556</v>
      </c>
      <c r="BQ8" s="80" t="s">
        <v>341</v>
      </c>
      <c r="BR8" s="80" t="s">
        <v>341</v>
      </c>
      <c r="BS8" s="80" t="s">
        <v>341</v>
      </c>
      <c r="BT8" s="80" t="s">
        <v>341</v>
      </c>
      <c r="BU8" s="80" t="s">
        <v>341</v>
      </c>
      <c r="BV8" s="80" t="s">
        <v>341</v>
      </c>
      <c r="BW8" s="80" t="s">
        <v>341</v>
      </c>
      <c r="BX8" s="80" t="s">
        <v>341</v>
      </c>
      <c r="BY8" s="80" t="s">
        <v>341</v>
      </c>
      <c r="BZ8" s="80" t="s">
        <v>341</v>
      </c>
      <c r="CA8" s="80" t="s">
        <v>341</v>
      </c>
      <c r="CB8" s="28"/>
      <c r="CC8" s="28"/>
      <c r="CD8" s="80" t="s">
        <v>341</v>
      </c>
      <c r="CE8" s="80" t="s">
        <v>341</v>
      </c>
      <c r="CF8" s="28"/>
      <c r="CG8" s="28"/>
      <c r="CH8" s="28"/>
      <c r="CI8" s="28"/>
      <c r="CJ8" s="28"/>
      <c r="CK8" s="28"/>
      <c r="CL8" s="28"/>
      <c r="CM8" s="28"/>
      <c r="CN8" s="28"/>
      <c r="CO8" s="80" t="s">
        <v>341</v>
      </c>
      <c r="CP8" s="28"/>
      <c r="CQ8" s="28"/>
      <c r="CR8" s="28"/>
      <c r="CS8" s="28"/>
      <c r="CT8" s="28"/>
      <c r="CU8" s="28"/>
      <c r="CV8" s="80" t="s">
        <v>341</v>
      </c>
    </row>
    <row r="9" spans="1:100" x14ac:dyDescent="0.25">
      <c r="A9" s="26" t="s">
        <v>165</v>
      </c>
      <c r="B9" s="28" t="s">
        <v>161</v>
      </c>
      <c r="C9" s="28" t="s">
        <v>322</v>
      </c>
      <c r="D9" s="28" t="s">
        <v>322</v>
      </c>
      <c r="E9" s="28" t="s">
        <v>901</v>
      </c>
      <c r="F9" s="28"/>
      <c r="G9" s="28" t="s">
        <v>901</v>
      </c>
      <c r="H9" s="28" t="s">
        <v>901</v>
      </c>
      <c r="I9" s="28" t="s">
        <v>901</v>
      </c>
      <c r="J9" s="29"/>
      <c r="K9" s="28" t="s">
        <v>1151</v>
      </c>
      <c r="L9" s="28" t="s">
        <v>1152</v>
      </c>
      <c r="M9" s="28" t="s">
        <v>1151</v>
      </c>
      <c r="N9" s="29"/>
      <c r="O9" s="29"/>
      <c r="P9" s="80" t="s">
        <v>341</v>
      </c>
      <c r="Q9" s="80" t="s">
        <v>341</v>
      </c>
      <c r="R9" s="29"/>
      <c r="S9" s="29"/>
      <c r="T9" s="29"/>
      <c r="U9" s="29"/>
      <c r="V9" s="29"/>
      <c r="W9" s="29"/>
      <c r="X9" s="29"/>
      <c r="Y9" s="29"/>
      <c r="Z9" s="29"/>
      <c r="AA9" s="28" t="s">
        <v>1150</v>
      </c>
      <c r="AB9" s="29"/>
      <c r="AC9" s="29"/>
      <c r="AD9" s="29"/>
      <c r="AE9" s="29"/>
      <c r="AF9" s="29"/>
      <c r="AG9" s="28" t="s">
        <v>254</v>
      </c>
      <c r="AH9" s="28" t="s">
        <v>322</v>
      </c>
      <c r="AJ9" s="80" t="s">
        <v>341</v>
      </c>
      <c r="AK9" s="80" t="s">
        <v>341</v>
      </c>
      <c r="AL9" s="29"/>
      <c r="AM9" s="29"/>
      <c r="AN9" s="80" t="s">
        <v>341</v>
      </c>
      <c r="AO9" s="80" t="s">
        <v>341</v>
      </c>
      <c r="AP9" s="80" t="s">
        <v>341</v>
      </c>
      <c r="AQ9" s="29"/>
      <c r="AR9" s="80" t="s">
        <v>341</v>
      </c>
      <c r="AS9" s="80" t="s">
        <v>341</v>
      </c>
      <c r="AT9" s="80" t="s">
        <v>341</v>
      </c>
      <c r="AU9" s="29"/>
      <c r="AV9" s="29"/>
      <c r="AW9" s="80" t="s">
        <v>341</v>
      </c>
      <c r="AX9" s="80" t="s">
        <v>341</v>
      </c>
      <c r="AY9" s="29"/>
      <c r="AZ9" s="29"/>
      <c r="BA9" s="29"/>
      <c r="BB9" s="29"/>
      <c r="BC9" s="29"/>
      <c r="BD9" s="29"/>
      <c r="BE9" s="29"/>
      <c r="BF9" s="29"/>
      <c r="BG9" s="29"/>
      <c r="BH9" s="28" t="s">
        <v>1150</v>
      </c>
      <c r="BI9" s="29"/>
      <c r="BJ9" s="29"/>
      <c r="BK9" s="29"/>
      <c r="BL9" s="29"/>
      <c r="BM9" s="29"/>
      <c r="BN9" s="28"/>
      <c r="BO9" s="28" t="s">
        <v>322</v>
      </c>
      <c r="BQ9" s="80" t="s">
        <v>341</v>
      </c>
      <c r="BR9" s="80" t="s">
        <v>341</v>
      </c>
      <c r="BS9" s="80" t="s">
        <v>341</v>
      </c>
      <c r="BT9" s="80" t="s">
        <v>341</v>
      </c>
      <c r="BU9" s="80" t="s">
        <v>341</v>
      </c>
      <c r="BV9" s="80" t="s">
        <v>341</v>
      </c>
      <c r="BW9" s="80" t="s">
        <v>341</v>
      </c>
      <c r="BX9" s="80" t="s">
        <v>341</v>
      </c>
      <c r="BY9" s="80" t="s">
        <v>341</v>
      </c>
      <c r="BZ9" s="80" t="s">
        <v>341</v>
      </c>
      <c r="CA9" s="80" t="s">
        <v>341</v>
      </c>
      <c r="CB9" s="29"/>
      <c r="CC9" s="29"/>
      <c r="CD9" s="80" t="s">
        <v>341</v>
      </c>
      <c r="CE9" s="80" t="s">
        <v>341</v>
      </c>
      <c r="CF9" s="29"/>
      <c r="CG9" s="29"/>
      <c r="CH9" s="29"/>
      <c r="CI9" s="29"/>
      <c r="CJ9" s="29"/>
      <c r="CK9" s="29"/>
      <c r="CL9" s="29"/>
      <c r="CM9" s="29"/>
      <c r="CN9" s="29"/>
      <c r="CO9" s="80" t="s">
        <v>341</v>
      </c>
      <c r="CP9" s="29"/>
      <c r="CQ9" s="29"/>
      <c r="CR9" s="29"/>
      <c r="CS9" s="29"/>
      <c r="CT9" s="28"/>
      <c r="CU9" s="28"/>
      <c r="CV9" s="80" t="s">
        <v>341</v>
      </c>
    </row>
    <row r="10" spans="1:100" x14ac:dyDescent="0.25">
      <c r="A10" s="131" t="s">
        <v>168</v>
      </c>
      <c r="B10" s="157">
        <v>2</v>
      </c>
      <c r="C10" s="157">
        <v>98</v>
      </c>
      <c r="D10" s="157">
        <v>98</v>
      </c>
      <c r="E10" s="157">
        <v>91</v>
      </c>
      <c r="F10" s="157"/>
      <c r="G10" s="157">
        <v>91</v>
      </c>
      <c r="H10" s="157">
        <v>91</v>
      </c>
      <c r="I10" s="157">
        <v>91</v>
      </c>
      <c r="J10" s="157"/>
      <c r="K10" s="157">
        <v>254</v>
      </c>
      <c r="L10" s="157">
        <v>255</v>
      </c>
      <c r="M10" s="157">
        <v>256</v>
      </c>
      <c r="N10" s="157"/>
      <c r="O10" s="157"/>
      <c r="P10" s="198"/>
      <c r="Q10" s="198"/>
      <c r="R10" s="157"/>
      <c r="S10" s="157"/>
      <c r="T10" s="157"/>
      <c r="U10" s="157"/>
      <c r="V10" s="157"/>
      <c r="W10" s="157"/>
      <c r="X10" s="157"/>
      <c r="Y10" s="157"/>
      <c r="Z10" s="157"/>
      <c r="AA10" s="157">
        <v>196</v>
      </c>
      <c r="AB10" s="157"/>
      <c r="AC10" s="157"/>
      <c r="AD10" s="157"/>
      <c r="AE10" s="157"/>
      <c r="AF10" s="157"/>
      <c r="AG10" s="157"/>
      <c r="AH10" s="157">
        <v>98</v>
      </c>
      <c r="AJ10" s="198"/>
      <c r="AK10" s="198"/>
      <c r="AL10" s="157"/>
      <c r="AM10" s="157"/>
      <c r="AN10" s="198"/>
      <c r="AO10" s="198"/>
      <c r="AP10" s="198"/>
      <c r="AQ10" s="157"/>
      <c r="AR10" s="198"/>
      <c r="AS10" s="198"/>
      <c r="AT10" s="198"/>
      <c r="AU10" s="157"/>
      <c r="AV10" s="157"/>
      <c r="AW10" s="198"/>
      <c r="AX10" s="198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>
        <v>196</v>
      </c>
      <c r="BI10" s="157"/>
      <c r="BJ10" s="157"/>
      <c r="BK10" s="157"/>
      <c r="BL10" s="157"/>
      <c r="BM10" s="157"/>
      <c r="BN10" s="157"/>
      <c r="BO10" s="157">
        <v>98</v>
      </c>
      <c r="BQ10" s="198"/>
      <c r="BR10" s="198"/>
      <c r="BS10" s="198"/>
      <c r="BT10" s="198"/>
      <c r="BU10" s="198"/>
      <c r="BV10" s="198"/>
      <c r="BW10" s="198"/>
      <c r="BX10" s="198"/>
      <c r="BY10" s="198"/>
      <c r="BZ10" s="198"/>
      <c r="CA10" s="198"/>
      <c r="CB10" s="157"/>
      <c r="CC10" s="157"/>
      <c r="CD10" s="198"/>
      <c r="CE10" s="198"/>
      <c r="CF10" s="157"/>
      <c r="CG10" s="157"/>
      <c r="CH10" s="157"/>
      <c r="CI10" s="157"/>
      <c r="CJ10" s="157"/>
      <c r="CK10" s="157"/>
      <c r="CL10" s="157"/>
      <c r="CM10" s="157"/>
      <c r="CN10" s="157"/>
      <c r="CO10" s="198"/>
      <c r="CP10" s="157"/>
      <c r="CQ10" s="157"/>
      <c r="CR10" s="157"/>
      <c r="CS10" s="157"/>
      <c r="CT10" s="157"/>
      <c r="CU10" s="157"/>
      <c r="CV10" s="198"/>
    </row>
    <row r="11" spans="1:100" x14ac:dyDescent="0.25">
      <c r="A11" s="26" t="s">
        <v>169</v>
      </c>
      <c r="B11" s="29" t="s">
        <v>170</v>
      </c>
      <c r="C11" s="28" t="s">
        <v>170</v>
      </c>
      <c r="D11" s="28" t="s">
        <v>170</v>
      </c>
      <c r="E11" s="29" t="s">
        <v>170</v>
      </c>
      <c r="F11" s="29"/>
      <c r="G11" s="29" t="s">
        <v>170</v>
      </c>
      <c r="H11" s="29" t="s">
        <v>170</v>
      </c>
      <c r="I11" s="29" t="s">
        <v>170</v>
      </c>
      <c r="J11" s="28"/>
      <c r="K11" s="29" t="s">
        <v>170</v>
      </c>
      <c r="L11" s="29" t="s">
        <v>170</v>
      </c>
      <c r="M11" s="29" t="s">
        <v>170</v>
      </c>
      <c r="N11" s="28"/>
      <c r="O11" s="28"/>
      <c r="P11" s="80" t="s">
        <v>173</v>
      </c>
      <c r="Q11" s="80" t="s">
        <v>173</v>
      </c>
      <c r="R11" s="28"/>
      <c r="S11" s="28"/>
      <c r="T11" s="28"/>
      <c r="U11" s="28"/>
      <c r="V11" s="28"/>
      <c r="W11" s="28"/>
      <c r="X11" s="28"/>
      <c r="Y11" s="28"/>
      <c r="Z11" s="28"/>
      <c r="AA11" s="29" t="s">
        <v>170</v>
      </c>
      <c r="AB11" s="28"/>
      <c r="AC11" s="29"/>
      <c r="AD11" s="28"/>
      <c r="AE11" s="29"/>
      <c r="AF11" s="28"/>
      <c r="AG11" s="29"/>
      <c r="AH11" s="29" t="s">
        <v>170</v>
      </c>
      <c r="AJ11" s="80" t="s">
        <v>173</v>
      </c>
      <c r="AK11" s="80" t="s">
        <v>173</v>
      </c>
      <c r="AL11" s="28"/>
      <c r="AM11" s="28"/>
      <c r="AN11" s="80" t="s">
        <v>173</v>
      </c>
      <c r="AO11" s="80" t="s">
        <v>173</v>
      </c>
      <c r="AP11" s="80" t="s">
        <v>173</v>
      </c>
      <c r="AQ11" s="28"/>
      <c r="AR11" s="80" t="s">
        <v>173</v>
      </c>
      <c r="AS11" s="80" t="s">
        <v>173</v>
      </c>
      <c r="AT11" s="80" t="s">
        <v>173</v>
      </c>
      <c r="AU11" s="28"/>
      <c r="AV11" s="28"/>
      <c r="AW11" s="80" t="s">
        <v>173</v>
      </c>
      <c r="AX11" s="80" t="s">
        <v>173</v>
      </c>
      <c r="AY11" s="28"/>
      <c r="AZ11" s="28"/>
      <c r="BA11" s="28"/>
      <c r="BB11" s="28"/>
      <c r="BC11" s="28"/>
      <c r="BD11" s="28"/>
      <c r="BE11" s="28"/>
      <c r="BF11" s="28"/>
      <c r="BG11" s="28"/>
      <c r="BH11" s="28" t="s">
        <v>170</v>
      </c>
      <c r="BI11" s="28"/>
      <c r="BJ11" s="29"/>
      <c r="BK11" s="28"/>
      <c r="BL11" s="29"/>
      <c r="BM11" s="28"/>
      <c r="BN11" s="29"/>
      <c r="BO11" s="28" t="s">
        <v>170</v>
      </c>
      <c r="BQ11" s="80" t="s">
        <v>173</v>
      </c>
      <c r="BR11" s="80" t="s">
        <v>173</v>
      </c>
      <c r="BS11" s="80" t="s">
        <v>173</v>
      </c>
      <c r="BT11" s="80" t="s">
        <v>173</v>
      </c>
      <c r="BU11" s="80" t="s">
        <v>173</v>
      </c>
      <c r="BV11" s="80" t="s">
        <v>173</v>
      </c>
      <c r="BW11" s="80" t="s">
        <v>173</v>
      </c>
      <c r="BX11" s="80" t="s">
        <v>173</v>
      </c>
      <c r="BY11" s="80" t="s">
        <v>173</v>
      </c>
      <c r="BZ11" s="80" t="s">
        <v>173</v>
      </c>
      <c r="CA11" s="80" t="s">
        <v>173</v>
      </c>
      <c r="CB11" s="28"/>
      <c r="CC11" s="28"/>
      <c r="CD11" s="80" t="s">
        <v>173</v>
      </c>
      <c r="CE11" s="80" t="s">
        <v>173</v>
      </c>
      <c r="CF11" s="28"/>
      <c r="CG11" s="28"/>
      <c r="CH11" s="28"/>
      <c r="CI11" s="28"/>
      <c r="CJ11" s="28"/>
      <c r="CK11" s="28"/>
      <c r="CL11" s="28"/>
      <c r="CM11" s="28"/>
      <c r="CN11" s="28"/>
      <c r="CO11" s="80" t="s">
        <v>173</v>
      </c>
      <c r="CP11" s="29"/>
      <c r="CQ11" s="28"/>
      <c r="CR11" s="29"/>
      <c r="CS11" s="28"/>
      <c r="CT11" s="29"/>
      <c r="CU11" s="29"/>
      <c r="CV11" s="80" t="s">
        <v>173</v>
      </c>
    </row>
    <row r="12" spans="1:100" x14ac:dyDescent="0.25">
      <c r="A12" s="26" t="s">
        <v>171</v>
      </c>
      <c r="B12" s="28" t="s">
        <v>170</v>
      </c>
      <c r="C12" s="28" t="s">
        <v>170</v>
      </c>
      <c r="D12" s="28" t="s">
        <v>170</v>
      </c>
      <c r="E12" s="29" t="s">
        <v>170</v>
      </c>
      <c r="F12" s="28"/>
      <c r="G12" s="29" t="s">
        <v>170</v>
      </c>
      <c r="H12" s="29" t="s">
        <v>170</v>
      </c>
      <c r="I12" s="29" t="s">
        <v>170</v>
      </c>
      <c r="J12" s="28"/>
      <c r="K12" s="28" t="s">
        <v>170</v>
      </c>
      <c r="L12" s="28" t="s">
        <v>170</v>
      </c>
      <c r="M12" s="28" t="s">
        <v>170</v>
      </c>
      <c r="N12" s="28"/>
      <c r="O12" s="28"/>
      <c r="P12" s="80" t="s">
        <v>173</v>
      </c>
      <c r="Q12" s="80" t="s">
        <v>173</v>
      </c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170</v>
      </c>
      <c r="AB12" s="28"/>
      <c r="AC12" s="28"/>
      <c r="AD12" s="28"/>
      <c r="AE12" s="28"/>
      <c r="AF12" s="28"/>
      <c r="AG12" s="28"/>
      <c r="AH12" s="28" t="s">
        <v>170</v>
      </c>
      <c r="AJ12" s="80" t="s">
        <v>173</v>
      </c>
      <c r="AK12" s="80" t="s">
        <v>173</v>
      </c>
      <c r="AL12" s="28"/>
      <c r="AM12" s="28"/>
      <c r="AN12" s="80" t="s">
        <v>173</v>
      </c>
      <c r="AO12" s="80" t="s">
        <v>173</v>
      </c>
      <c r="AP12" s="80" t="s">
        <v>173</v>
      </c>
      <c r="AQ12" s="28"/>
      <c r="AR12" s="80" t="s">
        <v>173</v>
      </c>
      <c r="AS12" s="80" t="s">
        <v>173</v>
      </c>
      <c r="AT12" s="80" t="s">
        <v>173</v>
      </c>
      <c r="AU12" s="28"/>
      <c r="AV12" s="28"/>
      <c r="AW12" s="80" t="s">
        <v>173</v>
      </c>
      <c r="AX12" s="80" t="s">
        <v>173</v>
      </c>
      <c r="AY12" s="28"/>
      <c r="AZ12" s="28"/>
      <c r="BA12" s="28"/>
      <c r="BB12" s="28"/>
      <c r="BC12" s="28"/>
      <c r="BD12" s="28"/>
      <c r="BE12" s="28"/>
      <c r="BF12" s="28"/>
      <c r="BG12" s="28"/>
      <c r="BH12" s="28" t="s">
        <v>170</v>
      </c>
      <c r="BI12" s="28"/>
      <c r="BJ12" s="28"/>
      <c r="BK12" s="28"/>
      <c r="BL12" s="28"/>
      <c r="BM12" s="28"/>
      <c r="BN12" s="28"/>
      <c r="BO12" s="28" t="s">
        <v>170</v>
      </c>
      <c r="BQ12" s="80" t="s">
        <v>173</v>
      </c>
      <c r="BR12" s="80" t="s">
        <v>173</v>
      </c>
      <c r="BS12" s="80" t="s">
        <v>173</v>
      </c>
      <c r="BT12" s="80" t="s">
        <v>173</v>
      </c>
      <c r="BU12" s="80" t="s">
        <v>173</v>
      </c>
      <c r="BV12" s="80" t="s">
        <v>173</v>
      </c>
      <c r="BW12" s="80" t="s">
        <v>173</v>
      </c>
      <c r="BX12" s="80" t="s">
        <v>173</v>
      </c>
      <c r="BY12" s="80" t="s">
        <v>173</v>
      </c>
      <c r="BZ12" s="80" t="s">
        <v>173</v>
      </c>
      <c r="CA12" s="80" t="s">
        <v>173</v>
      </c>
      <c r="CB12" s="28"/>
      <c r="CC12" s="28"/>
      <c r="CD12" s="80" t="s">
        <v>173</v>
      </c>
      <c r="CE12" s="80" t="s">
        <v>173</v>
      </c>
      <c r="CF12" s="28"/>
      <c r="CG12" s="28"/>
      <c r="CH12" s="28"/>
      <c r="CI12" s="28"/>
      <c r="CJ12" s="28"/>
      <c r="CK12" s="28"/>
      <c r="CL12" s="28"/>
      <c r="CM12" s="28"/>
      <c r="CN12" s="28"/>
      <c r="CO12" s="80" t="s">
        <v>173</v>
      </c>
      <c r="CP12" s="28"/>
      <c r="CQ12" s="28"/>
      <c r="CR12" s="28"/>
      <c r="CS12" s="28"/>
      <c r="CT12" s="28"/>
      <c r="CU12" s="28"/>
      <c r="CV12" s="80" t="s">
        <v>173</v>
      </c>
    </row>
    <row r="13" spans="1:100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/>
      <c r="G13" s="28" t="s">
        <v>173</v>
      </c>
      <c r="H13" s="28" t="s">
        <v>173</v>
      </c>
      <c r="I13" s="28" t="s">
        <v>173</v>
      </c>
      <c r="J13" s="28"/>
      <c r="K13" s="28" t="s">
        <v>287</v>
      </c>
      <c r="L13" s="28" t="s">
        <v>287</v>
      </c>
      <c r="M13" s="28" t="s">
        <v>287</v>
      </c>
      <c r="N13" s="28"/>
      <c r="O13" s="28"/>
      <c r="P13" s="80" t="s">
        <v>173</v>
      </c>
      <c r="Q13" s="80" t="s">
        <v>173</v>
      </c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173</v>
      </c>
      <c r="AB13" s="28"/>
      <c r="AC13" s="28"/>
      <c r="AD13" s="28"/>
      <c r="AE13" s="28"/>
      <c r="AF13" s="28"/>
      <c r="AG13" s="28"/>
      <c r="AH13" s="28" t="s">
        <v>173</v>
      </c>
      <c r="AJ13" s="80" t="s">
        <v>173</v>
      </c>
      <c r="AK13" s="80" t="s">
        <v>173</v>
      </c>
      <c r="AL13" s="28"/>
      <c r="AM13" s="28"/>
      <c r="AN13" s="80" t="s">
        <v>173</v>
      </c>
      <c r="AO13" s="80" t="s">
        <v>173</v>
      </c>
      <c r="AP13" s="80" t="s">
        <v>173</v>
      </c>
      <c r="AQ13" s="28"/>
      <c r="AR13" s="80" t="s">
        <v>173</v>
      </c>
      <c r="AS13" s="80" t="s">
        <v>173</v>
      </c>
      <c r="AT13" s="80" t="s">
        <v>173</v>
      </c>
      <c r="AU13" s="28"/>
      <c r="AV13" s="28"/>
      <c r="AW13" s="80" t="s">
        <v>173</v>
      </c>
      <c r="AX13" s="80" t="s">
        <v>173</v>
      </c>
      <c r="AY13" s="28"/>
      <c r="AZ13" s="28"/>
      <c r="BA13" s="28"/>
      <c r="BB13" s="28"/>
      <c r="BC13" s="28"/>
      <c r="BD13" s="28"/>
      <c r="BE13" s="28"/>
      <c r="BF13" s="28"/>
      <c r="BG13" s="28"/>
      <c r="BH13" s="28" t="s">
        <v>173</v>
      </c>
      <c r="BI13" s="28"/>
      <c r="BJ13" s="28"/>
      <c r="BK13" s="28"/>
      <c r="BL13" s="28"/>
      <c r="BM13" s="28"/>
      <c r="BN13" s="28"/>
      <c r="BO13" s="28" t="s">
        <v>173</v>
      </c>
      <c r="BQ13" s="80" t="s">
        <v>173</v>
      </c>
      <c r="BR13" s="80" t="s">
        <v>173</v>
      </c>
      <c r="BS13" s="80" t="s">
        <v>173</v>
      </c>
      <c r="BT13" s="80" t="s">
        <v>173</v>
      </c>
      <c r="BU13" s="80" t="s">
        <v>173</v>
      </c>
      <c r="BV13" s="80" t="s">
        <v>173</v>
      </c>
      <c r="BW13" s="80" t="s">
        <v>173</v>
      </c>
      <c r="BX13" s="80" t="s">
        <v>173</v>
      </c>
      <c r="BY13" s="80" t="s">
        <v>173</v>
      </c>
      <c r="BZ13" s="80" t="s">
        <v>173</v>
      </c>
      <c r="CA13" s="80" t="s">
        <v>173</v>
      </c>
      <c r="CB13" s="28"/>
      <c r="CC13" s="28"/>
      <c r="CD13" s="80" t="s">
        <v>173</v>
      </c>
      <c r="CE13" s="80" t="s">
        <v>173</v>
      </c>
      <c r="CF13" s="28"/>
      <c r="CG13" s="28"/>
      <c r="CH13" s="28"/>
      <c r="CI13" s="28"/>
      <c r="CJ13" s="28"/>
      <c r="CK13" s="28"/>
      <c r="CL13" s="28"/>
      <c r="CM13" s="28"/>
      <c r="CN13" s="28"/>
      <c r="CO13" s="80" t="s">
        <v>173</v>
      </c>
      <c r="CP13" s="28"/>
      <c r="CQ13" s="28"/>
      <c r="CR13" s="28"/>
      <c r="CS13" s="28"/>
      <c r="CT13" s="28"/>
      <c r="CU13" s="28"/>
      <c r="CV13" s="80" t="s">
        <v>173</v>
      </c>
    </row>
    <row r="14" spans="1:100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/>
      <c r="G14" s="28" t="s">
        <v>173</v>
      </c>
      <c r="H14" s="28" t="s">
        <v>173</v>
      </c>
      <c r="I14" s="28" t="s">
        <v>173</v>
      </c>
      <c r="J14" s="28"/>
      <c r="K14" s="28" t="s">
        <v>173</v>
      </c>
      <c r="L14" s="28" t="s">
        <v>173</v>
      </c>
      <c r="M14" s="28" t="s">
        <v>173</v>
      </c>
      <c r="N14" s="28"/>
      <c r="O14" s="28"/>
      <c r="P14" s="80" t="s">
        <v>173</v>
      </c>
      <c r="Q14" s="80" t="s">
        <v>173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173</v>
      </c>
      <c r="AB14" s="28"/>
      <c r="AC14" s="28"/>
      <c r="AD14" s="28"/>
      <c r="AE14" s="28"/>
      <c r="AF14" s="28"/>
      <c r="AG14" s="28"/>
      <c r="AH14" s="28" t="s">
        <v>173</v>
      </c>
      <c r="AJ14" s="80" t="s">
        <v>173</v>
      </c>
      <c r="AK14" s="80" t="s">
        <v>173</v>
      </c>
      <c r="AL14" s="28"/>
      <c r="AM14" s="28"/>
      <c r="AN14" s="80" t="s">
        <v>173</v>
      </c>
      <c r="AO14" s="80" t="s">
        <v>173</v>
      </c>
      <c r="AP14" s="80" t="s">
        <v>173</v>
      </c>
      <c r="AQ14" s="28"/>
      <c r="AR14" s="80" t="s">
        <v>173</v>
      </c>
      <c r="AS14" s="80" t="s">
        <v>173</v>
      </c>
      <c r="AT14" s="80" t="s">
        <v>173</v>
      </c>
      <c r="AU14" s="28"/>
      <c r="AV14" s="28"/>
      <c r="AW14" s="80" t="s">
        <v>173</v>
      </c>
      <c r="AX14" s="80" t="s">
        <v>173</v>
      </c>
      <c r="AY14" s="28"/>
      <c r="AZ14" s="28"/>
      <c r="BA14" s="28"/>
      <c r="BB14" s="28"/>
      <c r="BC14" s="28"/>
      <c r="BD14" s="28"/>
      <c r="BE14" s="28"/>
      <c r="BF14" s="28"/>
      <c r="BG14" s="28"/>
      <c r="BH14" s="29" t="s">
        <v>173</v>
      </c>
      <c r="BI14" s="28"/>
      <c r="BJ14" s="28"/>
      <c r="BK14" s="28"/>
      <c r="BL14" s="28"/>
      <c r="BM14" s="28"/>
      <c r="BN14" s="28"/>
      <c r="BO14" s="29" t="s">
        <v>173</v>
      </c>
      <c r="BQ14" s="80" t="s">
        <v>173</v>
      </c>
      <c r="BR14" s="80" t="s">
        <v>173</v>
      </c>
      <c r="BS14" s="80" t="s">
        <v>173</v>
      </c>
      <c r="BT14" s="80" t="s">
        <v>173</v>
      </c>
      <c r="BU14" s="80" t="s">
        <v>173</v>
      </c>
      <c r="BV14" s="80" t="s">
        <v>173</v>
      </c>
      <c r="BW14" s="80" t="s">
        <v>173</v>
      </c>
      <c r="BX14" s="80" t="s">
        <v>173</v>
      </c>
      <c r="BY14" s="80" t="s">
        <v>173</v>
      </c>
      <c r="BZ14" s="80" t="s">
        <v>173</v>
      </c>
      <c r="CA14" s="80" t="s">
        <v>173</v>
      </c>
      <c r="CB14" s="28"/>
      <c r="CC14" s="28"/>
      <c r="CD14" s="80" t="s">
        <v>173</v>
      </c>
      <c r="CE14" s="80" t="s">
        <v>173</v>
      </c>
      <c r="CF14" s="28"/>
      <c r="CG14" s="28"/>
      <c r="CH14" s="28"/>
      <c r="CI14" s="28"/>
      <c r="CJ14" s="28"/>
      <c r="CK14" s="28"/>
      <c r="CL14" s="28"/>
      <c r="CM14" s="28"/>
      <c r="CN14" s="28"/>
      <c r="CO14" s="80" t="s">
        <v>173</v>
      </c>
      <c r="CP14" s="28"/>
      <c r="CQ14" s="28"/>
      <c r="CR14" s="28"/>
      <c r="CS14" s="28"/>
      <c r="CT14" s="28"/>
      <c r="CU14" s="28"/>
      <c r="CV14" s="80" t="s">
        <v>173</v>
      </c>
    </row>
    <row r="15" spans="1:100" x14ac:dyDescent="0.25">
      <c r="A15" s="26" t="s">
        <v>175</v>
      </c>
      <c r="B15" s="28" t="s">
        <v>160</v>
      </c>
      <c r="C15" s="28" t="s">
        <v>199</v>
      </c>
      <c r="D15" s="28" t="s">
        <v>199</v>
      </c>
      <c r="E15" s="28" t="s">
        <v>160</v>
      </c>
      <c r="F15" s="28"/>
      <c r="G15" s="28" t="s">
        <v>160</v>
      </c>
      <c r="H15" s="28" t="s">
        <v>160</v>
      </c>
      <c r="I15" s="28" t="s">
        <v>160</v>
      </c>
      <c r="J15" s="28"/>
      <c r="K15" s="28" t="s">
        <v>731</v>
      </c>
      <c r="L15" s="28" t="s">
        <v>731</v>
      </c>
      <c r="M15" s="28" t="s">
        <v>731</v>
      </c>
      <c r="N15" s="28"/>
      <c r="O15" s="28"/>
      <c r="P15" s="80" t="s">
        <v>160</v>
      </c>
      <c r="Q15" s="80" t="s">
        <v>160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160</v>
      </c>
      <c r="AB15" s="28"/>
      <c r="AC15" s="28"/>
      <c r="AD15" s="28"/>
      <c r="AE15" s="28"/>
      <c r="AF15" s="28"/>
      <c r="AG15" s="28"/>
      <c r="AH15" s="28" t="s">
        <v>199</v>
      </c>
      <c r="AJ15" s="80" t="s">
        <v>160</v>
      </c>
      <c r="AK15" s="80" t="s">
        <v>160</v>
      </c>
      <c r="AL15" s="28"/>
      <c r="AM15" s="28"/>
      <c r="AN15" s="80" t="s">
        <v>160</v>
      </c>
      <c r="AO15" s="80" t="s">
        <v>160</v>
      </c>
      <c r="AP15" s="80" t="s">
        <v>160</v>
      </c>
      <c r="AQ15" s="28"/>
      <c r="AR15" s="80" t="s">
        <v>199</v>
      </c>
      <c r="AS15" s="80" t="s">
        <v>199</v>
      </c>
      <c r="AT15" s="80" t="s">
        <v>199</v>
      </c>
      <c r="AU15" s="28"/>
      <c r="AV15" s="28"/>
      <c r="AW15" s="80" t="s">
        <v>160</v>
      </c>
      <c r="AX15" s="80" t="s">
        <v>160</v>
      </c>
      <c r="AY15" s="28"/>
      <c r="AZ15" s="28"/>
      <c r="BA15" s="28"/>
      <c r="BB15" s="28"/>
      <c r="BC15" s="28"/>
      <c r="BD15" s="28"/>
      <c r="BE15" s="28"/>
      <c r="BF15" s="28"/>
      <c r="BG15" s="28"/>
      <c r="BH15" s="28" t="s">
        <v>160</v>
      </c>
      <c r="BI15" s="28"/>
      <c r="BJ15" s="28"/>
      <c r="BK15" s="28"/>
      <c r="BL15" s="28"/>
      <c r="BM15" s="28"/>
      <c r="BN15" s="28"/>
      <c r="BO15" s="28" t="s">
        <v>199</v>
      </c>
      <c r="BQ15" s="80" t="s">
        <v>160</v>
      </c>
      <c r="BR15" s="80" t="s">
        <v>160</v>
      </c>
      <c r="BS15" s="80" t="s">
        <v>160</v>
      </c>
      <c r="BT15" s="80" t="s">
        <v>160</v>
      </c>
      <c r="BU15" s="80" t="s">
        <v>160</v>
      </c>
      <c r="BV15" s="80" t="s">
        <v>160</v>
      </c>
      <c r="BW15" s="80" t="s">
        <v>160</v>
      </c>
      <c r="BX15" s="80" t="s">
        <v>160</v>
      </c>
      <c r="BY15" s="80" t="s">
        <v>160</v>
      </c>
      <c r="BZ15" s="80" t="s">
        <v>160</v>
      </c>
      <c r="CA15" s="80" t="s">
        <v>160</v>
      </c>
      <c r="CB15" s="28"/>
      <c r="CC15" s="28"/>
      <c r="CD15" s="80" t="s">
        <v>160</v>
      </c>
      <c r="CE15" s="80" t="s">
        <v>160</v>
      </c>
      <c r="CF15" s="28"/>
      <c r="CG15" s="28"/>
      <c r="CH15" s="28"/>
      <c r="CI15" s="28"/>
      <c r="CJ15" s="28"/>
      <c r="CK15" s="28"/>
      <c r="CL15" s="28"/>
      <c r="CM15" s="28"/>
      <c r="CN15" s="28"/>
      <c r="CO15" s="80" t="s">
        <v>160</v>
      </c>
      <c r="CP15" s="28"/>
      <c r="CQ15" s="28"/>
      <c r="CR15" s="28"/>
      <c r="CS15" s="28"/>
      <c r="CT15" s="28"/>
      <c r="CU15" s="28"/>
      <c r="CV15" s="80" t="s">
        <v>160</v>
      </c>
    </row>
    <row r="16" spans="1:100" x14ac:dyDescent="0.25">
      <c r="A16" s="26" t="s">
        <v>176</v>
      </c>
      <c r="B16" s="30">
        <v>3</v>
      </c>
      <c r="C16" s="30">
        <v>-2</v>
      </c>
      <c r="D16" s="30">
        <v>-2</v>
      </c>
      <c r="E16" s="30">
        <v>3</v>
      </c>
      <c r="F16" s="30"/>
      <c r="G16" s="30">
        <v>3</v>
      </c>
      <c r="H16" s="30">
        <v>3</v>
      </c>
      <c r="I16" s="30">
        <v>3</v>
      </c>
      <c r="J16" s="30"/>
      <c r="K16" s="30">
        <f>AVERAGE(3,-0.5)</f>
        <v>1.25</v>
      </c>
      <c r="L16" s="30">
        <f>AVERAGE(3,-0.5)</f>
        <v>1.25</v>
      </c>
      <c r="M16" s="30">
        <f>AVERAGE(3,-0.5)</f>
        <v>1.25</v>
      </c>
      <c r="N16" s="30"/>
      <c r="O16" s="30"/>
      <c r="P16" s="82">
        <v>3</v>
      </c>
      <c r="Q16" s="82">
        <v>3</v>
      </c>
      <c r="R16" s="30"/>
      <c r="S16" s="30"/>
      <c r="T16" s="30"/>
      <c r="U16" s="30"/>
      <c r="V16" s="30"/>
      <c r="W16" s="30"/>
      <c r="X16" s="30"/>
      <c r="Y16" s="30"/>
      <c r="Z16" s="30"/>
      <c r="AA16" s="30">
        <v>3</v>
      </c>
      <c r="AB16" s="30"/>
      <c r="AC16" s="30"/>
      <c r="AD16" s="30"/>
      <c r="AE16" s="30"/>
      <c r="AF16" s="30"/>
      <c r="AG16" s="30"/>
      <c r="AH16" s="30">
        <v>-2</v>
      </c>
      <c r="AJ16" s="82">
        <v>3</v>
      </c>
      <c r="AK16" s="82">
        <v>3</v>
      </c>
      <c r="AL16" s="30"/>
      <c r="AM16" s="30"/>
      <c r="AN16" s="82">
        <v>3</v>
      </c>
      <c r="AO16" s="82">
        <v>3</v>
      </c>
      <c r="AP16" s="82">
        <v>3</v>
      </c>
      <c r="AQ16" s="30"/>
      <c r="AR16" s="82">
        <v>-2</v>
      </c>
      <c r="AS16" s="82">
        <v>-2</v>
      </c>
      <c r="AT16" s="82">
        <v>-2</v>
      </c>
      <c r="AU16" s="30"/>
      <c r="AV16" s="30"/>
      <c r="AW16" s="82">
        <v>3</v>
      </c>
      <c r="AX16" s="82">
        <v>3</v>
      </c>
      <c r="AY16" s="30"/>
      <c r="AZ16" s="30"/>
      <c r="BA16" s="30"/>
      <c r="BB16" s="30"/>
      <c r="BC16" s="30"/>
      <c r="BD16" s="30"/>
      <c r="BE16" s="30"/>
      <c r="BF16" s="30"/>
      <c r="BG16" s="30"/>
      <c r="BH16" s="30">
        <v>3</v>
      </c>
      <c r="BI16" s="30"/>
      <c r="BJ16" s="30"/>
      <c r="BK16" s="30"/>
      <c r="BL16" s="30"/>
      <c r="BM16" s="30"/>
      <c r="BN16" s="30"/>
      <c r="BO16" s="30">
        <v>-2</v>
      </c>
      <c r="BQ16" s="82">
        <v>3</v>
      </c>
      <c r="BR16" s="82">
        <v>3</v>
      </c>
      <c r="BS16" s="82">
        <v>3</v>
      </c>
      <c r="BT16" s="82">
        <v>3</v>
      </c>
      <c r="BU16" s="82">
        <v>3</v>
      </c>
      <c r="BV16" s="82">
        <v>3</v>
      </c>
      <c r="BW16" s="82">
        <v>3</v>
      </c>
      <c r="BX16" s="82">
        <v>3</v>
      </c>
      <c r="BY16" s="82">
        <v>3</v>
      </c>
      <c r="BZ16" s="82">
        <v>3</v>
      </c>
      <c r="CA16" s="82">
        <v>3</v>
      </c>
      <c r="CB16" s="30"/>
      <c r="CC16" s="30"/>
      <c r="CD16" s="82">
        <v>3</v>
      </c>
      <c r="CE16" s="82">
        <v>3</v>
      </c>
      <c r="CF16" s="30"/>
      <c r="CG16" s="30"/>
      <c r="CH16" s="30"/>
      <c r="CI16" s="30"/>
      <c r="CJ16" s="30"/>
      <c r="CK16" s="30"/>
      <c r="CL16" s="30"/>
      <c r="CM16" s="30"/>
      <c r="CN16" s="30"/>
      <c r="CO16" s="82">
        <v>3</v>
      </c>
      <c r="CP16" s="30"/>
      <c r="CQ16" s="30"/>
      <c r="CR16" s="30"/>
      <c r="CS16" s="30"/>
      <c r="CT16" s="30"/>
      <c r="CU16" s="30"/>
      <c r="CV16" s="82">
        <v>3</v>
      </c>
    </row>
    <row r="17" spans="1:100" x14ac:dyDescent="0.25">
      <c r="A17" s="26" t="s">
        <v>177</v>
      </c>
      <c r="B17" s="28" t="s">
        <v>178</v>
      </c>
      <c r="C17" s="28" t="s">
        <v>334</v>
      </c>
      <c r="D17" s="28" t="s">
        <v>334</v>
      </c>
      <c r="E17" s="28" t="s">
        <v>334</v>
      </c>
      <c r="F17" s="28"/>
      <c r="G17" s="28" t="s">
        <v>334</v>
      </c>
      <c r="H17" s="28" t="s">
        <v>334</v>
      </c>
      <c r="I17" s="28" t="s">
        <v>334</v>
      </c>
      <c r="J17" s="28"/>
      <c r="K17" s="113" t="s">
        <v>1153</v>
      </c>
      <c r="L17" s="28" t="s">
        <v>1154</v>
      </c>
      <c r="M17" s="113" t="s">
        <v>1155</v>
      </c>
      <c r="N17" s="28"/>
      <c r="O17" s="28"/>
      <c r="P17" s="80" t="s">
        <v>341</v>
      </c>
      <c r="Q17" s="80" t="s">
        <v>341</v>
      </c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1125</v>
      </c>
      <c r="AB17" s="28"/>
      <c r="AC17" s="28"/>
      <c r="AD17" s="28"/>
      <c r="AE17" s="28"/>
      <c r="AF17" s="28"/>
      <c r="AG17" s="28"/>
      <c r="AH17" s="28" t="s">
        <v>334</v>
      </c>
      <c r="AJ17" s="80" t="s">
        <v>341</v>
      </c>
      <c r="AK17" s="80" t="s">
        <v>341</v>
      </c>
      <c r="AL17" s="28"/>
      <c r="AM17" s="28"/>
      <c r="AN17" s="80" t="s">
        <v>341</v>
      </c>
      <c r="AO17" s="80" t="s">
        <v>341</v>
      </c>
      <c r="AP17" s="80" t="s">
        <v>341</v>
      </c>
      <c r="AQ17" s="28"/>
      <c r="AR17" s="80" t="s">
        <v>341</v>
      </c>
      <c r="AS17" s="80" t="s">
        <v>341</v>
      </c>
      <c r="AT17" s="80" t="s">
        <v>341</v>
      </c>
      <c r="AU17" s="28"/>
      <c r="AV17" s="28"/>
      <c r="AW17" s="80" t="s">
        <v>341</v>
      </c>
      <c r="AX17" s="80" t="s">
        <v>341</v>
      </c>
      <c r="AY17" s="28"/>
      <c r="AZ17" s="28"/>
      <c r="BA17" s="28"/>
      <c r="BB17" s="28"/>
      <c r="BC17" s="28"/>
      <c r="BD17" s="28"/>
      <c r="BE17" s="28"/>
      <c r="BF17" s="28"/>
      <c r="BG17" s="28"/>
      <c r="BH17" s="28" t="s">
        <v>1125</v>
      </c>
      <c r="BI17" s="28"/>
      <c r="BJ17" s="28"/>
      <c r="BK17" s="28"/>
      <c r="BL17" s="28"/>
      <c r="BM17" s="28"/>
      <c r="BN17" s="28"/>
      <c r="BO17" s="28" t="s">
        <v>334</v>
      </c>
      <c r="BQ17" s="80" t="s">
        <v>341</v>
      </c>
      <c r="BR17" s="80" t="s">
        <v>341</v>
      </c>
      <c r="BS17" s="80" t="s">
        <v>341</v>
      </c>
      <c r="BT17" s="80" t="s">
        <v>341</v>
      </c>
      <c r="BU17" s="80" t="s">
        <v>341</v>
      </c>
      <c r="BV17" s="80" t="s">
        <v>341</v>
      </c>
      <c r="BW17" s="80" t="s">
        <v>341</v>
      </c>
      <c r="BX17" s="80" t="s">
        <v>341</v>
      </c>
      <c r="BY17" s="80" t="s">
        <v>341</v>
      </c>
      <c r="BZ17" s="80" t="s">
        <v>341</v>
      </c>
      <c r="CA17" s="80" t="s">
        <v>341</v>
      </c>
      <c r="CB17" s="28"/>
      <c r="CC17" s="28"/>
      <c r="CD17" s="80" t="s">
        <v>341</v>
      </c>
      <c r="CE17" s="80" t="s">
        <v>341</v>
      </c>
      <c r="CF17" s="28"/>
      <c r="CG17" s="28"/>
      <c r="CH17" s="28"/>
      <c r="CI17" s="28"/>
      <c r="CJ17" s="28"/>
      <c r="CK17" s="28"/>
      <c r="CL17" s="28"/>
      <c r="CM17" s="28"/>
      <c r="CN17" s="28"/>
      <c r="CO17" s="80" t="s">
        <v>341</v>
      </c>
      <c r="CP17" s="28"/>
      <c r="CQ17" s="28"/>
      <c r="CR17" s="28"/>
      <c r="CS17" s="28"/>
      <c r="CT17" s="28"/>
      <c r="CU17" s="28"/>
      <c r="CV17" s="80" t="s">
        <v>341</v>
      </c>
    </row>
    <row r="18" spans="1:100" x14ac:dyDescent="0.25">
      <c r="A18" s="26" t="s">
        <v>182</v>
      </c>
      <c r="B18" s="30">
        <v>4</v>
      </c>
      <c r="C18" s="30">
        <f>1/3</f>
        <v>0.33333333333333331</v>
      </c>
      <c r="D18" s="30">
        <f>1/3</f>
        <v>0.33333333333333331</v>
      </c>
      <c r="E18" s="30">
        <v>0.5</v>
      </c>
      <c r="F18" s="30"/>
      <c r="G18" s="30">
        <v>0.5</v>
      </c>
      <c r="H18" s="30">
        <v>0.5</v>
      </c>
      <c r="I18" s="30">
        <v>0.5</v>
      </c>
      <c r="J18" s="30"/>
      <c r="K18" s="30">
        <f>AVERAGE(2,0.5,2,2)</f>
        <v>1.625</v>
      </c>
      <c r="L18" s="30">
        <f>AVERAGE(4,0.5,3,3)</f>
        <v>2.625</v>
      </c>
      <c r="M18" s="30">
        <f>AVERAGE(4,2,2,2)</f>
        <v>2.5</v>
      </c>
      <c r="N18" s="30"/>
      <c r="O18" s="30"/>
      <c r="P18" s="82">
        <v>0</v>
      </c>
      <c r="Q18" s="82">
        <v>0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v>5</v>
      </c>
      <c r="AB18" s="30"/>
      <c r="AC18" s="30"/>
      <c r="AD18" s="30"/>
      <c r="AE18" s="30"/>
      <c r="AF18" s="30"/>
      <c r="AG18" s="30"/>
      <c r="AH18" s="30">
        <f>1/3</f>
        <v>0.33333333333333331</v>
      </c>
      <c r="AJ18" s="82">
        <v>0</v>
      </c>
      <c r="AK18" s="82">
        <v>0</v>
      </c>
      <c r="AL18" s="30"/>
      <c r="AM18" s="30"/>
      <c r="AN18" s="82">
        <v>0</v>
      </c>
      <c r="AO18" s="82">
        <v>0</v>
      </c>
      <c r="AP18" s="82">
        <v>0</v>
      </c>
      <c r="AQ18" s="30"/>
      <c r="AR18" s="82">
        <v>0</v>
      </c>
      <c r="AS18" s="82">
        <v>0</v>
      </c>
      <c r="AT18" s="82">
        <v>0</v>
      </c>
      <c r="AU18" s="30"/>
      <c r="AV18" s="30"/>
      <c r="AW18" s="82">
        <v>0</v>
      </c>
      <c r="AX18" s="82">
        <v>0</v>
      </c>
      <c r="AY18" s="30"/>
      <c r="AZ18" s="30"/>
      <c r="BA18" s="30"/>
      <c r="BB18" s="30"/>
      <c r="BC18" s="30"/>
      <c r="BD18" s="30"/>
      <c r="BE18" s="30"/>
      <c r="BF18" s="30"/>
      <c r="BG18" s="30"/>
      <c r="BH18" s="30">
        <v>5</v>
      </c>
      <c r="BI18" s="30"/>
      <c r="BJ18" s="30"/>
      <c r="BK18" s="30"/>
      <c r="BL18" s="30"/>
      <c r="BM18" s="30"/>
      <c r="BN18" s="30"/>
      <c r="BO18" s="30">
        <v>0.5</v>
      </c>
      <c r="BQ18" s="82">
        <v>0</v>
      </c>
      <c r="BR18" s="82">
        <v>0</v>
      </c>
      <c r="BS18" s="82">
        <v>0</v>
      </c>
      <c r="BT18" s="82">
        <v>0</v>
      </c>
      <c r="BU18" s="82">
        <v>0</v>
      </c>
      <c r="BV18" s="82">
        <v>0</v>
      </c>
      <c r="BW18" s="82">
        <v>0</v>
      </c>
      <c r="BX18" s="82">
        <v>0</v>
      </c>
      <c r="BY18" s="82">
        <v>0</v>
      </c>
      <c r="BZ18" s="82">
        <v>0</v>
      </c>
      <c r="CA18" s="82">
        <v>0</v>
      </c>
      <c r="CB18" s="30"/>
      <c r="CC18" s="30"/>
      <c r="CD18" s="82">
        <v>0</v>
      </c>
      <c r="CE18" s="82">
        <v>0</v>
      </c>
      <c r="CF18" s="30"/>
      <c r="CG18" s="30"/>
      <c r="CH18" s="30"/>
      <c r="CI18" s="30"/>
      <c r="CJ18" s="30"/>
      <c r="CK18" s="30"/>
      <c r="CL18" s="30"/>
      <c r="CM18" s="30"/>
      <c r="CN18" s="30"/>
      <c r="CO18" s="82">
        <v>0</v>
      </c>
      <c r="CP18" s="30"/>
      <c r="CQ18" s="30"/>
      <c r="CR18" s="30"/>
      <c r="CS18" s="30"/>
      <c r="CT18" s="30"/>
      <c r="CU18" s="30"/>
      <c r="CV18" s="82">
        <v>0</v>
      </c>
    </row>
    <row r="20" spans="1:100" x14ac:dyDescent="0.25">
      <c r="A20" s="26" t="s">
        <v>159</v>
      </c>
      <c r="B20" s="28" t="s">
        <v>1126</v>
      </c>
      <c r="C20" s="28" t="s">
        <v>164</v>
      </c>
      <c r="D20" s="28" t="s">
        <v>164</v>
      </c>
      <c r="E20" s="28" t="s">
        <v>556</v>
      </c>
      <c r="F20" s="28" t="s">
        <v>556</v>
      </c>
      <c r="G20" s="28" t="s">
        <v>556</v>
      </c>
      <c r="H20" s="28" t="s">
        <v>556</v>
      </c>
      <c r="I20" s="28" t="s">
        <v>556</v>
      </c>
      <c r="J20" s="28" t="s">
        <v>556</v>
      </c>
      <c r="K20" s="28" t="s">
        <v>556</v>
      </c>
      <c r="L20" s="28" t="s">
        <v>556</v>
      </c>
      <c r="M20" s="28" t="s">
        <v>556</v>
      </c>
      <c r="N20" s="28"/>
      <c r="O20" s="28"/>
      <c r="P20" s="28" t="s">
        <v>1156</v>
      </c>
      <c r="Q20" s="28" t="s">
        <v>1156</v>
      </c>
      <c r="R20" s="28"/>
      <c r="S20" s="28"/>
      <c r="T20" s="28"/>
      <c r="U20" s="28"/>
      <c r="V20" s="28"/>
      <c r="W20" s="28"/>
      <c r="X20" s="28"/>
      <c r="Y20" s="28"/>
      <c r="Z20" s="28"/>
      <c r="AA20" s="28" t="s">
        <v>556</v>
      </c>
      <c r="AB20" s="28"/>
      <c r="AC20" s="28"/>
      <c r="AD20" s="28"/>
      <c r="AE20" s="28"/>
      <c r="AF20" s="28"/>
      <c r="AG20" s="28"/>
      <c r="AH20" s="28" t="s">
        <v>161</v>
      </c>
      <c r="AJ20" s="28" t="s">
        <v>322</v>
      </c>
      <c r="AK20" s="28" t="s">
        <v>322</v>
      </c>
      <c r="AL20" s="28"/>
      <c r="AM20" s="28"/>
      <c r="AN20" s="28" t="s">
        <v>317</v>
      </c>
      <c r="AO20" s="28" t="s">
        <v>317</v>
      </c>
      <c r="AP20" s="28" t="s">
        <v>317</v>
      </c>
      <c r="AQ20" s="28"/>
      <c r="AR20" s="28" t="s">
        <v>523</v>
      </c>
      <c r="AS20" s="28" t="s">
        <v>523</v>
      </c>
      <c r="AT20" s="28" t="s">
        <v>523</v>
      </c>
      <c r="AU20" s="28"/>
      <c r="AV20" s="28"/>
      <c r="AW20" s="80" t="s">
        <v>341</v>
      </c>
      <c r="AX20" s="80" t="s">
        <v>341</v>
      </c>
      <c r="AY20" s="28"/>
      <c r="AZ20" s="28"/>
      <c r="BA20" s="28"/>
      <c r="BB20" s="28"/>
      <c r="BC20" s="28"/>
      <c r="BD20" s="28"/>
      <c r="BE20" s="28"/>
      <c r="BF20" s="28"/>
      <c r="BG20" s="28"/>
      <c r="BH20" s="28" t="s">
        <v>556</v>
      </c>
      <c r="BI20" s="28"/>
      <c r="BJ20" s="28"/>
      <c r="BK20" s="28"/>
      <c r="BL20" s="28"/>
      <c r="BM20" s="28"/>
      <c r="BN20" s="28"/>
      <c r="BO20" s="28" t="s">
        <v>161</v>
      </c>
      <c r="BQ20" s="28" t="s">
        <v>556</v>
      </c>
      <c r="BR20" s="28" t="s">
        <v>556</v>
      </c>
      <c r="BS20" s="28" t="s">
        <v>556</v>
      </c>
      <c r="BT20" s="80" t="s">
        <v>341</v>
      </c>
      <c r="BU20" s="80" t="s">
        <v>341</v>
      </c>
      <c r="BV20" s="80" t="s">
        <v>341</v>
      </c>
      <c r="BW20" s="80" t="s">
        <v>341</v>
      </c>
      <c r="BX20" s="80" t="s">
        <v>341</v>
      </c>
      <c r="BY20" s="80" t="s">
        <v>341</v>
      </c>
      <c r="BZ20" s="80" t="s">
        <v>341</v>
      </c>
      <c r="CA20" s="80" t="s">
        <v>341</v>
      </c>
      <c r="CB20" s="28"/>
      <c r="CC20" s="28"/>
      <c r="CD20" s="80" t="s">
        <v>341</v>
      </c>
      <c r="CE20" s="80" t="s">
        <v>341</v>
      </c>
      <c r="CF20" s="28"/>
      <c r="CG20" s="28"/>
      <c r="CH20" s="28"/>
      <c r="CI20" s="28"/>
      <c r="CJ20" s="28"/>
      <c r="CK20" s="28"/>
      <c r="CL20" s="28"/>
      <c r="CM20" s="28"/>
      <c r="CN20" s="28"/>
      <c r="CO20" s="80" t="s">
        <v>341</v>
      </c>
      <c r="CP20" s="28"/>
      <c r="CQ20" s="28"/>
      <c r="CR20" s="28"/>
      <c r="CS20" s="28"/>
      <c r="CT20" s="28"/>
      <c r="CU20" s="28"/>
      <c r="CV20" s="80" t="s">
        <v>341</v>
      </c>
    </row>
    <row r="21" spans="1:100" ht="15.75" customHeight="1" x14ac:dyDescent="0.25">
      <c r="A21" s="26" t="s">
        <v>165</v>
      </c>
      <c r="B21" s="28" t="s">
        <v>322</v>
      </c>
      <c r="C21" s="28" t="s">
        <v>1055</v>
      </c>
      <c r="D21" s="28" t="s">
        <v>164</v>
      </c>
      <c r="E21" s="28" t="s">
        <v>322</v>
      </c>
      <c r="F21" s="28" t="s">
        <v>322</v>
      </c>
      <c r="G21" s="28" t="s">
        <v>322</v>
      </c>
      <c r="H21" s="28" t="s">
        <v>322</v>
      </c>
      <c r="I21" s="28" t="s">
        <v>322</v>
      </c>
      <c r="J21" s="28" t="s">
        <v>322</v>
      </c>
      <c r="K21" s="29" t="s">
        <v>614</v>
      </c>
      <c r="L21" s="29" t="s">
        <v>614</v>
      </c>
      <c r="M21" s="29" t="s">
        <v>614</v>
      </c>
      <c r="N21" s="29"/>
      <c r="O21" s="29"/>
      <c r="P21" s="28" t="s">
        <v>324</v>
      </c>
      <c r="Q21" s="28" t="s">
        <v>324</v>
      </c>
      <c r="R21" s="29"/>
      <c r="S21" s="29"/>
      <c r="T21" s="29"/>
      <c r="U21" s="29"/>
      <c r="V21" s="29"/>
      <c r="W21" s="29"/>
      <c r="X21" s="29"/>
      <c r="Y21" s="29"/>
      <c r="Z21" s="29"/>
      <c r="AA21" s="28" t="s">
        <v>322</v>
      </c>
      <c r="AB21" s="29"/>
      <c r="AC21" s="29"/>
      <c r="AD21" s="29"/>
      <c r="AE21" s="29"/>
      <c r="AF21" s="29"/>
      <c r="AG21" s="28" t="s">
        <v>322</v>
      </c>
      <c r="AH21" s="28" t="s">
        <v>161</v>
      </c>
      <c r="AJ21" s="28" t="s">
        <v>324</v>
      </c>
      <c r="AK21" s="28" t="s">
        <v>324</v>
      </c>
      <c r="AL21" s="28"/>
      <c r="AM21" s="28"/>
      <c r="AN21" s="28" t="s">
        <v>1008</v>
      </c>
      <c r="AO21" s="28" t="s">
        <v>1008</v>
      </c>
      <c r="AP21" s="28" t="s">
        <v>1008</v>
      </c>
      <c r="AQ21" s="28"/>
      <c r="AR21" s="28" t="s">
        <v>973</v>
      </c>
      <c r="AS21" s="28" t="s">
        <v>974</v>
      </c>
      <c r="AT21" s="28" t="s">
        <v>975</v>
      </c>
      <c r="AU21" s="28"/>
      <c r="AV21" s="28"/>
      <c r="AW21" s="80" t="s">
        <v>341</v>
      </c>
      <c r="AX21" s="80" t="s">
        <v>341</v>
      </c>
      <c r="AY21" s="29"/>
      <c r="AZ21" s="29"/>
      <c r="BA21" s="29"/>
      <c r="BB21" s="29"/>
      <c r="BC21" s="29"/>
      <c r="BD21" s="29"/>
      <c r="BE21" s="29"/>
      <c r="BF21" s="29"/>
      <c r="BG21" s="29"/>
      <c r="BH21" s="28" t="s">
        <v>322</v>
      </c>
      <c r="BI21" s="29"/>
      <c r="BJ21" s="29"/>
      <c r="BK21" s="29"/>
      <c r="BL21" s="29"/>
      <c r="BM21" s="29"/>
      <c r="BN21" s="28"/>
      <c r="BO21" s="28" t="s">
        <v>161</v>
      </c>
      <c r="BQ21" s="28" t="s">
        <v>322</v>
      </c>
      <c r="BR21" s="28" t="s">
        <v>322</v>
      </c>
      <c r="BS21" s="28" t="s">
        <v>322</v>
      </c>
      <c r="BT21" s="80" t="s">
        <v>341</v>
      </c>
      <c r="BU21" s="80" t="s">
        <v>341</v>
      </c>
      <c r="BV21" s="80" t="s">
        <v>341</v>
      </c>
      <c r="BW21" s="80" t="s">
        <v>341</v>
      </c>
      <c r="BX21" s="80" t="s">
        <v>341</v>
      </c>
      <c r="BY21" s="80" t="s">
        <v>341</v>
      </c>
      <c r="BZ21" s="80" t="s">
        <v>341</v>
      </c>
      <c r="CA21" s="80" t="s">
        <v>341</v>
      </c>
      <c r="CB21" s="28"/>
      <c r="CC21" s="28"/>
      <c r="CD21" s="80" t="s">
        <v>341</v>
      </c>
      <c r="CE21" s="80" t="s">
        <v>341</v>
      </c>
      <c r="CF21" s="29"/>
      <c r="CG21" s="29"/>
      <c r="CH21" s="29"/>
      <c r="CI21" s="29"/>
      <c r="CJ21" s="29"/>
      <c r="CK21" s="29"/>
      <c r="CL21" s="29"/>
      <c r="CM21" s="29"/>
      <c r="CN21" s="29"/>
      <c r="CO21" s="80" t="s">
        <v>341</v>
      </c>
      <c r="CP21" s="29"/>
      <c r="CQ21" s="29"/>
      <c r="CR21" s="29"/>
      <c r="CS21" s="29"/>
      <c r="CT21" s="28"/>
      <c r="CU21" s="28"/>
      <c r="CV21" s="80" t="s">
        <v>341</v>
      </c>
    </row>
    <row r="22" spans="1:100" x14ac:dyDescent="0.25">
      <c r="A22" s="131" t="s">
        <v>168</v>
      </c>
      <c r="B22" s="157">
        <v>98</v>
      </c>
      <c r="C22" s="157">
        <v>262</v>
      </c>
      <c r="D22" s="157">
        <v>43</v>
      </c>
      <c r="E22" s="157">
        <v>98</v>
      </c>
      <c r="F22" s="157">
        <v>98</v>
      </c>
      <c r="G22" s="157">
        <v>98</v>
      </c>
      <c r="H22" s="157">
        <v>98</v>
      </c>
      <c r="I22" s="157">
        <v>98</v>
      </c>
      <c r="J22" s="157">
        <v>98</v>
      </c>
      <c r="K22" s="157">
        <v>151</v>
      </c>
      <c r="L22" s="157">
        <v>151</v>
      </c>
      <c r="M22" s="157">
        <v>151</v>
      </c>
      <c r="N22" s="157"/>
      <c r="O22" s="157"/>
      <c r="P22" s="157">
        <v>57</v>
      </c>
      <c r="Q22" s="157">
        <v>57</v>
      </c>
      <c r="R22" s="157"/>
      <c r="S22" s="157"/>
      <c r="T22" s="157"/>
      <c r="U22" s="157"/>
      <c r="V22" s="157"/>
      <c r="W22" s="157"/>
      <c r="X22" s="157"/>
      <c r="Y22" s="157"/>
      <c r="Z22" s="157"/>
      <c r="AA22" s="157">
        <v>98</v>
      </c>
      <c r="AB22" s="157"/>
      <c r="AC22" s="157"/>
      <c r="AD22" s="157"/>
      <c r="AE22" s="157"/>
      <c r="AF22" s="157"/>
      <c r="AG22" s="157"/>
      <c r="AH22" s="157">
        <v>2</v>
      </c>
      <c r="AJ22" s="157">
        <v>57</v>
      </c>
      <c r="AK22" s="157">
        <v>57</v>
      </c>
      <c r="AL22" s="157"/>
      <c r="AM22" s="157"/>
      <c r="AN22" s="157">
        <v>61</v>
      </c>
      <c r="AO22" s="157">
        <v>61</v>
      </c>
      <c r="AP22" s="157">
        <v>61</v>
      </c>
      <c r="AQ22" s="157"/>
      <c r="AR22" s="157">
        <v>173</v>
      </c>
      <c r="AS22" s="157">
        <v>171</v>
      </c>
      <c r="AT22" s="157">
        <v>172</v>
      </c>
      <c r="AU22" s="157"/>
      <c r="AV22" s="157"/>
      <c r="AW22" s="198"/>
      <c r="AX22" s="198"/>
      <c r="AY22" s="157"/>
      <c r="AZ22" s="157"/>
      <c r="BA22" s="157"/>
      <c r="BB22" s="157"/>
      <c r="BC22" s="157"/>
      <c r="BD22" s="157"/>
      <c r="BE22" s="157"/>
      <c r="BF22" s="157"/>
      <c r="BG22" s="157"/>
      <c r="BH22" s="157">
        <v>98</v>
      </c>
      <c r="BI22" s="157"/>
      <c r="BJ22" s="157"/>
      <c r="BK22" s="157"/>
      <c r="BL22" s="157"/>
      <c r="BM22" s="157"/>
      <c r="BN22" s="157"/>
      <c r="BO22" s="157">
        <v>2</v>
      </c>
      <c r="BQ22" s="157">
        <v>98</v>
      </c>
      <c r="BR22" s="157">
        <v>98</v>
      </c>
      <c r="BS22" s="157">
        <v>98</v>
      </c>
      <c r="BT22" s="198"/>
      <c r="BU22" s="198"/>
      <c r="BV22" s="198"/>
      <c r="BW22" s="198"/>
      <c r="BX22" s="198"/>
      <c r="BY22" s="198"/>
      <c r="BZ22" s="198"/>
      <c r="CA22" s="198"/>
      <c r="CB22" s="157"/>
      <c r="CC22" s="157"/>
      <c r="CD22" s="198"/>
      <c r="CE22" s="198"/>
      <c r="CF22" s="157"/>
      <c r="CG22" s="157"/>
      <c r="CH22" s="157"/>
      <c r="CI22" s="157"/>
      <c r="CJ22" s="157"/>
      <c r="CK22" s="157"/>
      <c r="CL22" s="157"/>
      <c r="CM22" s="157"/>
      <c r="CN22" s="157"/>
      <c r="CO22" s="198"/>
      <c r="CP22" s="157"/>
      <c r="CQ22" s="157"/>
      <c r="CR22" s="157"/>
      <c r="CS22" s="157"/>
      <c r="CT22" s="157"/>
      <c r="CU22" s="157"/>
      <c r="CV22" s="198"/>
    </row>
    <row r="23" spans="1:100" x14ac:dyDescent="0.25">
      <c r="A23" s="26" t="s">
        <v>169</v>
      </c>
      <c r="B23" s="28" t="s">
        <v>170</v>
      </c>
      <c r="C23" s="28" t="s">
        <v>170</v>
      </c>
      <c r="D23" s="28" t="s">
        <v>170</v>
      </c>
      <c r="E23" s="28" t="s">
        <v>170</v>
      </c>
      <c r="F23" s="28" t="s">
        <v>170</v>
      </c>
      <c r="G23" s="28" t="s">
        <v>170</v>
      </c>
      <c r="H23" s="28" t="s">
        <v>170</v>
      </c>
      <c r="I23" s="28" t="s">
        <v>170</v>
      </c>
      <c r="J23" s="28" t="s">
        <v>170</v>
      </c>
      <c r="K23" s="29" t="s">
        <v>266</v>
      </c>
      <c r="L23" s="29" t="s">
        <v>266</v>
      </c>
      <c r="M23" s="29" t="s">
        <v>266</v>
      </c>
      <c r="N23" s="28"/>
      <c r="O23" s="28"/>
      <c r="P23" s="28" t="s">
        <v>170</v>
      </c>
      <c r="Q23" s="28" t="s">
        <v>170</v>
      </c>
      <c r="R23" s="28"/>
      <c r="S23" s="28"/>
      <c r="T23" s="28"/>
      <c r="U23" s="28"/>
      <c r="V23" s="28"/>
      <c r="W23" s="28"/>
      <c r="X23" s="28"/>
      <c r="Y23" s="28"/>
      <c r="Z23" s="28"/>
      <c r="AA23" s="28" t="s">
        <v>170</v>
      </c>
      <c r="AB23" s="28"/>
      <c r="AC23" s="29"/>
      <c r="AD23" s="28"/>
      <c r="AE23" s="29"/>
      <c r="AF23" s="28"/>
      <c r="AG23" s="28"/>
      <c r="AH23" s="28" t="s">
        <v>170</v>
      </c>
      <c r="AJ23" s="28" t="s">
        <v>170</v>
      </c>
      <c r="AK23" s="28" t="s">
        <v>170</v>
      </c>
      <c r="AL23" s="28"/>
      <c r="AM23" s="28"/>
      <c r="AN23" s="28" t="s">
        <v>170</v>
      </c>
      <c r="AO23" s="28" t="s">
        <v>170</v>
      </c>
      <c r="AP23" s="28" t="s">
        <v>170</v>
      </c>
      <c r="AQ23" s="28"/>
      <c r="AR23" s="28" t="s">
        <v>170</v>
      </c>
      <c r="AS23" s="28" t="s">
        <v>170</v>
      </c>
      <c r="AT23" s="28" t="s">
        <v>170</v>
      </c>
      <c r="AU23" s="28"/>
      <c r="AV23" s="28"/>
      <c r="AW23" s="80" t="s">
        <v>173</v>
      </c>
      <c r="AX23" s="80" t="s">
        <v>173</v>
      </c>
      <c r="AY23" s="28"/>
      <c r="AZ23" s="28"/>
      <c r="BA23" s="28"/>
      <c r="BB23" s="28"/>
      <c r="BC23" s="28"/>
      <c r="BD23" s="28"/>
      <c r="BE23" s="28"/>
      <c r="BF23" s="28"/>
      <c r="BG23" s="28"/>
      <c r="BH23" s="28" t="s">
        <v>170</v>
      </c>
      <c r="BI23" s="28"/>
      <c r="BJ23" s="29"/>
      <c r="BK23" s="28"/>
      <c r="BL23" s="29"/>
      <c r="BM23" s="28"/>
      <c r="BN23" s="28"/>
      <c r="BO23" s="28" t="s">
        <v>170</v>
      </c>
      <c r="BQ23" s="28" t="s">
        <v>170</v>
      </c>
      <c r="BR23" s="28" t="s">
        <v>170</v>
      </c>
      <c r="BS23" s="28" t="s">
        <v>170</v>
      </c>
      <c r="BT23" s="80" t="s">
        <v>173</v>
      </c>
      <c r="BU23" s="80" t="s">
        <v>173</v>
      </c>
      <c r="BV23" s="80" t="s">
        <v>173</v>
      </c>
      <c r="BW23" s="80" t="s">
        <v>173</v>
      </c>
      <c r="BX23" s="80" t="s">
        <v>173</v>
      </c>
      <c r="BY23" s="80" t="s">
        <v>173</v>
      </c>
      <c r="BZ23" s="80" t="s">
        <v>173</v>
      </c>
      <c r="CA23" s="80" t="s">
        <v>173</v>
      </c>
      <c r="CB23" s="28"/>
      <c r="CC23" s="28"/>
      <c r="CD23" s="80" t="s">
        <v>173</v>
      </c>
      <c r="CE23" s="80" t="s">
        <v>173</v>
      </c>
      <c r="CF23" s="28"/>
      <c r="CG23" s="28"/>
      <c r="CH23" s="28"/>
      <c r="CI23" s="28"/>
      <c r="CJ23" s="28"/>
      <c r="CK23" s="28"/>
      <c r="CL23" s="28"/>
      <c r="CM23" s="28"/>
      <c r="CN23" s="28"/>
      <c r="CO23" s="80" t="s">
        <v>173</v>
      </c>
      <c r="CP23" s="29"/>
      <c r="CQ23" s="28"/>
      <c r="CR23" s="29"/>
      <c r="CS23" s="28"/>
      <c r="CT23" s="28"/>
      <c r="CU23" s="28"/>
      <c r="CV23" s="80" t="s">
        <v>173</v>
      </c>
    </row>
    <row r="24" spans="1:100" x14ac:dyDescent="0.25">
      <c r="A24" s="26" t="s">
        <v>171</v>
      </c>
      <c r="B24" s="28" t="s">
        <v>170</v>
      </c>
      <c r="C24" s="28" t="s">
        <v>170</v>
      </c>
      <c r="D24" s="28" t="s">
        <v>170</v>
      </c>
      <c r="E24" s="28" t="s">
        <v>170</v>
      </c>
      <c r="F24" s="28" t="s">
        <v>170</v>
      </c>
      <c r="G24" s="28" t="s">
        <v>170</v>
      </c>
      <c r="H24" s="28" t="s">
        <v>170</v>
      </c>
      <c r="I24" s="28" t="s">
        <v>170</v>
      </c>
      <c r="J24" s="28" t="s">
        <v>170</v>
      </c>
      <c r="K24" s="28" t="s">
        <v>266</v>
      </c>
      <c r="L24" s="28" t="s">
        <v>266</v>
      </c>
      <c r="M24" s="28" t="s">
        <v>266</v>
      </c>
      <c r="N24" s="28"/>
      <c r="O24" s="28"/>
      <c r="P24" s="28" t="s">
        <v>170</v>
      </c>
      <c r="Q24" s="28" t="s">
        <v>170</v>
      </c>
      <c r="R24" s="28"/>
      <c r="S24" s="28"/>
      <c r="T24" s="28"/>
      <c r="U24" s="28"/>
      <c r="V24" s="28"/>
      <c r="W24" s="28"/>
      <c r="X24" s="28"/>
      <c r="Y24" s="28"/>
      <c r="Z24" s="28"/>
      <c r="AA24" s="28" t="s">
        <v>170</v>
      </c>
      <c r="AB24" s="28"/>
      <c r="AC24" s="28"/>
      <c r="AD24" s="28"/>
      <c r="AE24" s="28"/>
      <c r="AF24" s="28"/>
      <c r="AG24" s="28"/>
      <c r="AH24" s="28" t="s">
        <v>170</v>
      </c>
      <c r="AJ24" s="28" t="s">
        <v>170</v>
      </c>
      <c r="AK24" s="28" t="s">
        <v>170</v>
      </c>
      <c r="AL24" s="28"/>
      <c r="AM24" s="28"/>
      <c r="AN24" s="28" t="s">
        <v>170</v>
      </c>
      <c r="AO24" s="28" t="s">
        <v>170</v>
      </c>
      <c r="AP24" s="28" t="s">
        <v>170</v>
      </c>
      <c r="AQ24" s="28"/>
      <c r="AR24" s="28" t="s">
        <v>170</v>
      </c>
      <c r="AS24" s="28" t="s">
        <v>170</v>
      </c>
      <c r="AT24" s="28" t="s">
        <v>170</v>
      </c>
      <c r="AU24" s="28"/>
      <c r="AV24" s="28"/>
      <c r="AW24" s="80" t="s">
        <v>173</v>
      </c>
      <c r="AX24" s="80" t="s">
        <v>173</v>
      </c>
      <c r="AY24" s="28"/>
      <c r="AZ24" s="28"/>
      <c r="BA24" s="28"/>
      <c r="BB24" s="28"/>
      <c r="BC24" s="28"/>
      <c r="BD24" s="28"/>
      <c r="BE24" s="28"/>
      <c r="BF24" s="28"/>
      <c r="BG24" s="28"/>
      <c r="BH24" s="28" t="s">
        <v>170</v>
      </c>
      <c r="BI24" s="28"/>
      <c r="BJ24" s="28"/>
      <c r="BK24" s="28"/>
      <c r="BL24" s="28"/>
      <c r="BM24" s="28"/>
      <c r="BN24" s="28"/>
      <c r="BO24" s="28" t="s">
        <v>170</v>
      </c>
      <c r="BQ24" s="28" t="s">
        <v>170</v>
      </c>
      <c r="BR24" s="28" t="s">
        <v>170</v>
      </c>
      <c r="BS24" s="28" t="s">
        <v>170</v>
      </c>
      <c r="BT24" s="80" t="s">
        <v>173</v>
      </c>
      <c r="BU24" s="80" t="s">
        <v>173</v>
      </c>
      <c r="BV24" s="80" t="s">
        <v>173</v>
      </c>
      <c r="BW24" s="80" t="s">
        <v>173</v>
      </c>
      <c r="BX24" s="80" t="s">
        <v>173</v>
      </c>
      <c r="BY24" s="80" t="s">
        <v>173</v>
      </c>
      <c r="BZ24" s="80" t="s">
        <v>173</v>
      </c>
      <c r="CA24" s="80" t="s">
        <v>173</v>
      </c>
      <c r="CB24" s="28"/>
      <c r="CC24" s="28"/>
      <c r="CD24" s="80" t="s">
        <v>173</v>
      </c>
      <c r="CE24" s="80" t="s">
        <v>173</v>
      </c>
      <c r="CF24" s="28"/>
      <c r="CG24" s="28"/>
      <c r="CH24" s="28"/>
      <c r="CI24" s="28"/>
      <c r="CJ24" s="28"/>
      <c r="CK24" s="28"/>
      <c r="CL24" s="28"/>
      <c r="CM24" s="28"/>
      <c r="CN24" s="28"/>
      <c r="CO24" s="80" t="s">
        <v>173</v>
      </c>
      <c r="CP24" s="28"/>
      <c r="CQ24" s="28"/>
      <c r="CR24" s="28"/>
      <c r="CS24" s="28"/>
      <c r="CT24" s="28"/>
      <c r="CU24" s="28"/>
      <c r="CV24" s="80" t="s">
        <v>173</v>
      </c>
    </row>
    <row r="25" spans="1:100" x14ac:dyDescent="0.25">
      <c r="A25" s="26" t="s">
        <v>172</v>
      </c>
      <c r="B25" s="28" t="s">
        <v>173</v>
      </c>
      <c r="C25" s="28" t="s">
        <v>173</v>
      </c>
      <c r="D25" s="28" t="s">
        <v>173</v>
      </c>
      <c r="E25" s="28" t="s">
        <v>173</v>
      </c>
      <c r="F25" s="28" t="s">
        <v>173</v>
      </c>
      <c r="G25" s="28" t="s">
        <v>173</v>
      </c>
      <c r="H25" s="28" t="s">
        <v>173</v>
      </c>
      <c r="I25" s="28" t="s">
        <v>173</v>
      </c>
      <c r="J25" s="28" t="s">
        <v>173</v>
      </c>
      <c r="K25" s="28" t="s">
        <v>173</v>
      </c>
      <c r="L25" s="28" t="s">
        <v>173</v>
      </c>
      <c r="M25" s="28" t="s">
        <v>173</v>
      </c>
      <c r="N25" s="28"/>
      <c r="O25" s="28"/>
      <c r="P25" s="28" t="s">
        <v>170</v>
      </c>
      <c r="Q25" s="28" t="s">
        <v>170</v>
      </c>
      <c r="R25" s="28"/>
      <c r="S25" s="28"/>
      <c r="T25" s="28"/>
      <c r="U25" s="28"/>
      <c r="V25" s="28"/>
      <c r="W25" s="28"/>
      <c r="X25" s="28"/>
      <c r="Y25" s="28"/>
      <c r="Z25" s="28"/>
      <c r="AA25" s="28" t="s">
        <v>173</v>
      </c>
      <c r="AB25" s="28"/>
      <c r="AC25" s="28"/>
      <c r="AD25" s="28"/>
      <c r="AE25" s="28"/>
      <c r="AF25" s="28"/>
      <c r="AG25" s="28"/>
      <c r="AH25" s="28" t="s">
        <v>173</v>
      </c>
      <c r="AJ25" s="28" t="s">
        <v>170</v>
      </c>
      <c r="AK25" s="28" t="s">
        <v>170</v>
      </c>
      <c r="AL25" s="28"/>
      <c r="AM25" s="28"/>
      <c r="AN25" s="28" t="s">
        <v>173</v>
      </c>
      <c r="AO25" s="28" t="s">
        <v>173</v>
      </c>
      <c r="AP25" s="28" t="s">
        <v>173</v>
      </c>
      <c r="AQ25" s="28"/>
      <c r="AR25" s="28" t="s">
        <v>173</v>
      </c>
      <c r="AS25" s="28" t="s">
        <v>173</v>
      </c>
      <c r="AT25" s="28" t="s">
        <v>173</v>
      </c>
      <c r="AU25" s="28"/>
      <c r="AV25" s="28"/>
      <c r="AW25" s="80" t="s">
        <v>173</v>
      </c>
      <c r="AX25" s="80" t="s">
        <v>173</v>
      </c>
      <c r="AY25" s="28"/>
      <c r="AZ25" s="28"/>
      <c r="BA25" s="28"/>
      <c r="BB25" s="28"/>
      <c r="BC25" s="28"/>
      <c r="BD25" s="28"/>
      <c r="BE25" s="28"/>
      <c r="BF25" s="28"/>
      <c r="BG25" s="28"/>
      <c r="BH25" s="28" t="s">
        <v>173</v>
      </c>
      <c r="BI25" s="28"/>
      <c r="BJ25" s="28"/>
      <c r="BK25" s="28"/>
      <c r="BL25" s="28"/>
      <c r="BM25" s="28"/>
      <c r="BN25" s="28"/>
      <c r="BO25" s="28" t="s">
        <v>173</v>
      </c>
      <c r="BQ25" s="28" t="s">
        <v>173</v>
      </c>
      <c r="BR25" s="28" t="s">
        <v>173</v>
      </c>
      <c r="BS25" s="28" t="s">
        <v>173</v>
      </c>
      <c r="BT25" s="80" t="s">
        <v>173</v>
      </c>
      <c r="BU25" s="80" t="s">
        <v>173</v>
      </c>
      <c r="BV25" s="80" t="s">
        <v>173</v>
      </c>
      <c r="BW25" s="80" t="s">
        <v>173</v>
      </c>
      <c r="BX25" s="80" t="s">
        <v>173</v>
      </c>
      <c r="BY25" s="80" t="s">
        <v>173</v>
      </c>
      <c r="BZ25" s="80" t="s">
        <v>173</v>
      </c>
      <c r="CA25" s="80" t="s">
        <v>173</v>
      </c>
      <c r="CB25" s="28"/>
      <c r="CC25" s="28"/>
      <c r="CD25" s="80" t="s">
        <v>173</v>
      </c>
      <c r="CE25" s="80" t="s">
        <v>173</v>
      </c>
      <c r="CF25" s="28"/>
      <c r="CG25" s="28"/>
      <c r="CH25" s="28"/>
      <c r="CI25" s="28"/>
      <c r="CJ25" s="28"/>
      <c r="CK25" s="28"/>
      <c r="CL25" s="28"/>
      <c r="CM25" s="28"/>
      <c r="CN25" s="28"/>
      <c r="CO25" s="80" t="s">
        <v>173</v>
      </c>
      <c r="CP25" s="28"/>
      <c r="CQ25" s="28"/>
      <c r="CR25" s="28"/>
      <c r="CS25" s="28"/>
      <c r="CT25" s="28"/>
      <c r="CU25" s="28"/>
      <c r="CV25" s="80" t="s">
        <v>173</v>
      </c>
    </row>
    <row r="26" spans="1:100" x14ac:dyDescent="0.25">
      <c r="A26" s="26" t="s">
        <v>174</v>
      </c>
      <c r="B26" s="28" t="s">
        <v>173</v>
      </c>
      <c r="C26" s="28" t="s">
        <v>173</v>
      </c>
      <c r="D26" s="28" t="s">
        <v>173</v>
      </c>
      <c r="E26" s="28" t="s">
        <v>173</v>
      </c>
      <c r="F26" s="28" t="s">
        <v>173</v>
      </c>
      <c r="G26" s="28" t="s">
        <v>173</v>
      </c>
      <c r="H26" s="28" t="s">
        <v>173</v>
      </c>
      <c r="I26" s="28" t="s">
        <v>173</v>
      </c>
      <c r="J26" s="28" t="s">
        <v>173</v>
      </c>
      <c r="K26" s="28" t="s">
        <v>173</v>
      </c>
      <c r="L26" s="28" t="s">
        <v>173</v>
      </c>
      <c r="M26" s="28" t="s">
        <v>173</v>
      </c>
      <c r="N26" s="28"/>
      <c r="O26" s="28"/>
      <c r="P26" s="28" t="s">
        <v>173</v>
      </c>
      <c r="Q26" s="28" t="s">
        <v>173</v>
      </c>
      <c r="R26" s="28"/>
      <c r="S26" s="28"/>
      <c r="T26" s="28"/>
      <c r="U26" s="28"/>
      <c r="V26" s="28"/>
      <c r="W26" s="28"/>
      <c r="X26" s="28"/>
      <c r="Y26" s="28"/>
      <c r="Z26" s="28"/>
      <c r="AA26" s="28" t="s">
        <v>173</v>
      </c>
      <c r="AB26" s="28"/>
      <c r="AC26" s="28"/>
      <c r="AD26" s="28"/>
      <c r="AE26" s="28"/>
      <c r="AF26" s="28"/>
      <c r="AG26" s="28"/>
      <c r="AH26" s="28" t="s">
        <v>173</v>
      </c>
      <c r="AJ26" s="28" t="s">
        <v>173</v>
      </c>
      <c r="AK26" s="28" t="s">
        <v>173</v>
      </c>
      <c r="AL26" s="28"/>
      <c r="AM26" s="28"/>
      <c r="AN26" s="28" t="s">
        <v>173</v>
      </c>
      <c r="AO26" s="28" t="s">
        <v>173</v>
      </c>
      <c r="AP26" s="28" t="s">
        <v>173</v>
      </c>
      <c r="AQ26" s="28"/>
      <c r="AR26" s="28" t="s">
        <v>173</v>
      </c>
      <c r="AS26" s="28" t="s">
        <v>173</v>
      </c>
      <c r="AT26" s="28" t="s">
        <v>173</v>
      </c>
      <c r="AU26" s="28"/>
      <c r="AV26" s="28"/>
      <c r="AW26" s="80" t="s">
        <v>173</v>
      </c>
      <c r="AX26" s="80" t="s">
        <v>173</v>
      </c>
      <c r="AY26" s="28"/>
      <c r="AZ26" s="28"/>
      <c r="BA26" s="28"/>
      <c r="BB26" s="28"/>
      <c r="BC26" s="28"/>
      <c r="BD26" s="28"/>
      <c r="BE26" s="28"/>
      <c r="BF26" s="28"/>
      <c r="BG26" s="28"/>
      <c r="BH26" s="28" t="s">
        <v>173</v>
      </c>
      <c r="BI26" s="28"/>
      <c r="BJ26" s="28"/>
      <c r="BK26" s="28"/>
      <c r="BL26" s="28"/>
      <c r="BM26" s="28"/>
      <c r="BN26" s="28"/>
      <c r="BO26" s="28" t="s">
        <v>173</v>
      </c>
      <c r="BQ26" s="28" t="s">
        <v>173</v>
      </c>
      <c r="BR26" s="28" t="s">
        <v>173</v>
      </c>
      <c r="BS26" s="28" t="s">
        <v>173</v>
      </c>
      <c r="BT26" s="80" t="s">
        <v>173</v>
      </c>
      <c r="BU26" s="80" t="s">
        <v>173</v>
      </c>
      <c r="BV26" s="80" t="s">
        <v>173</v>
      </c>
      <c r="BW26" s="80" t="s">
        <v>173</v>
      </c>
      <c r="BX26" s="80" t="s">
        <v>173</v>
      </c>
      <c r="BY26" s="80" t="s">
        <v>173</v>
      </c>
      <c r="BZ26" s="80" t="s">
        <v>173</v>
      </c>
      <c r="CA26" s="80" t="s">
        <v>173</v>
      </c>
      <c r="CB26" s="28"/>
      <c r="CC26" s="28"/>
      <c r="CD26" s="80" t="s">
        <v>173</v>
      </c>
      <c r="CE26" s="80" t="s">
        <v>173</v>
      </c>
      <c r="CF26" s="28"/>
      <c r="CG26" s="28"/>
      <c r="CH26" s="28"/>
      <c r="CI26" s="28"/>
      <c r="CJ26" s="28"/>
      <c r="CK26" s="28"/>
      <c r="CL26" s="28"/>
      <c r="CM26" s="28"/>
      <c r="CN26" s="28"/>
      <c r="CO26" s="80" t="s">
        <v>173</v>
      </c>
      <c r="CP26" s="28"/>
      <c r="CQ26" s="28"/>
      <c r="CR26" s="28"/>
      <c r="CS26" s="28"/>
      <c r="CT26" s="28"/>
      <c r="CU26" s="28"/>
      <c r="CV26" s="80" t="s">
        <v>173</v>
      </c>
    </row>
    <row r="27" spans="1:100" x14ac:dyDescent="0.25">
      <c r="A27" s="26" t="s">
        <v>175</v>
      </c>
      <c r="B27" s="28" t="s">
        <v>199</v>
      </c>
      <c r="C27" s="28" t="s">
        <v>160</v>
      </c>
      <c r="D27" s="28" t="s">
        <v>160</v>
      </c>
      <c r="E27" s="28" t="s">
        <v>199</v>
      </c>
      <c r="F27" s="28" t="s">
        <v>199</v>
      </c>
      <c r="G27" s="28" t="s">
        <v>199</v>
      </c>
      <c r="H27" s="28" t="s">
        <v>199</v>
      </c>
      <c r="I27" s="28" t="s">
        <v>199</v>
      </c>
      <c r="J27" s="28" t="s">
        <v>199</v>
      </c>
      <c r="K27" s="28" t="s">
        <v>199</v>
      </c>
      <c r="L27" s="28" t="s">
        <v>199</v>
      </c>
      <c r="M27" s="28" t="s">
        <v>199</v>
      </c>
      <c r="N27" s="28"/>
      <c r="O27" s="28"/>
      <c r="P27" s="28" t="s">
        <v>199</v>
      </c>
      <c r="Q27" s="28" t="s">
        <v>199</v>
      </c>
      <c r="R27" s="28"/>
      <c r="S27" s="28"/>
      <c r="T27" s="28"/>
      <c r="U27" s="28"/>
      <c r="V27" s="28"/>
      <c r="W27" s="28"/>
      <c r="X27" s="28"/>
      <c r="Y27" s="28"/>
      <c r="Z27" s="28"/>
      <c r="AA27" s="28" t="s">
        <v>199</v>
      </c>
      <c r="AB27" s="28"/>
      <c r="AC27" s="28"/>
      <c r="AD27" s="28"/>
      <c r="AE27" s="28"/>
      <c r="AF27" s="28"/>
      <c r="AG27" s="28"/>
      <c r="AH27" s="28" t="s">
        <v>160</v>
      </c>
      <c r="AJ27" s="28" t="s">
        <v>199</v>
      </c>
      <c r="AK27" s="28" t="s">
        <v>199</v>
      </c>
      <c r="AL27" s="28"/>
      <c r="AM27" s="28"/>
      <c r="AN27" s="28" t="s">
        <v>199</v>
      </c>
      <c r="AO27" s="28" t="s">
        <v>199</v>
      </c>
      <c r="AP27" s="28" t="s">
        <v>199</v>
      </c>
      <c r="AQ27" s="28"/>
      <c r="AR27" s="28" t="s">
        <v>267</v>
      </c>
      <c r="AS27" s="28" t="s">
        <v>267</v>
      </c>
      <c r="AT27" s="28" t="s">
        <v>267</v>
      </c>
      <c r="AU27" s="28"/>
      <c r="AV27" s="28"/>
      <c r="AW27" s="80" t="s">
        <v>199</v>
      </c>
      <c r="AX27" s="80" t="s">
        <v>199</v>
      </c>
      <c r="AY27" s="28"/>
      <c r="AZ27" s="28"/>
      <c r="BA27" s="28"/>
      <c r="BB27" s="28"/>
      <c r="BC27" s="28"/>
      <c r="BD27" s="28"/>
      <c r="BE27" s="28"/>
      <c r="BF27" s="28"/>
      <c r="BG27" s="28"/>
      <c r="BH27" s="28" t="s">
        <v>199</v>
      </c>
      <c r="BI27" s="28"/>
      <c r="BJ27" s="28"/>
      <c r="BK27" s="28"/>
      <c r="BL27" s="28"/>
      <c r="BM27" s="28"/>
      <c r="BN27" s="28"/>
      <c r="BO27" s="28" t="s">
        <v>160</v>
      </c>
      <c r="BQ27" s="28" t="s">
        <v>199</v>
      </c>
      <c r="BR27" s="28" t="s">
        <v>199</v>
      </c>
      <c r="BS27" s="28" t="s">
        <v>199</v>
      </c>
      <c r="BT27" s="80" t="s">
        <v>199</v>
      </c>
      <c r="BU27" s="80" t="s">
        <v>199</v>
      </c>
      <c r="BV27" s="80" t="s">
        <v>199</v>
      </c>
      <c r="BW27" s="80" t="s">
        <v>199</v>
      </c>
      <c r="BX27" s="80" t="s">
        <v>199</v>
      </c>
      <c r="BY27" s="80" t="s">
        <v>199</v>
      </c>
      <c r="BZ27" s="80" t="s">
        <v>199</v>
      </c>
      <c r="CA27" s="80" t="s">
        <v>199</v>
      </c>
      <c r="CB27" s="28"/>
      <c r="CC27" s="28"/>
      <c r="CD27" s="80" t="s">
        <v>199</v>
      </c>
      <c r="CE27" s="80" t="s">
        <v>199</v>
      </c>
      <c r="CF27" s="28"/>
      <c r="CG27" s="28"/>
      <c r="CH27" s="28"/>
      <c r="CI27" s="28"/>
      <c r="CJ27" s="28"/>
      <c r="CK27" s="28"/>
      <c r="CL27" s="28"/>
      <c r="CM27" s="28"/>
      <c r="CN27" s="28"/>
      <c r="CO27" s="80" t="s">
        <v>199</v>
      </c>
      <c r="CP27" s="28"/>
      <c r="CQ27" s="28"/>
      <c r="CR27" s="28"/>
      <c r="CS27" s="28"/>
      <c r="CT27" s="28"/>
      <c r="CU27" s="28"/>
      <c r="CV27" s="80" t="s">
        <v>199</v>
      </c>
    </row>
    <row r="28" spans="1:100" x14ac:dyDescent="0.25">
      <c r="A28" s="26" t="s">
        <v>176</v>
      </c>
      <c r="B28" s="30">
        <v>-2</v>
      </c>
      <c r="C28" s="30">
        <f>AVERAGE(2.5,2.5,2.5,3)</f>
        <v>2.625</v>
      </c>
      <c r="D28" s="30">
        <v>2.5</v>
      </c>
      <c r="E28" s="30">
        <v>-2</v>
      </c>
      <c r="F28" s="30">
        <v>-2</v>
      </c>
      <c r="G28" s="30">
        <v>-2</v>
      </c>
      <c r="H28" s="30">
        <v>-2</v>
      </c>
      <c r="I28" s="30">
        <v>-2</v>
      </c>
      <c r="J28" s="30">
        <v>-2</v>
      </c>
      <c r="K28" s="30">
        <v>-2</v>
      </c>
      <c r="L28" s="30">
        <v>-2</v>
      </c>
      <c r="M28" s="30">
        <v>-2</v>
      </c>
      <c r="N28" s="30"/>
      <c r="O28" s="30"/>
      <c r="P28" s="30">
        <v>-0.5</v>
      </c>
      <c r="Q28" s="30">
        <v>-0.5</v>
      </c>
      <c r="R28" s="30"/>
      <c r="S28" s="30"/>
      <c r="T28" s="30"/>
      <c r="U28" s="30"/>
      <c r="V28" s="30"/>
      <c r="W28" s="30"/>
      <c r="X28" s="30"/>
      <c r="Y28" s="30"/>
      <c r="Z28" s="30"/>
      <c r="AA28" s="30">
        <v>-2</v>
      </c>
      <c r="AB28" s="30"/>
      <c r="AC28" s="30"/>
      <c r="AD28" s="30"/>
      <c r="AE28" s="30"/>
      <c r="AF28" s="30"/>
      <c r="AG28" s="30"/>
      <c r="AH28" s="30">
        <v>3</v>
      </c>
      <c r="AJ28" s="30">
        <v>-0.5</v>
      </c>
      <c r="AK28" s="30">
        <v>-0.5</v>
      </c>
      <c r="AL28" s="30"/>
      <c r="AM28" s="30"/>
      <c r="AN28" s="30">
        <v>-2</v>
      </c>
      <c r="AO28" s="30">
        <v>-2</v>
      </c>
      <c r="AP28" s="30">
        <v>-2</v>
      </c>
      <c r="AQ28" s="30"/>
      <c r="AR28" s="30">
        <v>-3</v>
      </c>
      <c r="AS28" s="30">
        <v>-3</v>
      </c>
      <c r="AT28" s="30">
        <v>-3</v>
      </c>
      <c r="AU28" s="30"/>
      <c r="AV28" s="30"/>
      <c r="AW28" s="82">
        <v>-2</v>
      </c>
      <c r="AX28" s="82">
        <v>-2</v>
      </c>
      <c r="AY28" s="30"/>
      <c r="AZ28" s="30"/>
      <c r="BA28" s="30"/>
      <c r="BB28" s="30"/>
      <c r="BC28" s="30"/>
      <c r="BD28" s="30"/>
      <c r="BE28" s="30"/>
      <c r="BF28" s="30"/>
      <c r="BG28" s="30"/>
      <c r="BH28" s="30">
        <v>-2</v>
      </c>
      <c r="BI28" s="30"/>
      <c r="BJ28" s="30"/>
      <c r="BK28" s="30"/>
      <c r="BL28" s="30"/>
      <c r="BM28" s="30"/>
      <c r="BN28" s="30"/>
      <c r="BO28" s="30">
        <v>3</v>
      </c>
      <c r="BQ28" s="30">
        <v>-2</v>
      </c>
      <c r="BR28" s="30">
        <v>-2</v>
      </c>
      <c r="BS28" s="30">
        <v>-2</v>
      </c>
      <c r="BT28" s="82">
        <v>-2</v>
      </c>
      <c r="BU28" s="82">
        <v>-2</v>
      </c>
      <c r="BV28" s="82">
        <v>-2</v>
      </c>
      <c r="BW28" s="82">
        <v>-2</v>
      </c>
      <c r="BX28" s="82">
        <v>-2</v>
      </c>
      <c r="BY28" s="82">
        <v>-2</v>
      </c>
      <c r="BZ28" s="82">
        <v>-2</v>
      </c>
      <c r="CA28" s="82">
        <v>-2</v>
      </c>
      <c r="CB28" s="30"/>
      <c r="CC28" s="30"/>
      <c r="CD28" s="82">
        <v>-2</v>
      </c>
      <c r="CE28" s="82">
        <v>-2</v>
      </c>
      <c r="CF28" s="30"/>
      <c r="CG28" s="30"/>
      <c r="CH28" s="30"/>
      <c r="CI28" s="30"/>
      <c r="CJ28" s="30"/>
      <c r="CK28" s="30"/>
      <c r="CL28" s="30"/>
      <c r="CM28" s="30"/>
      <c r="CN28" s="30"/>
      <c r="CO28" s="82">
        <v>-2</v>
      </c>
      <c r="CP28" s="30"/>
      <c r="CQ28" s="30"/>
      <c r="CR28" s="30"/>
      <c r="CS28" s="30"/>
      <c r="CT28" s="30"/>
      <c r="CU28" s="30"/>
      <c r="CV28" s="82">
        <v>-2</v>
      </c>
    </row>
    <row r="29" spans="1:100" x14ac:dyDescent="0.25">
      <c r="A29" s="26" t="s">
        <v>177</v>
      </c>
      <c r="B29" s="28" t="s">
        <v>334</v>
      </c>
      <c r="C29" s="28" t="s">
        <v>181</v>
      </c>
      <c r="D29" s="28" t="s">
        <v>181</v>
      </c>
      <c r="E29" s="28" t="s">
        <v>334</v>
      </c>
      <c r="F29" s="28" t="s">
        <v>334</v>
      </c>
      <c r="G29" s="28" t="s">
        <v>334</v>
      </c>
      <c r="H29" s="28" t="s">
        <v>334</v>
      </c>
      <c r="I29" s="28" t="s">
        <v>334</v>
      </c>
      <c r="J29" s="28" t="s">
        <v>334</v>
      </c>
      <c r="K29" s="29" t="s">
        <v>537</v>
      </c>
      <c r="L29" s="29" t="s">
        <v>537</v>
      </c>
      <c r="M29" s="29" t="s">
        <v>537</v>
      </c>
      <c r="N29" s="28"/>
      <c r="O29" s="28"/>
      <c r="P29" s="28" t="s">
        <v>181</v>
      </c>
      <c r="Q29" s="28" t="s">
        <v>181</v>
      </c>
      <c r="R29" s="28"/>
      <c r="S29" s="28"/>
      <c r="T29" s="28"/>
      <c r="U29" s="28"/>
      <c r="V29" s="28"/>
      <c r="W29" s="28"/>
      <c r="X29" s="28"/>
      <c r="Y29" s="28"/>
      <c r="Z29" s="28"/>
      <c r="AA29" s="28" t="s">
        <v>334</v>
      </c>
      <c r="AB29" s="28"/>
      <c r="AC29" s="28"/>
      <c r="AD29" s="28"/>
      <c r="AE29" s="28"/>
      <c r="AF29" s="28"/>
      <c r="AG29" s="28"/>
      <c r="AH29" s="28" t="s">
        <v>178</v>
      </c>
      <c r="AJ29" s="28" t="s">
        <v>181</v>
      </c>
      <c r="AK29" s="28" t="s">
        <v>181</v>
      </c>
      <c r="AL29" s="28"/>
      <c r="AM29" s="28"/>
      <c r="AN29" s="28" t="s">
        <v>181</v>
      </c>
      <c r="AO29" s="28" t="s">
        <v>181</v>
      </c>
      <c r="AP29" s="28" t="s">
        <v>181</v>
      </c>
      <c r="AQ29" s="28"/>
      <c r="AR29" s="28" t="s">
        <v>905</v>
      </c>
      <c r="AS29" s="28" t="s">
        <v>357</v>
      </c>
      <c r="AT29" s="28" t="s">
        <v>180</v>
      </c>
      <c r="AU29" s="28"/>
      <c r="AV29" s="28"/>
      <c r="AW29" s="80" t="s">
        <v>341</v>
      </c>
      <c r="AX29" s="80" t="s">
        <v>341</v>
      </c>
      <c r="AY29" s="28"/>
      <c r="AZ29" s="28"/>
      <c r="BA29" s="28"/>
      <c r="BB29" s="28"/>
      <c r="BC29" s="28"/>
      <c r="BD29" s="28"/>
      <c r="BE29" s="28"/>
      <c r="BF29" s="28"/>
      <c r="BG29" s="28"/>
      <c r="BH29" s="28" t="s">
        <v>334</v>
      </c>
      <c r="BI29" s="28"/>
      <c r="BJ29" s="28"/>
      <c r="BK29" s="28"/>
      <c r="BL29" s="28"/>
      <c r="BM29" s="28"/>
      <c r="BN29" s="28"/>
      <c r="BO29" s="28" t="s">
        <v>178</v>
      </c>
      <c r="BQ29" s="28" t="s">
        <v>334</v>
      </c>
      <c r="BR29" s="28" t="s">
        <v>334</v>
      </c>
      <c r="BS29" s="28" t="s">
        <v>334</v>
      </c>
      <c r="BT29" s="80" t="s">
        <v>341</v>
      </c>
      <c r="BU29" s="80" t="s">
        <v>341</v>
      </c>
      <c r="BV29" s="80" t="s">
        <v>341</v>
      </c>
      <c r="BW29" s="80" t="s">
        <v>341</v>
      </c>
      <c r="BX29" s="80" t="s">
        <v>341</v>
      </c>
      <c r="BY29" s="80" t="s">
        <v>341</v>
      </c>
      <c r="BZ29" s="80" t="s">
        <v>341</v>
      </c>
      <c r="CA29" s="80" t="s">
        <v>341</v>
      </c>
      <c r="CB29" s="28"/>
      <c r="CC29" s="28"/>
      <c r="CD29" s="80" t="s">
        <v>341</v>
      </c>
      <c r="CE29" s="80" t="s">
        <v>341</v>
      </c>
      <c r="CF29" s="28"/>
      <c r="CG29" s="28"/>
      <c r="CH29" s="28"/>
      <c r="CI29" s="28"/>
      <c r="CJ29" s="28"/>
      <c r="CK29" s="28"/>
      <c r="CL29" s="28"/>
      <c r="CM29" s="28"/>
      <c r="CN29" s="28"/>
      <c r="CO29" s="80" t="s">
        <v>341</v>
      </c>
      <c r="CP29" s="28"/>
      <c r="CQ29" s="28"/>
      <c r="CR29" s="28"/>
      <c r="CS29" s="28"/>
      <c r="CT29" s="28"/>
      <c r="CU29" s="28"/>
      <c r="CV29" s="80" t="s">
        <v>341</v>
      </c>
    </row>
    <row r="30" spans="1:100" x14ac:dyDescent="0.25">
      <c r="A30" s="26" t="s">
        <v>182</v>
      </c>
      <c r="B30" s="30">
        <f>1/3</f>
        <v>0.33333333333333331</v>
      </c>
      <c r="C30" s="30">
        <v>2</v>
      </c>
      <c r="D30" s="30">
        <v>2</v>
      </c>
      <c r="E30" s="30">
        <f t="shared" ref="E30:J30" si="0">1/3</f>
        <v>0.33333333333333331</v>
      </c>
      <c r="F30" s="30">
        <f t="shared" si="0"/>
        <v>0.33333333333333331</v>
      </c>
      <c r="G30" s="30">
        <f t="shared" si="0"/>
        <v>0.33333333333333331</v>
      </c>
      <c r="H30" s="30">
        <f t="shared" si="0"/>
        <v>0.33333333333333331</v>
      </c>
      <c r="I30" s="30">
        <f t="shared" si="0"/>
        <v>0.33333333333333331</v>
      </c>
      <c r="J30" s="30">
        <f t="shared" si="0"/>
        <v>0.33333333333333331</v>
      </c>
      <c r="K30" s="30">
        <f>AVERAGE(1/3,0)</f>
        <v>0.16666666666666666</v>
      </c>
      <c r="L30" s="30">
        <f>AVERAGE(1/3,0)</f>
        <v>0.16666666666666666</v>
      </c>
      <c r="M30" s="30">
        <f>AVERAGE(1/3,0)</f>
        <v>0.16666666666666666</v>
      </c>
      <c r="N30" s="30"/>
      <c r="O30" s="30"/>
      <c r="P30" s="30">
        <v>2</v>
      </c>
      <c r="Q30" s="30">
        <v>2</v>
      </c>
      <c r="R30" s="30"/>
      <c r="S30" s="30"/>
      <c r="T30" s="30"/>
      <c r="U30" s="30"/>
      <c r="V30" s="30"/>
      <c r="W30" s="30"/>
      <c r="X30" s="30"/>
      <c r="Y30" s="30"/>
      <c r="Z30" s="30"/>
      <c r="AA30" s="30">
        <f>1/3</f>
        <v>0.33333333333333331</v>
      </c>
      <c r="AB30" s="30"/>
      <c r="AC30" s="30"/>
      <c r="AD30" s="30"/>
      <c r="AE30" s="30"/>
      <c r="AF30" s="30"/>
      <c r="AG30" s="30"/>
      <c r="AH30" s="30">
        <v>4</v>
      </c>
      <c r="AJ30" s="30">
        <v>2</v>
      </c>
      <c r="AK30" s="30">
        <v>2</v>
      </c>
      <c r="AL30" s="30"/>
      <c r="AM30" s="30"/>
      <c r="AN30" s="30">
        <v>2</v>
      </c>
      <c r="AO30" s="30">
        <v>2</v>
      </c>
      <c r="AP30" s="30">
        <v>2</v>
      </c>
      <c r="AQ30" s="30"/>
      <c r="AR30" s="30">
        <f>AVERAGE(2,0.5)</f>
        <v>1.25</v>
      </c>
      <c r="AS30" s="30">
        <f>AVERAGE(4,0.5)</f>
        <v>2.25</v>
      </c>
      <c r="AT30" s="30">
        <f>AVERAGE(4,2)</f>
        <v>3</v>
      </c>
      <c r="AU30" s="30"/>
      <c r="AV30" s="30"/>
      <c r="AW30" s="82">
        <v>0</v>
      </c>
      <c r="AX30" s="82">
        <v>0</v>
      </c>
      <c r="AY30" s="30"/>
      <c r="AZ30" s="30"/>
      <c r="BA30" s="30"/>
      <c r="BB30" s="30"/>
      <c r="BC30" s="30"/>
      <c r="BD30" s="30"/>
      <c r="BE30" s="30"/>
      <c r="BF30" s="30"/>
      <c r="BG30" s="30"/>
      <c r="BH30" s="30">
        <v>0.5</v>
      </c>
      <c r="BI30" s="30"/>
      <c r="BJ30" s="30"/>
      <c r="BK30" s="30"/>
      <c r="BL30" s="30"/>
      <c r="BM30" s="30"/>
      <c r="BN30" s="30"/>
      <c r="BO30" s="30">
        <v>4</v>
      </c>
      <c r="BQ30" s="30">
        <f>1/3</f>
        <v>0.33333333333333331</v>
      </c>
      <c r="BR30" s="30">
        <f>1/3</f>
        <v>0.33333333333333331</v>
      </c>
      <c r="BS30" s="30">
        <f>1/3</f>
        <v>0.33333333333333331</v>
      </c>
      <c r="BT30" s="82">
        <v>0</v>
      </c>
      <c r="BU30" s="82">
        <v>0</v>
      </c>
      <c r="BV30" s="82">
        <v>0</v>
      </c>
      <c r="BW30" s="82">
        <v>0</v>
      </c>
      <c r="BX30" s="82">
        <v>0</v>
      </c>
      <c r="BY30" s="82">
        <v>0</v>
      </c>
      <c r="BZ30" s="82">
        <v>0</v>
      </c>
      <c r="CA30" s="82">
        <v>0</v>
      </c>
      <c r="CB30" s="30"/>
      <c r="CC30" s="30"/>
      <c r="CD30" s="82">
        <v>0</v>
      </c>
      <c r="CE30" s="82">
        <v>0</v>
      </c>
      <c r="CF30" s="30"/>
      <c r="CG30" s="30"/>
      <c r="CH30" s="30"/>
      <c r="CI30" s="30"/>
      <c r="CJ30" s="30"/>
      <c r="CK30" s="30"/>
      <c r="CL30" s="30"/>
      <c r="CM30" s="30"/>
      <c r="CN30" s="30"/>
      <c r="CO30" s="82">
        <v>0</v>
      </c>
      <c r="CP30" s="30"/>
      <c r="CQ30" s="30"/>
      <c r="CR30" s="30"/>
      <c r="CS30" s="30"/>
      <c r="CT30" s="30"/>
      <c r="CU30" s="30"/>
      <c r="CV30" s="82">
        <v>0</v>
      </c>
    </row>
    <row r="31" spans="1:100" x14ac:dyDescent="0.25">
      <c r="C31" s="93" t="s">
        <v>1157</v>
      </c>
      <c r="AJ31" s="93" t="s">
        <v>1158</v>
      </c>
      <c r="BQ31" s="93" t="s">
        <v>1159</v>
      </c>
    </row>
    <row r="32" spans="1:100" x14ac:dyDescent="0.25">
      <c r="A32" s="31" t="s">
        <v>183</v>
      </c>
    </row>
    <row r="33" spans="1:34" x14ac:dyDescent="0.25">
      <c r="A33" s="93" t="s">
        <v>1160</v>
      </c>
      <c r="B33" s="56"/>
    </row>
    <row r="34" spans="1:34" x14ac:dyDescent="0.25">
      <c r="A34" s="108" t="s">
        <v>1161</v>
      </c>
      <c r="B34" s="56" t="s">
        <v>1162</v>
      </c>
    </row>
    <row r="35" spans="1:34" x14ac:dyDescent="0.25">
      <c r="A35" s="108" t="s">
        <v>1163</v>
      </c>
      <c r="B35" s="93" t="s">
        <v>1164</v>
      </c>
    </row>
    <row r="37" spans="1:34" x14ac:dyDescent="0.25">
      <c r="A37" s="25" t="s">
        <v>681</v>
      </c>
      <c r="C37" s="26" t="s">
        <v>1165</v>
      </c>
      <c r="E37" s="26" t="s">
        <v>1145</v>
      </c>
    </row>
    <row r="38" spans="1:34" x14ac:dyDescent="0.25">
      <c r="A38" s="26" t="s">
        <v>1166</v>
      </c>
      <c r="K38" s="26" t="s">
        <v>324</v>
      </c>
      <c r="L38" s="26" t="s">
        <v>1167</v>
      </c>
      <c r="M38" s="26" t="s">
        <v>1167</v>
      </c>
      <c r="P38" s="26" t="s">
        <v>324</v>
      </c>
      <c r="Q38" s="26" t="s">
        <v>324</v>
      </c>
    </row>
    <row r="39" spans="1:34" x14ac:dyDescent="0.25">
      <c r="A39" s="26" t="s">
        <v>1168</v>
      </c>
      <c r="P39" s="26" t="s">
        <v>324</v>
      </c>
      <c r="Q39" s="26" t="s">
        <v>324</v>
      </c>
    </row>
    <row r="40" spans="1:34" x14ac:dyDescent="0.25">
      <c r="A40" s="26" t="s">
        <v>1169</v>
      </c>
      <c r="K40" s="192" t="s">
        <v>1170</v>
      </c>
      <c r="L40" s="192" t="s">
        <v>1171</v>
      </c>
      <c r="M40" s="192" t="s">
        <v>1171</v>
      </c>
    </row>
    <row r="41" spans="1:34" x14ac:dyDescent="0.25">
      <c r="A41" s="26" t="s">
        <v>1172</v>
      </c>
      <c r="K41" s="27" t="s">
        <v>1167</v>
      </c>
      <c r="L41" s="27" t="s">
        <v>1167</v>
      </c>
      <c r="M41" s="27" t="s">
        <v>1167</v>
      </c>
      <c r="P41" s="26" t="s">
        <v>324</v>
      </c>
      <c r="Q41" s="26" t="s">
        <v>324</v>
      </c>
    </row>
    <row r="42" spans="1:34" x14ac:dyDescent="0.25">
      <c r="A42" s="26" t="s">
        <v>1173</v>
      </c>
      <c r="K42" s="26" t="s">
        <v>902</v>
      </c>
      <c r="L42" s="26" t="s">
        <v>903</v>
      </c>
      <c r="M42" s="26" t="s">
        <v>904</v>
      </c>
      <c r="P42" s="26" t="s">
        <v>324</v>
      </c>
      <c r="Q42" s="26" t="s">
        <v>324</v>
      </c>
    </row>
    <row r="43" spans="1:34" x14ac:dyDescent="0.25">
      <c r="A43" s="26" t="s">
        <v>1174</v>
      </c>
      <c r="K43" s="26" t="s">
        <v>1021</v>
      </c>
      <c r="L43" s="26" t="s">
        <v>1021</v>
      </c>
      <c r="M43" s="26" t="s">
        <v>1021</v>
      </c>
      <c r="AA43" s="26" t="s">
        <v>1175</v>
      </c>
      <c r="AG43" s="26" t="s">
        <v>1132</v>
      </c>
      <c r="AH43" s="26" t="s">
        <v>1132</v>
      </c>
    </row>
    <row r="45" spans="1:34" x14ac:dyDescent="0.25">
      <c r="A45" s="26" t="s">
        <v>1176</v>
      </c>
      <c r="K45" s="26" t="s">
        <v>1177</v>
      </c>
      <c r="L45" s="26" t="s">
        <v>1177</v>
      </c>
      <c r="M45" s="26" t="s">
        <v>1177</v>
      </c>
    </row>
    <row r="46" spans="1:34" x14ac:dyDescent="0.25">
      <c r="A46" s="26" t="s">
        <v>1178</v>
      </c>
      <c r="K46" s="26" t="s">
        <v>324</v>
      </c>
      <c r="L46" s="26" t="s">
        <v>1167</v>
      </c>
      <c r="M46" s="26" t="s">
        <v>324</v>
      </c>
    </row>
    <row r="47" spans="1:34" x14ac:dyDescent="0.25">
      <c r="A47" s="26" t="s">
        <v>1179</v>
      </c>
      <c r="K47" s="26" t="s">
        <v>1099</v>
      </c>
      <c r="L47" s="26" t="s">
        <v>1099</v>
      </c>
      <c r="M47" s="26" t="s">
        <v>1099</v>
      </c>
    </row>
    <row r="49" spans="1:32" ht="15.75" customHeight="1" x14ac:dyDescent="0.25">
      <c r="A49" s="160" t="s">
        <v>1180</v>
      </c>
      <c r="B49" s="26" t="s">
        <v>1181</v>
      </c>
      <c r="C49" s="26" t="s">
        <v>322</v>
      </c>
      <c r="D49" s="26" t="s">
        <v>322</v>
      </c>
      <c r="E49" s="26" t="s">
        <v>322</v>
      </c>
      <c r="F49" s="26" t="s">
        <v>1177</v>
      </c>
      <c r="G49" s="26" t="s">
        <v>1177</v>
      </c>
      <c r="H49" s="26" t="s">
        <v>1177</v>
      </c>
      <c r="I49" s="26" t="s">
        <v>1177</v>
      </c>
      <c r="J49" s="26" t="s">
        <v>1177</v>
      </c>
      <c r="K49" s="26" t="s">
        <v>1177</v>
      </c>
      <c r="L49" s="26" t="s">
        <v>1177</v>
      </c>
      <c r="M49" s="26" t="s">
        <v>1177</v>
      </c>
      <c r="N49" s="26" t="s">
        <v>322</v>
      </c>
      <c r="O49" s="26" t="s">
        <v>322</v>
      </c>
      <c r="P49" s="26" t="s">
        <v>1177</v>
      </c>
      <c r="Q49" s="26" t="s">
        <v>1177</v>
      </c>
      <c r="R49" s="26" t="s">
        <v>1177</v>
      </c>
      <c r="T49" s="26" t="s">
        <v>341</v>
      </c>
      <c r="U49" s="26" t="s">
        <v>341</v>
      </c>
      <c r="AE49" s="26" t="s">
        <v>1182</v>
      </c>
      <c r="AF49" s="26" t="s">
        <v>341</v>
      </c>
    </row>
  </sheetData>
  <mergeCells count="5">
    <mergeCell ref="B3:D3"/>
    <mergeCell ref="B4:D4"/>
    <mergeCell ref="B5:D5"/>
    <mergeCell ref="F3:O3"/>
    <mergeCell ref="F4:P5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75AB8-795C-4A3E-B116-8AFF4391248F}">
  <dimension ref="A1:BI37"/>
  <sheetViews>
    <sheetView workbookViewId="0">
      <selection activeCell="BI9" sqref="BI9"/>
    </sheetView>
  </sheetViews>
  <sheetFormatPr defaultColWidth="9.140625" defaultRowHeight="15" x14ac:dyDescent="0.25"/>
  <cols>
    <col min="1" max="1" width="23.28515625" style="26" bestFit="1" customWidth="1"/>
    <col min="2" max="61" width="5.7109375" style="26" customWidth="1"/>
    <col min="62" max="16384" width="9.140625" style="26"/>
  </cols>
  <sheetData>
    <row r="1" spans="1:61" x14ac:dyDescent="0.25">
      <c r="A1" s="25" t="s">
        <v>116</v>
      </c>
      <c r="D1" s="25" t="s">
        <v>895</v>
      </c>
      <c r="I1" s="25" t="s">
        <v>1120</v>
      </c>
    </row>
    <row r="3" spans="1:61" ht="18" x14ac:dyDescent="0.25">
      <c r="A3" s="25" t="s">
        <v>119</v>
      </c>
      <c r="B3" s="215">
        <v>77</v>
      </c>
      <c r="C3" s="215"/>
      <c r="D3" s="215"/>
      <c r="E3" s="25"/>
      <c r="F3" s="234" t="s">
        <v>120</v>
      </c>
      <c r="G3" s="234"/>
      <c r="H3" s="234"/>
      <c r="I3" s="234"/>
      <c r="J3" s="234"/>
      <c r="K3" s="234"/>
      <c r="L3" s="234"/>
      <c r="M3" s="234"/>
      <c r="N3" s="234"/>
      <c r="O3" s="234"/>
    </row>
    <row r="4" spans="1:61" ht="18" x14ac:dyDescent="0.25">
      <c r="A4" s="25" t="s">
        <v>121</v>
      </c>
      <c r="B4" s="215" t="s">
        <v>1183</v>
      </c>
      <c r="C4" s="215"/>
      <c r="D4" s="215"/>
      <c r="F4" s="248" t="s">
        <v>1184</v>
      </c>
      <c r="G4" s="249"/>
      <c r="H4" s="249"/>
      <c r="I4" s="249"/>
      <c r="J4" s="249"/>
      <c r="K4" s="249"/>
      <c r="L4" s="249"/>
      <c r="M4" s="249"/>
      <c r="N4" s="249"/>
      <c r="O4" s="249"/>
      <c r="P4" s="250"/>
    </row>
    <row r="5" spans="1:61" ht="18" x14ac:dyDescent="0.25">
      <c r="A5" s="25" t="s">
        <v>124</v>
      </c>
      <c r="B5" s="215" t="s">
        <v>1087</v>
      </c>
      <c r="C5" s="215"/>
      <c r="D5" s="215"/>
      <c r="F5" s="251"/>
      <c r="G5" s="252"/>
      <c r="H5" s="252"/>
      <c r="I5" s="252"/>
      <c r="J5" s="252"/>
      <c r="K5" s="252"/>
      <c r="L5" s="252"/>
      <c r="M5" s="252"/>
      <c r="N5" s="252"/>
      <c r="O5" s="252"/>
      <c r="P5" s="253"/>
    </row>
    <row r="7" spans="1:61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76" t="s">
        <v>158</v>
      </c>
      <c r="AJ7" s="58" t="s">
        <v>127</v>
      </c>
      <c r="AK7" s="58" t="s">
        <v>128</v>
      </c>
      <c r="AL7" s="39" t="s">
        <v>135</v>
      </c>
      <c r="AM7" s="39" t="s">
        <v>136</v>
      </c>
      <c r="AN7" s="39" t="s">
        <v>137</v>
      </c>
      <c r="AO7" s="40" t="s">
        <v>138</v>
      </c>
      <c r="AP7" s="40" t="s">
        <v>139</v>
      </c>
      <c r="AQ7" s="42" t="s">
        <v>140</v>
      </c>
      <c r="AR7" s="42" t="s">
        <v>141</v>
      </c>
      <c r="AS7" s="41" t="s">
        <v>142</v>
      </c>
      <c r="AT7" s="44" t="s">
        <v>143</v>
      </c>
      <c r="AU7" s="45" t="s">
        <v>144</v>
      </c>
      <c r="AV7" s="45" t="s">
        <v>145</v>
      </c>
      <c r="AW7" s="46" t="s">
        <v>146</v>
      </c>
      <c r="AX7" s="46" t="s">
        <v>147</v>
      </c>
      <c r="AY7" s="47" t="s">
        <v>148</v>
      </c>
      <c r="AZ7" s="47" t="s">
        <v>149</v>
      </c>
      <c r="BA7" s="48" t="s">
        <v>150</v>
      </c>
      <c r="BB7" s="72" t="s">
        <v>151</v>
      </c>
      <c r="BC7" s="49" t="s">
        <v>152</v>
      </c>
      <c r="BD7" s="49" t="s">
        <v>153</v>
      </c>
      <c r="BE7" s="49" t="s">
        <v>154</v>
      </c>
      <c r="BF7" s="50" t="s">
        <v>155</v>
      </c>
      <c r="BG7" s="51" t="s">
        <v>156</v>
      </c>
      <c r="BI7" s="76" t="s">
        <v>158</v>
      </c>
    </row>
    <row r="8" spans="1:61" ht="15.75" customHeight="1" x14ac:dyDescent="0.25">
      <c r="A8" s="26" t="s">
        <v>159</v>
      </c>
      <c r="B8" s="28" t="s">
        <v>191</v>
      </c>
      <c r="C8" s="83" t="s">
        <v>222</v>
      </c>
      <c r="D8" s="28" t="s">
        <v>222</v>
      </c>
      <c r="E8" s="28" t="s">
        <v>222</v>
      </c>
      <c r="F8" s="28" t="s">
        <v>222</v>
      </c>
      <c r="G8" s="28" t="s">
        <v>222</v>
      </c>
      <c r="H8" s="28" t="s">
        <v>222</v>
      </c>
      <c r="I8" s="28" t="s">
        <v>222</v>
      </c>
      <c r="J8" s="29" t="s">
        <v>222</v>
      </c>
      <c r="K8" s="28" t="s">
        <v>1185</v>
      </c>
      <c r="L8" s="28" t="s">
        <v>1185</v>
      </c>
      <c r="M8" s="28" t="s">
        <v>1185</v>
      </c>
      <c r="N8" s="28" t="s">
        <v>256</v>
      </c>
      <c r="O8" s="28" t="s">
        <v>256</v>
      </c>
      <c r="P8" s="28" t="s">
        <v>256</v>
      </c>
      <c r="Q8" s="28" t="s">
        <v>256</v>
      </c>
      <c r="R8" s="28"/>
      <c r="S8" s="28"/>
      <c r="T8" s="28"/>
      <c r="U8" s="28"/>
      <c r="V8" s="28"/>
      <c r="W8" s="28"/>
      <c r="X8" s="28"/>
      <c r="Y8" s="28"/>
      <c r="Z8" s="28"/>
      <c r="AA8" s="113" t="s">
        <v>1186</v>
      </c>
      <c r="AB8" s="28"/>
      <c r="AC8" s="28"/>
      <c r="AD8" s="28"/>
      <c r="AE8" s="28"/>
      <c r="AF8" s="28"/>
      <c r="AG8" s="28" t="s">
        <v>193</v>
      </c>
      <c r="AH8" s="28" t="s">
        <v>194</v>
      </c>
      <c r="AJ8" s="28" t="s">
        <v>249</v>
      </c>
      <c r="AK8" s="28" t="s">
        <v>249</v>
      </c>
      <c r="AL8" s="28" t="s">
        <v>1187</v>
      </c>
      <c r="AM8" s="28" t="s">
        <v>1187</v>
      </c>
      <c r="AN8" s="28" t="s">
        <v>1187</v>
      </c>
      <c r="AO8" s="28" t="s">
        <v>1187</v>
      </c>
      <c r="AP8" s="28" t="s">
        <v>1187</v>
      </c>
      <c r="AQ8" s="28" t="s">
        <v>1187</v>
      </c>
      <c r="AR8" s="28" t="s">
        <v>1187</v>
      </c>
      <c r="AS8" s="28"/>
      <c r="AT8" s="28"/>
      <c r="AU8" s="28"/>
      <c r="AV8" s="28"/>
      <c r="AW8" s="28"/>
      <c r="AX8" s="28"/>
      <c r="AY8" s="28"/>
      <c r="AZ8" s="28"/>
      <c r="BA8" s="28"/>
      <c r="BB8" s="28" t="s">
        <v>1005</v>
      </c>
      <c r="BC8" s="28"/>
      <c r="BD8" s="28"/>
      <c r="BE8" s="28"/>
      <c r="BF8" s="28"/>
      <c r="BG8" s="28"/>
      <c r="BI8" s="28" t="s">
        <v>553</v>
      </c>
    </row>
    <row r="9" spans="1:61" ht="15.75" customHeight="1" x14ac:dyDescent="0.25">
      <c r="A9" s="26" t="s">
        <v>165</v>
      </c>
      <c r="B9" s="29" t="s">
        <v>195</v>
      </c>
      <c r="C9" s="113" t="s">
        <v>981</v>
      </c>
      <c r="D9" s="29" t="s">
        <v>222</v>
      </c>
      <c r="E9" s="28" t="s">
        <v>257</v>
      </c>
      <c r="F9" s="28" t="s">
        <v>258</v>
      </c>
      <c r="G9" s="28" t="s">
        <v>258</v>
      </c>
      <c r="H9" s="28" t="s">
        <v>259</v>
      </c>
      <c r="I9" s="28" t="s">
        <v>256</v>
      </c>
      <c r="J9" s="28" t="s">
        <v>258</v>
      </c>
      <c r="K9" s="28" t="s">
        <v>1188</v>
      </c>
      <c r="L9" s="28" t="s">
        <v>1188</v>
      </c>
      <c r="M9" s="28" t="s">
        <v>1188</v>
      </c>
      <c r="N9" s="28" t="s">
        <v>1061</v>
      </c>
      <c r="O9" s="28" t="s">
        <v>1061</v>
      </c>
      <c r="P9" s="29" t="s">
        <v>226</v>
      </c>
      <c r="Q9" s="29" t="s">
        <v>226</v>
      </c>
      <c r="R9" s="29"/>
      <c r="S9" s="29"/>
      <c r="T9" s="29"/>
      <c r="U9" s="29"/>
      <c r="V9" s="29"/>
      <c r="W9" s="29"/>
      <c r="X9" s="29"/>
      <c r="Y9" s="29"/>
      <c r="Z9" s="29"/>
      <c r="AA9" s="112" t="s">
        <v>1189</v>
      </c>
      <c r="AB9" s="29"/>
      <c r="AC9" s="29"/>
      <c r="AD9" s="29"/>
      <c r="AE9" s="29"/>
      <c r="AF9" s="29"/>
      <c r="AG9" s="28" t="s">
        <v>196</v>
      </c>
      <c r="AH9" s="28" t="s">
        <v>196</v>
      </c>
      <c r="AJ9" s="113" t="s">
        <v>255</v>
      </c>
      <c r="AK9" s="28" t="s">
        <v>256</v>
      </c>
      <c r="AL9" s="28" t="s">
        <v>260</v>
      </c>
      <c r="AM9" s="28" t="s">
        <v>260</v>
      </c>
      <c r="AN9" s="28" t="s">
        <v>260</v>
      </c>
      <c r="AO9" s="28" t="s">
        <v>260</v>
      </c>
      <c r="AP9" s="28" t="s">
        <v>260</v>
      </c>
      <c r="AQ9" s="28" t="s">
        <v>261</v>
      </c>
      <c r="AR9" s="28" t="s">
        <v>261</v>
      </c>
      <c r="AS9" s="29"/>
      <c r="AT9" s="29"/>
      <c r="AU9" s="29"/>
      <c r="AV9" s="29"/>
      <c r="AW9" s="29"/>
      <c r="AX9" s="29"/>
      <c r="AY9" s="29"/>
      <c r="AZ9" s="29"/>
      <c r="BA9" s="29"/>
      <c r="BB9" s="28" t="s">
        <v>1190</v>
      </c>
      <c r="BC9" s="29"/>
      <c r="BD9" s="29"/>
      <c r="BE9" s="29"/>
      <c r="BF9" s="29"/>
      <c r="BG9" s="29"/>
      <c r="BI9" s="28" t="s">
        <v>197</v>
      </c>
    </row>
    <row r="10" spans="1:61" x14ac:dyDescent="0.25">
      <c r="A10" s="131" t="s">
        <v>168</v>
      </c>
      <c r="B10" s="157">
        <v>5</v>
      </c>
      <c r="C10" s="157">
        <v>121</v>
      </c>
      <c r="D10" s="157">
        <v>51</v>
      </c>
      <c r="E10" s="157">
        <v>102</v>
      </c>
      <c r="F10" s="157">
        <v>44</v>
      </c>
      <c r="G10" s="157">
        <v>44</v>
      </c>
      <c r="H10" s="157">
        <v>46</v>
      </c>
      <c r="I10" s="157">
        <v>50</v>
      </c>
      <c r="J10" s="157">
        <v>44</v>
      </c>
      <c r="K10" s="157">
        <v>257</v>
      </c>
      <c r="L10" s="157">
        <v>257</v>
      </c>
      <c r="M10" s="157">
        <v>257</v>
      </c>
      <c r="N10" s="157">
        <v>53</v>
      </c>
      <c r="O10" s="157">
        <v>53</v>
      </c>
      <c r="P10" s="157">
        <v>49</v>
      </c>
      <c r="Q10" s="157">
        <v>49</v>
      </c>
      <c r="R10" s="157"/>
      <c r="S10" s="157"/>
      <c r="T10" s="157"/>
      <c r="U10" s="157"/>
      <c r="V10" s="157"/>
      <c r="W10" s="157"/>
      <c r="X10" s="157"/>
      <c r="Y10" s="157"/>
      <c r="Z10" s="157"/>
      <c r="AA10" s="157">
        <v>258</v>
      </c>
      <c r="AB10" s="157"/>
      <c r="AC10" s="157"/>
      <c r="AD10" s="157"/>
      <c r="AE10" s="157"/>
      <c r="AF10" s="157"/>
      <c r="AG10" s="157">
        <v>26</v>
      </c>
      <c r="AH10" s="157">
        <v>26</v>
      </c>
      <c r="AJ10" s="157">
        <v>120</v>
      </c>
      <c r="AK10" s="157">
        <v>50</v>
      </c>
      <c r="AL10" s="157">
        <v>52</v>
      </c>
      <c r="AM10" s="157">
        <v>52</v>
      </c>
      <c r="AN10" s="157">
        <v>52</v>
      </c>
      <c r="AO10" s="157">
        <v>52</v>
      </c>
      <c r="AP10" s="157">
        <v>52</v>
      </c>
      <c r="AQ10" s="157">
        <v>48</v>
      </c>
      <c r="AR10" s="157">
        <v>48</v>
      </c>
      <c r="AS10" s="157"/>
      <c r="AT10" s="157"/>
      <c r="AU10" s="157"/>
      <c r="AV10" s="157"/>
      <c r="AW10" s="157"/>
      <c r="AX10" s="157"/>
      <c r="AY10" s="157"/>
      <c r="AZ10" s="157"/>
      <c r="BA10" s="157"/>
      <c r="BB10" s="157">
        <v>180</v>
      </c>
      <c r="BC10" s="157"/>
      <c r="BD10" s="157"/>
      <c r="BE10" s="157"/>
      <c r="BF10" s="157"/>
      <c r="BG10" s="157"/>
      <c r="BI10" s="157">
        <v>34</v>
      </c>
    </row>
    <row r="11" spans="1:61" x14ac:dyDescent="0.25">
      <c r="A11" s="26" t="s">
        <v>169</v>
      </c>
      <c r="B11" s="28" t="s">
        <v>170</v>
      </c>
      <c r="C11" s="28" t="s">
        <v>170</v>
      </c>
      <c r="D11" s="29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 t="s">
        <v>170</v>
      </c>
      <c r="K11" s="111" t="s">
        <v>1191</v>
      </c>
      <c r="L11" s="111" t="s">
        <v>1191</v>
      </c>
      <c r="M11" s="111" t="s">
        <v>1191</v>
      </c>
      <c r="N11" s="28" t="s">
        <v>170</v>
      </c>
      <c r="O11" s="28" t="s">
        <v>170</v>
      </c>
      <c r="P11" s="29" t="s">
        <v>170</v>
      </c>
      <c r="Q11" s="29" t="s">
        <v>170</v>
      </c>
      <c r="R11" s="28"/>
      <c r="S11" s="28"/>
      <c r="T11" s="28"/>
      <c r="U11" s="28"/>
      <c r="V11" s="28"/>
      <c r="W11" s="28"/>
      <c r="X11" s="28"/>
      <c r="Y11" s="28"/>
      <c r="Z11" s="28"/>
      <c r="AA11" s="29" t="s">
        <v>170</v>
      </c>
      <c r="AB11" s="28"/>
      <c r="AC11" s="29"/>
      <c r="AD11" s="28"/>
      <c r="AE11" s="29"/>
      <c r="AF11" s="28"/>
      <c r="AG11" s="28" t="s">
        <v>170</v>
      </c>
      <c r="AH11" s="28" t="s">
        <v>170</v>
      </c>
      <c r="AJ11" s="28" t="s">
        <v>170</v>
      </c>
      <c r="AK11" s="29" t="s">
        <v>170</v>
      </c>
      <c r="AL11" s="28" t="s">
        <v>170</v>
      </c>
      <c r="AM11" s="28" t="s">
        <v>170</v>
      </c>
      <c r="AN11" s="28" t="s">
        <v>170</v>
      </c>
      <c r="AO11" s="28" t="s">
        <v>170</v>
      </c>
      <c r="AP11" s="28" t="s">
        <v>170</v>
      </c>
      <c r="AQ11" s="28" t="s">
        <v>170</v>
      </c>
      <c r="AR11" s="28" t="s">
        <v>170</v>
      </c>
      <c r="AS11" s="28"/>
      <c r="AT11" s="28"/>
      <c r="AU11" s="28"/>
      <c r="AV11" s="28"/>
      <c r="AW11" s="28"/>
      <c r="AX11" s="28"/>
      <c r="AY11" s="28"/>
      <c r="AZ11" s="28"/>
      <c r="BA11" s="28"/>
      <c r="BB11" s="28" t="s">
        <v>170</v>
      </c>
      <c r="BC11" s="28"/>
      <c r="BD11" s="29"/>
      <c r="BE11" s="28"/>
      <c r="BF11" s="29"/>
      <c r="BG11" s="28"/>
      <c r="BI11" s="28" t="s">
        <v>170</v>
      </c>
    </row>
    <row r="12" spans="1:61" x14ac:dyDescent="0.25">
      <c r="A12" s="26" t="s">
        <v>171</v>
      </c>
      <c r="B12" s="28" t="s">
        <v>173</v>
      </c>
      <c r="C12" s="28" t="s">
        <v>170</v>
      </c>
      <c r="D12" s="29" t="s">
        <v>170</v>
      </c>
      <c r="E12" s="28" t="s">
        <v>173</v>
      </c>
      <c r="F12" s="28" t="s">
        <v>173</v>
      </c>
      <c r="G12" s="28" t="s">
        <v>173</v>
      </c>
      <c r="H12" s="28" t="s">
        <v>173</v>
      </c>
      <c r="I12" s="28" t="s">
        <v>173</v>
      </c>
      <c r="J12" s="28" t="s">
        <v>173</v>
      </c>
      <c r="K12" s="111" t="s">
        <v>1191</v>
      </c>
      <c r="L12" s="111" t="s">
        <v>1191</v>
      </c>
      <c r="M12" s="111" t="s">
        <v>1191</v>
      </c>
      <c r="N12" s="28" t="s">
        <v>170</v>
      </c>
      <c r="O12" s="28" t="s">
        <v>170</v>
      </c>
      <c r="P12" s="28" t="s">
        <v>170</v>
      </c>
      <c r="Q12" s="28" t="s">
        <v>170</v>
      </c>
      <c r="R12" s="28"/>
      <c r="S12" s="28"/>
      <c r="T12" s="28"/>
      <c r="U12" s="28"/>
      <c r="V12" s="28"/>
      <c r="W12" s="28"/>
      <c r="X12" s="28"/>
      <c r="Y12" s="28"/>
      <c r="Z12" s="28"/>
      <c r="AA12" s="113" t="s">
        <v>1192</v>
      </c>
      <c r="AB12" s="28"/>
      <c r="AC12" s="28"/>
      <c r="AD12" s="28"/>
      <c r="AE12" s="28"/>
      <c r="AF12" s="28"/>
      <c r="AG12" s="28" t="s">
        <v>173</v>
      </c>
      <c r="AH12" s="28" t="s">
        <v>173</v>
      </c>
      <c r="AJ12" s="28" t="s">
        <v>173</v>
      </c>
      <c r="AK12" s="28" t="s">
        <v>173</v>
      </c>
      <c r="AL12" s="28" t="s">
        <v>173</v>
      </c>
      <c r="AM12" s="28" t="s">
        <v>173</v>
      </c>
      <c r="AN12" s="28" t="s">
        <v>173</v>
      </c>
      <c r="AO12" s="28" t="s">
        <v>173</v>
      </c>
      <c r="AP12" s="28" t="s">
        <v>173</v>
      </c>
      <c r="AQ12" s="28" t="s">
        <v>173</v>
      </c>
      <c r="AR12" s="28" t="s">
        <v>173</v>
      </c>
      <c r="AS12" s="28"/>
      <c r="AT12" s="28"/>
      <c r="AU12" s="28"/>
      <c r="AV12" s="28"/>
      <c r="AW12" s="28"/>
      <c r="AX12" s="28"/>
      <c r="AY12" s="28"/>
      <c r="AZ12" s="28"/>
      <c r="BA12" s="28"/>
      <c r="BB12" s="28" t="s">
        <v>173</v>
      </c>
      <c r="BC12" s="28"/>
      <c r="BD12" s="28"/>
      <c r="BE12" s="28"/>
      <c r="BF12" s="28"/>
      <c r="BG12" s="28"/>
      <c r="BI12" s="28" t="s">
        <v>173</v>
      </c>
    </row>
    <row r="13" spans="1:61" x14ac:dyDescent="0.25">
      <c r="A13" s="26" t="s">
        <v>172</v>
      </c>
      <c r="B13" s="28" t="s">
        <v>173</v>
      </c>
      <c r="C13" s="28" t="s">
        <v>170</v>
      </c>
      <c r="D13" s="28" t="s">
        <v>170</v>
      </c>
      <c r="E13" s="130" t="s">
        <v>266</v>
      </c>
      <c r="F13" s="28" t="s">
        <v>173</v>
      </c>
      <c r="G13" s="28" t="s">
        <v>173</v>
      </c>
      <c r="H13" s="28" t="s">
        <v>170</v>
      </c>
      <c r="I13" s="28" t="s">
        <v>170</v>
      </c>
      <c r="J13" s="28" t="s">
        <v>173</v>
      </c>
      <c r="K13" s="111" t="s">
        <v>1191</v>
      </c>
      <c r="L13" s="111" t="s">
        <v>1191</v>
      </c>
      <c r="M13" s="111" t="s">
        <v>1191</v>
      </c>
      <c r="N13" s="28" t="s">
        <v>170</v>
      </c>
      <c r="O13" s="28" t="s">
        <v>170</v>
      </c>
      <c r="P13" s="28" t="s">
        <v>170</v>
      </c>
      <c r="Q13" s="28" t="s">
        <v>170</v>
      </c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170</v>
      </c>
      <c r="AB13" s="28"/>
      <c r="AC13" s="28"/>
      <c r="AD13" s="28"/>
      <c r="AE13" s="28"/>
      <c r="AF13" s="28"/>
      <c r="AG13" s="28" t="s">
        <v>170</v>
      </c>
      <c r="AH13" s="28" t="s">
        <v>170</v>
      </c>
      <c r="AJ13" s="28" t="s">
        <v>170</v>
      </c>
      <c r="AK13" s="28" t="s">
        <v>170</v>
      </c>
      <c r="AL13" s="28" t="s">
        <v>170</v>
      </c>
      <c r="AM13" s="28" t="s">
        <v>170</v>
      </c>
      <c r="AN13" s="28" t="s">
        <v>170</v>
      </c>
      <c r="AO13" s="28" t="s">
        <v>170</v>
      </c>
      <c r="AP13" s="28" t="s">
        <v>170</v>
      </c>
      <c r="AQ13" s="28" t="s">
        <v>170</v>
      </c>
      <c r="AR13" s="28" t="s">
        <v>170</v>
      </c>
      <c r="AS13" s="28"/>
      <c r="AT13" s="28"/>
      <c r="AU13" s="28"/>
      <c r="AV13" s="28"/>
      <c r="AW13" s="28"/>
      <c r="AX13" s="28"/>
      <c r="AY13" s="28"/>
      <c r="AZ13" s="28"/>
      <c r="BA13" s="28"/>
      <c r="BB13" s="28" t="s">
        <v>170</v>
      </c>
      <c r="BC13" s="28"/>
      <c r="BD13" s="28"/>
      <c r="BE13" s="28"/>
      <c r="BF13" s="28"/>
      <c r="BG13" s="28"/>
      <c r="BI13" s="28" t="s">
        <v>170</v>
      </c>
    </row>
    <row r="14" spans="1:61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173</v>
      </c>
      <c r="AB14" s="28"/>
      <c r="AC14" s="28"/>
      <c r="AD14" s="28"/>
      <c r="AE14" s="28"/>
      <c r="AF14" s="28"/>
      <c r="AG14" s="28" t="s">
        <v>173</v>
      </c>
      <c r="AH14" s="28" t="s">
        <v>173</v>
      </c>
      <c r="AJ14" s="28" t="s">
        <v>173</v>
      </c>
      <c r="AK14" s="28" t="s">
        <v>173</v>
      </c>
      <c r="AL14" s="28" t="s">
        <v>173</v>
      </c>
      <c r="AM14" s="28" t="s">
        <v>173</v>
      </c>
      <c r="AN14" s="28" t="s">
        <v>173</v>
      </c>
      <c r="AO14" s="28" t="s">
        <v>173</v>
      </c>
      <c r="AP14" s="28" t="s">
        <v>173</v>
      </c>
      <c r="AQ14" s="28" t="s">
        <v>173</v>
      </c>
      <c r="AR14" s="28" t="s">
        <v>173</v>
      </c>
      <c r="AS14" s="28"/>
      <c r="AT14" s="28"/>
      <c r="AU14" s="28"/>
      <c r="AV14" s="28"/>
      <c r="AW14" s="28"/>
      <c r="AX14" s="28"/>
      <c r="AY14" s="28"/>
      <c r="AZ14" s="28"/>
      <c r="BA14" s="28"/>
      <c r="BB14" s="28" t="s">
        <v>173</v>
      </c>
      <c r="BC14" s="28"/>
      <c r="BD14" s="28"/>
      <c r="BE14" s="28"/>
      <c r="BF14" s="28"/>
      <c r="BG14" s="28"/>
      <c r="BI14" s="28" t="s">
        <v>173</v>
      </c>
    </row>
    <row r="15" spans="1:61" x14ac:dyDescent="0.25">
      <c r="A15" s="26" t="s">
        <v>175</v>
      </c>
      <c r="B15" s="28" t="s">
        <v>198</v>
      </c>
      <c r="C15" s="28" t="s">
        <v>198</v>
      </c>
      <c r="D15" s="28" t="s">
        <v>198</v>
      </c>
      <c r="E15" s="28" t="s">
        <v>198</v>
      </c>
      <c r="F15" s="28" t="s">
        <v>198</v>
      </c>
      <c r="G15" s="28" t="s">
        <v>198</v>
      </c>
      <c r="H15" s="28" t="s">
        <v>198</v>
      </c>
      <c r="I15" s="28" t="s">
        <v>198</v>
      </c>
      <c r="J15" s="28" t="s">
        <v>198</v>
      </c>
      <c r="K15" s="28" t="s">
        <v>198</v>
      </c>
      <c r="L15" s="28" t="s">
        <v>198</v>
      </c>
      <c r="M15" s="28" t="s">
        <v>198</v>
      </c>
      <c r="N15" s="28" t="s">
        <v>198</v>
      </c>
      <c r="O15" s="28" t="s">
        <v>198</v>
      </c>
      <c r="P15" s="28" t="s">
        <v>198</v>
      </c>
      <c r="Q15" s="28" t="s">
        <v>198</v>
      </c>
      <c r="R15" s="28"/>
      <c r="S15" s="28"/>
      <c r="T15" s="28"/>
      <c r="U15" s="28"/>
      <c r="V15" s="28"/>
      <c r="W15" s="28"/>
      <c r="X15" s="28"/>
      <c r="Y15" s="28"/>
      <c r="Z15" s="28"/>
      <c r="AA15" s="113" t="s">
        <v>487</v>
      </c>
      <c r="AB15" s="28"/>
      <c r="AC15" s="28"/>
      <c r="AD15" s="28"/>
      <c r="AE15" s="28"/>
      <c r="AF15" s="28"/>
      <c r="AG15" s="28" t="s">
        <v>198</v>
      </c>
      <c r="AH15" s="28" t="s">
        <v>198</v>
      </c>
      <c r="AJ15" s="28" t="s">
        <v>198</v>
      </c>
      <c r="AK15" s="28" t="s">
        <v>198</v>
      </c>
      <c r="AL15" s="28" t="s">
        <v>198</v>
      </c>
      <c r="AM15" s="28" t="s">
        <v>198</v>
      </c>
      <c r="AN15" s="28" t="s">
        <v>198</v>
      </c>
      <c r="AO15" s="28" t="s">
        <v>198</v>
      </c>
      <c r="AP15" s="28" t="s">
        <v>198</v>
      </c>
      <c r="AQ15" s="28" t="s">
        <v>198</v>
      </c>
      <c r="AR15" s="28" t="s">
        <v>198</v>
      </c>
      <c r="AS15" s="28"/>
      <c r="AT15" s="28"/>
      <c r="AU15" s="28"/>
      <c r="AV15" s="28"/>
      <c r="AW15" s="28"/>
      <c r="AX15" s="28"/>
      <c r="AY15" s="28"/>
      <c r="AZ15" s="28"/>
      <c r="BA15" s="28"/>
      <c r="BB15" s="28" t="s">
        <v>198</v>
      </c>
      <c r="BC15" s="28"/>
      <c r="BD15" s="28"/>
      <c r="BE15" s="28"/>
      <c r="BF15" s="28"/>
      <c r="BG15" s="28"/>
      <c r="BI15" s="28" t="s">
        <v>199</v>
      </c>
    </row>
    <row r="16" spans="1:61" x14ac:dyDescent="0.25">
      <c r="A16" s="26" t="s">
        <v>176</v>
      </c>
      <c r="B16" s="30">
        <f>5/3</f>
        <v>1.6666666666666667</v>
      </c>
      <c r="C16" s="30">
        <f>13/12</f>
        <v>1.0833333333333333</v>
      </c>
      <c r="D16" s="30">
        <v>1</v>
      </c>
      <c r="E16" s="30">
        <f>AVERAGE(2,2,1)</f>
        <v>1.6666666666666667</v>
      </c>
      <c r="F16" s="30">
        <v>2</v>
      </c>
      <c r="G16" s="30">
        <v>2</v>
      </c>
      <c r="H16" s="30">
        <f>5/3</f>
        <v>1.6666666666666667</v>
      </c>
      <c r="I16" s="30">
        <v>1</v>
      </c>
      <c r="J16" s="30">
        <v>2</v>
      </c>
      <c r="K16" s="30">
        <v>0.5</v>
      </c>
      <c r="L16" s="30">
        <v>0.5</v>
      </c>
      <c r="M16" s="30">
        <v>0.5</v>
      </c>
      <c r="N16" s="30">
        <v>0.5</v>
      </c>
      <c r="O16" s="30">
        <v>0.5</v>
      </c>
      <c r="P16" s="30">
        <f>4/3</f>
        <v>1.3333333333333333</v>
      </c>
      <c r="Q16" s="30">
        <f>4/3</f>
        <v>1.3333333333333333</v>
      </c>
      <c r="R16" s="30"/>
      <c r="S16" s="30"/>
      <c r="T16" s="30"/>
      <c r="U16" s="30"/>
      <c r="V16" s="30"/>
      <c r="W16" s="30"/>
      <c r="X16" s="30"/>
      <c r="Y16" s="30"/>
      <c r="Z16" s="30"/>
      <c r="AA16" s="30">
        <f>AVERAGE(1,1,-0.5)</f>
        <v>0.5</v>
      </c>
      <c r="AB16" s="30"/>
      <c r="AC16" s="30"/>
      <c r="AD16" s="30"/>
      <c r="AE16" s="30"/>
      <c r="AF16" s="30"/>
      <c r="AG16" s="30">
        <f>4/3</f>
        <v>1.3333333333333333</v>
      </c>
      <c r="AH16" s="30">
        <f>4/3</f>
        <v>1.3333333333333333</v>
      </c>
      <c r="AJ16" s="30">
        <f>13/12</f>
        <v>1.0833333333333333</v>
      </c>
      <c r="AK16" s="30">
        <v>1</v>
      </c>
      <c r="AL16" s="30">
        <v>0.5</v>
      </c>
      <c r="AM16" s="30">
        <v>0.5</v>
      </c>
      <c r="AN16" s="30">
        <v>0.5</v>
      </c>
      <c r="AO16" s="30">
        <v>0.5</v>
      </c>
      <c r="AP16" s="30">
        <v>0.5</v>
      </c>
      <c r="AQ16" s="30">
        <f>4/3</f>
        <v>1.3333333333333333</v>
      </c>
      <c r="AR16" s="30">
        <f>4/3</f>
        <v>1.3333333333333333</v>
      </c>
      <c r="AS16" s="30"/>
      <c r="AT16" s="30"/>
      <c r="AU16" s="30"/>
      <c r="AV16" s="30"/>
      <c r="AW16" s="30"/>
      <c r="AX16" s="30"/>
      <c r="AY16" s="30"/>
      <c r="AZ16" s="30"/>
      <c r="BA16" s="30"/>
      <c r="BB16" s="30">
        <v>1</v>
      </c>
      <c r="BC16" s="30"/>
      <c r="BD16" s="30"/>
      <c r="BE16" s="30"/>
      <c r="BF16" s="30"/>
      <c r="BG16" s="30"/>
      <c r="BI16" s="30">
        <v>-0.5</v>
      </c>
    </row>
    <row r="17" spans="1:61" x14ac:dyDescent="0.25">
      <c r="A17" s="26" t="s">
        <v>177</v>
      </c>
      <c r="B17" s="28" t="s">
        <v>178</v>
      </c>
      <c r="C17" s="28" t="s">
        <v>181</v>
      </c>
      <c r="D17" s="28" t="s">
        <v>181</v>
      </c>
      <c r="E17" s="28" t="s">
        <v>181</v>
      </c>
      <c r="F17" s="28" t="s">
        <v>181</v>
      </c>
      <c r="G17" s="28" t="s">
        <v>181</v>
      </c>
      <c r="H17" s="28" t="s">
        <v>181</v>
      </c>
      <c r="I17" s="28" t="s">
        <v>181</v>
      </c>
      <c r="J17" s="28" t="s">
        <v>181</v>
      </c>
      <c r="K17" s="28" t="s">
        <v>1193</v>
      </c>
      <c r="L17" s="28" t="s">
        <v>1193</v>
      </c>
      <c r="M17" s="28" t="s">
        <v>1193</v>
      </c>
      <c r="N17" s="28" t="s">
        <v>181</v>
      </c>
      <c r="O17" s="28" t="s">
        <v>181</v>
      </c>
      <c r="P17" s="28" t="s">
        <v>181</v>
      </c>
      <c r="Q17" s="28" t="s">
        <v>181</v>
      </c>
      <c r="R17" s="28"/>
      <c r="S17" s="28"/>
      <c r="T17" s="28"/>
      <c r="U17" s="28"/>
      <c r="V17" s="28"/>
      <c r="W17" s="28"/>
      <c r="X17" s="28"/>
      <c r="Y17" s="28"/>
      <c r="Z17" s="28"/>
      <c r="AA17" s="114" t="s">
        <v>1194</v>
      </c>
      <c r="AB17" s="28"/>
      <c r="AC17" s="28"/>
      <c r="AD17" s="28"/>
      <c r="AE17" s="28"/>
      <c r="AF17" s="28"/>
      <c r="AG17" s="28" t="s">
        <v>200</v>
      </c>
      <c r="AH17" s="28" t="s">
        <v>200</v>
      </c>
      <c r="AJ17" s="28" t="s">
        <v>181</v>
      </c>
      <c r="AK17" s="28" t="s">
        <v>181</v>
      </c>
      <c r="AL17" s="28" t="s">
        <v>181</v>
      </c>
      <c r="AM17" s="28" t="s">
        <v>181</v>
      </c>
      <c r="AN17" s="28" t="s">
        <v>181</v>
      </c>
      <c r="AO17" s="28" t="s">
        <v>181</v>
      </c>
      <c r="AP17" s="28" t="s">
        <v>181</v>
      </c>
      <c r="AQ17" s="28" t="s">
        <v>181</v>
      </c>
      <c r="AR17" s="28" t="s">
        <v>181</v>
      </c>
      <c r="AS17" s="28"/>
      <c r="AT17" s="28"/>
      <c r="AU17" s="28"/>
      <c r="AV17" s="28"/>
      <c r="AW17" s="28"/>
      <c r="AX17" s="28"/>
      <c r="AY17" s="28"/>
      <c r="AZ17" s="28"/>
      <c r="BA17" s="28"/>
      <c r="BB17" s="28" t="s">
        <v>1012</v>
      </c>
      <c r="BC17" s="28"/>
      <c r="BD17" s="28"/>
      <c r="BE17" s="28"/>
      <c r="BF17" s="28"/>
      <c r="BG17" s="28"/>
      <c r="BI17" s="28" t="s">
        <v>200</v>
      </c>
    </row>
    <row r="18" spans="1:61" x14ac:dyDescent="0.25">
      <c r="A18" s="26" t="s">
        <v>182</v>
      </c>
      <c r="B18" s="30">
        <v>4</v>
      </c>
      <c r="C18" s="30">
        <v>2</v>
      </c>
      <c r="D18" s="30">
        <v>2</v>
      </c>
      <c r="E18" s="30">
        <v>2</v>
      </c>
      <c r="F18" s="30">
        <v>2</v>
      </c>
      <c r="G18" s="30">
        <v>2</v>
      </c>
      <c r="H18" s="30">
        <v>2</v>
      </c>
      <c r="I18" s="30">
        <v>2</v>
      </c>
      <c r="J18" s="30">
        <v>2</v>
      </c>
      <c r="K18" s="30">
        <f>AVERAGE(0,0,2)</f>
        <v>0.66666666666666663</v>
      </c>
      <c r="L18" s="30">
        <f t="shared" ref="L18:M18" si="0">AVERAGE(0,0,2)</f>
        <v>0.66666666666666663</v>
      </c>
      <c r="M18" s="30">
        <f t="shared" si="0"/>
        <v>0.66666666666666663</v>
      </c>
      <c r="N18" s="30">
        <v>2</v>
      </c>
      <c r="O18" s="30">
        <v>2</v>
      </c>
      <c r="P18" s="30">
        <v>2</v>
      </c>
      <c r="Q18" s="30">
        <v>2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f>AVERAGE(3.75,3.75,2)</f>
        <v>3.1666666666666665</v>
      </c>
      <c r="AB18" s="30"/>
      <c r="AC18" s="30"/>
      <c r="AD18" s="30"/>
      <c r="AE18" s="30"/>
      <c r="AF18" s="30"/>
      <c r="AG18" s="30">
        <v>3</v>
      </c>
      <c r="AH18" s="30">
        <v>3</v>
      </c>
      <c r="AJ18" s="30">
        <v>2</v>
      </c>
      <c r="AK18" s="30">
        <v>2</v>
      </c>
      <c r="AL18" s="30">
        <v>2</v>
      </c>
      <c r="AM18" s="30">
        <v>2</v>
      </c>
      <c r="AN18" s="30">
        <v>2</v>
      </c>
      <c r="AO18" s="30">
        <v>2</v>
      </c>
      <c r="AP18" s="30">
        <v>2</v>
      </c>
      <c r="AQ18" s="30">
        <v>2</v>
      </c>
      <c r="AR18" s="30">
        <v>2</v>
      </c>
      <c r="AS18" s="30"/>
      <c r="AT18" s="30"/>
      <c r="AU18" s="30"/>
      <c r="AV18" s="30"/>
      <c r="AW18" s="30"/>
      <c r="AX18" s="30"/>
      <c r="AY18" s="30"/>
      <c r="AZ18" s="30"/>
      <c r="BA18" s="30"/>
      <c r="BB18" s="30">
        <v>3.75</v>
      </c>
      <c r="BC18" s="30"/>
      <c r="BD18" s="30"/>
      <c r="BE18" s="30"/>
      <c r="BF18" s="30"/>
      <c r="BG18" s="30"/>
      <c r="BI18" s="30">
        <v>3</v>
      </c>
    </row>
    <row r="20" spans="1:61" x14ac:dyDescent="0.25">
      <c r="A20" s="26" t="s">
        <v>159</v>
      </c>
      <c r="B20" s="86" t="s">
        <v>1126</v>
      </c>
      <c r="C20" s="80" t="s">
        <v>341</v>
      </c>
      <c r="D20" s="80" t="s">
        <v>341</v>
      </c>
      <c r="E20" s="80" t="s">
        <v>341</v>
      </c>
      <c r="F20" s="80" t="s">
        <v>341</v>
      </c>
      <c r="G20" s="80" t="s">
        <v>341</v>
      </c>
      <c r="H20" s="80" t="s">
        <v>341</v>
      </c>
      <c r="I20" s="80" t="s">
        <v>341</v>
      </c>
      <c r="J20" s="80" t="s">
        <v>341</v>
      </c>
      <c r="K20" s="80" t="s">
        <v>341</v>
      </c>
      <c r="L20" s="80" t="s">
        <v>341</v>
      </c>
      <c r="M20" s="80" t="s">
        <v>341</v>
      </c>
      <c r="N20" s="80" t="s">
        <v>341</v>
      </c>
      <c r="O20" s="80" t="s">
        <v>341</v>
      </c>
      <c r="P20" s="80" t="s">
        <v>341</v>
      </c>
      <c r="Q20" s="80" t="s">
        <v>341</v>
      </c>
      <c r="R20" s="28"/>
      <c r="S20" s="28"/>
      <c r="T20" s="28"/>
      <c r="U20" s="28"/>
      <c r="V20" s="28"/>
      <c r="W20" s="28"/>
      <c r="X20" s="28"/>
      <c r="Y20" s="28"/>
      <c r="Z20" s="28"/>
      <c r="AA20" s="80" t="s">
        <v>341</v>
      </c>
      <c r="AB20" s="28"/>
      <c r="AC20" s="28"/>
      <c r="AD20" s="28"/>
      <c r="AE20" s="28"/>
      <c r="AF20" s="28"/>
      <c r="AG20" s="80" t="s">
        <v>341</v>
      </c>
      <c r="AH20" s="80" t="s">
        <v>341</v>
      </c>
      <c r="AJ20" s="80" t="s">
        <v>341</v>
      </c>
      <c r="AK20" s="80" t="s">
        <v>341</v>
      </c>
      <c r="AL20" s="80" t="s">
        <v>341</v>
      </c>
      <c r="AM20" s="80" t="s">
        <v>341</v>
      </c>
      <c r="AN20" s="80" t="s">
        <v>341</v>
      </c>
      <c r="AO20" s="80" t="s">
        <v>341</v>
      </c>
      <c r="AP20" s="80" t="s">
        <v>341</v>
      </c>
      <c r="AQ20" s="80" t="s">
        <v>341</v>
      </c>
      <c r="AR20" s="80" t="s">
        <v>341</v>
      </c>
      <c r="AS20" s="28"/>
      <c r="AT20" s="28"/>
      <c r="AU20" s="28"/>
      <c r="AV20" s="28"/>
      <c r="AW20" s="28"/>
      <c r="AX20" s="28"/>
      <c r="AY20" s="28"/>
      <c r="AZ20" s="28"/>
      <c r="BA20" s="28"/>
      <c r="BB20" s="80" t="s">
        <v>341</v>
      </c>
      <c r="BC20" s="28"/>
      <c r="BD20" s="28"/>
      <c r="BE20" s="28"/>
      <c r="BF20" s="28"/>
      <c r="BG20" s="28"/>
      <c r="BI20" s="80" t="s">
        <v>341</v>
      </c>
    </row>
    <row r="21" spans="1:61" x14ac:dyDescent="0.25">
      <c r="A21" s="26" t="s">
        <v>165</v>
      </c>
      <c r="B21" s="28" t="s">
        <v>322</v>
      </c>
      <c r="C21" s="80" t="s">
        <v>341</v>
      </c>
      <c r="D21" s="80" t="s">
        <v>341</v>
      </c>
      <c r="E21" s="80" t="s">
        <v>341</v>
      </c>
      <c r="F21" s="80" t="s">
        <v>341</v>
      </c>
      <c r="G21" s="80" t="s">
        <v>341</v>
      </c>
      <c r="H21" s="80" t="s">
        <v>341</v>
      </c>
      <c r="I21" s="80" t="s">
        <v>341</v>
      </c>
      <c r="J21" s="80" t="s">
        <v>341</v>
      </c>
      <c r="K21" s="80" t="s">
        <v>341</v>
      </c>
      <c r="L21" s="80" t="s">
        <v>341</v>
      </c>
      <c r="M21" s="80" t="s">
        <v>341</v>
      </c>
      <c r="N21" s="80" t="s">
        <v>341</v>
      </c>
      <c r="O21" s="80" t="s">
        <v>341</v>
      </c>
      <c r="P21" s="80" t="s">
        <v>341</v>
      </c>
      <c r="Q21" s="80" t="s">
        <v>341</v>
      </c>
      <c r="R21" s="29"/>
      <c r="S21" s="29"/>
      <c r="T21" s="29"/>
      <c r="U21" s="29"/>
      <c r="V21" s="29"/>
      <c r="W21" s="29"/>
      <c r="X21" s="29"/>
      <c r="Y21" s="29"/>
      <c r="Z21" s="29"/>
      <c r="AA21" s="80" t="s">
        <v>341</v>
      </c>
      <c r="AB21" s="29"/>
      <c r="AC21" s="29"/>
      <c r="AD21" s="29"/>
      <c r="AE21" s="29"/>
      <c r="AF21" s="29"/>
      <c r="AG21" s="80" t="s">
        <v>341</v>
      </c>
      <c r="AH21" s="80" t="s">
        <v>341</v>
      </c>
      <c r="AJ21" s="80" t="s">
        <v>341</v>
      </c>
      <c r="AK21" s="80" t="s">
        <v>341</v>
      </c>
      <c r="AL21" s="80" t="s">
        <v>341</v>
      </c>
      <c r="AM21" s="80" t="s">
        <v>341</v>
      </c>
      <c r="AN21" s="80" t="s">
        <v>341</v>
      </c>
      <c r="AO21" s="80" t="s">
        <v>341</v>
      </c>
      <c r="AP21" s="80" t="s">
        <v>341</v>
      </c>
      <c r="AQ21" s="80" t="s">
        <v>341</v>
      </c>
      <c r="AR21" s="80" t="s">
        <v>341</v>
      </c>
      <c r="AS21" s="29"/>
      <c r="AT21" s="29"/>
      <c r="AU21" s="29"/>
      <c r="AV21" s="29"/>
      <c r="AW21" s="29"/>
      <c r="AX21" s="29"/>
      <c r="AY21" s="29"/>
      <c r="AZ21" s="29"/>
      <c r="BA21" s="29"/>
      <c r="BB21" s="80" t="s">
        <v>341</v>
      </c>
      <c r="BC21" s="29"/>
      <c r="BD21" s="29"/>
      <c r="BE21" s="29"/>
      <c r="BF21" s="29"/>
      <c r="BG21" s="29"/>
      <c r="BI21" s="80" t="s">
        <v>341</v>
      </c>
    </row>
    <row r="22" spans="1:61" x14ac:dyDescent="0.25">
      <c r="A22" s="131" t="s">
        <v>168</v>
      </c>
      <c r="B22" s="157">
        <v>98</v>
      </c>
      <c r="C22" s="198"/>
      <c r="D22" s="198"/>
      <c r="E22" s="198"/>
      <c r="F22" s="198"/>
      <c r="G22" s="198"/>
      <c r="H22" s="198"/>
      <c r="I22" s="198"/>
      <c r="J22" s="198"/>
      <c r="K22" s="198"/>
      <c r="L22" s="198"/>
      <c r="M22" s="198"/>
      <c r="N22" s="198"/>
      <c r="O22" s="198"/>
      <c r="P22" s="198"/>
      <c r="Q22" s="198"/>
      <c r="R22" s="157"/>
      <c r="S22" s="157"/>
      <c r="T22" s="157"/>
      <c r="U22" s="157"/>
      <c r="V22" s="157"/>
      <c r="W22" s="157"/>
      <c r="X22" s="157"/>
      <c r="Y22" s="157"/>
      <c r="Z22" s="157"/>
      <c r="AA22" s="198"/>
      <c r="AB22" s="157"/>
      <c r="AC22" s="157"/>
      <c r="AD22" s="157"/>
      <c r="AE22" s="157"/>
      <c r="AF22" s="157"/>
      <c r="AG22" s="198"/>
      <c r="AH22" s="198"/>
      <c r="AJ22" s="198"/>
      <c r="AK22" s="198"/>
      <c r="AL22" s="198"/>
      <c r="AM22" s="198"/>
      <c r="AN22" s="198"/>
      <c r="AO22" s="198"/>
      <c r="AP22" s="198"/>
      <c r="AQ22" s="198"/>
      <c r="AR22" s="198"/>
      <c r="AS22" s="157"/>
      <c r="AT22" s="157"/>
      <c r="AU22" s="157"/>
      <c r="AV22" s="157"/>
      <c r="AW22" s="157"/>
      <c r="AX22" s="157"/>
      <c r="AY22" s="157"/>
      <c r="AZ22" s="157"/>
      <c r="BA22" s="157"/>
      <c r="BB22" s="198"/>
      <c r="BC22" s="157"/>
      <c r="BD22" s="157"/>
      <c r="BE22" s="157"/>
      <c r="BF22" s="157"/>
      <c r="BG22" s="157"/>
      <c r="BI22" s="198"/>
    </row>
    <row r="23" spans="1:61" x14ac:dyDescent="0.25">
      <c r="A23" s="26" t="s">
        <v>169</v>
      </c>
      <c r="B23" s="28" t="s">
        <v>170</v>
      </c>
      <c r="C23" s="80" t="s">
        <v>173</v>
      </c>
      <c r="D23" s="80" t="s">
        <v>173</v>
      </c>
      <c r="E23" s="80" t="s">
        <v>173</v>
      </c>
      <c r="F23" s="80" t="s">
        <v>173</v>
      </c>
      <c r="G23" s="80" t="s">
        <v>173</v>
      </c>
      <c r="H23" s="80" t="s">
        <v>173</v>
      </c>
      <c r="I23" s="80" t="s">
        <v>173</v>
      </c>
      <c r="J23" s="80" t="s">
        <v>173</v>
      </c>
      <c r="K23" s="80" t="s">
        <v>173</v>
      </c>
      <c r="L23" s="80" t="s">
        <v>173</v>
      </c>
      <c r="M23" s="80" t="s">
        <v>173</v>
      </c>
      <c r="N23" s="80" t="s">
        <v>173</v>
      </c>
      <c r="O23" s="80" t="s">
        <v>173</v>
      </c>
      <c r="P23" s="80" t="s">
        <v>173</v>
      </c>
      <c r="Q23" s="80" t="s">
        <v>173</v>
      </c>
      <c r="R23" s="28"/>
      <c r="S23" s="28"/>
      <c r="T23" s="28"/>
      <c r="U23" s="28"/>
      <c r="V23" s="28"/>
      <c r="W23" s="28"/>
      <c r="X23" s="28"/>
      <c r="Y23" s="28"/>
      <c r="Z23" s="28"/>
      <c r="AA23" s="80" t="s">
        <v>173</v>
      </c>
      <c r="AB23" s="28"/>
      <c r="AC23" s="29"/>
      <c r="AD23" s="28"/>
      <c r="AE23" s="29"/>
      <c r="AF23" s="28"/>
      <c r="AG23" s="80" t="s">
        <v>173</v>
      </c>
      <c r="AH23" s="80" t="s">
        <v>173</v>
      </c>
      <c r="AJ23" s="80" t="s">
        <v>173</v>
      </c>
      <c r="AK23" s="80" t="s">
        <v>173</v>
      </c>
      <c r="AL23" s="80" t="s">
        <v>173</v>
      </c>
      <c r="AM23" s="80" t="s">
        <v>173</v>
      </c>
      <c r="AN23" s="80" t="s">
        <v>173</v>
      </c>
      <c r="AO23" s="80" t="s">
        <v>173</v>
      </c>
      <c r="AP23" s="80" t="s">
        <v>173</v>
      </c>
      <c r="AQ23" s="80" t="s">
        <v>173</v>
      </c>
      <c r="AR23" s="80" t="s">
        <v>173</v>
      </c>
      <c r="AS23" s="28"/>
      <c r="AT23" s="28"/>
      <c r="AU23" s="28"/>
      <c r="AV23" s="28"/>
      <c r="AW23" s="28"/>
      <c r="AX23" s="28"/>
      <c r="AY23" s="28"/>
      <c r="AZ23" s="28"/>
      <c r="BA23" s="28"/>
      <c r="BB23" s="80" t="s">
        <v>173</v>
      </c>
      <c r="BC23" s="28"/>
      <c r="BD23" s="29"/>
      <c r="BE23" s="28"/>
      <c r="BF23" s="29"/>
      <c r="BG23" s="28"/>
      <c r="BI23" s="80" t="s">
        <v>173</v>
      </c>
    </row>
    <row r="24" spans="1:61" x14ac:dyDescent="0.25">
      <c r="A24" s="26" t="s">
        <v>171</v>
      </c>
      <c r="B24" s="28" t="s">
        <v>170</v>
      </c>
      <c r="C24" s="80" t="s">
        <v>173</v>
      </c>
      <c r="D24" s="80" t="s">
        <v>173</v>
      </c>
      <c r="E24" s="80" t="s">
        <v>173</v>
      </c>
      <c r="F24" s="80" t="s">
        <v>173</v>
      </c>
      <c r="G24" s="80" t="s">
        <v>173</v>
      </c>
      <c r="H24" s="80" t="s">
        <v>173</v>
      </c>
      <c r="I24" s="80" t="s">
        <v>173</v>
      </c>
      <c r="J24" s="80" t="s">
        <v>173</v>
      </c>
      <c r="K24" s="80" t="s">
        <v>173</v>
      </c>
      <c r="L24" s="80" t="s">
        <v>173</v>
      </c>
      <c r="M24" s="80" t="s">
        <v>173</v>
      </c>
      <c r="N24" s="80" t="s">
        <v>173</v>
      </c>
      <c r="O24" s="80" t="s">
        <v>173</v>
      </c>
      <c r="P24" s="80" t="s">
        <v>173</v>
      </c>
      <c r="Q24" s="80" t="s">
        <v>173</v>
      </c>
      <c r="R24" s="28"/>
      <c r="S24" s="28"/>
      <c r="T24" s="28"/>
      <c r="U24" s="28"/>
      <c r="V24" s="28"/>
      <c r="W24" s="28"/>
      <c r="X24" s="28"/>
      <c r="Y24" s="28"/>
      <c r="Z24" s="28"/>
      <c r="AA24" s="80" t="s">
        <v>173</v>
      </c>
      <c r="AB24" s="28"/>
      <c r="AC24" s="28"/>
      <c r="AD24" s="28"/>
      <c r="AE24" s="28"/>
      <c r="AF24" s="28"/>
      <c r="AG24" s="80" t="s">
        <v>173</v>
      </c>
      <c r="AH24" s="80" t="s">
        <v>173</v>
      </c>
      <c r="AJ24" s="80" t="s">
        <v>173</v>
      </c>
      <c r="AK24" s="80" t="s">
        <v>173</v>
      </c>
      <c r="AL24" s="80" t="s">
        <v>173</v>
      </c>
      <c r="AM24" s="80" t="s">
        <v>173</v>
      </c>
      <c r="AN24" s="80" t="s">
        <v>173</v>
      </c>
      <c r="AO24" s="80" t="s">
        <v>173</v>
      </c>
      <c r="AP24" s="80" t="s">
        <v>173</v>
      </c>
      <c r="AQ24" s="80" t="s">
        <v>173</v>
      </c>
      <c r="AR24" s="80" t="s">
        <v>173</v>
      </c>
      <c r="AS24" s="28"/>
      <c r="AT24" s="28"/>
      <c r="AU24" s="28"/>
      <c r="AV24" s="28"/>
      <c r="AW24" s="28"/>
      <c r="AX24" s="28"/>
      <c r="AY24" s="28"/>
      <c r="AZ24" s="28"/>
      <c r="BA24" s="28"/>
      <c r="BB24" s="80" t="s">
        <v>173</v>
      </c>
      <c r="BC24" s="28"/>
      <c r="BD24" s="28"/>
      <c r="BE24" s="28"/>
      <c r="BF24" s="28"/>
      <c r="BG24" s="28"/>
      <c r="BI24" s="80" t="s">
        <v>173</v>
      </c>
    </row>
    <row r="25" spans="1:61" x14ac:dyDescent="0.25">
      <c r="A25" s="26" t="s">
        <v>172</v>
      </c>
      <c r="B25" s="28" t="s">
        <v>173</v>
      </c>
      <c r="C25" s="80" t="s">
        <v>173</v>
      </c>
      <c r="D25" s="80" t="s">
        <v>173</v>
      </c>
      <c r="E25" s="80" t="s">
        <v>173</v>
      </c>
      <c r="F25" s="80" t="s">
        <v>173</v>
      </c>
      <c r="G25" s="80" t="s">
        <v>173</v>
      </c>
      <c r="H25" s="80" t="s">
        <v>173</v>
      </c>
      <c r="I25" s="80" t="s">
        <v>173</v>
      </c>
      <c r="J25" s="80" t="s">
        <v>173</v>
      </c>
      <c r="K25" s="80" t="s">
        <v>173</v>
      </c>
      <c r="L25" s="80" t="s">
        <v>173</v>
      </c>
      <c r="M25" s="80" t="s">
        <v>173</v>
      </c>
      <c r="N25" s="80" t="s">
        <v>173</v>
      </c>
      <c r="O25" s="80" t="s">
        <v>173</v>
      </c>
      <c r="P25" s="80" t="s">
        <v>173</v>
      </c>
      <c r="Q25" s="80" t="s">
        <v>173</v>
      </c>
      <c r="R25" s="28"/>
      <c r="S25" s="28"/>
      <c r="T25" s="28"/>
      <c r="U25" s="28"/>
      <c r="V25" s="28"/>
      <c r="W25" s="28"/>
      <c r="X25" s="28"/>
      <c r="Y25" s="28"/>
      <c r="Z25" s="28"/>
      <c r="AA25" s="80" t="s">
        <v>173</v>
      </c>
      <c r="AB25" s="28"/>
      <c r="AC25" s="28"/>
      <c r="AD25" s="28"/>
      <c r="AE25" s="28"/>
      <c r="AF25" s="28"/>
      <c r="AG25" s="80" t="s">
        <v>173</v>
      </c>
      <c r="AH25" s="80" t="s">
        <v>173</v>
      </c>
      <c r="AJ25" s="80" t="s">
        <v>173</v>
      </c>
      <c r="AK25" s="80" t="s">
        <v>173</v>
      </c>
      <c r="AL25" s="80" t="s">
        <v>173</v>
      </c>
      <c r="AM25" s="80" t="s">
        <v>173</v>
      </c>
      <c r="AN25" s="80" t="s">
        <v>173</v>
      </c>
      <c r="AO25" s="80" t="s">
        <v>173</v>
      </c>
      <c r="AP25" s="80" t="s">
        <v>173</v>
      </c>
      <c r="AQ25" s="80" t="s">
        <v>173</v>
      </c>
      <c r="AR25" s="80" t="s">
        <v>173</v>
      </c>
      <c r="AS25" s="28"/>
      <c r="AT25" s="28"/>
      <c r="AU25" s="28"/>
      <c r="AV25" s="28"/>
      <c r="AW25" s="28"/>
      <c r="AX25" s="28"/>
      <c r="AY25" s="28"/>
      <c r="AZ25" s="28"/>
      <c r="BA25" s="28"/>
      <c r="BB25" s="80" t="s">
        <v>173</v>
      </c>
      <c r="BC25" s="28"/>
      <c r="BD25" s="28"/>
      <c r="BE25" s="28"/>
      <c r="BF25" s="28"/>
      <c r="BG25" s="28"/>
      <c r="BI25" s="80" t="s">
        <v>173</v>
      </c>
    </row>
    <row r="26" spans="1:61" x14ac:dyDescent="0.25">
      <c r="A26" s="26" t="s">
        <v>174</v>
      </c>
      <c r="B26" s="28" t="s">
        <v>173</v>
      </c>
      <c r="C26" s="80" t="s">
        <v>173</v>
      </c>
      <c r="D26" s="80" t="s">
        <v>173</v>
      </c>
      <c r="E26" s="80" t="s">
        <v>173</v>
      </c>
      <c r="F26" s="80" t="s">
        <v>173</v>
      </c>
      <c r="G26" s="80" t="s">
        <v>173</v>
      </c>
      <c r="H26" s="80" t="s">
        <v>173</v>
      </c>
      <c r="I26" s="80" t="s">
        <v>173</v>
      </c>
      <c r="J26" s="80" t="s">
        <v>173</v>
      </c>
      <c r="K26" s="80" t="s">
        <v>173</v>
      </c>
      <c r="L26" s="80" t="s">
        <v>173</v>
      </c>
      <c r="M26" s="80" t="s">
        <v>173</v>
      </c>
      <c r="N26" s="80" t="s">
        <v>173</v>
      </c>
      <c r="O26" s="80" t="s">
        <v>173</v>
      </c>
      <c r="P26" s="80" t="s">
        <v>173</v>
      </c>
      <c r="Q26" s="80" t="s">
        <v>173</v>
      </c>
      <c r="R26" s="28"/>
      <c r="S26" s="28"/>
      <c r="T26" s="28"/>
      <c r="U26" s="28"/>
      <c r="V26" s="28"/>
      <c r="W26" s="28"/>
      <c r="X26" s="28"/>
      <c r="Y26" s="28"/>
      <c r="Z26" s="28"/>
      <c r="AA26" s="80" t="s">
        <v>173</v>
      </c>
      <c r="AB26" s="28"/>
      <c r="AC26" s="28"/>
      <c r="AD26" s="28"/>
      <c r="AE26" s="28"/>
      <c r="AF26" s="28"/>
      <c r="AG26" s="80" t="s">
        <v>173</v>
      </c>
      <c r="AH26" s="80" t="s">
        <v>173</v>
      </c>
      <c r="AJ26" s="80" t="s">
        <v>173</v>
      </c>
      <c r="AK26" s="80" t="s">
        <v>173</v>
      </c>
      <c r="AL26" s="80" t="s">
        <v>173</v>
      </c>
      <c r="AM26" s="80" t="s">
        <v>173</v>
      </c>
      <c r="AN26" s="80" t="s">
        <v>173</v>
      </c>
      <c r="AO26" s="80" t="s">
        <v>173</v>
      </c>
      <c r="AP26" s="80" t="s">
        <v>173</v>
      </c>
      <c r="AQ26" s="80" t="s">
        <v>173</v>
      </c>
      <c r="AR26" s="80" t="s">
        <v>173</v>
      </c>
      <c r="AS26" s="28"/>
      <c r="AT26" s="28"/>
      <c r="AU26" s="28"/>
      <c r="AV26" s="28"/>
      <c r="AW26" s="28"/>
      <c r="AX26" s="28"/>
      <c r="AY26" s="28"/>
      <c r="AZ26" s="28"/>
      <c r="BA26" s="28"/>
      <c r="BB26" s="80" t="s">
        <v>173</v>
      </c>
      <c r="BC26" s="28"/>
      <c r="BD26" s="28"/>
      <c r="BE26" s="28"/>
      <c r="BF26" s="28"/>
      <c r="BG26" s="28"/>
      <c r="BI26" s="80" t="s">
        <v>173</v>
      </c>
    </row>
    <row r="27" spans="1:61" x14ac:dyDescent="0.25">
      <c r="A27" s="26" t="s">
        <v>175</v>
      </c>
      <c r="B27" s="28" t="s">
        <v>199</v>
      </c>
      <c r="C27" s="80" t="s">
        <v>199</v>
      </c>
      <c r="D27" s="80" t="s">
        <v>199</v>
      </c>
      <c r="E27" s="80" t="s">
        <v>199</v>
      </c>
      <c r="F27" s="80" t="s">
        <v>199</v>
      </c>
      <c r="G27" s="80" t="s">
        <v>199</v>
      </c>
      <c r="H27" s="80" t="s">
        <v>199</v>
      </c>
      <c r="I27" s="80" t="s">
        <v>199</v>
      </c>
      <c r="J27" s="80" t="s">
        <v>199</v>
      </c>
      <c r="K27" s="80" t="s">
        <v>199</v>
      </c>
      <c r="L27" s="80" t="s">
        <v>199</v>
      </c>
      <c r="M27" s="80" t="s">
        <v>199</v>
      </c>
      <c r="N27" s="80" t="s">
        <v>199</v>
      </c>
      <c r="O27" s="80" t="s">
        <v>199</v>
      </c>
      <c r="P27" s="80" t="s">
        <v>199</v>
      </c>
      <c r="Q27" s="80" t="s">
        <v>199</v>
      </c>
      <c r="R27" s="28"/>
      <c r="S27" s="28"/>
      <c r="T27" s="28"/>
      <c r="U27" s="28"/>
      <c r="V27" s="28"/>
      <c r="W27" s="28"/>
      <c r="X27" s="28"/>
      <c r="Y27" s="28"/>
      <c r="Z27" s="28"/>
      <c r="AA27" s="80" t="s">
        <v>199</v>
      </c>
      <c r="AB27" s="28"/>
      <c r="AC27" s="28"/>
      <c r="AD27" s="28"/>
      <c r="AE27" s="28"/>
      <c r="AF27" s="28"/>
      <c r="AG27" s="80" t="s">
        <v>199</v>
      </c>
      <c r="AH27" s="80" t="s">
        <v>199</v>
      </c>
      <c r="AJ27" s="80" t="s">
        <v>199</v>
      </c>
      <c r="AK27" s="80" t="s">
        <v>199</v>
      </c>
      <c r="AL27" s="80" t="s">
        <v>199</v>
      </c>
      <c r="AM27" s="80" t="s">
        <v>199</v>
      </c>
      <c r="AN27" s="80" t="s">
        <v>199</v>
      </c>
      <c r="AO27" s="80" t="s">
        <v>199</v>
      </c>
      <c r="AP27" s="80" t="s">
        <v>199</v>
      </c>
      <c r="AQ27" s="80" t="s">
        <v>199</v>
      </c>
      <c r="AR27" s="80" t="s">
        <v>199</v>
      </c>
      <c r="AS27" s="28"/>
      <c r="AT27" s="28"/>
      <c r="AU27" s="28"/>
      <c r="AV27" s="28"/>
      <c r="AW27" s="28"/>
      <c r="AX27" s="28"/>
      <c r="AY27" s="28"/>
      <c r="AZ27" s="28"/>
      <c r="BA27" s="28"/>
      <c r="BB27" s="80" t="s">
        <v>199</v>
      </c>
      <c r="BC27" s="28"/>
      <c r="BD27" s="28"/>
      <c r="BE27" s="28"/>
      <c r="BF27" s="28"/>
      <c r="BG27" s="28"/>
      <c r="BI27" s="80" t="s">
        <v>199</v>
      </c>
    </row>
    <row r="28" spans="1:61" x14ac:dyDescent="0.25">
      <c r="A28" s="26" t="s">
        <v>176</v>
      </c>
      <c r="B28" s="30">
        <v>-2</v>
      </c>
      <c r="C28" s="82">
        <v>-2</v>
      </c>
      <c r="D28" s="82">
        <v>-2</v>
      </c>
      <c r="E28" s="82">
        <v>-2</v>
      </c>
      <c r="F28" s="82">
        <v>-2</v>
      </c>
      <c r="G28" s="82">
        <v>-2</v>
      </c>
      <c r="H28" s="82">
        <v>-2</v>
      </c>
      <c r="I28" s="82">
        <v>-2</v>
      </c>
      <c r="J28" s="82">
        <v>-2</v>
      </c>
      <c r="K28" s="82">
        <v>-2</v>
      </c>
      <c r="L28" s="82">
        <v>-2</v>
      </c>
      <c r="M28" s="82">
        <v>-2</v>
      </c>
      <c r="N28" s="82">
        <v>-2</v>
      </c>
      <c r="O28" s="82">
        <v>-2</v>
      </c>
      <c r="P28" s="82">
        <v>-2</v>
      </c>
      <c r="Q28" s="82">
        <v>-2</v>
      </c>
      <c r="R28" s="30"/>
      <c r="S28" s="30"/>
      <c r="T28" s="30"/>
      <c r="U28" s="30"/>
      <c r="V28" s="30"/>
      <c r="W28" s="30"/>
      <c r="X28" s="30"/>
      <c r="Y28" s="30"/>
      <c r="Z28" s="30"/>
      <c r="AA28" s="82">
        <v>-2</v>
      </c>
      <c r="AB28" s="30"/>
      <c r="AC28" s="30"/>
      <c r="AD28" s="30"/>
      <c r="AE28" s="30"/>
      <c r="AF28" s="30"/>
      <c r="AG28" s="82">
        <v>-2</v>
      </c>
      <c r="AH28" s="82">
        <v>-2</v>
      </c>
      <c r="AJ28" s="82">
        <v>-2</v>
      </c>
      <c r="AK28" s="82">
        <v>-2</v>
      </c>
      <c r="AL28" s="82">
        <v>-2</v>
      </c>
      <c r="AM28" s="82">
        <v>-2</v>
      </c>
      <c r="AN28" s="82">
        <v>-2</v>
      </c>
      <c r="AO28" s="82">
        <v>-2</v>
      </c>
      <c r="AP28" s="82">
        <v>-2</v>
      </c>
      <c r="AQ28" s="82">
        <v>-2</v>
      </c>
      <c r="AR28" s="82">
        <v>-2</v>
      </c>
      <c r="AS28" s="30"/>
      <c r="AT28" s="30"/>
      <c r="AU28" s="30"/>
      <c r="AV28" s="30"/>
      <c r="AW28" s="30"/>
      <c r="AX28" s="30"/>
      <c r="AY28" s="30"/>
      <c r="AZ28" s="30"/>
      <c r="BA28" s="30"/>
      <c r="BB28" s="82">
        <v>-2</v>
      </c>
      <c r="BC28" s="30"/>
      <c r="BD28" s="30"/>
      <c r="BE28" s="30"/>
      <c r="BF28" s="30"/>
      <c r="BG28" s="30"/>
      <c r="BI28" s="82">
        <v>-2</v>
      </c>
    </row>
    <row r="29" spans="1:61" x14ac:dyDescent="0.25">
      <c r="A29" s="26" t="s">
        <v>177</v>
      </c>
      <c r="B29" s="28" t="s">
        <v>334</v>
      </c>
      <c r="C29" s="80" t="s">
        <v>341</v>
      </c>
      <c r="D29" s="80" t="s">
        <v>341</v>
      </c>
      <c r="E29" s="80" t="s">
        <v>341</v>
      </c>
      <c r="F29" s="80" t="s">
        <v>341</v>
      </c>
      <c r="G29" s="80" t="s">
        <v>341</v>
      </c>
      <c r="H29" s="80" t="s">
        <v>341</v>
      </c>
      <c r="I29" s="80" t="s">
        <v>341</v>
      </c>
      <c r="J29" s="80" t="s">
        <v>341</v>
      </c>
      <c r="K29" s="80" t="s">
        <v>341</v>
      </c>
      <c r="L29" s="80" t="s">
        <v>341</v>
      </c>
      <c r="M29" s="80" t="s">
        <v>341</v>
      </c>
      <c r="N29" s="80" t="s">
        <v>341</v>
      </c>
      <c r="O29" s="80" t="s">
        <v>341</v>
      </c>
      <c r="P29" s="80" t="s">
        <v>341</v>
      </c>
      <c r="Q29" s="80" t="s">
        <v>341</v>
      </c>
      <c r="R29" s="28"/>
      <c r="S29" s="28"/>
      <c r="T29" s="28"/>
      <c r="U29" s="28"/>
      <c r="V29" s="28"/>
      <c r="W29" s="28"/>
      <c r="X29" s="28"/>
      <c r="Y29" s="28"/>
      <c r="Z29" s="28"/>
      <c r="AA29" s="80" t="s">
        <v>341</v>
      </c>
      <c r="AB29" s="28"/>
      <c r="AC29" s="28"/>
      <c r="AD29" s="28"/>
      <c r="AE29" s="28"/>
      <c r="AF29" s="28"/>
      <c r="AG29" s="80" t="s">
        <v>341</v>
      </c>
      <c r="AH29" s="80" t="s">
        <v>341</v>
      </c>
      <c r="AJ29" s="80" t="s">
        <v>341</v>
      </c>
      <c r="AK29" s="80" t="s">
        <v>341</v>
      </c>
      <c r="AL29" s="80" t="s">
        <v>341</v>
      </c>
      <c r="AM29" s="80" t="s">
        <v>341</v>
      </c>
      <c r="AN29" s="80" t="s">
        <v>341</v>
      </c>
      <c r="AO29" s="80" t="s">
        <v>341</v>
      </c>
      <c r="AP29" s="80" t="s">
        <v>341</v>
      </c>
      <c r="AQ29" s="80" t="s">
        <v>341</v>
      </c>
      <c r="AR29" s="80" t="s">
        <v>341</v>
      </c>
      <c r="AS29" s="28"/>
      <c r="AT29" s="28"/>
      <c r="AU29" s="28"/>
      <c r="AV29" s="28"/>
      <c r="AW29" s="28"/>
      <c r="AX29" s="28"/>
      <c r="AY29" s="28"/>
      <c r="AZ29" s="28"/>
      <c r="BA29" s="28"/>
      <c r="BB29" s="80" t="s">
        <v>341</v>
      </c>
      <c r="BC29" s="28"/>
      <c r="BD29" s="28"/>
      <c r="BE29" s="28"/>
      <c r="BF29" s="28"/>
      <c r="BG29" s="28"/>
      <c r="BI29" s="80" t="s">
        <v>341</v>
      </c>
    </row>
    <row r="30" spans="1:61" x14ac:dyDescent="0.25">
      <c r="A30" s="26" t="s">
        <v>182</v>
      </c>
      <c r="B30" s="30">
        <f>1/3</f>
        <v>0.33333333333333331</v>
      </c>
      <c r="C30" s="82">
        <v>0</v>
      </c>
      <c r="D30" s="82">
        <v>0</v>
      </c>
      <c r="E30" s="82">
        <v>0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  <c r="N30" s="82">
        <v>0</v>
      </c>
      <c r="O30" s="82">
        <v>0</v>
      </c>
      <c r="P30" s="82">
        <v>0</v>
      </c>
      <c r="Q30" s="82">
        <v>0</v>
      </c>
      <c r="R30" s="30"/>
      <c r="S30" s="30"/>
      <c r="T30" s="30"/>
      <c r="U30" s="30"/>
      <c r="V30" s="30"/>
      <c r="W30" s="30"/>
      <c r="X30" s="30"/>
      <c r="Y30" s="30"/>
      <c r="Z30" s="30"/>
      <c r="AA30" s="82">
        <v>0</v>
      </c>
      <c r="AB30" s="30"/>
      <c r="AC30" s="30"/>
      <c r="AD30" s="30"/>
      <c r="AE30" s="30"/>
      <c r="AF30" s="30"/>
      <c r="AG30" s="82">
        <v>0</v>
      </c>
      <c r="AH30" s="82">
        <v>0</v>
      </c>
      <c r="AJ30" s="82">
        <v>0</v>
      </c>
      <c r="AK30" s="82">
        <v>0</v>
      </c>
      <c r="AL30" s="82">
        <v>0</v>
      </c>
      <c r="AM30" s="82">
        <v>0</v>
      </c>
      <c r="AN30" s="82">
        <v>0</v>
      </c>
      <c r="AO30" s="82">
        <v>0</v>
      </c>
      <c r="AP30" s="82">
        <v>0</v>
      </c>
      <c r="AQ30" s="82">
        <v>0</v>
      </c>
      <c r="AR30" s="82">
        <v>0</v>
      </c>
      <c r="AS30" s="30"/>
      <c r="AT30" s="30"/>
      <c r="AU30" s="30"/>
      <c r="AV30" s="30"/>
      <c r="AW30" s="30"/>
      <c r="AX30" s="30"/>
      <c r="AY30" s="30"/>
      <c r="AZ30" s="30"/>
      <c r="BA30" s="30"/>
      <c r="BB30" s="82">
        <v>0</v>
      </c>
      <c r="BC30" s="30"/>
      <c r="BD30" s="30"/>
      <c r="BE30" s="30"/>
      <c r="BF30" s="30"/>
      <c r="BG30" s="30"/>
      <c r="BI30" s="82">
        <v>0</v>
      </c>
    </row>
    <row r="31" spans="1:61" ht="15.75" customHeight="1" x14ac:dyDescent="0.25">
      <c r="C31" s="223" t="s">
        <v>1195</v>
      </c>
      <c r="D31" s="223"/>
      <c r="K31" s="223" t="s">
        <v>1195</v>
      </c>
      <c r="L31" s="223"/>
      <c r="M31" s="223"/>
      <c r="AH31" s="78" t="s">
        <v>1196</v>
      </c>
      <c r="AJ31" s="223" t="s">
        <v>1197</v>
      </c>
      <c r="AK31" s="223"/>
      <c r="AL31" s="223"/>
      <c r="AM31" s="223"/>
      <c r="AN31" s="223"/>
      <c r="AO31" s="223"/>
      <c r="AP31" s="223"/>
      <c r="AQ31" s="223"/>
      <c r="AR31" s="223"/>
      <c r="AS31" s="223"/>
      <c r="AT31" s="223"/>
      <c r="AU31" s="223"/>
      <c r="AV31" s="223"/>
      <c r="AW31" s="223"/>
      <c r="AX31" s="223"/>
      <c r="AY31" s="223"/>
      <c r="AZ31" s="223"/>
      <c r="BA31" s="223"/>
      <c r="BB31" s="223"/>
      <c r="BC31" s="223"/>
      <c r="BD31" s="223"/>
      <c r="BE31" s="223"/>
      <c r="BF31" s="223"/>
      <c r="BG31" s="223"/>
      <c r="BI31" s="78" t="s">
        <v>1198</v>
      </c>
    </row>
    <row r="32" spans="1:61" x14ac:dyDescent="0.25">
      <c r="A32" s="31" t="s">
        <v>183</v>
      </c>
    </row>
    <row r="33" spans="1:10" x14ac:dyDescent="0.25">
      <c r="A33" s="93" t="s">
        <v>1199</v>
      </c>
      <c r="B33" s="56" t="s">
        <v>1200</v>
      </c>
    </row>
    <row r="34" spans="1:10" x14ac:dyDescent="0.25">
      <c r="A34" s="93" t="s">
        <v>1201</v>
      </c>
      <c r="B34" s="56" t="s">
        <v>1202</v>
      </c>
    </row>
    <row r="35" spans="1:10" x14ac:dyDescent="0.25">
      <c r="A35" s="93" t="s">
        <v>1203</v>
      </c>
      <c r="B35" s="56" t="s">
        <v>1204</v>
      </c>
    </row>
    <row r="36" spans="1:10" x14ac:dyDescent="0.25">
      <c r="A36" s="108"/>
      <c r="J36" s="109"/>
    </row>
    <row r="37" spans="1:10" x14ac:dyDescent="0.25">
      <c r="A37" s="93" t="s">
        <v>1205</v>
      </c>
    </row>
  </sheetData>
  <mergeCells count="8">
    <mergeCell ref="C31:D31"/>
    <mergeCell ref="K31:M31"/>
    <mergeCell ref="AJ31:BG31"/>
    <mergeCell ref="B3:D3"/>
    <mergeCell ref="B4:D4"/>
    <mergeCell ref="B5:D5"/>
    <mergeCell ref="F4:P5"/>
    <mergeCell ref="F3:O3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F2132-8353-4D10-B35E-94DB12F340BD}">
  <dimension ref="A1:AK36"/>
  <sheetViews>
    <sheetView workbookViewId="0">
      <selection activeCell="B7" sqref="B7"/>
    </sheetView>
  </sheetViews>
  <sheetFormatPr defaultColWidth="9.140625" defaultRowHeight="15" x14ac:dyDescent="0.25"/>
  <cols>
    <col min="1" max="1" width="23.28515625" style="26" bestFit="1" customWidth="1"/>
    <col min="2" max="56" width="5.7109375" style="26" customWidth="1"/>
    <col min="57" max="16384" width="9.140625" style="26"/>
  </cols>
  <sheetData>
    <row r="1" spans="1:37" x14ac:dyDescent="0.25">
      <c r="A1" s="25" t="s">
        <v>116</v>
      </c>
      <c r="D1" s="25" t="s">
        <v>895</v>
      </c>
      <c r="I1" s="25" t="s">
        <v>1120</v>
      </c>
    </row>
    <row r="3" spans="1:37" ht="18" x14ac:dyDescent="0.25">
      <c r="A3" s="25" t="s">
        <v>119</v>
      </c>
      <c r="B3" s="215">
        <v>78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7" ht="18" x14ac:dyDescent="0.25">
      <c r="A4" s="25" t="s">
        <v>121</v>
      </c>
      <c r="B4" s="215" t="s">
        <v>1183</v>
      </c>
      <c r="C4" s="215"/>
      <c r="D4" s="215"/>
      <c r="F4" s="216" t="s">
        <v>1206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7" ht="18" x14ac:dyDescent="0.25">
      <c r="A5" s="25" t="s">
        <v>124</v>
      </c>
      <c r="B5" s="215" t="s">
        <v>1106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7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76" t="s">
        <v>158</v>
      </c>
      <c r="AJ7" s="58" t="s">
        <v>127</v>
      </c>
      <c r="AK7" s="58" t="s">
        <v>128</v>
      </c>
    </row>
    <row r="8" spans="1:37" x14ac:dyDescent="0.25">
      <c r="A8" s="26" t="s">
        <v>159</v>
      </c>
      <c r="B8" s="28" t="s">
        <v>191</v>
      </c>
      <c r="C8" s="83" t="s">
        <v>222</v>
      </c>
      <c r="D8" s="28" t="s">
        <v>222</v>
      </c>
      <c r="E8" s="28" t="s">
        <v>222</v>
      </c>
      <c r="F8" s="28" t="s">
        <v>222</v>
      </c>
      <c r="G8" s="28" t="s">
        <v>222</v>
      </c>
      <c r="H8" s="28" t="s">
        <v>222</v>
      </c>
      <c r="I8" s="28" t="s">
        <v>222</v>
      </c>
      <c r="J8" s="28" t="s">
        <v>222</v>
      </c>
      <c r="K8" s="28" t="s">
        <v>1185</v>
      </c>
      <c r="L8" s="28" t="s">
        <v>1185</v>
      </c>
      <c r="M8" s="28" t="s">
        <v>1185</v>
      </c>
      <c r="N8" s="28" t="s">
        <v>256</v>
      </c>
      <c r="O8" s="28" t="s">
        <v>256</v>
      </c>
      <c r="P8" s="28" t="s">
        <v>256</v>
      </c>
      <c r="Q8" s="28" t="s">
        <v>256</v>
      </c>
      <c r="R8" s="28"/>
      <c r="S8" s="28"/>
      <c r="T8" s="28"/>
      <c r="U8" s="28"/>
      <c r="V8" s="28"/>
      <c r="W8" s="28"/>
      <c r="X8" s="28"/>
      <c r="Y8" s="28"/>
      <c r="Z8" s="28"/>
      <c r="AA8" s="28" t="s">
        <v>1005</v>
      </c>
      <c r="AB8" s="28"/>
      <c r="AC8" s="28"/>
      <c r="AD8" s="28"/>
      <c r="AE8" s="28"/>
      <c r="AF8" s="28"/>
      <c r="AG8" s="28"/>
      <c r="AH8" s="28" t="s">
        <v>194</v>
      </c>
      <c r="AJ8" s="28" t="s">
        <v>249</v>
      </c>
      <c r="AK8" s="28" t="s">
        <v>249</v>
      </c>
    </row>
    <row r="9" spans="1:37" x14ac:dyDescent="0.25">
      <c r="A9" s="26" t="s">
        <v>165</v>
      </c>
      <c r="B9" s="29" t="s">
        <v>195</v>
      </c>
      <c r="C9" s="113" t="s">
        <v>981</v>
      </c>
      <c r="D9" s="29" t="s">
        <v>222</v>
      </c>
      <c r="E9" s="28" t="s">
        <v>257</v>
      </c>
      <c r="F9" s="28" t="s">
        <v>258</v>
      </c>
      <c r="G9" s="28" t="s">
        <v>258</v>
      </c>
      <c r="H9" s="28" t="s">
        <v>259</v>
      </c>
      <c r="I9" s="28" t="s">
        <v>256</v>
      </c>
      <c r="J9" s="28" t="s">
        <v>258</v>
      </c>
      <c r="K9" s="28" t="s">
        <v>1188</v>
      </c>
      <c r="L9" s="28" t="s">
        <v>1188</v>
      </c>
      <c r="M9" s="28" t="s">
        <v>1188</v>
      </c>
      <c r="N9" s="28" t="s">
        <v>1061</v>
      </c>
      <c r="O9" s="28" t="s">
        <v>1061</v>
      </c>
      <c r="P9" s="29" t="s">
        <v>226</v>
      </c>
      <c r="Q9" s="29" t="s">
        <v>226</v>
      </c>
      <c r="R9" s="29"/>
      <c r="S9" s="29"/>
      <c r="T9" s="29"/>
      <c r="U9" s="29"/>
      <c r="V9" s="29"/>
      <c r="W9" s="29"/>
      <c r="X9" s="29"/>
      <c r="Y9" s="29"/>
      <c r="Z9" s="29"/>
      <c r="AA9" s="28" t="s">
        <v>1190</v>
      </c>
      <c r="AB9" s="29"/>
      <c r="AC9" s="29"/>
      <c r="AD9" s="29"/>
      <c r="AE9" s="29"/>
      <c r="AF9" s="29"/>
      <c r="AG9" s="29"/>
      <c r="AH9" s="28" t="s">
        <v>196</v>
      </c>
      <c r="AJ9" s="113" t="s">
        <v>255</v>
      </c>
      <c r="AK9" s="28" t="s">
        <v>256</v>
      </c>
    </row>
    <row r="10" spans="1:37" x14ac:dyDescent="0.25">
      <c r="A10" s="131" t="s">
        <v>168</v>
      </c>
      <c r="B10" s="157">
        <v>5</v>
      </c>
      <c r="C10" s="157">
        <v>121</v>
      </c>
      <c r="D10" s="157">
        <v>51</v>
      </c>
      <c r="E10" s="157">
        <v>102</v>
      </c>
      <c r="F10" s="157">
        <v>44</v>
      </c>
      <c r="G10" s="157">
        <v>44</v>
      </c>
      <c r="H10" s="157">
        <v>46</v>
      </c>
      <c r="I10" s="157">
        <v>50</v>
      </c>
      <c r="J10" s="157">
        <v>44</v>
      </c>
      <c r="K10" s="157">
        <v>257</v>
      </c>
      <c r="L10" s="157">
        <v>257</v>
      </c>
      <c r="M10" s="157">
        <v>257</v>
      </c>
      <c r="N10" s="157">
        <v>53</v>
      </c>
      <c r="O10" s="157">
        <v>53</v>
      </c>
      <c r="P10" s="157">
        <v>49</v>
      </c>
      <c r="Q10" s="157">
        <v>49</v>
      </c>
      <c r="R10" s="157"/>
      <c r="S10" s="157"/>
      <c r="T10" s="157"/>
      <c r="U10" s="157"/>
      <c r="V10" s="157"/>
      <c r="W10" s="157"/>
      <c r="X10" s="157"/>
      <c r="Y10" s="157"/>
      <c r="Z10" s="157"/>
      <c r="AA10" s="157">
        <v>180</v>
      </c>
      <c r="AB10" s="157"/>
      <c r="AC10" s="157"/>
      <c r="AD10" s="157"/>
      <c r="AE10" s="157"/>
      <c r="AF10" s="157"/>
      <c r="AG10" s="157"/>
      <c r="AH10" s="157">
        <v>26</v>
      </c>
      <c r="AJ10" s="157">
        <v>120</v>
      </c>
      <c r="AK10" s="157">
        <v>50</v>
      </c>
    </row>
    <row r="11" spans="1:37" x14ac:dyDescent="0.25">
      <c r="A11" s="26" t="s">
        <v>169</v>
      </c>
      <c r="B11" s="28" t="s">
        <v>170</v>
      </c>
      <c r="C11" s="28" t="s">
        <v>170</v>
      </c>
      <c r="D11" s="29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 t="s">
        <v>170</v>
      </c>
      <c r="K11" s="111" t="s">
        <v>1191</v>
      </c>
      <c r="L11" s="111" t="s">
        <v>1191</v>
      </c>
      <c r="M11" s="111" t="s">
        <v>1191</v>
      </c>
      <c r="N11" s="28" t="s">
        <v>170</v>
      </c>
      <c r="O11" s="28" t="s">
        <v>170</v>
      </c>
      <c r="P11" s="29" t="s">
        <v>170</v>
      </c>
      <c r="Q11" s="29" t="s">
        <v>170</v>
      </c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170</v>
      </c>
      <c r="AB11" s="28"/>
      <c r="AC11" s="29"/>
      <c r="AD11" s="28"/>
      <c r="AE11" s="29"/>
      <c r="AF11" s="28"/>
      <c r="AG11" s="28"/>
      <c r="AH11" s="28" t="s">
        <v>170</v>
      </c>
      <c r="AJ11" s="28" t="s">
        <v>170</v>
      </c>
      <c r="AK11" s="29" t="s">
        <v>170</v>
      </c>
    </row>
    <row r="12" spans="1:37" x14ac:dyDescent="0.25">
      <c r="A12" s="26" t="s">
        <v>171</v>
      </c>
      <c r="B12" s="28" t="s">
        <v>173</v>
      </c>
      <c r="C12" s="28" t="s">
        <v>170</v>
      </c>
      <c r="D12" s="29" t="s">
        <v>170</v>
      </c>
      <c r="E12" s="28" t="s">
        <v>173</v>
      </c>
      <c r="F12" s="28" t="s">
        <v>173</v>
      </c>
      <c r="G12" s="28" t="s">
        <v>173</v>
      </c>
      <c r="H12" s="28" t="s">
        <v>173</v>
      </c>
      <c r="I12" s="28" t="s">
        <v>173</v>
      </c>
      <c r="J12" s="28" t="s">
        <v>173</v>
      </c>
      <c r="K12" s="111" t="s">
        <v>1191</v>
      </c>
      <c r="L12" s="111" t="s">
        <v>1191</v>
      </c>
      <c r="M12" s="111" t="s">
        <v>1191</v>
      </c>
      <c r="N12" s="28" t="s">
        <v>170</v>
      </c>
      <c r="O12" s="28" t="s">
        <v>170</v>
      </c>
      <c r="P12" s="28" t="s">
        <v>170</v>
      </c>
      <c r="Q12" s="28" t="s">
        <v>170</v>
      </c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173</v>
      </c>
      <c r="AB12" s="28"/>
      <c r="AC12" s="28"/>
      <c r="AD12" s="28"/>
      <c r="AE12" s="28"/>
      <c r="AF12" s="28"/>
      <c r="AG12" s="28"/>
      <c r="AH12" s="28" t="s">
        <v>173</v>
      </c>
      <c r="AJ12" s="28" t="s">
        <v>173</v>
      </c>
      <c r="AK12" s="28" t="s">
        <v>173</v>
      </c>
    </row>
    <row r="13" spans="1:37" x14ac:dyDescent="0.25">
      <c r="A13" s="26" t="s">
        <v>172</v>
      </c>
      <c r="B13" s="28" t="s">
        <v>173</v>
      </c>
      <c r="C13" s="28" t="s">
        <v>170</v>
      </c>
      <c r="D13" s="28" t="s">
        <v>170</v>
      </c>
      <c r="E13" s="130" t="s">
        <v>266</v>
      </c>
      <c r="F13" s="28" t="s">
        <v>173</v>
      </c>
      <c r="G13" s="28" t="s">
        <v>173</v>
      </c>
      <c r="H13" s="28" t="s">
        <v>170</v>
      </c>
      <c r="I13" s="28" t="s">
        <v>170</v>
      </c>
      <c r="J13" s="28" t="s">
        <v>173</v>
      </c>
      <c r="K13" s="111" t="s">
        <v>1191</v>
      </c>
      <c r="L13" s="111" t="s">
        <v>1191</v>
      </c>
      <c r="M13" s="111" t="s">
        <v>1191</v>
      </c>
      <c r="N13" s="28" t="s">
        <v>170</v>
      </c>
      <c r="O13" s="28" t="s">
        <v>170</v>
      </c>
      <c r="P13" s="28" t="s">
        <v>170</v>
      </c>
      <c r="Q13" s="28" t="s">
        <v>170</v>
      </c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170</v>
      </c>
      <c r="AB13" s="28"/>
      <c r="AC13" s="28"/>
      <c r="AD13" s="28"/>
      <c r="AE13" s="28"/>
      <c r="AF13" s="28"/>
      <c r="AG13" s="28"/>
      <c r="AH13" s="28" t="s">
        <v>170</v>
      </c>
      <c r="AJ13" s="28" t="s">
        <v>170</v>
      </c>
      <c r="AK13" s="28" t="s">
        <v>170</v>
      </c>
    </row>
    <row r="14" spans="1:37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173</v>
      </c>
      <c r="AB14" s="28"/>
      <c r="AC14" s="28"/>
      <c r="AD14" s="28"/>
      <c r="AE14" s="28"/>
      <c r="AF14" s="28"/>
      <c r="AG14" s="28"/>
      <c r="AH14" s="28" t="s">
        <v>173</v>
      </c>
      <c r="AJ14" s="28" t="s">
        <v>173</v>
      </c>
      <c r="AK14" s="28" t="s">
        <v>173</v>
      </c>
    </row>
    <row r="15" spans="1:37" x14ac:dyDescent="0.25">
      <c r="A15" s="26" t="s">
        <v>175</v>
      </c>
      <c r="B15" s="28" t="s">
        <v>198</v>
      </c>
      <c r="C15" s="28" t="s">
        <v>198</v>
      </c>
      <c r="D15" s="28" t="s">
        <v>198</v>
      </c>
      <c r="E15" s="28" t="s">
        <v>198</v>
      </c>
      <c r="F15" s="28" t="s">
        <v>198</v>
      </c>
      <c r="G15" s="28" t="s">
        <v>198</v>
      </c>
      <c r="H15" s="28" t="s">
        <v>198</v>
      </c>
      <c r="I15" s="28" t="s">
        <v>198</v>
      </c>
      <c r="J15" s="28" t="s">
        <v>198</v>
      </c>
      <c r="K15" s="28" t="s">
        <v>198</v>
      </c>
      <c r="L15" s="28" t="s">
        <v>198</v>
      </c>
      <c r="M15" s="28" t="s">
        <v>198</v>
      </c>
      <c r="N15" s="28" t="s">
        <v>198</v>
      </c>
      <c r="O15" s="28" t="s">
        <v>198</v>
      </c>
      <c r="P15" s="28" t="s">
        <v>198</v>
      </c>
      <c r="Q15" s="28" t="s">
        <v>198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198</v>
      </c>
      <c r="AB15" s="28"/>
      <c r="AC15" s="28"/>
      <c r="AD15" s="28"/>
      <c r="AE15" s="28"/>
      <c r="AF15" s="28"/>
      <c r="AG15" s="28"/>
      <c r="AH15" s="28" t="s">
        <v>198</v>
      </c>
      <c r="AJ15" s="28" t="s">
        <v>198</v>
      </c>
      <c r="AK15" s="28" t="s">
        <v>198</v>
      </c>
    </row>
    <row r="16" spans="1:37" x14ac:dyDescent="0.25">
      <c r="A16" s="26" t="s">
        <v>176</v>
      </c>
      <c r="B16" s="30">
        <f>5/3</f>
        <v>1.6666666666666667</v>
      </c>
      <c r="C16" s="30">
        <f>13/12</f>
        <v>1.0833333333333333</v>
      </c>
      <c r="D16" s="30">
        <v>1</v>
      </c>
      <c r="E16" s="30">
        <f>AVERAGE(2,2,1)</f>
        <v>1.6666666666666667</v>
      </c>
      <c r="F16" s="30">
        <v>2</v>
      </c>
      <c r="G16" s="30">
        <v>2</v>
      </c>
      <c r="H16" s="30">
        <f>5/3</f>
        <v>1.6666666666666667</v>
      </c>
      <c r="I16" s="30">
        <v>1</v>
      </c>
      <c r="J16" s="30">
        <v>2</v>
      </c>
      <c r="K16" s="30">
        <v>0.5</v>
      </c>
      <c r="L16" s="30">
        <v>0.5</v>
      </c>
      <c r="M16" s="30">
        <v>0.5</v>
      </c>
      <c r="N16" s="30">
        <v>0.5</v>
      </c>
      <c r="O16" s="30">
        <v>0.5</v>
      </c>
      <c r="P16" s="30">
        <f>4/3</f>
        <v>1.3333333333333333</v>
      </c>
      <c r="Q16" s="30">
        <f>4/3</f>
        <v>1.3333333333333333</v>
      </c>
      <c r="R16" s="30"/>
      <c r="S16" s="30"/>
      <c r="T16" s="30"/>
      <c r="U16" s="30"/>
      <c r="V16" s="30"/>
      <c r="W16" s="30"/>
      <c r="X16" s="30"/>
      <c r="Y16" s="30"/>
      <c r="Z16" s="30"/>
      <c r="AA16" s="30">
        <v>1</v>
      </c>
      <c r="AB16" s="30"/>
      <c r="AC16" s="30"/>
      <c r="AD16" s="30"/>
      <c r="AE16" s="30"/>
      <c r="AF16" s="30"/>
      <c r="AG16" s="30"/>
      <c r="AH16" s="30">
        <f>4/3</f>
        <v>1.3333333333333333</v>
      </c>
      <c r="AJ16" s="30">
        <f>13/12</f>
        <v>1.0833333333333333</v>
      </c>
      <c r="AK16" s="30">
        <v>1</v>
      </c>
    </row>
    <row r="17" spans="1:37" x14ac:dyDescent="0.25">
      <c r="A17" s="26" t="s">
        <v>177</v>
      </c>
      <c r="B17" s="28" t="s">
        <v>178</v>
      </c>
      <c r="C17" s="28" t="s">
        <v>181</v>
      </c>
      <c r="D17" s="28" t="s">
        <v>181</v>
      </c>
      <c r="E17" s="28" t="s">
        <v>181</v>
      </c>
      <c r="F17" s="28" t="s">
        <v>181</v>
      </c>
      <c r="G17" s="28" t="s">
        <v>181</v>
      </c>
      <c r="H17" s="28" t="s">
        <v>181</v>
      </c>
      <c r="I17" s="28" t="s">
        <v>181</v>
      </c>
      <c r="J17" s="28" t="s">
        <v>181</v>
      </c>
      <c r="K17" s="28" t="s">
        <v>1193</v>
      </c>
      <c r="L17" s="28" t="s">
        <v>1193</v>
      </c>
      <c r="M17" s="28" t="s">
        <v>1193</v>
      </c>
      <c r="N17" s="28" t="s">
        <v>181</v>
      </c>
      <c r="O17" s="28" t="s">
        <v>181</v>
      </c>
      <c r="P17" s="28" t="s">
        <v>181</v>
      </c>
      <c r="Q17" s="28" t="s">
        <v>181</v>
      </c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1012</v>
      </c>
      <c r="AB17" s="28"/>
      <c r="AC17" s="28"/>
      <c r="AD17" s="28"/>
      <c r="AE17" s="28"/>
      <c r="AF17" s="28"/>
      <c r="AG17" s="28"/>
      <c r="AH17" s="28" t="s">
        <v>200</v>
      </c>
      <c r="AJ17" s="28" t="s">
        <v>181</v>
      </c>
      <c r="AK17" s="28" t="s">
        <v>181</v>
      </c>
    </row>
    <row r="18" spans="1:37" x14ac:dyDescent="0.25">
      <c r="A18" s="26" t="s">
        <v>182</v>
      </c>
      <c r="B18" s="30">
        <v>4</v>
      </c>
      <c r="C18" s="30">
        <v>2</v>
      </c>
      <c r="D18" s="30">
        <v>2</v>
      </c>
      <c r="E18" s="30">
        <v>2</v>
      </c>
      <c r="F18" s="30">
        <v>2</v>
      </c>
      <c r="G18" s="30">
        <v>2</v>
      </c>
      <c r="H18" s="30">
        <v>2</v>
      </c>
      <c r="I18" s="30">
        <v>2</v>
      </c>
      <c r="J18" s="30">
        <v>2</v>
      </c>
      <c r="K18" s="30">
        <f>AVERAGE(0,0,2)</f>
        <v>0.66666666666666663</v>
      </c>
      <c r="L18" s="30">
        <f t="shared" ref="L18:M18" si="0">AVERAGE(0,0,2)</f>
        <v>0.66666666666666663</v>
      </c>
      <c r="M18" s="30">
        <f t="shared" si="0"/>
        <v>0.66666666666666663</v>
      </c>
      <c r="N18" s="30">
        <v>2</v>
      </c>
      <c r="O18" s="30">
        <v>2</v>
      </c>
      <c r="P18" s="30">
        <v>2</v>
      </c>
      <c r="Q18" s="30">
        <v>2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v>3.75</v>
      </c>
      <c r="AB18" s="30"/>
      <c r="AC18" s="30"/>
      <c r="AD18" s="30"/>
      <c r="AE18" s="30"/>
      <c r="AF18" s="30"/>
      <c r="AG18" s="30"/>
      <c r="AH18" s="30">
        <v>3</v>
      </c>
      <c r="AJ18" s="30">
        <v>2</v>
      </c>
      <c r="AK18" s="30">
        <v>2</v>
      </c>
    </row>
    <row r="20" spans="1:37" x14ac:dyDescent="0.25">
      <c r="A20" s="26" t="s">
        <v>159</v>
      </c>
      <c r="B20" s="28" t="s">
        <v>1126</v>
      </c>
      <c r="C20" s="80" t="s">
        <v>341</v>
      </c>
      <c r="D20" s="80" t="s">
        <v>341</v>
      </c>
      <c r="E20" s="80" t="s">
        <v>341</v>
      </c>
      <c r="F20" s="80" t="s">
        <v>341</v>
      </c>
      <c r="G20" s="80" t="s">
        <v>341</v>
      </c>
      <c r="H20" s="80" t="s">
        <v>341</v>
      </c>
      <c r="I20" s="80" t="s">
        <v>341</v>
      </c>
      <c r="J20" s="80" t="s">
        <v>341</v>
      </c>
      <c r="K20" s="80" t="s">
        <v>341</v>
      </c>
      <c r="L20" s="80" t="s">
        <v>341</v>
      </c>
      <c r="M20" s="80" t="s">
        <v>341</v>
      </c>
      <c r="N20" s="80" t="s">
        <v>341</v>
      </c>
      <c r="O20" s="80" t="s">
        <v>341</v>
      </c>
      <c r="P20" s="80" t="s">
        <v>341</v>
      </c>
      <c r="Q20" s="80" t="s">
        <v>341</v>
      </c>
      <c r="R20" s="28"/>
      <c r="S20" s="28"/>
      <c r="T20" s="28"/>
      <c r="U20" s="28"/>
      <c r="V20" s="28"/>
      <c r="W20" s="28"/>
      <c r="X20" s="28"/>
      <c r="Y20" s="28"/>
      <c r="Z20" s="28"/>
      <c r="AA20" s="80" t="s">
        <v>341</v>
      </c>
      <c r="AB20" s="28"/>
      <c r="AC20" s="28"/>
      <c r="AD20" s="28"/>
      <c r="AE20" s="28"/>
      <c r="AF20" s="28"/>
      <c r="AG20" s="28"/>
      <c r="AH20" s="80" t="s">
        <v>341</v>
      </c>
      <c r="AJ20" s="80" t="s">
        <v>341</v>
      </c>
      <c r="AK20" s="80" t="s">
        <v>341</v>
      </c>
    </row>
    <row r="21" spans="1:37" x14ac:dyDescent="0.25">
      <c r="A21" s="26" t="s">
        <v>165</v>
      </c>
      <c r="B21" s="28" t="s">
        <v>322</v>
      </c>
      <c r="C21" s="80" t="s">
        <v>341</v>
      </c>
      <c r="D21" s="80" t="s">
        <v>341</v>
      </c>
      <c r="E21" s="80" t="s">
        <v>341</v>
      </c>
      <c r="F21" s="80" t="s">
        <v>341</v>
      </c>
      <c r="G21" s="80" t="s">
        <v>341</v>
      </c>
      <c r="H21" s="80" t="s">
        <v>341</v>
      </c>
      <c r="I21" s="80" t="s">
        <v>341</v>
      </c>
      <c r="J21" s="80" t="s">
        <v>341</v>
      </c>
      <c r="K21" s="80" t="s">
        <v>341</v>
      </c>
      <c r="L21" s="80" t="s">
        <v>341</v>
      </c>
      <c r="M21" s="80" t="s">
        <v>341</v>
      </c>
      <c r="N21" s="80" t="s">
        <v>341</v>
      </c>
      <c r="O21" s="80" t="s">
        <v>341</v>
      </c>
      <c r="P21" s="80" t="s">
        <v>341</v>
      </c>
      <c r="Q21" s="80" t="s">
        <v>341</v>
      </c>
      <c r="R21" s="29"/>
      <c r="S21" s="29"/>
      <c r="T21" s="29"/>
      <c r="U21" s="29"/>
      <c r="V21" s="29"/>
      <c r="W21" s="29"/>
      <c r="X21" s="29"/>
      <c r="Y21" s="29"/>
      <c r="Z21" s="29"/>
      <c r="AA21" s="80" t="s">
        <v>341</v>
      </c>
      <c r="AB21" s="29"/>
      <c r="AC21" s="29"/>
      <c r="AD21" s="29"/>
      <c r="AE21" s="29"/>
      <c r="AF21" s="29"/>
      <c r="AG21" s="29"/>
      <c r="AH21" s="80" t="s">
        <v>341</v>
      </c>
      <c r="AJ21" s="80" t="s">
        <v>341</v>
      </c>
      <c r="AK21" s="80" t="s">
        <v>341</v>
      </c>
    </row>
    <row r="22" spans="1:37" x14ac:dyDescent="0.25">
      <c r="A22" s="131" t="s">
        <v>168</v>
      </c>
      <c r="B22" s="157">
        <v>98</v>
      </c>
      <c r="C22" s="198"/>
      <c r="D22" s="198"/>
      <c r="E22" s="198"/>
      <c r="F22" s="198"/>
      <c r="G22" s="198"/>
      <c r="H22" s="198"/>
      <c r="I22" s="198"/>
      <c r="J22" s="198"/>
      <c r="K22" s="198"/>
      <c r="L22" s="198"/>
      <c r="M22" s="198"/>
      <c r="N22" s="198"/>
      <c r="O22" s="198"/>
      <c r="P22" s="198"/>
      <c r="Q22" s="198"/>
      <c r="R22" s="157"/>
      <c r="S22" s="157"/>
      <c r="T22" s="157"/>
      <c r="U22" s="157"/>
      <c r="V22" s="157"/>
      <c r="W22" s="157"/>
      <c r="X22" s="157"/>
      <c r="Y22" s="157"/>
      <c r="Z22" s="157"/>
      <c r="AA22" s="198"/>
      <c r="AB22" s="157"/>
      <c r="AC22" s="157"/>
      <c r="AD22" s="157"/>
      <c r="AE22" s="157"/>
      <c r="AF22" s="157"/>
      <c r="AG22" s="157"/>
      <c r="AH22" s="198"/>
      <c r="AJ22" s="198"/>
      <c r="AK22" s="198"/>
    </row>
    <row r="23" spans="1:37" x14ac:dyDescent="0.25">
      <c r="A23" s="26" t="s">
        <v>169</v>
      </c>
      <c r="B23" s="28" t="s">
        <v>170</v>
      </c>
      <c r="C23" s="80" t="s">
        <v>173</v>
      </c>
      <c r="D23" s="80" t="s">
        <v>173</v>
      </c>
      <c r="E23" s="80" t="s">
        <v>173</v>
      </c>
      <c r="F23" s="80" t="s">
        <v>173</v>
      </c>
      <c r="G23" s="80" t="s">
        <v>173</v>
      </c>
      <c r="H23" s="80" t="s">
        <v>173</v>
      </c>
      <c r="I23" s="80" t="s">
        <v>173</v>
      </c>
      <c r="J23" s="80" t="s">
        <v>173</v>
      </c>
      <c r="K23" s="80" t="s">
        <v>173</v>
      </c>
      <c r="L23" s="80" t="s">
        <v>173</v>
      </c>
      <c r="M23" s="80" t="s">
        <v>173</v>
      </c>
      <c r="N23" s="80" t="s">
        <v>173</v>
      </c>
      <c r="O23" s="80" t="s">
        <v>173</v>
      </c>
      <c r="P23" s="80" t="s">
        <v>173</v>
      </c>
      <c r="Q23" s="80" t="s">
        <v>173</v>
      </c>
      <c r="R23" s="28"/>
      <c r="S23" s="28"/>
      <c r="T23" s="28"/>
      <c r="U23" s="28"/>
      <c r="V23" s="28"/>
      <c r="W23" s="28"/>
      <c r="X23" s="28"/>
      <c r="Y23" s="28"/>
      <c r="Z23" s="28"/>
      <c r="AA23" s="80" t="s">
        <v>173</v>
      </c>
      <c r="AB23" s="28"/>
      <c r="AC23" s="29"/>
      <c r="AD23" s="28"/>
      <c r="AE23" s="29"/>
      <c r="AF23" s="28"/>
      <c r="AG23" s="28"/>
      <c r="AH23" s="80" t="s">
        <v>173</v>
      </c>
      <c r="AJ23" s="80" t="s">
        <v>173</v>
      </c>
      <c r="AK23" s="80" t="s">
        <v>173</v>
      </c>
    </row>
    <row r="24" spans="1:37" x14ac:dyDescent="0.25">
      <c r="A24" s="26" t="s">
        <v>171</v>
      </c>
      <c r="B24" s="28" t="s">
        <v>170</v>
      </c>
      <c r="C24" s="80" t="s">
        <v>173</v>
      </c>
      <c r="D24" s="80" t="s">
        <v>173</v>
      </c>
      <c r="E24" s="80" t="s">
        <v>173</v>
      </c>
      <c r="F24" s="80" t="s">
        <v>173</v>
      </c>
      <c r="G24" s="80" t="s">
        <v>173</v>
      </c>
      <c r="H24" s="80" t="s">
        <v>173</v>
      </c>
      <c r="I24" s="80" t="s">
        <v>173</v>
      </c>
      <c r="J24" s="80" t="s">
        <v>173</v>
      </c>
      <c r="K24" s="80" t="s">
        <v>173</v>
      </c>
      <c r="L24" s="80" t="s">
        <v>173</v>
      </c>
      <c r="M24" s="80" t="s">
        <v>173</v>
      </c>
      <c r="N24" s="80" t="s">
        <v>173</v>
      </c>
      <c r="O24" s="80" t="s">
        <v>173</v>
      </c>
      <c r="P24" s="80" t="s">
        <v>173</v>
      </c>
      <c r="Q24" s="80" t="s">
        <v>173</v>
      </c>
      <c r="R24" s="28"/>
      <c r="S24" s="28"/>
      <c r="T24" s="28"/>
      <c r="U24" s="28"/>
      <c r="V24" s="28"/>
      <c r="W24" s="28"/>
      <c r="X24" s="28"/>
      <c r="Y24" s="28"/>
      <c r="Z24" s="28"/>
      <c r="AA24" s="80" t="s">
        <v>173</v>
      </c>
      <c r="AB24" s="28"/>
      <c r="AC24" s="28"/>
      <c r="AD24" s="28"/>
      <c r="AE24" s="28"/>
      <c r="AF24" s="28"/>
      <c r="AG24" s="28"/>
      <c r="AH24" s="80" t="s">
        <v>173</v>
      </c>
      <c r="AJ24" s="80" t="s">
        <v>173</v>
      </c>
      <c r="AK24" s="80" t="s">
        <v>173</v>
      </c>
    </row>
    <row r="25" spans="1:37" x14ac:dyDescent="0.25">
      <c r="A25" s="26" t="s">
        <v>172</v>
      </c>
      <c r="B25" s="28" t="s">
        <v>173</v>
      </c>
      <c r="C25" s="80" t="s">
        <v>173</v>
      </c>
      <c r="D25" s="80" t="s">
        <v>173</v>
      </c>
      <c r="E25" s="80" t="s">
        <v>173</v>
      </c>
      <c r="F25" s="80" t="s">
        <v>173</v>
      </c>
      <c r="G25" s="80" t="s">
        <v>173</v>
      </c>
      <c r="H25" s="80" t="s">
        <v>173</v>
      </c>
      <c r="I25" s="80" t="s">
        <v>173</v>
      </c>
      <c r="J25" s="80" t="s">
        <v>173</v>
      </c>
      <c r="K25" s="80" t="s">
        <v>173</v>
      </c>
      <c r="L25" s="80" t="s">
        <v>173</v>
      </c>
      <c r="M25" s="80" t="s">
        <v>173</v>
      </c>
      <c r="N25" s="80" t="s">
        <v>173</v>
      </c>
      <c r="O25" s="80" t="s">
        <v>173</v>
      </c>
      <c r="P25" s="80" t="s">
        <v>173</v>
      </c>
      <c r="Q25" s="80" t="s">
        <v>173</v>
      </c>
      <c r="R25" s="28"/>
      <c r="S25" s="28"/>
      <c r="T25" s="28"/>
      <c r="U25" s="28"/>
      <c r="V25" s="28"/>
      <c r="W25" s="28"/>
      <c r="X25" s="28"/>
      <c r="Y25" s="28"/>
      <c r="Z25" s="28"/>
      <c r="AA25" s="80" t="s">
        <v>173</v>
      </c>
      <c r="AB25" s="28"/>
      <c r="AC25" s="28"/>
      <c r="AD25" s="28"/>
      <c r="AE25" s="28"/>
      <c r="AF25" s="28"/>
      <c r="AG25" s="28"/>
      <c r="AH25" s="80" t="s">
        <v>173</v>
      </c>
      <c r="AJ25" s="80" t="s">
        <v>173</v>
      </c>
      <c r="AK25" s="80" t="s">
        <v>173</v>
      </c>
    </row>
    <row r="26" spans="1:37" x14ac:dyDescent="0.25">
      <c r="A26" s="26" t="s">
        <v>174</v>
      </c>
      <c r="B26" s="28" t="s">
        <v>173</v>
      </c>
      <c r="C26" s="80" t="s">
        <v>173</v>
      </c>
      <c r="D26" s="80" t="s">
        <v>173</v>
      </c>
      <c r="E26" s="80" t="s">
        <v>173</v>
      </c>
      <c r="F26" s="80" t="s">
        <v>173</v>
      </c>
      <c r="G26" s="80" t="s">
        <v>173</v>
      </c>
      <c r="H26" s="80" t="s">
        <v>173</v>
      </c>
      <c r="I26" s="80" t="s">
        <v>173</v>
      </c>
      <c r="J26" s="80" t="s">
        <v>173</v>
      </c>
      <c r="K26" s="80" t="s">
        <v>173</v>
      </c>
      <c r="L26" s="80" t="s">
        <v>173</v>
      </c>
      <c r="M26" s="80" t="s">
        <v>173</v>
      </c>
      <c r="N26" s="80" t="s">
        <v>173</v>
      </c>
      <c r="O26" s="80" t="s">
        <v>173</v>
      </c>
      <c r="P26" s="80" t="s">
        <v>173</v>
      </c>
      <c r="Q26" s="80" t="s">
        <v>173</v>
      </c>
      <c r="R26" s="28"/>
      <c r="S26" s="28"/>
      <c r="T26" s="28"/>
      <c r="U26" s="28"/>
      <c r="V26" s="28"/>
      <c r="W26" s="28"/>
      <c r="X26" s="28"/>
      <c r="Y26" s="28"/>
      <c r="Z26" s="28"/>
      <c r="AA26" s="80" t="s">
        <v>173</v>
      </c>
      <c r="AB26" s="28"/>
      <c r="AC26" s="28"/>
      <c r="AD26" s="28"/>
      <c r="AE26" s="28"/>
      <c r="AF26" s="28"/>
      <c r="AG26" s="28"/>
      <c r="AH26" s="80" t="s">
        <v>173</v>
      </c>
      <c r="AJ26" s="80" t="s">
        <v>173</v>
      </c>
      <c r="AK26" s="80" t="s">
        <v>173</v>
      </c>
    </row>
    <row r="27" spans="1:37" x14ac:dyDescent="0.25">
      <c r="A27" s="26" t="s">
        <v>175</v>
      </c>
      <c r="B27" s="28" t="s">
        <v>199</v>
      </c>
      <c r="C27" s="80" t="s">
        <v>199</v>
      </c>
      <c r="D27" s="80" t="s">
        <v>199</v>
      </c>
      <c r="E27" s="80" t="s">
        <v>199</v>
      </c>
      <c r="F27" s="80" t="s">
        <v>199</v>
      </c>
      <c r="G27" s="80" t="s">
        <v>199</v>
      </c>
      <c r="H27" s="80" t="s">
        <v>199</v>
      </c>
      <c r="I27" s="80" t="s">
        <v>199</v>
      </c>
      <c r="J27" s="80" t="s">
        <v>199</v>
      </c>
      <c r="K27" s="80" t="s">
        <v>199</v>
      </c>
      <c r="L27" s="80" t="s">
        <v>199</v>
      </c>
      <c r="M27" s="80" t="s">
        <v>199</v>
      </c>
      <c r="N27" s="80" t="s">
        <v>199</v>
      </c>
      <c r="O27" s="80" t="s">
        <v>199</v>
      </c>
      <c r="P27" s="80" t="s">
        <v>199</v>
      </c>
      <c r="Q27" s="80" t="s">
        <v>199</v>
      </c>
      <c r="R27" s="28"/>
      <c r="S27" s="28"/>
      <c r="T27" s="28"/>
      <c r="U27" s="28"/>
      <c r="V27" s="28"/>
      <c r="W27" s="28"/>
      <c r="X27" s="28"/>
      <c r="Y27" s="28"/>
      <c r="Z27" s="28"/>
      <c r="AA27" s="80" t="s">
        <v>199</v>
      </c>
      <c r="AB27" s="28"/>
      <c r="AC27" s="28"/>
      <c r="AD27" s="28"/>
      <c r="AE27" s="28"/>
      <c r="AF27" s="28"/>
      <c r="AG27" s="28"/>
      <c r="AH27" s="80" t="s">
        <v>199</v>
      </c>
      <c r="AJ27" s="80" t="s">
        <v>199</v>
      </c>
      <c r="AK27" s="80" t="s">
        <v>199</v>
      </c>
    </row>
    <row r="28" spans="1:37" x14ac:dyDescent="0.25">
      <c r="A28" s="26" t="s">
        <v>176</v>
      </c>
      <c r="B28" s="30">
        <v>-2</v>
      </c>
      <c r="C28" s="82">
        <v>-2</v>
      </c>
      <c r="D28" s="82">
        <v>-2</v>
      </c>
      <c r="E28" s="82">
        <v>-2</v>
      </c>
      <c r="F28" s="82">
        <v>-2</v>
      </c>
      <c r="G28" s="82">
        <v>-2</v>
      </c>
      <c r="H28" s="82">
        <v>-2</v>
      </c>
      <c r="I28" s="82">
        <v>-2</v>
      </c>
      <c r="J28" s="82">
        <v>-2</v>
      </c>
      <c r="K28" s="82">
        <v>-2</v>
      </c>
      <c r="L28" s="82">
        <v>-2</v>
      </c>
      <c r="M28" s="82">
        <v>-2</v>
      </c>
      <c r="N28" s="82">
        <v>-2</v>
      </c>
      <c r="O28" s="82">
        <v>-2</v>
      </c>
      <c r="P28" s="82">
        <v>-2</v>
      </c>
      <c r="Q28" s="82">
        <v>-2</v>
      </c>
      <c r="R28" s="30"/>
      <c r="S28" s="30"/>
      <c r="T28" s="30"/>
      <c r="U28" s="30"/>
      <c r="V28" s="30"/>
      <c r="W28" s="30"/>
      <c r="X28" s="30"/>
      <c r="Y28" s="30"/>
      <c r="Z28" s="30"/>
      <c r="AA28" s="82">
        <v>-2</v>
      </c>
      <c r="AB28" s="30"/>
      <c r="AC28" s="30"/>
      <c r="AD28" s="30"/>
      <c r="AE28" s="30"/>
      <c r="AF28" s="30"/>
      <c r="AG28" s="30"/>
      <c r="AH28" s="82">
        <v>-2</v>
      </c>
      <c r="AJ28" s="82">
        <v>-2</v>
      </c>
      <c r="AK28" s="82">
        <v>-2</v>
      </c>
    </row>
    <row r="29" spans="1:37" x14ac:dyDescent="0.25">
      <c r="A29" s="26" t="s">
        <v>177</v>
      </c>
      <c r="B29" s="28" t="s">
        <v>334</v>
      </c>
      <c r="C29" s="80" t="s">
        <v>341</v>
      </c>
      <c r="D29" s="80" t="s">
        <v>341</v>
      </c>
      <c r="E29" s="80" t="s">
        <v>341</v>
      </c>
      <c r="F29" s="80" t="s">
        <v>341</v>
      </c>
      <c r="G29" s="80" t="s">
        <v>341</v>
      </c>
      <c r="H29" s="80" t="s">
        <v>341</v>
      </c>
      <c r="I29" s="80" t="s">
        <v>341</v>
      </c>
      <c r="J29" s="80" t="s">
        <v>341</v>
      </c>
      <c r="K29" s="80" t="s">
        <v>341</v>
      </c>
      <c r="L29" s="80" t="s">
        <v>341</v>
      </c>
      <c r="M29" s="80" t="s">
        <v>341</v>
      </c>
      <c r="N29" s="80" t="s">
        <v>341</v>
      </c>
      <c r="O29" s="80" t="s">
        <v>341</v>
      </c>
      <c r="P29" s="80" t="s">
        <v>341</v>
      </c>
      <c r="Q29" s="80" t="s">
        <v>341</v>
      </c>
      <c r="R29" s="28"/>
      <c r="S29" s="28"/>
      <c r="T29" s="28"/>
      <c r="U29" s="28"/>
      <c r="V29" s="28"/>
      <c r="W29" s="28"/>
      <c r="X29" s="28"/>
      <c r="Y29" s="28"/>
      <c r="Z29" s="28"/>
      <c r="AA29" s="80" t="s">
        <v>341</v>
      </c>
      <c r="AB29" s="28"/>
      <c r="AC29" s="28"/>
      <c r="AD29" s="28"/>
      <c r="AE29" s="28"/>
      <c r="AF29" s="28"/>
      <c r="AG29" s="28"/>
      <c r="AH29" s="80" t="s">
        <v>341</v>
      </c>
      <c r="AJ29" s="80" t="s">
        <v>341</v>
      </c>
      <c r="AK29" s="80" t="s">
        <v>341</v>
      </c>
    </row>
    <row r="30" spans="1:37" x14ac:dyDescent="0.25">
      <c r="A30" s="26" t="s">
        <v>182</v>
      </c>
      <c r="B30" s="30">
        <f>1/3</f>
        <v>0.33333333333333331</v>
      </c>
      <c r="C30" s="82">
        <v>0</v>
      </c>
      <c r="D30" s="82">
        <v>0</v>
      </c>
      <c r="E30" s="82">
        <v>0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  <c r="N30" s="82">
        <v>0</v>
      </c>
      <c r="O30" s="82">
        <v>0</v>
      </c>
      <c r="P30" s="82">
        <v>0</v>
      </c>
      <c r="Q30" s="82">
        <v>0</v>
      </c>
      <c r="R30" s="30"/>
      <c r="S30" s="30"/>
      <c r="T30" s="30"/>
      <c r="U30" s="30"/>
      <c r="V30" s="30"/>
      <c r="W30" s="30"/>
      <c r="X30" s="30"/>
      <c r="Y30" s="30"/>
      <c r="Z30" s="30"/>
      <c r="AA30" s="82">
        <v>0</v>
      </c>
      <c r="AB30" s="30"/>
      <c r="AC30" s="30"/>
      <c r="AD30" s="30"/>
      <c r="AE30" s="30"/>
      <c r="AF30" s="30"/>
      <c r="AG30" s="30"/>
      <c r="AH30" s="82">
        <v>0</v>
      </c>
      <c r="AJ30" s="82">
        <v>0</v>
      </c>
      <c r="AK30" s="82">
        <v>0</v>
      </c>
    </row>
    <row r="31" spans="1:37" x14ac:dyDescent="0.25">
      <c r="C31" s="125" t="s">
        <v>1207</v>
      </c>
      <c r="D31" s="125"/>
      <c r="AJ31" s="223" t="s">
        <v>1208</v>
      </c>
      <c r="AK31" s="223"/>
    </row>
    <row r="32" spans="1:37" x14ac:dyDescent="0.25">
      <c r="A32" s="31" t="s">
        <v>183</v>
      </c>
    </row>
    <row r="33" spans="1:2" x14ac:dyDescent="0.25">
      <c r="A33" s="93" t="s">
        <v>1209</v>
      </c>
      <c r="B33" s="56" t="s">
        <v>1200</v>
      </c>
    </row>
    <row r="34" spans="1:2" x14ac:dyDescent="0.25">
      <c r="A34" s="93" t="s">
        <v>1210</v>
      </c>
      <c r="B34" s="56" t="s">
        <v>1202</v>
      </c>
    </row>
    <row r="35" spans="1:2" x14ac:dyDescent="0.25">
      <c r="A35" s="108"/>
    </row>
    <row r="36" spans="1:2" x14ac:dyDescent="0.25">
      <c r="A36" s="93" t="s">
        <v>1205</v>
      </c>
    </row>
  </sheetData>
  <mergeCells count="6">
    <mergeCell ref="AJ31:AK31"/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AAD09-CE35-45F2-BCF8-6D61B1B9A785}">
  <dimension ref="A1:BI52"/>
  <sheetViews>
    <sheetView topLeftCell="A5" workbookViewId="0">
      <selection activeCell="C22" sqref="C22"/>
    </sheetView>
  </sheetViews>
  <sheetFormatPr defaultColWidth="9.140625" defaultRowHeight="15" x14ac:dyDescent="0.25"/>
  <cols>
    <col min="1" max="1" width="23.28515625" style="26" bestFit="1" customWidth="1"/>
    <col min="2" max="62" width="5.7109375" style="26" customWidth="1"/>
    <col min="63" max="16384" width="9.140625" style="26"/>
  </cols>
  <sheetData>
    <row r="1" spans="1:61" x14ac:dyDescent="0.25">
      <c r="A1" s="25" t="s">
        <v>116</v>
      </c>
      <c r="D1" s="25" t="s">
        <v>895</v>
      </c>
      <c r="I1" s="25" t="s">
        <v>1120</v>
      </c>
    </row>
    <row r="3" spans="1:61" ht="18" x14ac:dyDescent="0.25">
      <c r="A3" s="25" t="s">
        <v>119</v>
      </c>
      <c r="B3" s="215">
        <v>79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61" ht="18" x14ac:dyDescent="0.25">
      <c r="A4" s="25" t="s">
        <v>121</v>
      </c>
      <c r="B4" s="215" t="s">
        <v>1211</v>
      </c>
      <c r="C4" s="215"/>
      <c r="D4" s="215"/>
      <c r="F4" s="216" t="s">
        <v>1212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61" ht="18" x14ac:dyDescent="0.25">
      <c r="A5" s="25" t="s">
        <v>124</v>
      </c>
      <c r="B5" s="215" t="s">
        <v>899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61" ht="45" x14ac:dyDescent="0.25">
      <c r="A7" s="27" t="s">
        <v>126</v>
      </c>
      <c r="B7" s="57" t="s">
        <v>17</v>
      </c>
      <c r="C7" s="58" t="s">
        <v>127</v>
      </c>
      <c r="D7" s="58" t="s">
        <v>128</v>
      </c>
      <c r="E7" s="59" t="s">
        <v>129</v>
      </c>
      <c r="F7" s="60" t="s">
        <v>130</v>
      </c>
      <c r="G7" s="61" t="s">
        <v>131</v>
      </c>
      <c r="H7" s="61" t="s">
        <v>132</v>
      </c>
      <c r="I7" s="62" t="s">
        <v>133</v>
      </c>
      <c r="J7" s="63" t="s">
        <v>134</v>
      </c>
      <c r="K7" s="64" t="s">
        <v>135</v>
      </c>
      <c r="L7" s="64" t="s">
        <v>136</v>
      </c>
      <c r="M7" s="64" t="s">
        <v>137</v>
      </c>
      <c r="N7" s="65" t="s">
        <v>138</v>
      </c>
      <c r="O7" s="65" t="s">
        <v>139</v>
      </c>
      <c r="P7" s="67" t="s">
        <v>140</v>
      </c>
      <c r="Q7" s="67" t="s">
        <v>141</v>
      </c>
      <c r="R7" s="66" t="s">
        <v>142</v>
      </c>
      <c r="S7" s="68" t="s">
        <v>143</v>
      </c>
      <c r="T7" s="69" t="s">
        <v>144</v>
      </c>
      <c r="U7" s="69" t="s">
        <v>145</v>
      </c>
      <c r="V7" s="70" t="s">
        <v>146</v>
      </c>
      <c r="W7" s="70" t="s">
        <v>147</v>
      </c>
      <c r="X7" s="71" t="s">
        <v>148</v>
      </c>
      <c r="Y7" s="71" t="s">
        <v>149</v>
      </c>
      <c r="Z7" s="72" t="s">
        <v>150</v>
      </c>
      <c r="AA7" s="72" t="s">
        <v>151</v>
      </c>
      <c r="AB7" s="73" t="s">
        <v>152</v>
      </c>
      <c r="AC7" s="73" t="s">
        <v>153</v>
      </c>
      <c r="AD7" s="73" t="s">
        <v>154</v>
      </c>
      <c r="AE7" s="74" t="s">
        <v>155</v>
      </c>
      <c r="AF7" s="75" t="s">
        <v>156</v>
      </c>
      <c r="AG7" s="76" t="s">
        <v>157</v>
      </c>
      <c r="AH7" s="76" t="s">
        <v>158</v>
      </c>
      <c r="AJ7" s="58" t="s">
        <v>127</v>
      </c>
      <c r="AK7" s="58" t="s">
        <v>128</v>
      </c>
      <c r="AL7" s="59" t="s">
        <v>129</v>
      </c>
      <c r="AM7" s="60" t="s">
        <v>130</v>
      </c>
      <c r="AN7" s="61" t="s">
        <v>131</v>
      </c>
      <c r="AO7" s="61" t="s">
        <v>132</v>
      </c>
      <c r="AP7" s="62" t="s">
        <v>133</v>
      </c>
      <c r="AQ7" s="63" t="s">
        <v>134</v>
      </c>
      <c r="AR7" s="64" t="s">
        <v>135</v>
      </c>
      <c r="AS7" s="64" t="s">
        <v>136</v>
      </c>
      <c r="AT7" s="64" t="s">
        <v>137</v>
      </c>
      <c r="AU7" s="65" t="s">
        <v>138</v>
      </c>
      <c r="AV7" s="65" t="s">
        <v>139</v>
      </c>
      <c r="AW7" s="68" t="s">
        <v>143</v>
      </c>
      <c r="AX7" s="69" t="s">
        <v>144</v>
      </c>
      <c r="AY7" s="69" t="s">
        <v>145</v>
      </c>
      <c r="AZ7" s="70" t="s">
        <v>146</v>
      </c>
      <c r="BA7" s="70" t="s">
        <v>147</v>
      </c>
      <c r="BB7" s="71" t="s">
        <v>148</v>
      </c>
      <c r="BC7" s="71" t="s">
        <v>149</v>
      </c>
      <c r="BD7" s="72" t="s">
        <v>150</v>
      </c>
      <c r="BE7" s="72" t="s">
        <v>151</v>
      </c>
      <c r="BF7" s="73" t="s">
        <v>152</v>
      </c>
      <c r="BG7" s="73" t="s">
        <v>153</v>
      </c>
      <c r="BH7" s="73" t="s">
        <v>154</v>
      </c>
      <c r="BI7" s="75" t="s">
        <v>156</v>
      </c>
    </row>
    <row r="8" spans="1:61" x14ac:dyDescent="0.25">
      <c r="A8" s="26" t="s">
        <v>159</v>
      </c>
      <c r="B8" s="28" t="s">
        <v>198</v>
      </c>
      <c r="C8" s="80" t="s">
        <v>341</v>
      </c>
      <c r="D8" s="80" t="s">
        <v>341</v>
      </c>
      <c r="E8" s="80" t="s">
        <v>341</v>
      </c>
      <c r="F8" s="80" t="s">
        <v>341</v>
      </c>
      <c r="G8" s="80" t="s">
        <v>341</v>
      </c>
      <c r="H8" s="80" t="s">
        <v>341</v>
      </c>
      <c r="I8" s="80" t="s">
        <v>341</v>
      </c>
      <c r="J8" s="80" t="s">
        <v>341</v>
      </c>
      <c r="K8" s="199"/>
      <c r="L8" s="199"/>
      <c r="M8" s="199"/>
      <c r="N8" s="80" t="s">
        <v>341</v>
      </c>
      <c r="O8" s="80" t="s">
        <v>341</v>
      </c>
      <c r="P8" s="80" t="s">
        <v>341</v>
      </c>
      <c r="Q8" s="80" t="s">
        <v>341</v>
      </c>
      <c r="R8" s="80" t="s">
        <v>341</v>
      </c>
      <c r="S8" s="80" t="s">
        <v>341</v>
      </c>
      <c r="T8" s="28"/>
      <c r="U8" s="28"/>
      <c r="V8" s="28"/>
      <c r="W8" s="28"/>
      <c r="X8" s="28"/>
      <c r="Y8" s="28"/>
      <c r="Z8" s="28"/>
      <c r="AA8" s="28" t="s">
        <v>1005</v>
      </c>
      <c r="AB8" s="28"/>
      <c r="AC8" s="28"/>
      <c r="AD8" s="28"/>
      <c r="AE8" s="80" t="s">
        <v>341</v>
      </c>
      <c r="AF8" s="28"/>
      <c r="AG8" s="28" t="s">
        <v>221</v>
      </c>
      <c r="AH8" s="28" t="s">
        <v>222</v>
      </c>
      <c r="AJ8" s="80" t="s">
        <v>341</v>
      </c>
      <c r="AK8" s="80" t="s">
        <v>341</v>
      </c>
      <c r="AL8" s="80" t="s">
        <v>341</v>
      </c>
      <c r="AM8" s="80" t="s">
        <v>341</v>
      </c>
      <c r="AN8" s="80" t="s">
        <v>341</v>
      </c>
      <c r="AO8" s="80" t="s">
        <v>341</v>
      </c>
      <c r="AP8" s="80" t="s">
        <v>341</v>
      </c>
      <c r="AQ8" s="80" t="s">
        <v>341</v>
      </c>
      <c r="AR8" s="80" t="s">
        <v>341</v>
      </c>
      <c r="AS8" s="80" t="s">
        <v>341</v>
      </c>
      <c r="AT8" s="80" t="s">
        <v>341</v>
      </c>
      <c r="AU8" s="80" t="s">
        <v>341</v>
      </c>
      <c r="AV8" s="80" t="s">
        <v>341</v>
      </c>
      <c r="AW8" s="28"/>
      <c r="AX8" s="28"/>
      <c r="AY8" s="28"/>
      <c r="AZ8" s="28"/>
      <c r="BA8" s="28"/>
      <c r="BB8" s="28"/>
      <c r="BC8" s="28"/>
      <c r="BD8" s="28"/>
      <c r="BE8" s="80" t="s">
        <v>341</v>
      </c>
      <c r="BF8" s="28"/>
      <c r="BG8" s="28"/>
      <c r="BH8" s="28"/>
      <c r="BI8" s="28"/>
    </row>
    <row r="9" spans="1:61" ht="15.75" customHeight="1" x14ac:dyDescent="0.25">
      <c r="A9" s="26" t="s">
        <v>165</v>
      </c>
      <c r="B9" s="28" t="s">
        <v>223</v>
      </c>
      <c r="C9" s="80" t="s">
        <v>341</v>
      </c>
      <c r="D9" s="80" t="s">
        <v>341</v>
      </c>
      <c r="E9" s="80" t="s">
        <v>341</v>
      </c>
      <c r="F9" s="80" t="s">
        <v>341</v>
      </c>
      <c r="G9" s="80" t="s">
        <v>341</v>
      </c>
      <c r="H9" s="80" t="s">
        <v>341</v>
      </c>
      <c r="I9" s="80" t="s">
        <v>341</v>
      </c>
      <c r="J9" s="80" t="s">
        <v>341</v>
      </c>
      <c r="K9" s="199"/>
      <c r="L9" s="199"/>
      <c r="M9" s="199"/>
      <c r="N9" s="80" t="s">
        <v>341</v>
      </c>
      <c r="O9" s="80" t="s">
        <v>341</v>
      </c>
      <c r="P9" s="80" t="s">
        <v>341</v>
      </c>
      <c r="Q9" s="80" t="s">
        <v>341</v>
      </c>
      <c r="R9" s="80" t="s">
        <v>341</v>
      </c>
      <c r="S9" s="80" t="s">
        <v>341</v>
      </c>
      <c r="T9" s="28"/>
      <c r="U9" s="28"/>
      <c r="V9" s="28"/>
      <c r="W9" s="28"/>
      <c r="X9" s="28"/>
      <c r="Y9" s="28"/>
      <c r="Z9" s="28"/>
      <c r="AA9" s="113" t="s">
        <v>1116</v>
      </c>
      <c r="AB9" s="28"/>
      <c r="AC9" s="28"/>
      <c r="AD9" s="28"/>
      <c r="AE9" s="80" t="s">
        <v>341</v>
      </c>
      <c r="AF9" s="28"/>
      <c r="AG9" s="28" t="s">
        <v>225</v>
      </c>
      <c r="AH9" s="28" t="s">
        <v>226</v>
      </c>
      <c r="AJ9" s="80" t="s">
        <v>341</v>
      </c>
      <c r="AK9" s="80" t="s">
        <v>341</v>
      </c>
      <c r="AL9" s="80" t="s">
        <v>341</v>
      </c>
      <c r="AM9" s="80" t="s">
        <v>341</v>
      </c>
      <c r="AN9" s="80" t="s">
        <v>341</v>
      </c>
      <c r="AO9" s="80" t="s">
        <v>341</v>
      </c>
      <c r="AP9" s="80" t="s">
        <v>341</v>
      </c>
      <c r="AQ9" s="80" t="s">
        <v>341</v>
      </c>
      <c r="AR9" s="80" t="s">
        <v>341</v>
      </c>
      <c r="AS9" s="80" t="s">
        <v>341</v>
      </c>
      <c r="AT9" s="80" t="s">
        <v>341</v>
      </c>
      <c r="AU9" s="80" t="s">
        <v>341</v>
      </c>
      <c r="AV9" s="80" t="s">
        <v>341</v>
      </c>
      <c r="AW9" s="28"/>
      <c r="AX9" s="28"/>
      <c r="AY9" s="28"/>
      <c r="AZ9" s="28"/>
      <c r="BA9" s="28"/>
      <c r="BB9" s="28"/>
      <c r="BC9" s="28"/>
      <c r="BD9" s="28"/>
      <c r="BE9" s="80" t="s">
        <v>341</v>
      </c>
      <c r="BF9" s="28"/>
      <c r="BG9" s="28"/>
      <c r="BH9" s="28"/>
      <c r="BI9" s="28"/>
    </row>
    <row r="10" spans="1:61" x14ac:dyDescent="0.25">
      <c r="A10" s="131" t="s">
        <v>168</v>
      </c>
      <c r="B10" s="157">
        <v>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57"/>
      <c r="U10" s="157"/>
      <c r="V10" s="157"/>
      <c r="W10" s="157"/>
      <c r="X10" s="157"/>
      <c r="Y10" s="157"/>
      <c r="Z10" s="157"/>
      <c r="AA10" s="157">
        <v>181</v>
      </c>
      <c r="AB10" s="157"/>
      <c r="AC10" s="157"/>
      <c r="AD10" s="157"/>
      <c r="AE10" s="198"/>
      <c r="AF10" s="157"/>
      <c r="AG10" s="157">
        <v>27</v>
      </c>
      <c r="AH10" s="157">
        <v>49</v>
      </c>
      <c r="AJ10" s="198"/>
      <c r="AK10" s="198"/>
      <c r="AL10" s="198"/>
      <c r="AM10" s="198"/>
      <c r="AN10" s="198"/>
      <c r="AO10" s="198"/>
      <c r="AP10" s="198"/>
      <c r="AQ10" s="198"/>
      <c r="AR10" s="198"/>
      <c r="AS10" s="198"/>
      <c r="AT10" s="198"/>
      <c r="AU10" s="198"/>
      <c r="AV10" s="198"/>
      <c r="AW10" s="157"/>
      <c r="AX10" s="157"/>
      <c r="AY10" s="157"/>
      <c r="AZ10" s="157"/>
      <c r="BA10" s="157"/>
      <c r="BB10" s="157"/>
      <c r="BC10" s="157"/>
      <c r="BD10" s="157"/>
      <c r="BE10" s="198"/>
      <c r="BF10" s="157"/>
      <c r="BG10" s="157"/>
      <c r="BH10" s="157"/>
      <c r="BI10" s="157"/>
    </row>
    <row r="11" spans="1:61" x14ac:dyDescent="0.25">
      <c r="A11" s="26" t="s">
        <v>169</v>
      </c>
      <c r="B11" s="28" t="s">
        <v>170</v>
      </c>
      <c r="C11" s="80" t="s">
        <v>173</v>
      </c>
      <c r="D11" s="80" t="s">
        <v>173</v>
      </c>
      <c r="E11" s="80" t="s">
        <v>173</v>
      </c>
      <c r="F11" s="80" t="s">
        <v>173</v>
      </c>
      <c r="G11" s="80" t="s">
        <v>173</v>
      </c>
      <c r="H11" s="80" t="s">
        <v>173</v>
      </c>
      <c r="I11" s="80" t="s">
        <v>173</v>
      </c>
      <c r="J11" s="80" t="s">
        <v>173</v>
      </c>
      <c r="K11" s="199"/>
      <c r="L11" s="199"/>
      <c r="M11" s="199"/>
      <c r="N11" s="80" t="s">
        <v>173</v>
      </c>
      <c r="O11" s="80" t="s">
        <v>173</v>
      </c>
      <c r="P11" s="80" t="s">
        <v>173</v>
      </c>
      <c r="Q11" s="80" t="s">
        <v>173</v>
      </c>
      <c r="R11" s="80" t="s">
        <v>173</v>
      </c>
      <c r="S11" s="80" t="s">
        <v>173</v>
      </c>
      <c r="T11" s="28"/>
      <c r="U11" s="28"/>
      <c r="V11" s="28"/>
      <c r="W11" s="28"/>
      <c r="X11" s="28"/>
      <c r="Y11" s="28"/>
      <c r="Z11" s="28"/>
      <c r="AA11" s="28" t="s">
        <v>170</v>
      </c>
      <c r="AB11" s="28"/>
      <c r="AC11" s="28"/>
      <c r="AD11" s="28"/>
      <c r="AE11" s="80" t="s">
        <v>173</v>
      </c>
      <c r="AF11" s="28"/>
      <c r="AG11" s="28" t="s">
        <v>170</v>
      </c>
      <c r="AH11" s="28" t="s">
        <v>170</v>
      </c>
      <c r="AJ11" s="80" t="s">
        <v>173</v>
      </c>
      <c r="AK11" s="80" t="s">
        <v>173</v>
      </c>
      <c r="AL11" s="80" t="s">
        <v>173</v>
      </c>
      <c r="AM11" s="80" t="s">
        <v>173</v>
      </c>
      <c r="AN11" s="80" t="s">
        <v>173</v>
      </c>
      <c r="AO11" s="80" t="s">
        <v>173</v>
      </c>
      <c r="AP11" s="80" t="s">
        <v>173</v>
      </c>
      <c r="AQ11" s="80" t="s">
        <v>173</v>
      </c>
      <c r="AR11" s="80" t="s">
        <v>173</v>
      </c>
      <c r="AS11" s="80" t="s">
        <v>173</v>
      </c>
      <c r="AT11" s="80" t="s">
        <v>173</v>
      </c>
      <c r="AU11" s="80" t="s">
        <v>173</v>
      </c>
      <c r="AV11" s="80" t="s">
        <v>173</v>
      </c>
      <c r="AW11" s="28"/>
      <c r="AX11" s="28"/>
      <c r="AY11" s="28"/>
      <c r="AZ11" s="28"/>
      <c r="BA11" s="28"/>
      <c r="BB11" s="28"/>
      <c r="BC11" s="28"/>
      <c r="BD11" s="28"/>
      <c r="BE11" s="80" t="s">
        <v>173</v>
      </c>
      <c r="BF11" s="28"/>
      <c r="BG11" s="28"/>
      <c r="BH11" s="28"/>
      <c r="BI11" s="28"/>
    </row>
    <row r="12" spans="1:61" x14ac:dyDescent="0.25">
      <c r="A12" s="26" t="s">
        <v>171</v>
      </c>
      <c r="B12" s="28" t="s">
        <v>170</v>
      </c>
      <c r="C12" s="80" t="s">
        <v>173</v>
      </c>
      <c r="D12" s="80" t="s">
        <v>173</v>
      </c>
      <c r="E12" s="80" t="s">
        <v>173</v>
      </c>
      <c r="F12" s="80" t="s">
        <v>173</v>
      </c>
      <c r="G12" s="80" t="s">
        <v>173</v>
      </c>
      <c r="H12" s="80" t="s">
        <v>173</v>
      </c>
      <c r="I12" s="80" t="s">
        <v>173</v>
      </c>
      <c r="J12" s="80" t="s">
        <v>173</v>
      </c>
      <c r="K12" s="199"/>
      <c r="L12" s="199"/>
      <c r="M12" s="199"/>
      <c r="N12" s="80" t="s">
        <v>173</v>
      </c>
      <c r="O12" s="80" t="s">
        <v>173</v>
      </c>
      <c r="P12" s="80" t="s">
        <v>173</v>
      </c>
      <c r="Q12" s="80" t="s">
        <v>173</v>
      </c>
      <c r="R12" s="80" t="s">
        <v>173</v>
      </c>
      <c r="S12" s="80" t="s">
        <v>173</v>
      </c>
      <c r="T12" s="28"/>
      <c r="U12" s="28"/>
      <c r="V12" s="28"/>
      <c r="W12" s="28"/>
      <c r="X12" s="28"/>
      <c r="Y12" s="28"/>
      <c r="Z12" s="28"/>
      <c r="AA12" s="28" t="s">
        <v>170</v>
      </c>
      <c r="AB12" s="28"/>
      <c r="AC12" s="28"/>
      <c r="AD12" s="28"/>
      <c r="AE12" s="80" t="s">
        <v>173</v>
      </c>
      <c r="AF12" s="28"/>
      <c r="AG12" s="28" t="s">
        <v>170</v>
      </c>
      <c r="AH12" s="28" t="s">
        <v>170</v>
      </c>
      <c r="AJ12" s="80" t="s">
        <v>173</v>
      </c>
      <c r="AK12" s="80" t="s">
        <v>173</v>
      </c>
      <c r="AL12" s="80" t="s">
        <v>173</v>
      </c>
      <c r="AM12" s="80" t="s">
        <v>173</v>
      </c>
      <c r="AN12" s="80" t="s">
        <v>173</v>
      </c>
      <c r="AO12" s="80" t="s">
        <v>173</v>
      </c>
      <c r="AP12" s="80" t="s">
        <v>173</v>
      </c>
      <c r="AQ12" s="80" t="s">
        <v>173</v>
      </c>
      <c r="AR12" s="80" t="s">
        <v>173</v>
      </c>
      <c r="AS12" s="80" t="s">
        <v>173</v>
      </c>
      <c r="AT12" s="80" t="s">
        <v>173</v>
      </c>
      <c r="AU12" s="80" t="s">
        <v>173</v>
      </c>
      <c r="AV12" s="80" t="s">
        <v>173</v>
      </c>
      <c r="AW12" s="28"/>
      <c r="AX12" s="28"/>
      <c r="AY12" s="28"/>
      <c r="AZ12" s="28"/>
      <c r="BA12" s="28"/>
      <c r="BB12" s="28"/>
      <c r="BC12" s="28"/>
      <c r="BD12" s="28"/>
      <c r="BE12" s="80" t="s">
        <v>173</v>
      </c>
      <c r="BF12" s="28"/>
      <c r="BG12" s="28"/>
      <c r="BH12" s="28"/>
      <c r="BI12" s="28"/>
    </row>
    <row r="13" spans="1:61" x14ac:dyDescent="0.25">
      <c r="A13" s="26" t="s">
        <v>172</v>
      </c>
      <c r="B13" s="29" t="s">
        <v>173</v>
      </c>
      <c r="C13" s="80" t="s">
        <v>173</v>
      </c>
      <c r="D13" s="80" t="s">
        <v>173</v>
      </c>
      <c r="E13" s="80" t="s">
        <v>173</v>
      </c>
      <c r="F13" s="80" t="s">
        <v>173</v>
      </c>
      <c r="G13" s="80" t="s">
        <v>173</v>
      </c>
      <c r="H13" s="80" t="s">
        <v>173</v>
      </c>
      <c r="I13" s="80" t="s">
        <v>173</v>
      </c>
      <c r="J13" s="80" t="s">
        <v>173</v>
      </c>
      <c r="K13" s="199"/>
      <c r="L13" s="199"/>
      <c r="M13" s="199"/>
      <c r="N13" s="80" t="s">
        <v>173</v>
      </c>
      <c r="O13" s="80" t="s">
        <v>173</v>
      </c>
      <c r="P13" s="80" t="s">
        <v>173</v>
      </c>
      <c r="Q13" s="80" t="s">
        <v>173</v>
      </c>
      <c r="R13" s="80" t="s">
        <v>173</v>
      </c>
      <c r="S13" s="80" t="s">
        <v>173</v>
      </c>
      <c r="T13" s="29"/>
      <c r="U13" s="29"/>
      <c r="V13" s="29"/>
      <c r="W13" s="29"/>
      <c r="X13" s="29"/>
      <c r="Y13" s="29"/>
      <c r="Z13" s="29"/>
      <c r="AA13" s="28" t="s">
        <v>170</v>
      </c>
      <c r="AB13" s="29"/>
      <c r="AC13" s="29"/>
      <c r="AD13" s="29"/>
      <c r="AE13" s="80" t="s">
        <v>173</v>
      </c>
      <c r="AF13" s="29"/>
      <c r="AG13" s="29" t="s">
        <v>170</v>
      </c>
      <c r="AH13" s="29" t="s">
        <v>170</v>
      </c>
      <c r="AJ13" s="80" t="s">
        <v>173</v>
      </c>
      <c r="AK13" s="80" t="s">
        <v>173</v>
      </c>
      <c r="AL13" s="80" t="s">
        <v>173</v>
      </c>
      <c r="AM13" s="80" t="s">
        <v>173</v>
      </c>
      <c r="AN13" s="80" t="s">
        <v>173</v>
      </c>
      <c r="AO13" s="80" t="s">
        <v>173</v>
      </c>
      <c r="AP13" s="80" t="s">
        <v>173</v>
      </c>
      <c r="AQ13" s="80" t="s">
        <v>173</v>
      </c>
      <c r="AR13" s="80" t="s">
        <v>173</v>
      </c>
      <c r="AS13" s="80" t="s">
        <v>173</v>
      </c>
      <c r="AT13" s="80" t="s">
        <v>173</v>
      </c>
      <c r="AU13" s="80" t="s">
        <v>173</v>
      </c>
      <c r="AV13" s="80" t="s">
        <v>173</v>
      </c>
      <c r="AW13" s="29"/>
      <c r="AX13" s="29"/>
      <c r="AY13" s="29"/>
      <c r="AZ13" s="29"/>
      <c r="BA13" s="29"/>
      <c r="BB13" s="29"/>
      <c r="BC13" s="29"/>
      <c r="BD13" s="29"/>
      <c r="BE13" s="80" t="s">
        <v>173</v>
      </c>
      <c r="BF13" s="29"/>
      <c r="BG13" s="29"/>
      <c r="BH13" s="29"/>
      <c r="BI13" s="29"/>
    </row>
    <row r="14" spans="1:61" x14ac:dyDescent="0.25">
      <c r="A14" s="26" t="s">
        <v>174</v>
      </c>
      <c r="B14" s="28" t="s">
        <v>173</v>
      </c>
      <c r="C14" s="80" t="s">
        <v>173</v>
      </c>
      <c r="D14" s="80" t="s">
        <v>173</v>
      </c>
      <c r="E14" s="80" t="s">
        <v>173</v>
      </c>
      <c r="F14" s="80" t="s">
        <v>173</v>
      </c>
      <c r="G14" s="80" t="s">
        <v>173</v>
      </c>
      <c r="H14" s="80" t="s">
        <v>173</v>
      </c>
      <c r="I14" s="80" t="s">
        <v>173</v>
      </c>
      <c r="J14" s="80" t="s">
        <v>173</v>
      </c>
      <c r="K14" s="199"/>
      <c r="L14" s="199"/>
      <c r="M14" s="199"/>
      <c r="N14" s="80" t="s">
        <v>173</v>
      </c>
      <c r="O14" s="80" t="s">
        <v>173</v>
      </c>
      <c r="P14" s="80" t="s">
        <v>173</v>
      </c>
      <c r="Q14" s="80" t="s">
        <v>173</v>
      </c>
      <c r="R14" s="80" t="s">
        <v>173</v>
      </c>
      <c r="S14" s="80" t="s">
        <v>173</v>
      </c>
      <c r="T14" s="28"/>
      <c r="U14" s="28"/>
      <c r="V14" s="28"/>
      <c r="W14" s="28"/>
      <c r="X14" s="28"/>
      <c r="Y14" s="28"/>
      <c r="Z14" s="28"/>
      <c r="AA14" s="28" t="s">
        <v>173</v>
      </c>
      <c r="AB14" s="28"/>
      <c r="AC14" s="28"/>
      <c r="AD14" s="28"/>
      <c r="AE14" s="80" t="s">
        <v>173</v>
      </c>
      <c r="AF14" s="28"/>
      <c r="AG14" s="28" t="s">
        <v>173</v>
      </c>
      <c r="AH14" s="28" t="s">
        <v>173</v>
      </c>
      <c r="AJ14" s="80" t="s">
        <v>173</v>
      </c>
      <c r="AK14" s="80" t="s">
        <v>173</v>
      </c>
      <c r="AL14" s="80" t="s">
        <v>173</v>
      </c>
      <c r="AM14" s="80" t="s">
        <v>173</v>
      </c>
      <c r="AN14" s="80" t="s">
        <v>173</v>
      </c>
      <c r="AO14" s="80" t="s">
        <v>173</v>
      </c>
      <c r="AP14" s="80" t="s">
        <v>173</v>
      </c>
      <c r="AQ14" s="80" t="s">
        <v>173</v>
      </c>
      <c r="AR14" s="80" t="s">
        <v>173</v>
      </c>
      <c r="AS14" s="80" t="s">
        <v>173</v>
      </c>
      <c r="AT14" s="80" t="s">
        <v>173</v>
      </c>
      <c r="AU14" s="80" t="s">
        <v>173</v>
      </c>
      <c r="AV14" s="80" t="s">
        <v>173</v>
      </c>
      <c r="AW14" s="28"/>
      <c r="AX14" s="28"/>
      <c r="AY14" s="28"/>
      <c r="AZ14" s="28"/>
      <c r="BA14" s="28"/>
      <c r="BB14" s="28"/>
      <c r="BC14" s="28"/>
      <c r="BD14" s="28"/>
      <c r="BE14" s="80" t="s">
        <v>173</v>
      </c>
      <c r="BF14" s="28"/>
      <c r="BG14" s="28"/>
      <c r="BH14" s="28"/>
      <c r="BI14" s="28"/>
    </row>
    <row r="15" spans="1:61" x14ac:dyDescent="0.25">
      <c r="A15" s="26" t="s">
        <v>175</v>
      </c>
      <c r="B15" s="28" t="s">
        <v>198</v>
      </c>
      <c r="C15" s="80" t="s">
        <v>199</v>
      </c>
      <c r="D15" s="80" t="s">
        <v>199</v>
      </c>
      <c r="E15" s="80" t="s">
        <v>199</v>
      </c>
      <c r="F15" s="80" t="s">
        <v>199</v>
      </c>
      <c r="G15" s="80" t="s">
        <v>199</v>
      </c>
      <c r="H15" s="80" t="s">
        <v>199</v>
      </c>
      <c r="I15" s="80" t="s">
        <v>199</v>
      </c>
      <c r="J15" s="80" t="s">
        <v>199</v>
      </c>
      <c r="K15" s="199"/>
      <c r="L15" s="199"/>
      <c r="M15" s="199"/>
      <c r="N15" s="80" t="s">
        <v>199</v>
      </c>
      <c r="O15" s="80" t="s">
        <v>199</v>
      </c>
      <c r="P15" s="80" t="s">
        <v>199</v>
      </c>
      <c r="Q15" s="80" t="s">
        <v>199</v>
      </c>
      <c r="R15" s="80" t="s">
        <v>199</v>
      </c>
      <c r="S15" s="80" t="s">
        <v>199</v>
      </c>
      <c r="T15" s="28"/>
      <c r="U15" s="28"/>
      <c r="V15" s="28"/>
      <c r="W15" s="28"/>
      <c r="X15" s="28"/>
      <c r="Y15" s="28"/>
      <c r="Z15" s="28"/>
      <c r="AA15" s="28" t="s">
        <v>198</v>
      </c>
      <c r="AB15" s="28"/>
      <c r="AC15" s="28"/>
      <c r="AD15" s="28"/>
      <c r="AE15" s="80" t="s">
        <v>199</v>
      </c>
      <c r="AF15" s="28"/>
      <c r="AG15" s="28" t="s">
        <v>198</v>
      </c>
      <c r="AH15" s="28" t="s">
        <v>198</v>
      </c>
      <c r="AJ15" s="80" t="s">
        <v>199</v>
      </c>
      <c r="AK15" s="80" t="s">
        <v>199</v>
      </c>
      <c r="AL15" s="80" t="s">
        <v>199</v>
      </c>
      <c r="AM15" s="80" t="s">
        <v>199</v>
      </c>
      <c r="AN15" s="80" t="s">
        <v>199</v>
      </c>
      <c r="AO15" s="80" t="s">
        <v>199</v>
      </c>
      <c r="AP15" s="80" t="s">
        <v>199</v>
      </c>
      <c r="AQ15" s="80" t="s">
        <v>199</v>
      </c>
      <c r="AR15" s="80" t="s">
        <v>199</v>
      </c>
      <c r="AS15" s="80" t="s">
        <v>199</v>
      </c>
      <c r="AT15" s="80" t="s">
        <v>199</v>
      </c>
      <c r="AU15" s="80" t="s">
        <v>199</v>
      </c>
      <c r="AV15" s="80" t="s">
        <v>199</v>
      </c>
      <c r="AW15" s="28"/>
      <c r="AX15" s="28"/>
      <c r="AY15" s="28"/>
      <c r="AZ15" s="28"/>
      <c r="BA15" s="28"/>
      <c r="BB15" s="28"/>
      <c r="BC15" s="28"/>
      <c r="BD15" s="28"/>
      <c r="BE15" s="80" t="s">
        <v>199</v>
      </c>
      <c r="BF15" s="28"/>
      <c r="BG15" s="28"/>
      <c r="BH15" s="28"/>
      <c r="BI15" s="28"/>
    </row>
    <row r="16" spans="1:61" x14ac:dyDescent="0.25">
      <c r="A16" s="26" t="s">
        <v>176</v>
      </c>
      <c r="B16" s="30">
        <f t="shared" ref="B16" si="0">5/3</f>
        <v>1.6666666666666667</v>
      </c>
      <c r="C16" s="82">
        <v>-2</v>
      </c>
      <c r="D16" s="82">
        <v>-2</v>
      </c>
      <c r="E16" s="82">
        <v>-2</v>
      </c>
      <c r="F16" s="82">
        <v>-2</v>
      </c>
      <c r="G16" s="82">
        <v>-2</v>
      </c>
      <c r="H16" s="82">
        <v>-2</v>
      </c>
      <c r="I16" s="82">
        <v>-2</v>
      </c>
      <c r="J16" s="82">
        <v>-2</v>
      </c>
      <c r="K16" s="201"/>
      <c r="L16" s="201"/>
      <c r="M16" s="201"/>
      <c r="N16" s="82">
        <v>-2</v>
      </c>
      <c r="O16" s="82">
        <v>-2</v>
      </c>
      <c r="P16" s="82">
        <v>-2</v>
      </c>
      <c r="Q16" s="82">
        <v>-2</v>
      </c>
      <c r="R16" s="82">
        <v>-2</v>
      </c>
      <c r="S16" s="82">
        <v>-2</v>
      </c>
      <c r="T16" s="30"/>
      <c r="U16" s="30"/>
      <c r="V16" s="30"/>
      <c r="W16" s="30"/>
      <c r="X16" s="30"/>
      <c r="Y16" s="30"/>
      <c r="Z16" s="30"/>
      <c r="AA16" s="30">
        <v>1</v>
      </c>
      <c r="AB16" s="30"/>
      <c r="AC16" s="30"/>
      <c r="AD16" s="30"/>
      <c r="AE16" s="82">
        <v>-2</v>
      </c>
      <c r="AF16" s="30"/>
      <c r="AG16" s="30">
        <f>4/3</f>
        <v>1.3333333333333333</v>
      </c>
      <c r="AH16" s="30">
        <f>4/3</f>
        <v>1.3333333333333333</v>
      </c>
      <c r="AJ16" s="82">
        <v>-2</v>
      </c>
      <c r="AK16" s="82">
        <v>-2</v>
      </c>
      <c r="AL16" s="82">
        <v>-2</v>
      </c>
      <c r="AM16" s="82">
        <v>-2</v>
      </c>
      <c r="AN16" s="82">
        <v>-2</v>
      </c>
      <c r="AO16" s="82">
        <v>-2</v>
      </c>
      <c r="AP16" s="82">
        <v>-2</v>
      </c>
      <c r="AQ16" s="82">
        <v>-2</v>
      </c>
      <c r="AR16" s="82">
        <v>-2</v>
      </c>
      <c r="AS16" s="82">
        <v>-2</v>
      </c>
      <c r="AT16" s="82">
        <v>-2</v>
      </c>
      <c r="AU16" s="82">
        <v>-2</v>
      </c>
      <c r="AV16" s="82">
        <v>-2</v>
      </c>
      <c r="AW16" s="30"/>
      <c r="AX16" s="30"/>
      <c r="AY16" s="30"/>
      <c r="AZ16" s="30"/>
      <c r="BA16" s="30"/>
      <c r="BB16" s="30"/>
      <c r="BC16" s="30"/>
      <c r="BD16" s="30"/>
      <c r="BE16" s="82">
        <v>-2</v>
      </c>
      <c r="BF16" s="30"/>
      <c r="BG16" s="30"/>
      <c r="BH16" s="30"/>
      <c r="BI16" s="30"/>
    </row>
    <row r="17" spans="1:61" x14ac:dyDescent="0.25">
      <c r="A17" s="26" t="s">
        <v>177</v>
      </c>
      <c r="B17" s="28" t="s">
        <v>178</v>
      </c>
      <c r="C17" s="80" t="s">
        <v>341</v>
      </c>
      <c r="D17" s="80" t="s">
        <v>341</v>
      </c>
      <c r="E17" s="80" t="s">
        <v>341</v>
      </c>
      <c r="F17" s="80" t="s">
        <v>341</v>
      </c>
      <c r="G17" s="80" t="s">
        <v>341</v>
      </c>
      <c r="H17" s="80" t="s">
        <v>341</v>
      </c>
      <c r="I17" s="80" t="s">
        <v>341</v>
      </c>
      <c r="J17" s="80" t="s">
        <v>341</v>
      </c>
      <c r="K17" s="199"/>
      <c r="L17" s="199"/>
      <c r="M17" s="199"/>
      <c r="N17" s="80" t="s">
        <v>341</v>
      </c>
      <c r="O17" s="80" t="s">
        <v>341</v>
      </c>
      <c r="P17" s="80" t="s">
        <v>341</v>
      </c>
      <c r="Q17" s="80" t="s">
        <v>341</v>
      </c>
      <c r="R17" s="80" t="s">
        <v>341</v>
      </c>
      <c r="S17" s="80" t="s">
        <v>341</v>
      </c>
      <c r="T17" s="28"/>
      <c r="U17" s="28"/>
      <c r="V17" s="28"/>
      <c r="W17" s="28"/>
      <c r="X17" s="28"/>
      <c r="Y17" s="28"/>
      <c r="Z17" s="28"/>
      <c r="AA17" s="28" t="s">
        <v>1012</v>
      </c>
      <c r="AB17" s="28"/>
      <c r="AC17" s="28"/>
      <c r="AD17" s="28"/>
      <c r="AE17" s="80" t="s">
        <v>341</v>
      </c>
      <c r="AF17" s="28"/>
      <c r="AG17" s="28" t="s">
        <v>200</v>
      </c>
      <c r="AH17" s="28" t="s">
        <v>181</v>
      </c>
      <c r="AJ17" s="80" t="s">
        <v>341</v>
      </c>
      <c r="AK17" s="80" t="s">
        <v>341</v>
      </c>
      <c r="AL17" s="80" t="s">
        <v>341</v>
      </c>
      <c r="AM17" s="80" t="s">
        <v>341</v>
      </c>
      <c r="AN17" s="80" t="s">
        <v>341</v>
      </c>
      <c r="AO17" s="80" t="s">
        <v>341</v>
      </c>
      <c r="AP17" s="80" t="s">
        <v>341</v>
      </c>
      <c r="AQ17" s="80" t="s">
        <v>341</v>
      </c>
      <c r="AR17" s="80" t="s">
        <v>341</v>
      </c>
      <c r="AS17" s="80" t="s">
        <v>341</v>
      </c>
      <c r="AT17" s="80" t="s">
        <v>341</v>
      </c>
      <c r="AU17" s="80" t="s">
        <v>341</v>
      </c>
      <c r="AV17" s="80" t="s">
        <v>341</v>
      </c>
      <c r="AW17" s="28"/>
      <c r="AX17" s="28"/>
      <c r="AY17" s="28"/>
      <c r="AZ17" s="28"/>
      <c r="BA17" s="28"/>
      <c r="BB17" s="28"/>
      <c r="BC17" s="28"/>
      <c r="BD17" s="28"/>
      <c r="BE17" s="80" t="s">
        <v>341</v>
      </c>
      <c r="BF17" s="28"/>
      <c r="BG17" s="28"/>
      <c r="BH17" s="28"/>
      <c r="BI17" s="28"/>
    </row>
    <row r="18" spans="1:61" x14ac:dyDescent="0.25">
      <c r="A18" s="26" t="s">
        <v>182</v>
      </c>
      <c r="B18" s="30">
        <v>4</v>
      </c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201"/>
      <c r="L18" s="201"/>
      <c r="M18" s="201"/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30"/>
      <c r="U18" s="30"/>
      <c r="V18" s="30"/>
      <c r="W18" s="30"/>
      <c r="X18" s="30"/>
      <c r="Y18" s="30"/>
      <c r="Z18" s="30"/>
      <c r="AA18" s="30">
        <v>3.75</v>
      </c>
      <c r="AB18" s="30"/>
      <c r="AC18" s="30"/>
      <c r="AD18" s="30"/>
      <c r="AE18" s="82">
        <v>0</v>
      </c>
      <c r="AF18" s="30"/>
      <c r="AG18" s="30">
        <v>3</v>
      </c>
      <c r="AH18" s="30">
        <v>2</v>
      </c>
      <c r="AJ18" s="82">
        <v>0</v>
      </c>
      <c r="AK18" s="82">
        <v>0</v>
      </c>
      <c r="AL18" s="82">
        <v>0</v>
      </c>
      <c r="AM18" s="82">
        <v>0</v>
      </c>
      <c r="AN18" s="82">
        <v>0</v>
      </c>
      <c r="AO18" s="82">
        <v>0</v>
      </c>
      <c r="AP18" s="82">
        <v>0</v>
      </c>
      <c r="AQ18" s="82">
        <v>0</v>
      </c>
      <c r="AR18" s="82">
        <v>0</v>
      </c>
      <c r="AS18" s="82">
        <v>0</v>
      </c>
      <c r="AT18" s="82">
        <v>0</v>
      </c>
      <c r="AU18" s="82">
        <v>0</v>
      </c>
      <c r="AV18" s="82">
        <v>0</v>
      </c>
      <c r="AW18" s="120"/>
      <c r="AX18" s="120"/>
      <c r="AY18" s="120"/>
      <c r="AZ18" s="30"/>
      <c r="BA18" s="30"/>
      <c r="BB18" s="30"/>
      <c r="BC18" s="30"/>
      <c r="BD18" s="30"/>
      <c r="BE18" s="82">
        <v>0</v>
      </c>
      <c r="BF18" s="30"/>
      <c r="BG18" s="30"/>
      <c r="BH18" s="30"/>
      <c r="BI18" s="30"/>
    </row>
    <row r="20" spans="1:61" x14ac:dyDescent="0.25">
      <c r="A20" s="26" t="s">
        <v>159</v>
      </c>
      <c r="B20" s="28" t="s">
        <v>1126</v>
      </c>
      <c r="C20" s="28" t="s">
        <v>942</v>
      </c>
      <c r="D20" s="28" t="s">
        <v>942</v>
      </c>
      <c r="E20" s="28" t="s">
        <v>942</v>
      </c>
      <c r="F20" s="80" t="s">
        <v>341</v>
      </c>
      <c r="G20" s="80" t="s">
        <v>341</v>
      </c>
      <c r="H20" s="80" t="s">
        <v>341</v>
      </c>
      <c r="I20" s="80" t="s">
        <v>341</v>
      </c>
      <c r="J20" s="28" t="s">
        <v>942</v>
      </c>
      <c r="K20" s="199"/>
      <c r="L20" s="199"/>
      <c r="M20" s="199"/>
      <c r="N20" s="28" t="s">
        <v>556</v>
      </c>
      <c r="O20" s="28" t="s">
        <v>556</v>
      </c>
      <c r="P20" s="28" t="s">
        <v>1213</v>
      </c>
      <c r="Q20" s="86" t="s">
        <v>1213</v>
      </c>
      <c r="R20" s="28" t="s">
        <v>942</v>
      </c>
      <c r="S20" s="28" t="s">
        <v>942</v>
      </c>
      <c r="T20" s="83"/>
      <c r="U20" s="28"/>
      <c r="V20" s="28"/>
      <c r="W20" s="28"/>
      <c r="X20" s="28"/>
      <c r="Y20" s="28"/>
      <c r="Z20" s="28"/>
      <c r="AA20" s="80" t="s">
        <v>341</v>
      </c>
      <c r="AB20" s="28"/>
      <c r="AC20" s="28"/>
      <c r="AD20" s="28"/>
      <c r="AE20" s="28" t="s">
        <v>322</v>
      </c>
      <c r="AF20" s="28"/>
      <c r="AG20" s="80" t="s">
        <v>341</v>
      </c>
      <c r="AH20" s="80" t="s">
        <v>341</v>
      </c>
      <c r="AJ20" s="28" t="s">
        <v>322</v>
      </c>
      <c r="AK20" s="28" t="s">
        <v>322</v>
      </c>
      <c r="AL20" s="28" t="s">
        <v>316</v>
      </c>
      <c r="AM20" s="28" t="s">
        <v>1089</v>
      </c>
      <c r="AN20" s="28" t="s">
        <v>317</v>
      </c>
      <c r="AO20" s="28" t="s">
        <v>317</v>
      </c>
      <c r="AP20" s="86" t="s">
        <v>317</v>
      </c>
      <c r="AQ20" s="28" t="s">
        <v>317</v>
      </c>
      <c r="AR20" s="28" t="s">
        <v>322</v>
      </c>
      <c r="AS20" s="28" t="s">
        <v>322</v>
      </c>
      <c r="AT20" s="86" t="s">
        <v>322</v>
      </c>
      <c r="AU20" s="28" t="s">
        <v>350</v>
      </c>
      <c r="AV20" s="28" t="s">
        <v>350</v>
      </c>
      <c r="AW20" s="28"/>
      <c r="AX20" s="28"/>
      <c r="AY20" s="28"/>
      <c r="AZ20" s="28"/>
      <c r="BA20" s="28"/>
      <c r="BB20" s="28"/>
      <c r="BC20" s="28"/>
      <c r="BD20" s="28"/>
      <c r="BE20" s="28" t="s">
        <v>1088</v>
      </c>
      <c r="BF20" s="28"/>
      <c r="BG20" s="28"/>
      <c r="BH20" s="28"/>
      <c r="BI20" s="28"/>
    </row>
    <row r="21" spans="1:61" ht="15.75" customHeight="1" x14ac:dyDescent="0.25">
      <c r="A21" s="26" t="s">
        <v>165</v>
      </c>
      <c r="B21" s="28" t="s">
        <v>322</v>
      </c>
      <c r="C21" s="28" t="s">
        <v>614</v>
      </c>
      <c r="D21" s="28" t="s">
        <v>614</v>
      </c>
      <c r="E21" s="28" t="s">
        <v>614</v>
      </c>
      <c r="F21" s="80" t="s">
        <v>341</v>
      </c>
      <c r="G21" s="80" t="s">
        <v>341</v>
      </c>
      <c r="H21" s="80" t="s">
        <v>341</v>
      </c>
      <c r="I21" s="80" t="s">
        <v>341</v>
      </c>
      <c r="J21" s="28" t="s">
        <v>614</v>
      </c>
      <c r="K21" s="199"/>
      <c r="L21" s="199"/>
      <c r="M21" s="199"/>
      <c r="N21" s="29" t="s">
        <v>322</v>
      </c>
      <c r="O21" s="29" t="s">
        <v>322</v>
      </c>
      <c r="P21" s="28" t="s">
        <v>322</v>
      </c>
      <c r="Q21" s="28" t="s">
        <v>322</v>
      </c>
      <c r="R21" s="29" t="s">
        <v>614</v>
      </c>
      <c r="S21" s="29" t="s">
        <v>614</v>
      </c>
      <c r="T21" s="29"/>
      <c r="U21" s="29"/>
      <c r="V21" s="29"/>
      <c r="W21" s="29"/>
      <c r="X21" s="29"/>
      <c r="Y21" s="29"/>
      <c r="Z21" s="29"/>
      <c r="AA21" s="80" t="s">
        <v>341</v>
      </c>
      <c r="AB21" s="29"/>
      <c r="AC21" s="29"/>
      <c r="AD21" s="29"/>
      <c r="AE21" s="28" t="s">
        <v>322</v>
      </c>
      <c r="AF21" s="29"/>
      <c r="AG21" s="80" t="s">
        <v>341</v>
      </c>
      <c r="AH21" s="80" t="s">
        <v>341</v>
      </c>
      <c r="AJ21" s="28" t="s">
        <v>324</v>
      </c>
      <c r="AK21" s="28" t="s">
        <v>324</v>
      </c>
      <c r="AL21" s="28" t="s">
        <v>283</v>
      </c>
      <c r="AM21" s="28" t="s">
        <v>1091</v>
      </c>
      <c r="AN21" s="28" t="s">
        <v>1008</v>
      </c>
      <c r="AO21" s="28" t="s">
        <v>1008</v>
      </c>
      <c r="AP21" s="86" t="s">
        <v>1008</v>
      </c>
      <c r="AQ21" s="28" t="s">
        <v>1008</v>
      </c>
      <c r="AR21" s="28" t="s">
        <v>324</v>
      </c>
      <c r="AS21" s="28" t="s">
        <v>227</v>
      </c>
      <c r="AT21" s="28" t="s">
        <v>324</v>
      </c>
      <c r="AU21" s="115" t="s">
        <v>326</v>
      </c>
      <c r="AV21" s="28" t="s">
        <v>324</v>
      </c>
      <c r="AW21" s="28"/>
      <c r="AX21" s="28"/>
      <c r="AY21" s="28"/>
      <c r="AZ21" s="29"/>
      <c r="BA21" s="29"/>
      <c r="BB21" s="29"/>
      <c r="BC21" s="29"/>
      <c r="BD21" s="29"/>
      <c r="BE21" s="28" t="s">
        <v>1009</v>
      </c>
      <c r="BF21" s="29"/>
      <c r="BG21" s="29"/>
      <c r="BH21" s="29"/>
      <c r="BI21" s="29"/>
    </row>
    <row r="22" spans="1:61" x14ac:dyDescent="0.25">
      <c r="A22" s="131" t="s">
        <v>168</v>
      </c>
      <c r="B22" s="157">
        <v>98</v>
      </c>
      <c r="C22" s="157">
        <v>151</v>
      </c>
      <c r="D22" s="157">
        <v>151</v>
      </c>
      <c r="E22" s="157">
        <v>151</v>
      </c>
      <c r="F22" s="198"/>
      <c r="G22" s="198"/>
      <c r="H22" s="198"/>
      <c r="I22" s="198"/>
      <c r="J22" s="157">
        <v>151</v>
      </c>
      <c r="K22" s="198"/>
      <c r="L22" s="198"/>
      <c r="M22" s="198"/>
      <c r="N22" s="157">
        <v>98</v>
      </c>
      <c r="O22" s="157">
        <v>98</v>
      </c>
      <c r="P22" s="157">
        <v>98</v>
      </c>
      <c r="Q22" s="157">
        <v>98</v>
      </c>
      <c r="R22" s="157">
        <v>151</v>
      </c>
      <c r="S22" s="157">
        <v>151</v>
      </c>
      <c r="T22" s="157"/>
      <c r="U22" s="157"/>
      <c r="V22" s="157"/>
      <c r="W22" s="157"/>
      <c r="X22" s="157"/>
      <c r="Y22" s="157"/>
      <c r="Z22" s="157"/>
      <c r="AA22" s="198"/>
      <c r="AB22" s="157"/>
      <c r="AC22" s="157"/>
      <c r="AD22" s="157"/>
      <c r="AE22" s="157">
        <v>98</v>
      </c>
      <c r="AF22" s="157"/>
      <c r="AG22" s="198"/>
      <c r="AH22" s="198"/>
      <c r="AJ22" s="157">
        <v>57</v>
      </c>
      <c r="AK22" s="157">
        <v>57</v>
      </c>
      <c r="AL22" s="157">
        <v>56</v>
      </c>
      <c r="AM22" s="157">
        <v>193</v>
      </c>
      <c r="AN22" s="157">
        <v>61</v>
      </c>
      <c r="AO22" s="157">
        <v>61</v>
      </c>
      <c r="AP22" s="161">
        <v>61</v>
      </c>
      <c r="AQ22" s="157">
        <v>61</v>
      </c>
      <c r="AR22" s="157">
        <v>57</v>
      </c>
      <c r="AS22" s="157">
        <v>35</v>
      </c>
      <c r="AT22" s="157">
        <v>57</v>
      </c>
      <c r="AU22" s="157">
        <v>194</v>
      </c>
      <c r="AV22" s="157">
        <v>57</v>
      </c>
      <c r="AW22" s="157"/>
      <c r="AX22" s="157"/>
      <c r="AY22" s="157"/>
      <c r="AZ22" s="157"/>
      <c r="BA22" s="157"/>
      <c r="BB22" s="157"/>
      <c r="BC22" s="157"/>
      <c r="BD22" s="157"/>
      <c r="BE22" s="157">
        <v>187</v>
      </c>
      <c r="BF22" s="157"/>
      <c r="BG22" s="157"/>
      <c r="BH22" s="157"/>
      <c r="BI22" s="157"/>
    </row>
    <row r="23" spans="1:61" x14ac:dyDescent="0.25">
      <c r="A23" s="26" t="s">
        <v>169</v>
      </c>
      <c r="B23" s="28" t="s">
        <v>170</v>
      </c>
      <c r="C23" s="28" t="s">
        <v>266</v>
      </c>
      <c r="D23" s="28" t="s">
        <v>266</v>
      </c>
      <c r="E23" s="28" t="s">
        <v>266</v>
      </c>
      <c r="F23" s="80" t="s">
        <v>173</v>
      </c>
      <c r="G23" s="80" t="s">
        <v>173</v>
      </c>
      <c r="H23" s="80" t="s">
        <v>173</v>
      </c>
      <c r="I23" s="80" t="s">
        <v>173</v>
      </c>
      <c r="J23" s="28" t="s">
        <v>266</v>
      </c>
      <c r="K23" s="199"/>
      <c r="L23" s="199"/>
      <c r="M23" s="199"/>
      <c r="N23" s="28" t="s">
        <v>170</v>
      </c>
      <c r="O23" s="28" t="s">
        <v>170</v>
      </c>
      <c r="P23" s="28" t="s">
        <v>170</v>
      </c>
      <c r="Q23" s="28" t="s">
        <v>170</v>
      </c>
      <c r="R23" s="29" t="s">
        <v>266</v>
      </c>
      <c r="S23" s="29" t="s">
        <v>266</v>
      </c>
      <c r="T23" s="28"/>
      <c r="U23" s="28"/>
      <c r="V23" s="28"/>
      <c r="W23" s="28"/>
      <c r="X23" s="28"/>
      <c r="Y23" s="28"/>
      <c r="Z23" s="28"/>
      <c r="AA23" s="80" t="s">
        <v>173</v>
      </c>
      <c r="AB23" s="28"/>
      <c r="AC23" s="29"/>
      <c r="AD23" s="28"/>
      <c r="AE23" s="28" t="s">
        <v>170</v>
      </c>
      <c r="AF23" s="28"/>
      <c r="AG23" s="80" t="s">
        <v>173</v>
      </c>
      <c r="AH23" s="80" t="s">
        <v>173</v>
      </c>
      <c r="AJ23" s="29" t="s">
        <v>170</v>
      </c>
      <c r="AK23" s="29" t="s">
        <v>170</v>
      </c>
      <c r="AL23" s="29" t="s">
        <v>170</v>
      </c>
      <c r="AM23" s="29" t="s">
        <v>170</v>
      </c>
      <c r="AN23" s="29" t="s">
        <v>170</v>
      </c>
      <c r="AO23" s="29" t="s">
        <v>170</v>
      </c>
      <c r="AP23" s="91" t="s">
        <v>170</v>
      </c>
      <c r="AQ23" s="28" t="s">
        <v>170</v>
      </c>
      <c r="AR23" s="28" t="s">
        <v>170</v>
      </c>
      <c r="AS23" s="28" t="s">
        <v>170</v>
      </c>
      <c r="AT23" s="28" t="s">
        <v>170</v>
      </c>
      <c r="AU23" s="28" t="s">
        <v>170</v>
      </c>
      <c r="AV23" s="28" t="s">
        <v>170</v>
      </c>
      <c r="AW23" s="28"/>
      <c r="AX23" s="28"/>
      <c r="AY23" s="28"/>
      <c r="AZ23" s="28"/>
      <c r="BA23" s="28"/>
      <c r="BB23" s="28"/>
      <c r="BC23" s="28"/>
      <c r="BD23" s="28"/>
      <c r="BE23" s="29" t="s">
        <v>170</v>
      </c>
      <c r="BF23" s="28"/>
      <c r="BG23" s="29"/>
      <c r="BH23" s="28"/>
      <c r="BI23" s="28"/>
    </row>
    <row r="24" spans="1:61" x14ac:dyDescent="0.25">
      <c r="A24" s="26" t="s">
        <v>171</v>
      </c>
      <c r="B24" s="29" t="s">
        <v>170</v>
      </c>
      <c r="C24" s="29" t="s">
        <v>266</v>
      </c>
      <c r="D24" s="29" t="s">
        <v>266</v>
      </c>
      <c r="E24" s="29" t="s">
        <v>266</v>
      </c>
      <c r="F24" s="80" t="s">
        <v>173</v>
      </c>
      <c r="G24" s="80" t="s">
        <v>173</v>
      </c>
      <c r="H24" s="80" t="s">
        <v>173</v>
      </c>
      <c r="I24" s="80" t="s">
        <v>173</v>
      </c>
      <c r="J24" s="29" t="s">
        <v>266</v>
      </c>
      <c r="K24" s="199"/>
      <c r="L24" s="199"/>
      <c r="M24" s="199"/>
      <c r="N24" s="28" t="s">
        <v>170</v>
      </c>
      <c r="O24" s="28" t="s">
        <v>170</v>
      </c>
      <c r="P24" s="28" t="s">
        <v>170</v>
      </c>
      <c r="Q24" s="28" t="s">
        <v>170</v>
      </c>
      <c r="R24" s="28" t="s">
        <v>266</v>
      </c>
      <c r="S24" s="28" t="s">
        <v>266</v>
      </c>
      <c r="T24" s="28"/>
      <c r="U24" s="28"/>
      <c r="V24" s="28"/>
      <c r="W24" s="28"/>
      <c r="X24" s="28"/>
      <c r="Y24" s="28"/>
      <c r="Z24" s="28"/>
      <c r="AA24" s="80" t="s">
        <v>173</v>
      </c>
      <c r="AB24" s="28"/>
      <c r="AC24" s="28"/>
      <c r="AD24" s="28"/>
      <c r="AE24" s="29" t="s">
        <v>170</v>
      </c>
      <c r="AF24" s="28"/>
      <c r="AG24" s="80" t="s">
        <v>173</v>
      </c>
      <c r="AH24" s="80" t="s">
        <v>173</v>
      </c>
      <c r="AJ24" s="28" t="s">
        <v>170</v>
      </c>
      <c r="AK24" s="28" t="s">
        <v>170</v>
      </c>
      <c r="AL24" s="29" t="s">
        <v>173</v>
      </c>
      <c r="AM24" s="28" t="s">
        <v>266</v>
      </c>
      <c r="AN24" s="28" t="s">
        <v>170</v>
      </c>
      <c r="AO24" s="28" t="s">
        <v>170</v>
      </c>
      <c r="AP24" s="86" t="s">
        <v>170</v>
      </c>
      <c r="AQ24" s="28" t="s">
        <v>170</v>
      </c>
      <c r="AR24" s="28" t="s">
        <v>170</v>
      </c>
      <c r="AS24" s="28" t="s">
        <v>170</v>
      </c>
      <c r="AT24" s="28" t="s">
        <v>170</v>
      </c>
      <c r="AU24" s="28" t="s">
        <v>170</v>
      </c>
      <c r="AV24" s="28" t="s">
        <v>170</v>
      </c>
      <c r="AW24" s="28"/>
      <c r="AX24" s="28"/>
      <c r="AY24" s="28"/>
      <c r="AZ24" s="28"/>
      <c r="BA24" s="28"/>
      <c r="BB24" s="28"/>
      <c r="BC24" s="28"/>
      <c r="BD24" s="28"/>
      <c r="BE24" s="28" t="s">
        <v>170</v>
      </c>
      <c r="BF24" s="28"/>
      <c r="BG24" s="28"/>
      <c r="BH24" s="28"/>
      <c r="BI24" s="28"/>
    </row>
    <row r="25" spans="1:61" x14ac:dyDescent="0.25">
      <c r="A25" s="26" t="s">
        <v>172</v>
      </c>
      <c r="B25" s="28" t="s">
        <v>173</v>
      </c>
      <c r="C25" s="28" t="s">
        <v>173</v>
      </c>
      <c r="D25" s="28" t="s">
        <v>173</v>
      </c>
      <c r="E25" s="28" t="s">
        <v>173</v>
      </c>
      <c r="F25" s="80" t="s">
        <v>173</v>
      </c>
      <c r="G25" s="80" t="s">
        <v>173</v>
      </c>
      <c r="H25" s="80" t="s">
        <v>173</v>
      </c>
      <c r="I25" s="80" t="s">
        <v>173</v>
      </c>
      <c r="J25" s="28" t="s">
        <v>173</v>
      </c>
      <c r="K25" s="199"/>
      <c r="L25" s="199"/>
      <c r="M25" s="199"/>
      <c r="N25" s="28" t="s">
        <v>173</v>
      </c>
      <c r="O25" s="28" t="s">
        <v>173</v>
      </c>
      <c r="P25" s="28" t="s">
        <v>173</v>
      </c>
      <c r="Q25" s="28" t="s">
        <v>173</v>
      </c>
      <c r="R25" s="28" t="s">
        <v>173</v>
      </c>
      <c r="S25" s="28" t="s">
        <v>173</v>
      </c>
      <c r="T25" s="28"/>
      <c r="U25" s="28"/>
      <c r="V25" s="28"/>
      <c r="W25" s="28"/>
      <c r="X25" s="28"/>
      <c r="Y25" s="28"/>
      <c r="Z25" s="28"/>
      <c r="AA25" s="80" t="s">
        <v>173</v>
      </c>
      <c r="AB25" s="28"/>
      <c r="AC25" s="28"/>
      <c r="AD25" s="28"/>
      <c r="AE25" s="28" t="s">
        <v>173</v>
      </c>
      <c r="AF25" s="28"/>
      <c r="AG25" s="80" t="s">
        <v>173</v>
      </c>
      <c r="AH25" s="80" t="s">
        <v>173</v>
      </c>
      <c r="AJ25" s="28" t="s">
        <v>170</v>
      </c>
      <c r="AK25" s="28" t="s">
        <v>170</v>
      </c>
      <c r="AL25" s="28" t="s">
        <v>170</v>
      </c>
      <c r="AM25" s="28" t="s">
        <v>287</v>
      </c>
      <c r="AN25" s="28" t="s">
        <v>173</v>
      </c>
      <c r="AO25" s="28" t="s">
        <v>173</v>
      </c>
      <c r="AP25" s="28" t="s">
        <v>173</v>
      </c>
      <c r="AQ25" s="29" t="s">
        <v>173</v>
      </c>
      <c r="AR25" s="28" t="s">
        <v>170</v>
      </c>
      <c r="AS25" s="28" t="s">
        <v>170</v>
      </c>
      <c r="AT25" s="28" t="s">
        <v>170</v>
      </c>
      <c r="AU25" s="28" t="s">
        <v>170</v>
      </c>
      <c r="AV25" s="28" t="s">
        <v>170</v>
      </c>
      <c r="AW25" s="29"/>
      <c r="AX25" s="29"/>
      <c r="AY25" s="29"/>
      <c r="AZ25" s="28"/>
      <c r="BA25" s="28"/>
      <c r="BB25" s="28"/>
      <c r="BC25" s="28"/>
      <c r="BD25" s="28"/>
      <c r="BE25" s="28" t="s">
        <v>170</v>
      </c>
      <c r="BF25" s="28"/>
      <c r="BG25" s="28"/>
      <c r="BH25" s="28"/>
      <c r="BI25" s="28"/>
    </row>
    <row r="26" spans="1:61" x14ac:dyDescent="0.25">
      <c r="A26" s="26" t="s">
        <v>174</v>
      </c>
      <c r="B26" s="28" t="s">
        <v>173</v>
      </c>
      <c r="C26" s="28" t="s">
        <v>173</v>
      </c>
      <c r="D26" s="28" t="s">
        <v>173</v>
      </c>
      <c r="E26" s="28" t="s">
        <v>173</v>
      </c>
      <c r="F26" s="80" t="s">
        <v>173</v>
      </c>
      <c r="G26" s="80" t="s">
        <v>173</v>
      </c>
      <c r="H26" s="80" t="s">
        <v>173</v>
      </c>
      <c r="I26" s="80" t="s">
        <v>173</v>
      </c>
      <c r="J26" s="28" t="s">
        <v>173</v>
      </c>
      <c r="K26" s="199"/>
      <c r="L26" s="199"/>
      <c r="M26" s="199"/>
      <c r="N26" s="28" t="s">
        <v>173</v>
      </c>
      <c r="O26" s="28" t="s">
        <v>173</v>
      </c>
      <c r="P26" s="28" t="s">
        <v>173</v>
      </c>
      <c r="Q26" s="28" t="s">
        <v>173</v>
      </c>
      <c r="R26" s="28" t="s">
        <v>173</v>
      </c>
      <c r="S26" s="28" t="s">
        <v>173</v>
      </c>
      <c r="T26" s="28"/>
      <c r="U26" s="28"/>
      <c r="V26" s="28"/>
      <c r="W26" s="28"/>
      <c r="X26" s="28"/>
      <c r="Y26" s="28"/>
      <c r="Z26" s="28"/>
      <c r="AA26" s="80" t="s">
        <v>173</v>
      </c>
      <c r="AB26" s="28"/>
      <c r="AC26" s="28"/>
      <c r="AD26" s="28"/>
      <c r="AE26" s="28" t="s">
        <v>173</v>
      </c>
      <c r="AF26" s="28"/>
      <c r="AG26" s="80" t="s">
        <v>173</v>
      </c>
      <c r="AH26" s="80" t="s">
        <v>173</v>
      </c>
      <c r="AJ26" s="28" t="s">
        <v>173</v>
      </c>
      <c r="AK26" s="28" t="s">
        <v>173</v>
      </c>
      <c r="AL26" s="28" t="s">
        <v>173</v>
      </c>
      <c r="AM26" s="28" t="s">
        <v>173</v>
      </c>
      <c r="AN26" s="28" t="s">
        <v>173</v>
      </c>
      <c r="AO26" s="28" t="s">
        <v>173</v>
      </c>
      <c r="AP26" s="28" t="s">
        <v>173</v>
      </c>
      <c r="AQ26" s="28" t="s">
        <v>173</v>
      </c>
      <c r="AR26" s="28" t="s">
        <v>173</v>
      </c>
      <c r="AS26" s="28" t="s">
        <v>173</v>
      </c>
      <c r="AT26" s="28" t="s">
        <v>173</v>
      </c>
      <c r="AU26" s="28" t="s">
        <v>173</v>
      </c>
      <c r="AV26" s="28" t="s">
        <v>173</v>
      </c>
      <c r="AW26" s="28"/>
      <c r="AX26" s="28"/>
      <c r="AY26" s="28"/>
      <c r="AZ26" s="28"/>
      <c r="BA26" s="28"/>
      <c r="BB26" s="28"/>
      <c r="BC26" s="28"/>
      <c r="BD26" s="28"/>
      <c r="BE26" s="28" t="s">
        <v>173</v>
      </c>
      <c r="BF26" s="28"/>
      <c r="BG26" s="28"/>
      <c r="BH26" s="28"/>
      <c r="BI26" s="28"/>
    </row>
    <row r="27" spans="1:61" x14ac:dyDescent="0.25">
      <c r="A27" s="26" t="s">
        <v>175</v>
      </c>
      <c r="B27" s="28" t="s">
        <v>199</v>
      </c>
      <c r="C27" s="28" t="s">
        <v>199</v>
      </c>
      <c r="D27" s="28" t="s">
        <v>199</v>
      </c>
      <c r="E27" s="28" t="s">
        <v>199</v>
      </c>
      <c r="F27" s="80" t="s">
        <v>199</v>
      </c>
      <c r="G27" s="80" t="s">
        <v>199</v>
      </c>
      <c r="H27" s="80" t="s">
        <v>199</v>
      </c>
      <c r="I27" s="80" t="s">
        <v>199</v>
      </c>
      <c r="J27" s="28" t="s">
        <v>199</v>
      </c>
      <c r="K27" s="199"/>
      <c r="L27" s="199"/>
      <c r="M27" s="199"/>
      <c r="N27" s="28" t="s">
        <v>199</v>
      </c>
      <c r="O27" s="28" t="s">
        <v>199</v>
      </c>
      <c r="P27" s="28" t="s">
        <v>199</v>
      </c>
      <c r="Q27" s="28" t="s">
        <v>199</v>
      </c>
      <c r="R27" s="28" t="s">
        <v>199</v>
      </c>
      <c r="S27" s="28" t="s">
        <v>199</v>
      </c>
      <c r="T27" s="28"/>
      <c r="U27" s="28"/>
      <c r="V27" s="28"/>
      <c r="W27" s="28"/>
      <c r="X27" s="28"/>
      <c r="Y27" s="28"/>
      <c r="Z27" s="28"/>
      <c r="AA27" s="80" t="s">
        <v>199</v>
      </c>
      <c r="AB27" s="28"/>
      <c r="AC27" s="28"/>
      <c r="AD27" s="28"/>
      <c r="AE27" s="28" t="s">
        <v>199</v>
      </c>
      <c r="AF27" s="28"/>
      <c r="AG27" s="80" t="s">
        <v>199</v>
      </c>
      <c r="AH27" s="80" t="s">
        <v>199</v>
      </c>
      <c r="AJ27" s="28" t="s">
        <v>199</v>
      </c>
      <c r="AK27" s="28" t="s">
        <v>199</v>
      </c>
      <c r="AL27" s="28" t="s">
        <v>199</v>
      </c>
      <c r="AM27" s="28" t="s">
        <v>199</v>
      </c>
      <c r="AN27" s="28" t="s">
        <v>199</v>
      </c>
      <c r="AO27" s="28" t="s">
        <v>199</v>
      </c>
      <c r="AP27" s="28" t="s">
        <v>199</v>
      </c>
      <c r="AQ27" s="28" t="s">
        <v>199</v>
      </c>
      <c r="AR27" s="28" t="s">
        <v>199</v>
      </c>
      <c r="AS27" s="28" t="s">
        <v>199</v>
      </c>
      <c r="AT27" s="28" t="s">
        <v>199</v>
      </c>
      <c r="AU27" s="28" t="s">
        <v>333</v>
      </c>
      <c r="AV27" s="28" t="s">
        <v>199</v>
      </c>
      <c r="AW27" s="28"/>
      <c r="AX27" s="28"/>
      <c r="AY27" s="28"/>
      <c r="AZ27" s="28"/>
      <c r="BA27" s="28"/>
      <c r="BB27" s="28"/>
      <c r="BC27" s="28"/>
      <c r="BD27" s="28"/>
      <c r="BE27" s="28" t="s">
        <v>199</v>
      </c>
      <c r="BF27" s="28"/>
      <c r="BG27" s="28"/>
      <c r="BH27" s="28"/>
      <c r="BI27" s="28"/>
    </row>
    <row r="28" spans="1:61" x14ac:dyDescent="0.25">
      <c r="A28" s="26" t="s">
        <v>176</v>
      </c>
      <c r="B28" s="30">
        <v>-2</v>
      </c>
      <c r="C28" s="30">
        <v>-2</v>
      </c>
      <c r="D28" s="30">
        <v>-2</v>
      </c>
      <c r="E28" s="30">
        <v>-2</v>
      </c>
      <c r="F28" s="82">
        <v>-2</v>
      </c>
      <c r="G28" s="82">
        <v>-2</v>
      </c>
      <c r="H28" s="82">
        <v>-2</v>
      </c>
      <c r="I28" s="82">
        <v>-2</v>
      </c>
      <c r="J28" s="30">
        <v>-2</v>
      </c>
      <c r="K28" s="201"/>
      <c r="L28" s="201"/>
      <c r="M28" s="201"/>
      <c r="N28" s="30">
        <v>-2</v>
      </c>
      <c r="O28" s="30">
        <v>-2</v>
      </c>
      <c r="P28" s="30">
        <v>-2</v>
      </c>
      <c r="Q28" s="30">
        <v>-2</v>
      </c>
      <c r="R28" s="30">
        <v>-2</v>
      </c>
      <c r="S28" s="30">
        <v>-2</v>
      </c>
      <c r="T28" s="30"/>
      <c r="U28" s="30"/>
      <c r="V28" s="30"/>
      <c r="W28" s="30"/>
      <c r="X28" s="30"/>
      <c r="Y28" s="30"/>
      <c r="Z28" s="30"/>
      <c r="AA28" s="82">
        <v>-2</v>
      </c>
      <c r="AB28" s="30"/>
      <c r="AC28" s="30"/>
      <c r="AD28" s="30"/>
      <c r="AE28" s="30">
        <v>-2</v>
      </c>
      <c r="AF28" s="30"/>
      <c r="AG28" s="82">
        <v>-2</v>
      </c>
      <c r="AH28" s="82">
        <v>-2</v>
      </c>
      <c r="AJ28" s="30">
        <v>-0.5</v>
      </c>
      <c r="AK28" s="30">
        <v>-0.5</v>
      </c>
      <c r="AL28" s="30">
        <v>-0.5</v>
      </c>
      <c r="AM28" s="30">
        <f>AVERAGE(-2,-0.5)</f>
        <v>-1.25</v>
      </c>
      <c r="AN28" s="30">
        <v>-2</v>
      </c>
      <c r="AO28" s="30">
        <v>-2</v>
      </c>
      <c r="AP28" s="30">
        <v>-2</v>
      </c>
      <c r="AQ28" s="30">
        <v>-2</v>
      </c>
      <c r="AR28" s="30">
        <v>-0.5</v>
      </c>
      <c r="AS28" s="30">
        <v>-0.5</v>
      </c>
      <c r="AT28" s="30">
        <v>-0.5</v>
      </c>
      <c r="AU28" s="30">
        <f>AVERAGE(-0.5,-0.5,0.5)</f>
        <v>-0.16666666666666666</v>
      </c>
      <c r="AV28" s="30">
        <v>-0.5</v>
      </c>
      <c r="AW28" s="30"/>
      <c r="AX28" s="30"/>
      <c r="AY28" s="30"/>
      <c r="AZ28" s="30"/>
      <c r="BA28" s="30"/>
      <c r="BB28" s="30"/>
      <c r="BC28" s="30"/>
      <c r="BD28" s="30"/>
      <c r="BE28" s="30">
        <v>-0.5</v>
      </c>
      <c r="BF28" s="30"/>
      <c r="BG28" s="30"/>
      <c r="BH28" s="30"/>
      <c r="BI28" s="30"/>
    </row>
    <row r="29" spans="1:61" x14ac:dyDescent="0.25">
      <c r="A29" s="26" t="s">
        <v>177</v>
      </c>
      <c r="B29" s="28" t="s">
        <v>334</v>
      </c>
      <c r="C29" s="29" t="s">
        <v>537</v>
      </c>
      <c r="D29" s="29" t="s">
        <v>537</v>
      </c>
      <c r="E29" s="29" t="s">
        <v>537</v>
      </c>
      <c r="F29" s="80" t="s">
        <v>341</v>
      </c>
      <c r="G29" s="80" t="s">
        <v>341</v>
      </c>
      <c r="H29" s="80" t="s">
        <v>341</v>
      </c>
      <c r="I29" s="80" t="s">
        <v>341</v>
      </c>
      <c r="J29" s="29" t="s">
        <v>537</v>
      </c>
      <c r="K29" s="199"/>
      <c r="L29" s="199"/>
      <c r="M29" s="199"/>
      <c r="N29" s="28" t="s">
        <v>334</v>
      </c>
      <c r="O29" s="28" t="s">
        <v>334</v>
      </c>
      <c r="P29" s="28" t="s">
        <v>334</v>
      </c>
      <c r="Q29" s="28" t="s">
        <v>334</v>
      </c>
      <c r="R29" s="29" t="s">
        <v>537</v>
      </c>
      <c r="S29" s="29" t="s">
        <v>537</v>
      </c>
      <c r="T29" s="28"/>
      <c r="U29" s="28"/>
      <c r="V29" s="28"/>
      <c r="W29" s="28"/>
      <c r="X29" s="28"/>
      <c r="Y29" s="28"/>
      <c r="Z29" s="28"/>
      <c r="AA29" s="80" t="s">
        <v>341</v>
      </c>
      <c r="AB29" s="28"/>
      <c r="AC29" s="28"/>
      <c r="AD29" s="28"/>
      <c r="AE29" s="28" t="s">
        <v>334</v>
      </c>
      <c r="AF29" s="28"/>
      <c r="AG29" s="80" t="s">
        <v>341</v>
      </c>
      <c r="AH29" s="80" t="s">
        <v>341</v>
      </c>
      <c r="AJ29" s="28" t="s">
        <v>181</v>
      </c>
      <c r="AK29" s="28" t="s">
        <v>181</v>
      </c>
      <c r="AL29" s="28" t="s">
        <v>181</v>
      </c>
      <c r="AM29" s="28" t="s">
        <v>181</v>
      </c>
      <c r="AN29" s="28" t="s">
        <v>181</v>
      </c>
      <c r="AO29" s="28" t="s">
        <v>181</v>
      </c>
      <c r="AP29" s="28" t="s">
        <v>181</v>
      </c>
      <c r="AQ29" s="28" t="s">
        <v>181</v>
      </c>
      <c r="AR29" s="28" t="s">
        <v>181</v>
      </c>
      <c r="AS29" s="28" t="s">
        <v>200</v>
      </c>
      <c r="AT29" s="28" t="s">
        <v>181</v>
      </c>
      <c r="AU29" s="28" t="s">
        <v>200</v>
      </c>
      <c r="AV29" s="28" t="s">
        <v>181</v>
      </c>
      <c r="AW29" s="28"/>
      <c r="AX29" s="28"/>
      <c r="AY29" s="28"/>
      <c r="AZ29" s="28"/>
      <c r="BA29" s="28"/>
      <c r="BB29" s="28"/>
      <c r="BC29" s="28"/>
      <c r="BD29" s="28"/>
      <c r="BE29" s="28" t="s">
        <v>1012</v>
      </c>
      <c r="BF29" s="28"/>
      <c r="BG29" s="28"/>
      <c r="BH29" s="28"/>
      <c r="BI29" s="28"/>
    </row>
    <row r="30" spans="1:61" x14ac:dyDescent="0.25">
      <c r="A30" s="26" t="s">
        <v>182</v>
      </c>
      <c r="B30" s="30">
        <f>1/3</f>
        <v>0.33333333333333331</v>
      </c>
      <c r="C30" s="30">
        <f>AVERAGE(1/3,0)</f>
        <v>0.16666666666666666</v>
      </c>
      <c r="D30" s="30">
        <f>AVERAGE(1/3,0)</f>
        <v>0.16666666666666666</v>
      </c>
      <c r="E30" s="30">
        <f>AVERAGE(1/3,0)</f>
        <v>0.16666666666666666</v>
      </c>
      <c r="F30" s="82">
        <v>0</v>
      </c>
      <c r="G30" s="82">
        <v>0</v>
      </c>
      <c r="H30" s="82">
        <v>0</v>
      </c>
      <c r="I30" s="82">
        <v>0</v>
      </c>
      <c r="J30" s="30">
        <f>AVERAGE(1/3,0)</f>
        <v>0.16666666666666666</v>
      </c>
      <c r="K30" s="201"/>
      <c r="L30" s="201"/>
      <c r="M30" s="201"/>
      <c r="N30" s="30">
        <f>1/3</f>
        <v>0.33333333333333331</v>
      </c>
      <c r="O30" s="30">
        <f>1/3</f>
        <v>0.33333333333333331</v>
      </c>
      <c r="P30" s="30">
        <f>1/3</f>
        <v>0.33333333333333331</v>
      </c>
      <c r="Q30" s="30">
        <f>1/3</f>
        <v>0.33333333333333331</v>
      </c>
      <c r="R30" s="30">
        <f t="shared" ref="R30:S30" si="1">AVERAGE(1/3,0)</f>
        <v>0.16666666666666666</v>
      </c>
      <c r="S30" s="30">
        <f t="shared" si="1"/>
        <v>0.16666666666666666</v>
      </c>
      <c r="T30" s="30"/>
      <c r="U30" s="30"/>
      <c r="V30" s="30"/>
      <c r="W30" s="30"/>
      <c r="X30" s="30"/>
      <c r="Y30" s="30"/>
      <c r="Z30" s="30"/>
      <c r="AA30" s="82">
        <v>0</v>
      </c>
      <c r="AB30" s="30"/>
      <c r="AC30" s="30"/>
      <c r="AD30" s="30"/>
      <c r="AE30" s="30">
        <f>1/3</f>
        <v>0.33333333333333331</v>
      </c>
      <c r="AF30" s="30"/>
      <c r="AG30" s="82">
        <v>0</v>
      </c>
      <c r="AH30" s="82">
        <v>0</v>
      </c>
      <c r="AJ30" s="30">
        <v>2</v>
      </c>
      <c r="AK30" s="30">
        <v>2</v>
      </c>
      <c r="AL30" s="30">
        <v>2</v>
      </c>
      <c r="AM30" s="30">
        <v>2</v>
      </c>
      <c r="AN30" s="30">
        <v>2</v>
      </c>
      <c r="AO30" s="30">
        <v>2</v>
      </c>
      <c r="AP30" s="30">
        <v>2</v>
      </c>
      <c r="AQ30" s="30">
        <v>2</v>
      </c>
      <c r="AR30" s="120">
        <v>2</v>
      </c>
      <c r="AS30" s="120">
        <v>3</v>
      </c>
      <c r="AT30" s="120">
        <v>2</v>
      </c>
      <c r="AU30" s="120">
        <v>3</v>
      </c>
      <c r="AV30" s="120">
        <v>2</v>
      </c>
      <c r="AW30" s="120"/>
      <c r="AX30" s="120"/>
      <c r="AY30" s="120"/>
      <c r="AZ30" s="30"/>
      <c r="BA30" s="30"/>
      <c r="BB30" s="30"/>
      <c r="BC30" s="30"/>
      <c r="BD30" s="30"/>
      <c r="BE30" s="30">
        <v>3.75</v>
      </c>
      <c r="BF30" s="30"/>
      <c r="BG30" s="30"/>
      <c r="BH30" s="30"/>
      <c r="BI30" s="30"/>
    </row>
    <row r="31" spans="1:61" ht="15.75" customHeight="1" x14ac:dyDescent="0.25">
      <c r="C31" s="223" t="s">
        <v>1214</v>
      </c>
      <c r="D31" s="223"/>
      <c r="E31" s="223"/>
      <c r="F31" s="223"/>
      <c r="G31" s="223"/>
      <c r="H31" s="223"/>
      <c r="I31" s="223"/>
      <c r="J31" s="223"/>
      <c r="K31" s="223"/>
      <c r="L31" s="223"/>
      <c r="M31" s="223"/>
      <c r="N31" s="223"/>
      <c r="O31" s="223"/>
      <c r="AJ31" s="78" t="s">
        <v>1215</v>
      </c>
    </row>
    <row r="32" spans="1:61" x14ac:dyDescent="0.25">
      <c r="A32" s="31" t="s">
        <v>183</v>
      </c>
    </row>
    <row r="33" spans="1:57" ht="29.25" x14ac:dyDescent="0.25">
      <c r="A33" s="186" t="s">
        <v>1216</v>
      </c>
      <c r="B33" s="56"/>
    </row>
    <row r="34" spans="1:57" ht="29.25" x14ac:dyDescent="0.25">
      <c r="A34" s="186" t="s">
        <v>1217</v>
      </c>
    </row>
    <row r="36" spans="1:57" x14ac:dyDescent="0.25">
      <c r="A36" s="25" t="s">
        <v>681</v>
      </c>
    </row>
    <row r="37" spans="1:57" ht="15.75" customHeight="1" x14ac:dyDescent="0.25">
      <c r="A37" s="26" t="s">
        <v>1218</v>
      </c>
      <c r="C37" s="235" t="s">
        <v>1219</v>
      </c>
      <c r="D37" s="235"/>
      <c r="E37" s="26" t="s">
        <v>1219</v>
      </c>
      <c r="F37" s="26" t="s">
        <v>1219</v>
      </c>
      <c r="G37" s="235" t="s">
        <v>1219</v>
      </c>
      <c r="H37" s="235"/>
      <c r="I37" s="235"/>
      <c r="J37" s="26" t="s">
        <v>1219</v>
      </c>
      <c r="K37" s="235" t="s">
        <v>1219</v>
      </c>
      <c r="L37" s="235"/>
      <c r="M37" s="235"/>
      <c r="N37" s="26" t="s">
        <v>1219</v>
      </c>
      <c r="O37" s="26" t="s">
        <v>1220</v>
      </c>
      <c r="P37" s="235" t="s">
        <v>1221</v>
      </c>
      <c r="Q37" s="235"/>
      <c r="AA37" s="27" t="s">
        <v>322</v>
      </c>
      <c r="AJ37" s="235" t="s">
        <v>324</v>
      </c>
      <c r="AK37" s="235"/>
      <c r="AL37" s="26" t="s">
        <v>283</v>
      </c>
      <c r="AM37" s="26" t="s">
        <v>1008</v>
      </c>
      <c r="AN37" s="235" t="s">
        <v>1008</v>
      </c>
      <c r="AO37" s="235"/>
      <c r="AP37" s="235"/>
      <c r="AQ37" s="26" t="s">
        <v>1008</v>
      </c>
      <c r="AR37" s="26" t="s">
        <v>324</v>
      </c>
      <c r="AS37" s="26" t="s">
        <v>227</v>
      </c>
      <c r="AT37" s="26" t="s">
        <v>324</v>
      </c>
      <c r="AU37" s="26" t="s">
        <v>1222</v>
      </c>
      <c r="AV37" s="196" t="s">
        <v>1223</v>
      </c>
      <c r="BE37" s="26" t="s">
        <v>1224</v>
      </c>
    </row>
    <row r="38" spans="1:57" ht="15.75" customHeight="1" x14ac:dyDescent="0.25">
      <c r="A38" s="26" t="s">
        <v>1225</v>
      </c>
      <c r="C38" s="235" t="s">
        <v>1226</v>
      </c>
      <c r="D38" s="235"/>
      <c r="E38" s="26" t="s">
        <v>1226</v>
      </c>
      <c r="F38" s="26" t="s">
        <v>1219</v>
      </c>
      <c r="G38" s="235" t="s">
        <v>1219</v>
      </c>
      <c r="H38" s="235"/>
      <c r="I38" s="235"/>
      <c r="J38" s="26" t="s">
        <v>1219</v>
      </c>
      <c r="K38" s="235" t="s">
        <v>1219</v>
      </c>
      <c r="L38" s="235"/>
      <c r="M38" s="235"/>
      <c r="N38" s="235" t="s">
        <v>322</v>
      </c>
      <c r="O38" s="235"/>
      <c r="P38" s="235" t="s">
        <v>322</v>
      </c>
      <c r="Q38" s="235"/>
      <c r="AA38" s="26" t="s">
        <v>1219</v>
      </c>
      <c r="AJ38" s="235" t="s">
        <v>1227</v>
      </c>
      <c r="AK38" s="235"/>
      <c r="AL38" s="26" t="s">
        <v>1228</v>
      </c>
      <c r="AM38" s="26" t="s">
        <v>1008</v>
      </c>
      <c r="AN38" s="235" t="s">
        <v>1008</v>
      </c>
      <c r="AO38" s="235"/>
      <c r="AP38" s="235"/>
      <c r="AQ38" s="26" t="s">
        <v>1008</v>
      </c>
      <c r="AR38" s="26" t="s">
        <v>324</v>
      </c>
      <c r="AS38" s="26" t="s">
        <v>227</v>
      </c>
      <c r="AT38" s="26" t="s">
        <v>324</v>
      </c>
      <c r="AU38" s="26" t="s">
        <v>1224</v>
      </c>
      <c r="AV38" s="26" t="s">
        <v>1224</v>
      </c>
      <c r="BE38" s="26" t="s">
        <v>1229</v>
      </c>
    </row>
    <row r="39" spans="1:57" ht="15.75" customHeight="1" x14ac:dyDescent="0.25">
      <c r="A39" s="77" t="s">
        <v>1230</v>
      </c>
      <c r="C39" s="235" t="s">
        <v>1099</v>
      </c>
      <c r="D39" s="235"/>
      <c r="E39" s="26" t="s">
        <v>1099</v>
      </c>
      <c r="F39" s="26" t="s">
        <v>1099</v>
      </c>
      <c r="G39" s="235" t="s">
        <v>1099</v>
      </c>
      <c r="H39" s="235"/>
      <c r="I39" s="235"/>
      <c r="J39" s="26" t="s">
        <v>1219</v>
      </c>
      <c r="K39" s="235"/>
      <c r="L39" s="235"/>
      <c r="M39" s="235"/>
      <c r="P39" s="235" t="s">
        <v>322</v>
      </c>
      <c r="Q39" s="235"/>
      <c r="AA39" s="27" t="s">
        <v>322</v>
      </c>
      <c r="AJ39" s="235" t="s">
        <v>1099</v>
      </c>
      <c r="AK39" s="235"/>
      <c r="AL39" s="26" t="s">
        <v>1099</v>
      </c>
      <c r="AM39" s="26" t="s">
        <v>1099</v>
      </c>
      <c r="AN39" s="235" t="s">
        <v>1099</v>
      </c>
      <c r="AO39" s="235"/>
      <c r="AP39" s="235"/>
      <c r="AQ39" s="26" t="s">
        <v>1008</v>
      </c>
      <c r="BE39" s="26" t="s">
        <v>1224</v>
      </c>
    </row>
    <row r="40" spans="1:57" ht="15.75" customHeight="1" x14ac:dyDescent="0.25">
      <c r="A40" s="26" t="s">
        <v>1231</v>
      </c>
      <c r="C40" s="235" t="s">
        <v>1219</v>
      </c>
      <c r="D40" s="235"/>
      <c r="E40" s="26" t="s">
        <v>1219</v>
      </c>
      <c r="F40" s="194" t="s">
        <v>1221</v>
      </c>
      <c r="G40" s="254" t="s">
        <v>1221</v>
      </c>
      <c r="H40" s="254"/>
      <c r="I40" s="254"/>
      <c r="J40" s="26" t="s">
        <v>1232</v>
      </c>
      <c r="K40" s="254" t="s">
        <v>322</v>
      </c>
      <c r="L40" s="254"/>
      <c r="M40" s="254"/>
      <c r="N40" s="235" t="s">
        <v>1221</v>
      </c>
      <c r="O40" s="235"/>
      <c r="P40" s="235" t="s">
        <v>1221</v>
      </c>
      <c r="Q40" s="235"/>
      <c r="AA40" s="26" t="s">
        <v>1219</v>
      </c>
      <c r="AJ40" s="235" t="s">
        <v>324</v>
      </c>
      <c r="AK40" s="235"/>
      <c r="AL40" s="26" t="s">
        <v>283</v>
      </c>
      <c r="AM40" s="26" t="s">
        <v>1224</v>
      </c>
      <c r="AN40" s="235" t="s">
        <v>1224</v>
      </c>
      <c r="AO40" s="235"/>
      <c r="AP40" s="235"/>
      <c r="AQ40" s="26" t="s">
        <v>1224</v>
      </c>
      <c r="AR40" s="235" t="s">
        <v>1224</v>
      </c>
      <c r="AS40" s="235"/>
      <c r="AT40" s="235"/>
      <c r="AU40" s="26" t="s">
        <v>1224</v>
      </c>
      <c r="AV40" s="26" t="s">
        <v>1224</v>
      </c>
      <c r="BE40" s="26" t="s">
        <v>1229</v>
      </c>
    </row>
    <row r="41" spans="1:57" ht="15.75" customHeight="1" x14ac:dyDescent="0.25">
      <c r="A41" s="160" t="s">
        <v>1233</v>
      </c>
      <c r="C41" s="235" t="s">
        <v>1234</v>
      </c>
      <c r="D41" s="235"/>
      <c r="E41" s="26" t="s">
        <v>1219</v>
      </c>
      <c r="F41" s="26" t="s">
        <v>1219</v>
      </c>
      <c r="G41" s="235" t="s">
        <v>341</v>
      </c>
      <c r="H41" s="235"/>
      <c r="I41" s="235"/>
      <c r="J41" s="26" t="s">
        <v>1235</v>
      </c>
      <c r="K41" s="235" t="s">
        <v>1219</v>
      </c>
      <c r="L41" s="235"/>
      <c r="M41" s="235"/>
      <c r="N41" s="26" t="s">
        <v>1219</v>
      </c>
      <c r="O41" s="26" t="s">
        <v>1236</v>
      </c>
      <c r="P41" s="235" t="s">
        <v>322</v>
      </c>
      <c r="Q41" s="235"/>
      <c r="AA41" s="26" t="s">
        <v>1219</v>
      </c>
      <c r="AJ41" s="235" t="s">
        <v>1237</v>
      </c>
      <c r="AK41" s="235"/>
      <c r="AL41" s="26" t="s">
        <v>283</v>
      </c>
      <c r="AM41" s="26" t="s">
        <v>283</v>
      </c>
      <c r="AN41" s="235" t="s">
        <v>1224</v>
      </c>
      <c r="AO41" s="235"/>
      <c r="AP41" s="235"/>
      <c r="AQ41" s="26" t="s">
        <v>1224</v>
      </c>
      <c r="AR41" s="26" t="s">
        <v>324</v>
      </c>
      <c r="AS41" s="26" t="s">
        <v>227</v>
      </c>
      <c r="AT41" s="26" t="s">
        <v>324</v>
      </c>
      <c r="AU41" s="26" t="s">
        <v>1222</v>
      </c>
      <c r="AV41" s="26" t="s">
        <v>1237</v>
      </c>
      <c r="BE41" s="26" t="s">
        <v>1229</v>
      </c>
    </row>
    <row r="42" spans="1:57" ht="15.75" customHeight="1" x14ac:dyDescent="0.25">
      <c r="A42" s="26" t="s">
        <v>1238</v>
      </c>
      <c r="C42" s="235" t="s">
        <v>1219</v>
      </c>
      <c r="D42" s="235"/>
      <c r="E42" s="26" t="s">
        <v>1219</v>
      </c>
      <c r="F42" s="26" t="s">
        <v>1219</v>
      </c>
      <c r="G42" s="235" t="s">
        <v>1219</v>
      </c>
      <c r="H42" s="235"/>
      <c r="I42" s="235"/>
      <c r="J42" s="26" t="s">
        <v>1219</v>
      </c>
      <c r="K42" s="235"/>
      <c r="L42" s="235"/>
      <c r="M42" s="235"/>
      <c r="P42" s="235" t="s">
        <v>322</v>
      </c>
      <c r="Q42" s="235"/>
      <c r="AA42" s="27" t="s">
        <v>322</v>
      </c>
      <c r="AJ42" s="235" t="s">
        <v>324</v>
      </c>
      <c r="AK42" s="235"/>
      <c r="AL42" s="26" t="s">
        <v>283</v>
      </c>
      <c r="AM42" s="26" t="s">
        <v>1239</v>
      </c>
      <c r="AN42" s="235" t="s">
        <v>316</v>
      </c>
      <c r="AO42" s="235"/>
      <c r="AP42" s="235"/>
      <c r="AQ42" s="26" t="s">
        <v>1008</v>
      </c>
      <c r="BE42" s="26" t="s">
        <v>1224</v>
      </c>
    </row>
    <row r="43" spans="1:57" ht="15.75" customHeight="1" x14ac:dyDescent="0.25">
      <c r="A43" s="26" t="s">
        <v>1240</v>
      </c>
      <c r="C43" s="235" t="s">
        <v>1219</v>
      </c>
      <c r="D43" s="235"/>
      <c r="E43" s="26" t="s">
        <v>1219</v>
      </c>
      <c r="F43" s="26" t="s">
        <v>1219</v>
      </c>
      <c r="G43" s="254" t="s">
        <v>1241</v>
      </c>
      <c r="H43" s="254"/>
      <c r="I43" s="254"/>
      <c r="J43" s="194" t="s">
        <v>1241</v>
      </c>
      <c r="K43" s="235" t="s">
        <v>1219</v>
      </c>
      <c r="L43" s="235"/>
      <c r="M43" s="235"/>
      <c r="N43" s="26" t="s">
        <v>1219</v>
      </c>
      <c r="O43" s="26" t="s">
        <v>1242</v>
      </c>
      <c r="P43" s="235" t="s">
        <v>1177</v>
      </c>
      <c r="Q43" s="235"/>
      <c r="AA43" s="194" t="s">
        <v>318</v>
      </c>
      <c r="AJ43" s="235" t="s">
        <v>324</v>
      </c>
      <c r="AK43" s="235"/>
      <c r="AL43" s="26" t="s">
        <v>283</v>
      </c>
      <c r="AM43" s="26" t="s">
        <v>1008</v>
      </c>
      <c r="AN43" s="254" t="s">
        <v>1241</v>
      </c>
      <c r="AO43" s="254"/>
      <c r="AP43" s="254"/>
      <c r="AQ43" s="194" t="s">
        <v>1241</v>
      </c>
      <c r="AR43" s="26" t="s">
        <v>324</v>
      </c>
      <c r="AS43" s="26" t="s">
        <v>227</v>
      </c>
      <c r="AT43" s="26" t="s">
        <v>324</v>
      </c>
      <c r="AU43" s="26" t="s">
        <v>1222</v>
      </c>
      <c r="AV43" s="196" t="s">
        <v>1243</v>
      </c>
      <c r="BE43" s="194" t="s">
        <v>318</v>
      </c>
    </row>
    <row r="44" spans="1:57" ht="15.75" customHeight="1" x14ac:dyDescent="0.25">
      <c r="A44" s="26" t="s">
        <v>1244</v>
      </c>
      <c r="C44" s="235" t="s">
        <v>1021</v>
      </c>
      <c r="D44" s="235"/>
      <c r="E44" s="26" t="s">
        <v>1021</v>
      </c>
      <c r="F44" s="26" t="s">
        <v>1021</v>
      </c>
      <c r="G44" s="235" t="s">
        <v>1021</v>
      </c>
      <c r="H44" s="235"/>
      <c r="I44" s="235"/>
      <c r="J44" s="26" t="s">
        <v>1021</v>
      </c>
      <c r="K44" s="235" t="s">
        <v>1021</v>
      </c>
      <c r="L44" s="235"/>
      <c r="M44" s="235"/>
      <c r="P44" s="235"/>
      <c r="Q44" s="235"/>
      <c r="AA44" s="26" t="s">
        <v>1245</v>
      </c>
      <c r="AJ44" s="235" t="s">
        <v>1021</v>
      </c>
      <c r="AK44" s="235"/>
      <c r="AL44" s="26" t="s">
        <v>1021</v>
      </c>
      <c r="AM44" s="26" t="s">
        <v>1021</v>
      </c>
      <c r="AN44" s="235" t="s">
        <v>1021</v>
      </c>
      <c r="AO44" s="235"/>
      <c r="AP44" s="235"/>
      <c r="AQ44" s="26" t="s">
        <v>1021</v>
      </c>
      <c r="AR44" s="26" t="s">
        <v>1021</v>
      </c>
      <c r="AS44" s="26" t="s">
        <v>1021</v>
      </c>
      <c r="AT44" s="26" t="s">
        <v>1021</v>
      </c>
      <c r="BE44" s="26" t="s">
        <v>1246</v>
      </c>
    </row>
    <row r="45" spans="1:57" ht="15.75" customHeight="1" x14ac:dyDescent="0.25">
      <c r="A45" s="26" t="s">
        <v>1247</v>
      </c>
      <c r="C45" s="235" t="s">
        <v>614</v>
      </c>
      <c r="D45" s="235"/>
      <c r="E45" s="26" t="s">
        <v>341</v>
      </c>
      <c r="F45" s="26" t="s">
        <v>341</v>
      </c>
      <c r="G45" s="235" t="s">
        <v>316</v>
      </c>
      <c r="H45" s="235"/>
      <c r="I45" s="235"/>
      <c r="J45" s="26" t="s">
        <v>1219</v>
      </c>
      <c r="K45" s="235" t="s">
        <v>1219</v>
      </c>
      <c r="L45" s="235"/>
      <c r="M45" s="235"/>
      <c r="N45" s="26" t="s">
        <v>1248</v>
      </c>
      <c r="O45" s="26" t="s">
        <v>1220</v>
      </c>
      <c r="P45" s="235" t="s">
        <v>1177</v>
      </c>
      <c r="Q45" s="235"/>
      <c r="AA45" s="26" t="s">
        <v>1116</v>
      </c>
      <c r="AJ45" s="235" t="s">
        <v>1224</v>
      </c>
      <c r="AK45" s="235"/>
      <c r="AL45" s="26" t="s">
        <v>1224</v>
      </c>
      <c r="AM45" s="26" t="s">
        <v>1224</v>
      </c>
      <c r="AN45" s="235" t="s">
        <v>316</v>
      </c>
      <c r="AO45" s="235"/>
      <c r="AP45" s="235"/>
      <c r="AQ45" s="26" t="s">
        <v>1249</v>
      </c>
      <c r="AR45" s="26" t="s">
        <v>324</v>
      </c>
      <c r="AS45" s="26" t="s">
        <v>227</v>
      </c>
      <c r="AT45" s="26" t="s">
        <v>324</v>
      </c>
      <c r="AU45" s="26" t="s">
        <v>1248</v>
      </c>
      <c r="AV45" s="196" t="s">
        <v>1223</v>
      </c>
      <c r="BE45" s="26" t="s">
        <v>1224</v>
      </c>
    </row>
    <row r="46" spans="1:57" ht="15.75" customHeight="1" x14ac:dyDescent="0.25">
      <c r="A46" s="26" t="s">
        <v>1250</v>
      </c>
      <c r="C46" s="235" t="s">
        <v>322</v>
      </c>
      <c r="D46" s="235"/>
      <c r="E46" s="26" t="s">
        <v>322</v>
      </c>
      <c r="G46" s="235" t="s">
        <v>1219</v>
      </c>
      <c r="H46" s="235"/>
      <c r="I46" s="235"/>
      <c r="K46" s="235" t="s">
        <v>1219</v>
      </c>
      <c r="L46" s="235"/>
      <c r="M46" s="235"/>
      <c r="N46" s="26" t="s">
        <v>1248</v>
      </c>
      <c r="P46" s="235" t="s">
        <v>322</v>
      </c>
      <c r="Q46" s="235"/>
      <c r="AA46" s="26" t="s">
        <v>1245</v>
      </c>
      <c r="AJ46" s="235" t="s">
        <v>1224</v>
      </c>
      <c r="AK46" s="235"/>
      <c r="AL46" s="26" t="s">
        <v>1224</v>
      </c>
      <c r="AN46" s="235" t="s">
        <v>1008</v>
      </c>
      <c r="AO46" s="235"/>
      <c r="AP46" s="235"/>
      <c r="AR46" s="26" t="s">
        <v>324</v>
      </c>
      <c r="AS46" s="26" t="s">
        <v>227</v>
      </c>
      <c r="AT46" s="26" t="s">
        <v>324</v>
      </c>
      <c r="AU46" s="26" t="s">
        <v>1248</v>
      </c>
      <c r="BE46" s="26" t="s">
        <v>1246</v>
      </c>
    </row>
    <row r="47" spans="1:57" ht="15.75" customHeight="1" x14ac:dyDescent="0.25">
      <c r="A47" s="26" t="s">
        <v>1251</v>
      </c>
      <c r="C47" s="235" t="s">
        <v>322</v>
      </c>
      <c r="D47" s="235"/>
      <c r="E47" s="26" t="s">
        <v>1226</v>
      </c>
      <c r="F47" s="26" t="s">
        <v>1219</v>
      </c>
      <c r="G47" s="235" t="s">
        <v>1219</v>
      </c>
      <c r="H47" s="235"/>
      <c r="I47" s="235"/>
      <c r="J47" s="26" t="s">
        <v>1219</v>
      </c>
      <c r="K47" s="235" t="s">
        <v>1219</v>
      </c>
      <c r="L47" s="235"/>
      <c r="M47" s="235"/>
      <c r="N47" s="26" t="s">
        <v>1248</v>
      </c>
      <c r="O47" s="26" t="s">
        <v>322</v>
      </c>
      <c r="P47" s="235" t="s">
        <v>322</v>
      </c>
      <c r="Q47" s="235"/>
      <c r="AA47" s="26" t="s">
        <v>1245</v>
      </c>
      <c r="AJ47" s="235" t="s">
        <v>1224</v>
      </c>
      <c r="AK47" s="235"/>
      <c r="AL47" s="26" t="s">
        <v>1228</v>
      </c>
      <c r="AM47" s="26" t="s">
        <v>1008</v>
      </c>
      <c r="AN47" s="235" t="s">
        <v>1252</v>
      </c>
      <c r="AO47" s="235"/>
      <c r="AP47" s="235"/>
      <c r="AQ47" s="26" t="s">
        <v>1008</v>
      </c>
      <c r="AR47" s="26" t="s">
        <v>324</v>
      </c>
      <c r="AS47" s="26" t="s">
        <v>227</v>
      </c>
      <c r="AT47" s="26" t="s">
        <v>324</v>
      </c>
      <c r="AU47" s="26" t="s">
        <v>1248</v>
      </c>
      <c r="AV47" s="26" t="s">
        <v>1224</v>
      </c>
      <c r="BE47" s="26" t="s">
        <v>1246</v>
      </c>
    </row>
    <row r="48" spans="1:57" ht="15.75" customHeight="1" x14ac:dyDescent="0.25">
      <c r="A48" s="26" t="s">
        <v>1253</v>
      </c>
      <c r="C48" s="235" t="s">
        <v>1177</v>
      </c>
      <c r="D48" s="235"/>
      <c r="E48" s="26" t="s">
        <v>1177</v>
      </c>
      <c r="F48" s="26" t="s">
        <v>1177</v>
      </c>
      <c r="G48" s="235" t="s">
        <v>1177</v>
      </c>
      <c r="H48" s="235"/>
      <c r="I48" s="235"/>
      <c r="K48" s="254" t="s">
        <v>1254</v>
      </c>
      <c r="L48" s="254"/>
      <c r="M48" s="254"/>
      <c r="N48" s="194" t="s">
        <v>1255</v>
      </c>
      <c r="P48" s="235" t="s">
        <v>1221</v>
      </c>
      <c r="Q48" s="235"/>
      <c r="AA48" s="194" t="s">
        <v>220</v>
      </c>
      <c r="AJ48" s="235" t="s">
        <v>1224</v>
      </c>
      <c r="AK48" s="235"/>
      <c r="AL48" s="26" t="s">
        <v>1224</v>
      </c>
      <c r="AM48" s="26" t="s">
        <v>1224</v>
      </c>
      <c r="AN48" s="235" t="s">
        <v>1224</v>
      </c>
      <c r="AO48" s="235"/>
      <c r="AP48" s="235"/>
      <c r="AR48" s="194" t="s">
        <v>1254</v>
      </c>
      <c r="AS48" s="194" t="s">
        <v>1254</v>
      </c>
      <c r="AT48" s="194" t="s">
        <v>1254</v>
      </c>
      <c r="AU48" s="194" t="s">
        <v>1255</v>
      </c>
      <c r="BE48" s="194" t="s">
        <v>220</v>
      </c>
    </row>
    <row r="49" spans="1:57" ht="15.75" customHeight="1" x14ac:dyDescent="0.25">
      <c r="A49" s="26" t="s">
        <v>1256</v>
      </c>
      <c r="C49" s="235"/>
      <c r="D49" s="235"/>
      <c r="G49" s="255" t="s">
        <v>316</v>
      </c>
      <c r="H49" s="255"/>
      <c r="I49" s="255"/>
      <c r="K49" s="254" t="s">
        <v>283</v>
      </c>
      <c r="L49" s="254"/>
      <c r="M49" s="254"/>
      <c r="P49" s="254" t="s">
        <v>322</v>
      </c>
      <c r="Q49" s="254"/>
      <c r="AA49" s="194" t="s">
        <v>1229</v>
      </c>
      <c r="AJ49" s="235"/>
      <c r="AK49" s="235"/>
      <c r="AN49" s="255" t="s">
        <v>316</v>
      </c>
      <c r="AO49" s="255"/>
      <c r="AP49" s="255"/>
      <c r="AR49" s="194" t="s">
        <v>283</v>
      </c>
      <c r="AS49" s="194" t="s">
        <v>283</v>
      </c>
      <c r="AT49" s="194" t="s">
        <v>283</v>
      </c>
      <c r="BE49" s="194" t="s">
        <v>1229</v>
      </c>
    </row>
    <row r="50" spans="1:57" ht="15.75" customHeight="1" x14ac:dyDescent="0.25">
      <c r="A50" s="26" t="s">
        <v>1257</v>
      </c>
      <c r="C50" s="235" t="s">
        <v>1219</v>
      </c>
      <c r="D50" s="235"/>
      <c r="E50" s="26" t="s">
        <v>1258</v>
      </c>
      <c r="F50" s="196" t="s">
        <v>1259</v>
      </c>
      <c r="G50" s="235" t="s">
        <v>341</v>
      </c>
      <c r="H50" s="235"/>
      <c r="I50" s="235"/>
      <c r="J50" s="194" t="s">
        <v>1260</v>
      </c>
      <c r="K50" s="254" t="s">
        <v>1254</v>
      </c>
      <c r="L50" s="254"/>
      <c r="M50" s="254"/>
      <c r="N50" s="194" t="s">
        <v>1255</v>
      </c>
      <c r="O50" s="194" t="s">
        <v>1261</v>
      </c>
      <c r="P50" s="235" t="s">
        <v>1221</v>
      </c>
      <c r="Q50" s="235"/>
      <c r="AA50" s="26" t="s">
        <v>1219</v>
      </c>
      <c r="AJ50" s="235" t="s">
        <v>324</v>
      </c>
      <c r="AK50" s="235"/>
      <c r="AL50" s="26" t="s">
        <v>1228</v>
      </c>
      <c r="AM50" s="26" t="s">
        <v>1262</v>
      </c>
      <c r="AN50" s="235" t="s">
        <v>1224</v>
      </c>
      <c r="AO50" s="235"/>
      <c r="AP50" s="235"/>
      <c r="AQ50" s="194" t="s">
        <v>1260</v>
      </c>
      <c r="AR50" s="194" t="s">
        <v>1254</v>
      </c>
      <c r="AS50" s="194" t="s">
        <v>1254</v>
      </c>
      <c r="AT50" s="194" t="s">
        <v>1254</v>
      </c>
      <c r="AU50" s="194" t="s">
        <v>1255</v>
      </c>
      <c r="AV50" s="194" t="s">
        <v>1261</v>
      </c>
      <c r="BE50" s="26" t="s">
        <v>1229</v>
      </c>
    </row>
    <row r="51" spans="1:57" ht="15.75" customHeight="1" x14ac:dyDescent="0.25">
      <c r="A51" s="26" t="s">
        <v>1263</v>
      </c>
      <c r="C51" s="235" t="s">
        <v>1099</v>
      </c>
      <c r="D51" s="235"/>
      <c r="E51" s="26" t="s">
        <v>322</v>
      </c>
      <c r="F51" s="26" t="s">
        <v>1219</v>
      </c>
      <c r="G51" s="235" t="s">
        <v>1219</v>
      </c>
      <c r="H51" s="235"/>
      <c r="I51" s="235"/>
      <c r="J51" s="194" t="s">
        <v>1260</v>
      </c>
      <c r="K51" s="235" t="s">
        <v>1219</v>
      </c>
      <c r="L51" s="235"/>
      <c r="M51" s="235"/>
      <c r="N51" s="195" t="s">
        <v>1264</v>
      </c>
      <c r="O51" s="26" t="s">
        <v>1099</v>
      </c>
      <c r="P51" s="235" t="s">
        <v>1099</v>
      </c>
      <c r="Q51" s="235"/>
      <c r="AA51" s="194" t="s">
        <v>220</v>
      </c>
      <c r="AJ51" s="235" t="s">
        <v>1099</v>
      </c>
      <c r="AK51" s="235"/>
      <c r="AL51" s="26" t="s">
        <v>1224</v>
      </c>
      <c r="AM51" s="26" t="s">
        <v>1008</v>
      </c>
      <c r="AN51" s="235" t="s">
        <v>1008</v>
      </c>
      <c r="AO51" s="235"/>
      <c r="AP51" s="235"/>
      <c r="AQ51" s="194" t="s">
        <v>1260</v>
      </c>
      <c r="AR51" s="26" t="s">
        <v>324</v>
      </c>
      <c r="AS51" s="26" t="s">
        <v>227</v>
      </c>
      <c r="AT51" s="26" t="s">
        <v>324</v>
      </c>
      <c r="AU51" s="195" t="s">
        <v>1264</v>
      </c>
      <c r="AV51" s="26" t="s">
        <v>1099</v>
      </c>
      <c r="BE51" s="194" t="s">
        <v>220</v>
      </c>
    </row>
    <row r="52" spans="1:57" ht="15.75" customHeight="1" x14ac:dyDescent="0.25">
      <c r="A52" s="26" t="s">
        <v>1265</v>
      </c>
      <c r="C52" s="235" t="s">
        <v>1219</v>
      </c>
      <c r="D52" s="235"/>
      <c r="E52" s="26" t="s">
        <v>1219</v>
      </c>
      <c r="F52" s="26" t="s">
        <v>341</v>
      </c>
      <c r="G52" s="235" t="s">
        <v>341</v>
      </c>
      <c r="H52" s="235"/>
      <c r="I52" s="235"/>
      <c r="J52" s="194" t="s">
        <v>1260</v>
      </c>
      <c r="K52" s="235" t="s">
        <v>1219</v>
      </c>
      <c r="L52" s="235"/>
      <c r="M52" s="235"/>
      <c r="N52" s="26" t="s">
        <v>1266</v>
      </c>
      <c r="O52" s="26" t="s">
        <v>1242</v>
      </c>
      <c r="P52" s="235" t="s">
        <v>1177</v>
      </c>
      <c r="Q52" s="235"/>
      <c r="AA52" s="194" t="s">
        <v>220</v>
      </c>
      <c r="AJ52" s="235" t="s">
        <v>324</v>
      </c>
      <c r="AK52" s="235"/>
      <c r="AL52" s="26" t="s">
        <v>283</v>
      </c>
      <c r="AM52" s="26" t="s">
        <v>1224</v>
      </c>
      <c r="AN52" s="235" t="s">
        <v>1224</v>
      </c>
      <c r="AO52" s="235"/>
      <c r="AP52" s="235"/>
      <c r="AQ52" s="194" t="s">
        <v>1260</v>
      </c>
      <c r="AR52" s="26" t="s">
        <v>324</v>
      </c>
      <c r="AS52" s="26" t="s">
        <v>227</v>
      </c>
      <c r="AT52" s="26" t="s">
        <v>324</v>
      </c>
      <c r="AU52" s="26" t="s">
        <v>1266</v>
      </c>
      <c r="AV52" s="196" t="s">
        <v>1243</v>
      </c>
      <c r="BE52" s="194" t="s">
        <v>220</v>
      </c>
    </row>
  </sheetData>
  <mergeCells count="105">
    <mergeCell ref="AR40:AT40"/>
    <mergeCell ref="P37:Q37"/>
    <mergeCell ref="P38:Q38"/>
    <mergeCell ref="P39:Q39"/>
    <mergeCell ref="P40:Q40"/>
    <mergeCell ref="P41:Q41"/>
    <mergeCell ref="P42:Q42"/>
    <mergeCell ref="P43:Q43"/>
    <mergeCell ref="P44:Q44"/>
    <mergeCell ref="AN37:AP37"/>
    <mergeCell ref="AN44:AP44"/>
    <mergeCell ref="AJ37:AK37"/>
    <mergeCell ref="AJ38:AK38"/>
    <mergeCell ref="AJ39:AK39"/>
    <mergeCell ref="AJ40:AK40"/>
    <mergeCell ref="AJ41:AK41"/>
    <mergeCell ref="AJ42:AK42"/>
    <mergeCell ref="AJ43:AK43"/>
    <mergeCell ref="AJ44:AK44"/>
    <mergeCell ref="AN45:AP45"/>
    <mergeCell ref="AN46:AP46"/>
    <mergeCell ref="P49:Q49"/>
    <mergeCell ref="P50:Q50"/>
    <mergeCell ref="P51:Q51"/>
    <mergeCell ref="P52:Q52"/>
    <mergeCell ref="AN50:AP50"/>
    <mergeCell ref="AN51:AP51"/>
    <mergeCell ref="AN52:AP52"/>
    <mergeCell ref="P45:Q45"/>
    <mergeCell ref="P46:Q46"/>
    <mergeCell ref="P47:Q47"/>
    <mergeCell ref="P48:Q48"/>
    <mergeCell ref="AJ50:AK50"/>
    <mergeCell ref="AJ51:AK51"/>
    <mergeCell ref="AJ52:AK52"/>
    <mergeCell ref="AJ45:AK45"/>
    <mergeCell ref="K47:M47"/>
    <mergeCell ref="K48:M48"/>
    <mergeCell ref="K49:M49"/>
    <mergeCell ref="K50:M50"/>
    <mergeCell ref="AN47:AP47"/>
    <mergeCell ref="AN48:AP48"/>
    <mergeCell ref="AN49:AP49"/>
    <mergeCell ref="K52:M52"/>
    <mergeCell ref="N38:O38"/>
    <mergeCell ref="N40:O40"/>
    <mergeCell ref="AJ46:AK46"/>
    <mergeCell ref="AJ47:AK47"/>
    <mergeCell ref="AJ48:AK48"/>
    <mergeCell ref="AJ49:AK49"/>
    <mergeCell ref="K38:M38"/>
    <mergeCell ref="K39:M39"/>
    <mergeCell ref="K40:M40"/>
    <mergeCell ref="K41:M41"/>
    <mergeCell ref="AN38:AP38"/>
    <mergeCell ref="AN39:AP39"/>
    <mergeCell ref="AN40:AP40"/>
    <mergeCell ref="AN41:AP41"/>
    <mergeCell ref="AN42:AP42"/>
    <mergeCell ref="AN43:AP43"/>
    <mergeCell ref="K51:M51"/>
    <mergeCell ref="G52:I52"/>
    <mergeCell ref="C52:D52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G50:I50"/>
    <mergeCell ref="G51:I51"/>
    <mergeCell ref="C47:D47"/>
    <mergeCell ref="C48:D48"/>
    <mergeCell ref="C49:D49"/>
    <mergeCell ref="C50:D50"/>
    <mergeCell ref="C51:D51"/>
    <mergeCell ref="C42:D42"/>
    <mergeCell ref="B3:D3"/>
    <mergeCell ref="B4:D4"/>
    <mergeCell ref="B5:D5"/>
    <mergeCell ref="F3:O3"/>
    <mergeCell ref="F4:O5"/>
    <mergeCell ref="C43:D43"/>
    <mergeCell ref="C44:D44"/>
    <mergeCell ref="C45:D45"/>
    <mergeCell ref="C46:D46"/>
    <mergeCell ref="C37:D37"/>
    <mergeCell ref="C38:D38"/>
    <mergeCell ref="C39:D39"/>
    <mergeCell ref="C40:D40"/>
    <mergeCell ref="C41:D41"/>
    <mergeCell ref="K42:M42"/>
    <mergeCell ref="K43:M43"/>
    <mergeCell ref="K44:M44"/>
    <mergeCell ref="K45:M45"/>
    <mergeCell ref="K46:M46"/>
    <mergeCell ref="K37:M37"/>
    <mergeCell ref="C31:O31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41E37-8FA1-4FF8-BDD1-6258D2589C2E}">
  <dimension ref="A1:AJ37"/>
  <sheetViews>
    <sheetView topLeftCell="V1" workbookViewId="0">
      <selection activeCell="AJ9" sqref="AJ9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6" x14ac:dyDescent="0.25">
      <c r="A1" s="25" t="s">
        <v>116</v>
      </c>
      <c r="D1" s="25" t="s">
        <v>895</v>
      </c>
      <c r="I1" s="25" t="s">
        <v>1120</v>
      </c>
    </row>
    <row r="3" spans="1:36" ht="18" x14ac:dyDescent="0.25">
      <c r="A3" s="25" t="s">
        <v>119</v>
      </c>
      <c r="B3" s="215">
        <v>80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6" ht="18" x14ac:dyDescent="0.25">
      <c r="A4" s="25" t="s">
        <v>121</v>
      </c>
      <c r="B4" s="215" t="s">
        <v>1267</v>
      </c>
      <c r="C4" s="215"/>
      <c r="D4" s="215"/>
      <c r="F4" s="216" t="s">
        <v>1268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6" ht="18" x14ac:dyDescent="0.25">
      <c r="A5" s="25" t="s">
        <v>124</v>
      </c>
      <c r="B5" s="215" t="s">
        <v>1087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6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  <c r="AJ7" s="53" t="s">
        <v>158</v>
      </c>
    </row>
    <row r="8" spans="1:36" ht="15.75" customHeight="1" x14ac:dyDescent="0.25">
      <c r="A8" s="26" t="s">
        <v>159</v>
      </c>
      <c r="B8" s="28" t="s">
        <v>247</v>
      </c>
      <c r="C8" s="28" t="s">
        <v>1269</v>
      </c>
      <c r="D8" s="28" t="s">
        <v>1269</v>
      </c>
      <c r="E8" s="28" t="s">
        <v>1270</v>
      </c>
      <c r="F8" s="28" t="s">
        <v>1270</v>
      </c>
      <c r="G8" s="28" t="s">
        <v>248</v>
      </c>
      <c r="H8" s="28" t="s">
        <v>248</v>
      </c>
      <c r="I8" s="28" t="s">
        <v>248</v>
      </c>
      <c r="J8" s="28" t="s">
        <v>222</v>
      </c>
      <c r="K8" s="28" t="s">
        <v>1271</v>
      </c>
      <c r="L8" s="28" t="s">
        <v>1271</v>
      </c>
      <c r="M8" s="28" t="s">
        <v>1271</v>
      </c>
      <c r="N8" s="28" t="s">
        <v>1271</v>
      </c>
      <c r="O8" s="28" t="s">
        <v>1271</v>
      </c>
      <c r="P8" s="28" t="s">
        <v>1272</v>
      </c>
      <c r="Q8" s="28" t="s">
        <v>1272</v>
      </c>
      <c r="R8" s="28"/>
      <c r="S8" s="28"/>
      <c r="T8" s="28"/>
      <c r="U8" s="28"/>
      <c r="V8" s="28"/>
      <c r="W8" s="28"/>
      <c r="X8" s="28"/>
      <c r="Y8" s="28"/>
      <c r="Z8" s="28"/>
      <c r="AA8" s="28" t="s">
        <v>1273</v>
      </c>
      <c r="AB8" s="28" t="s">
        <v>1273</v>
      </c>
      <c r="AC8" s="28" t="s">
        <v>1273</v>
      </c>
      <c r="AD8" s="28" t="s">
        <v>1005</v>
      </c>
      <c r="AE8" s="28" t="s">
        <v>1005</v>
      </c>
      <c r="AF8" s="28"/>
      <c r="AG8" s="28" t="s">
        <v>194</v>
      </c>
      <c r="AH8" s="28" t="s">
        <v>194</v>
      </c>
      <c r="AJ8" s="28" t="s">
        <v>553</v>
      </c>
    </row>
    <row r="9" spans="1:36" ht="15.75" customHeight="1" x14ac:dyDescent="0.25">
      <c r="A9" s="26" t="s">
        <v>165</v>
      </c>
      <c r="B9" s="28" t="s">
        <v>254</v>
      </c>
      <c r="C9" s="113" t="s">
        <v>255</v>
      </c>
      <c r="D9" s="29" t="s">
        <v>256</v>
      </c>
      <c r="E9" s="28" t="s">
        <v>257</v>
      </c>
      <c r="F9" s="28" t="s">
        <v>258</v>
      </c>
      <c r="G9" s="28" t="s">
        <v>258</v>
      </c>
      <c r="H9" s="28" t="s">
        <v>259</v>
      </c>
      <c r="I9" s="28" t="s">
        <v>256</v>
      </c>
      <c r="J9" s="28" t="s">
        <v>258</v>
      </c>
      <c r="K9" s="28" t="s">
        <v>260</v>
      </c>
      <c r="L9" s="28" t="s">
        <v>260</v>
      </c>
      <c r="M9" s="28" t="s">
        <v>260</v>
      </c>
      <c r="N9" s="28" t="s">
        <v>260</v>
      </c>
      <c r="O9" s="28" t="s">
        <v>260</v>
      </c>
      <c r="P9" s="29" t="s">
        <v>261</v>
      </c>
      <c r="Q9" s="29" t="s">
        <v>261</v>
      </c>
      <c r="R9" s="29"/>
      <c r="S9" s="29"/>
      <c r="T9" s="29"/>
      <c r="U9" s="29"/>
      <c r="V9" s="29"/>
      <c r="W9" s="29"/>
      <c r="X9" s="29"/>
      <c r="Y9" s="29"/>
      <c r="Z9" s="29"/>
      <c r="AA9" s="28" t="s">
        <v>1274</v>
      </c>
      <c r="AB9" s="28" t="s">
        <v>1274</v>
      </c>
      <c r="AC9" s="28" t="s">
        <v>1274</v>
      </c>
      <c r="AD9" s="29" t="s">
        <v>1190</v>
      </c>
      <c r="AE9" s="29" t="s">
        <v>1190</v>
      </c>
      <c r="AF9" s="29"/>
      <c r="AG9" s="28" t="s">
        <v>196</v>
      </c>
      <c r="AH9" s="28" t="s">
        <v>196</v>
      </c>
      <c r="AJ9" s="28" t="s">
        <v>197</v>
      </c>
    </row>
    <row r="10" spans="1:36" x14ac:dyDescent="0.25">
      <c r="A10" s="131" t="s">
        <v>168</v>
      </c>
      <c r="B10" s="157">
        <v>19</v>
      </c>
      <c r="C10" s="157">
        <v>120</v>
      </c>
      <c r="D10" s="157">
        <v>50</v>
      </c>
      <c r="E10" s="157">
        <v>102</v>
      </c>
      <c r="F10" s="157">
        <v>44</v>
      </c>
      <c r="G10" s="157">
        <v>44</v>
      </c>
      <c r="H10" s="157">
        <v>46</v>
      </c>
      <c r="I10" s="157">
        <v>50</v>
      </c>
      <c r="J10" s="157">
        <v>44</v>
      </c>
      <c r="K10" s="157">
        <v>52</v>
      </c>
      <c r="L10" s="157">
        <v>52</v>
      </c>
      <c r="M10" s="157">
        <v>52</v>
      </c>
      <c r="N10" s="157">
        <v>52</v>
      </c>
      <c r="O10" s="157">
        <v>52</v>
      </c>
      <c r="P10" s="157">
        <v>48</v>
      </c>
      <c r="Q10" s="157">
        <v>48</v>
      </c>
      <c r="R10" s="157"/>
      <c r="S10" s="157"/>
      <c r="T10" s="157"/>
      <c r="U10" s="157"/>
      <c r="V10" s="157"/>
      <c r="W10" s="157"/>
      <c r="X10" s="157"/>
      <c r="Y10" s="157"/>
      <c r="Z10" s="157"/>
      <c r="AA10" s="157">
        <v>186</v>
      </c>
      <c r="AB10" s="157">
        <v>186</v>
      </c>
      <c r="AC10" s="157">
        <v>186</v>
      </c>
      <c r="AD10" s="157">
        <v>180</v>
      </c>
      <c r="AE10" s="157">
        <v>180</v>
      </c>
      <c r="AF10" s="157"/>
      <c r="AG10" s="157">
        <v>26</v>
      </c>
      <c r="AH10" s="157">
        <v>26</v>
      </c>
      <c r="AJ10" s="157">
        <v>34</v>
      </c>
    </row>
    <row r="11" spans="1:36" x14ac:dyDescent="0.25">
      <c r="A11" s="26" t="s">
        <v>169</v>
      </c>
      <c r="B11" s="29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29" t="s">
        <v>170</v>
      </c>
      <c r="H11" s="29" t="s">
        <v>170</v>
      </c>
      <c r="I11" s="29" t="s">
        <v>170</v>
      </c>
      <c r="J11" s="28" t="s">
        <v>170</v>
      </c>
      <c r="K11" s="29" t="s">
        <v>170</v>
      </c>
      <c r="L11" s="29" t="s">
        <v>170</v>
      </c>
      <c r="M11" s="29" t="s">
        <v>170</v>
      </c>
      <c r="N11" s="29" t="s">
        <v>170</v>
      </c>
      <c r="O11" s="29" t="s">
        <v>170</v>
      </c>
      <c r="P11" s="29" t="s">
        <v>170</v>
      </c>
      <c r="Q11" s="29" t="s">
        <v>170</v>
      </c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170</v>
      </c>
      <c r="AB11" s="28" t="s">
        <v>170</v>
      </c>
      <c r="AC11" s="28" t="s">
        <v>170</v>
      </c>
      <c r="AD11" s="28" t="s">
        <v>170</v>
      </c>
      <c r="AE11" s="28" t="s">
        <v>170</v>
      </c>
      <c r="AF11" s="28"/>
      <c r="AG11" s="28" t="s">
        <v>170</v>
      </c>
      <c r="AH11" s="28" t="s">
        <v>170</v>
      </c>
      <c r="AJ11" s="28" t="s">
        <v>170</v>
      </c>
    </row>
    <row r="12" spans="1:36" x14ac:dyDescent="0.25">
      <c r="A12" s="26" t="s">
        <v>171</v>
      </c>
      <c r="B12" s="28" t="s">
        <v>173</v>
      </c>
      <c r="C12" s="28" t="s">
        <v>173</v>
      </c>
      <c r="D12" s="28" t="s">
        <v>173</v>
      </c>
      <c r="E12" s="28" t="s">
        <v>173</v>
      </c>
      <c r="F12" s="28" t="s">
        <v>173</v>
      </c>
      <c r="G12" s="28" t="s">
        <v>173</v>
      </c>
      <c r="H12" s="28" t="s">
        <v>173</v>
      </c>
      <c r="I12" s="28" t="s">
        <v>173</v>
      </c>
      <c r="J12" s="28" t="s">
        <v>173</v>
      </c>
      <c r="K12" s="28" t="s">
        <v>173</v>
      </c>
      <c r="L12" s="28" t="s">
        <v>173</v>
      </c>
      <c r="M12" s="28" t="s">
        <v>173</v>
      </c>
      <c r="N12" s="28" t="s">
        <v>173</v>
      </c>
      <c r="O12" s="28" t="s">
        <v>173</v>
      </c>
      <c r="P12" s="28" t="s">
        <v>173</v>
      </c>
      <c r="Q12" s="28" t="s">
        <v>173</v>
      </c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173</v>
      </c>
      <c r="AB12" s="28" t="s">
        <v>173</v>
      </c>
      <c r="AC12" s="28" t="s">
        <v>173</v>
      </c>
      <c r="AD12" s="28" t="s">
        <v>173</v>
      </c>
      <c r="AE12" s="28" t="s">
        <v>173</v>
      </c>
      <c r="AF12" s="28"/>
      <c r="AG12" s="28" t="s">
        <v>173</v>
      </c>
      <c r="AH12" s="28" t="s">
        <v>173</v>
      </c>
      <c r="AJ12" s="28" t="s">
        <v>173</v>
      </c>
    </row>
    <row r="13" spans="1:36" x14ac:dyDescent="0.25">
      <c r="A13" s="26" t="s">
        <v>172</v>
      </c>
      <c r="B13" s="28" t="s">
        <v>173</v>
      </c>
      <c r="C13" s="28" t="s">
        <v>170</v>
      </c>
      <c r="D13" s="28" t="s">
        <v>170</v>
      </c>
      <c r="E13" s="130" t="s">
        <v>266</v>
      </c>
      <c r="F13" s="28" t="s">
        <v>173</v>
      </c>
      <c r="G13" s="28" t="s">
        <v>173</v>
      </c>
      <c r="H13" s="28" t="s">
        <v>170</v>
      </c>
      <c r="I13" s="28" t="s">
        <v>170</v>
      </c>
      <c r="J13" s="28" t="s">
        <v>173</v>
      </c>
      <c r="K13" s="28" t="s">
        <v>170</v>
      </c>
      <c r="L13" s="28" t="s">
        <v>170</v>
      </c>
      <c r="M13" s="28" t="s">
        <v>170</v>
      </c>
      <c r="N13" s="28" t="s">
        <v>170</v>
      </c>
      <c r="O13" s="28" t="s">
        <v>170</v>
      </c>
      <c r="P13" s="28" t="s">
        <v>170</v>
      </c>
      <c r="Q13" s="28" t="s">
        <v>170</v>
      </c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170</v>
      </c>
      <c r="AB13" s="28" t="s">
        <v>170</v>
      </c>
      <c r="AC13" s="28" t="s">
        <v>170</v>
      </c>
      <c r="AD13" s="28" t="s">
        <v>170</v>
      </c>
      <c r="AE13" s="28" t="s">
        <v>170</v>
      </c>
      <c r="AF13" s="28"/>
      <c r="AG13" s="28" t="s">
        <v>170</v>
      </c>
      <c r="AH13" s="28" t="s">
        <v>170</v>
      </c>
      <c r="AJ13" s="28" t="s">
        <v>170</v>
      </c>
    </row>
    <row r="14" spans="1:36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173</v>
      </c>
      <c r="AB14" s="28" t="s">
        <v>173</v>
      </c>
      <c r="AC14" s="28" t="s">
        <v>173</v>
      </c>
      <c r="AD14" s="28" t="s">
        <v>173</v>
      </c>
      <c r="AE14" s="28" t="s">
        <v>173</v>
      </c>
      <c r="AF14" s="28"/>
      <c r="AG14" s="28" t="s">
        <v>173</v>
      </c>
      <c r="AH14" s="28" t="s">
        <v>173</v>
      </c>
      <c r="AJ14" s="28" t="s">
        <v>173</v>
      </c>
    </row>
    <row r="15" spans="1:36" x14ac:dyDescent="0.25">
      <c r="A15" s="26" t="s">
        <v>175</v>
      </c>
      <c r="B15" s="28" t="s">
        <v>267</v>
      </c>
      <c r="C15" s="28" t="s">
        <v>198</v>
      </c>
      <c r="D15" s="28" t="s">
        <v>198</v>
      </c>
      <c r="E15" s="28" t="s">
        <v>198</v>
      </c>
      <c r="F15" s="28" t="s">
        <v>198</v>
      </c>
      <c r="G15" s="28" t="s">
        <v>198</v>
      </c>
      <c r="H15" s="28" t="s">
        <v>198</v>
      </c>
      <c r="I15" s="28" t="s">
        <v>198</v>
      </c>
      <c r="J15" s="28" t="s">
        <v>198</v>
      </c>
      <c r="K15" s="28" t="s">
        <v>198</v>
      </c>
      <c r="L15" s="28" t="s">
        <v>198</v>
      </c>
      <c r="M15" s="28" t="s">
        <v>198</v>
      </c>
      <c r="N15" s="28" t="s">
        <v>198</v>
      </c>
      <c r="O15" s="28" t="s">
        <v>198</v>
      </c>
      <c r="P15" s="28" t="s">
        <v>198</v>
      </c>
      <c r="Q15" s="28" t="s">
        <v>198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199</v>
      </c>
      <c r="AB15" s="28" t="s">
        <v>199</v>
      </c>
      <c r="AC15" s="28" t="s">
        <v>199</v>
      </c>
      <c r="AD15" s="28" t="s">
        <v>198</v>
      </c>
      <c r="AE15" s="28" t="s">
        <v>198</v>
      </c>
      <c r="AF15" s="28"/>
      <c r="AG15" s="28" t="s">
        <v>198</v>
      </c>
      <c r="AH15" s="28" t="s">
        <v>198</v>
      </c>
      <c r="AJ15" s="28" t="s">
        <v>199</v>
      </c>
    </row>
    <row r="16" spans="1:36" x14ac:dyDescent="0.25">
      <c r="A16" s="26" t="s">
        <v>176</v>
      </c>
      <c r="B16" s="30">
        <v>-3</v>
      </c>
      <c r="C16" s="30">
        <f>13/12</f>
        <v>1.0833333333333333</v>
      </c>
      <c r="D16" s="30">
        <v>1</v>
      </c>
      <c r="E16" s="30">
        <f>AVERAGE(2,2,1)</f>
        <v>1.6666666666666667</v>
      </c>
      <c r="F16" s="30">
        <v>2</v>
      </c>
      <c r="G16" s="30">
        <v>2</v>
      </c>
      <c r="H16" s="30">
        <f>5/3</f>
        <v>1.6666666666666667</v>
      </c>
      <c r="I16" s="30">
        <v>1</v>
      </c>
      <c r="J16" s="30">
        <v>2</v>
      </c>
      <c r="K16" s="30">
        <v>0.5</v>
      </c>
      <c r="L16" s="30">
        <v>0.5</v>
      </c>
      <c r="M16" s="30">
        <v>0.5</v>
      </c>
      <c r="N16" s="30">
        <v>0.5</v>
      </c>
      <c r="O16" s="30">
        <v>0.5</v>
      </c>
      <c r="P16" s="30">
        <f>4/3</f>
        <v>1.3333333333333333</v>
      </c>
      <c r="Q16" s="30">
        <f>4/3</f>
        <v>1.3333333333333333</v>
      </c>
      <c r="R16" s="30"/>
      <c r="S16" s="30"/>
      <c r="T16" s="30"/>
      <c r="U16" s="30"/>
      <c r="V16" s="30"/>
      <c r="W16" s="30"/>
      <c r="X16" s="30"/>
      <c r="Y16" s="30"/>
      <c r="Z16" s="30"/>
      <c r="AA16" s="30">
        <v>-0.5</v>
      </c>
      <c r="AB16" s="30">
        <v>-0.5</v>
      </c>
      <c r="AC16" s="30">
        <v>-0.5</v>
      </c>
      <c r="AD16" s="30">
        <v>1</v>
      </c>
      <c r="AE16" s="30">
        <v>1</v>
      </c>
      <c r="AF16" s="30"/>
      <c r="AG16" s="30">
        <f>4/3</f>
        <v>1.3333333333333333</v>
      </c>
      <c r="AH16" s="30">
        <f>4/3</f>
        <v>1.3333333333333333</v>
      </c>
      <c r="AJ16" s="30">
        <v>-0.5</v>
      </c>
    </row>
    <row r="17" spans="1:36" x14ac:dyDescent="0.25">
      <c r="A17" s="26" t="s">
        <v>177</v>
      </c>
      <c r="B17" s="28" t="s">
        <v>178</v>
      </c>
      <c r="C17" s="28" t="s">
        <v>181</v>
      </c>
      <c r="D17" s="28" t="s">
        <v>181</v>
      </c>
      <c r="E17" s="28" t="s">
        <v>181</v>
      </c>
      <c r="F17" s="28" t="s">
        <v>181</v>
      </c>
      <c r="G17" s="28" t="s">
        <v>181</v>
      </c>
      <c r="H17" s="28" t="s">
        <v>181</v>
      </c>
      <c r="I17" s="28" t="s">
        <v>181</v>
      </c>
      <c r="J17" s="28" t="s">
        <v>181</v>
      </c>
      <c r="K17" s="28" t="s">
        <v>181</v>
      </c>
      <c r="L17" s="28" t="s">
        <v>181</v>
      </c>
      <c r="M17" s="28" t="s">
        <v>181</v>
      </c>
      <c r="N17" s="28" t="s">
        <v>181</v>
      </c>
      <c r="O17" s="28" t="s">
        <v>181</v>
      </c>
      <c r="P17" s="28" t="s">
        <v>181</v>
      </c>
      <c r="Q17" s="28" t="s">
        <v>181</v>
      </c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1012</v>
      </c>
      <c r="AB17" s="28" t="s">
        <v>1012</v>
      </c>
      <c r="AC17" s="28" t="s">
        <v>1012</v>
      </c>
      <c r="AD17" s="28" t="s">
        <v>1012</v>
      </c>
      <c r="AE17" s="28" t="s">
        <v>1012</v>
      </c>
      <c r="AF17" s="28"/>
      <c r="AG17" s="28" t="s">
        <v>200</v>
      </c>
      <c r="AH17" s="28" t="s">
        <v>200</v>
      </c>
      <c r="AJ17" s="28" t="s">
        <v>200</v>
      </c>
    </row>
    <row r="18" spans="1:36" x14ac:dyDescent="0.25">
      <c r="A18" s="26" t="s">
        <v>182</v>
      </c>
      <c r="B18" s="30">
        <v>4</v>
      </c>
      <c r="C18" s="30">
        <v>2</v>
      </c>
      <c r="D18" s="30">
        <v>2</v>
      </c>
      <c r="E18" s="30">
        <v>2</v>
      </c>
      <c r="F18" s="30">
        <v>2</v>
      </c>
      <c r="G18" s="30">
        <v>2</v>
      </c>
      <c r="H18" s="30">
        <v>2</v>
      </c>
      <c r="I18" s="30">
        <v>2</v>
      </c>
      <c r="J18" s="30">
        <v>2</v>
      </c>
      <c r="K18" s="30">
        <v>2</v>
      </c>
      <c r="L18" s="30">
        <v>2</v>
      </c>
      <c r="M18" s="30">
        <v>2</v>
      </c>
      <c r="N18" s="30">
        <v>2</v>
      </c>
      <c r="O18" s="30">
        <v>2</v>
      </c>
      <c r="P18" s="30">
        <v>2</v>
      </c>
      <c r="Q18" s="30">
        <v>2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v>3.75</v>
      </c>
      <c r="AB18" s="30">
        <v>3.75</v>
      </c>
      <c r="AC18" s="30">
        <v>3.75</v>
      </c>
      <c r="AD18" s="30">
        <v>3.75</v>
      </c>
      <c r="AE18" s="30">
        <v>3.75</v>
      </c>
      <c r="AF18" s="30"/>
      <c r="AG18" s="30">
        <v>3</v>
      </c>
      <c r="AH18" s="30">
        <v>3</v>
      </c>
      <c r="AJ18" s="30">
        <v>3</v>
      </c>
    </row>
    <row r="20" spans="1:36" ht="15.75" customHeight="1" x14ac:dyDescent="0.25">
      <c r="A20" s="26" t="s">
        <v>159</v>
      </c>
      <c r="B20" s="28" t="s">
        <v>1126</v>
      </c>
      <c r="C20" s="80" t="s">
        <v>341</v>
      </c>
      <c r="D20" s="80" t="s">
        <v>341</v>
      </c>
      <c r="E20" s="80" t="s">
        <v>341</v>
      </c>
      <c r="F20" s="80" t="s">
        <v>341</v>
      </c>
      <c r="G20" s="80" t="s">
        <v>341</v>
      </c>
      <c r="H20" s="80" t="s">
        <v>341</v>
      </c>
      <c r="I20" s="80" t="s">
        <v>341</v>
      </c>
      <c r="J20" s="80" t="s">
        <v>341</v>
      </c>
      <c r="K20" s="80" t="s">
        <v>341</v>
      </c>
      <c r="L20" s="80" t="s">
        <v>341</v>
      </c>
      <c r="M20" s="80" t="s">
        <v>341</v>
      </c>
      <c r="N20" s="80" t="s">
        <v>341</v>
      </c>
      <c r="O20" s="80" t="s">
        <v>341</v>
      </c>
      <c r="P20" s="80" t="s">
        <v>341</v>
      </c>
      <c r="Q20" s="80" t="s">
        <v>341</v>
      </c>
      <c r="R20" s="28"/>
      <c r="S20" s="28"/>
      <c r="T20" s="28"/>
      <c r="U20" s="28"/>
      <c r="V20" s="28"/>
      <c r="W20" s="28"/>
      <c r="X20" s="28"/>
      <c r="Y20" s="28"/>
      <c r="Z20" s="28"/>
      <c r="AA20" s="80" t="s">
        <v>341</v>
      </c>
      <c r="AB20" s="80" t="s">
        <v>341</v>
      </c>
      <c r="AC20" s="80" t="s">
        <v>341</v>
      </c>
      <c r="AD20" s="80" t="s">
        <v>341</v>
      </c>
      <c r="AE20" s="80" t="s">
        <v>341</v>
      </c>
      <c r="AF20" s="28"/>
      <c r="AG20" s="80" t="s">
        <v>341</v>
      </c>
      <c r="AH20" s="80" t="s">
        <v>341</v>
      </c>
      <c r="AJ20" s="80" t="s">
        <v>341</v>
      </c>
    </row>
    <row r="21" spans="1:36" ht="15.75" customHeight="1" x14ac:dyDescent="0.25">
      <c r="A21" s="26" t="s">
        <v>165</v>
      </c>
      <c r="B21" s="28" t="s">
        <v>322</v>
      </c>
      <c r="C21" s="80" t="s">
        <v>341</v>
      </c>
      <c r="D21" s="80" t="s">
        <v>341</v>
      </c>
      <c r="E21" s="80" t="s">
        <v>341</v>
      </c>
      <c r="F21" s="80" t="s">
        <v>341</v>
      </c>
      <c r="G21" s="80" t="s">
        <v>341</v>
      </c>
      <c r="H21" s="80" t="s">
        <v>341</v>
      </c>
      <c r="I21" s="80" t="s">
        <v>341</v>
      </c>
      <c r="J21" s="80" t="s">
        <v>341</v>
      </c>
      <c r="K21" s="80" t="s">
        <v>341</v>
      </c>
      <c r="L21" s="80" t="s">
        <v>341</v>
      </c>
      <c r="M21" s="80" t="s">
        <v>341</v>
      </c>
      <c r="N21" s="80" t="s">
        <v>341</v>
      </c>
      <c r="O21" s="80" t="s">
        <v>341</v>
      </c>
      <c r="P21" s="80" t="s">
        <v>341</v>
      </c>
      <c r="Q21" s="80" t="s">
        <v>341</v>
      </c>
      <c r="R21" s="29"/>
      <c r="S21" s="29"/>
      <c r="T21" s="29"/>
      <c r="U21" s="29"/>
      <c r="V21" s="29"/>
      <c r="W21" s="29"/>
      <c r="X21" s="29"/>
      <c r="Y21" s="29"/>
      <c r="Z21" s="29"/>
      <c r="AA21" s="80" t="s">
        <v>341</v>
      </c>
      <c r="AB21" s="80" t="s">
        <v>341</v>
      </c>
      <c r="AC21" s="80" t="s">
        <v>341</v>
      </c>
      <c r="AD21" s="80" t="s">
        <v>341</v>
      </c>
      <c r="AE21" s="80" t="s">
        <v>341</v>
      </c>
      <c r="AF21" s="29"/>
      <c r="AG21" s="80" t="s">
        <v>341</v>
      </c>
      <c r="AH21" s="80" t="s">
        <v>341</v>
      </c>
      <c r="AJ21" s="80" t="s">
        <v>341</v>
      </c>
    </row>
    <row r="22" spans="1:36" x14ac:dyDescent="0.25">
      <c r="A22" s="131" t="s">
        <v>168</v>
      </c>
      <c r="B22" s="157">
        <v>98</v>
      </c>
      <c r="C22" s="198"/>
      <c r="D22" s="198"/>
      <c r="E22" s="198"/>
      <c r="F22" s="198"/>
      <c r="G22" s="198"/>
      <c r="H22" s="198"/>
      <c r="I22" s="198"/>
      <c r="J22" s="198"/>
      <c r="K22" s="198"/>
      <c r="L22" s="198"/>
      <c r="M22" s="198"/>
      <c r="N22" s="198"/>
      <c r="O22" s="198"/>
      <c r="P22" s="198"/>
      <c r="Q22" s="198"/>
      <c r="R22" s="157"/>
      <c r="S22" s="157"/>
      <c r="T22" s="157"/>
      <c r="U22" s="157"/>
      <c r="V22" s="157"/>
      <c r="W22" s="157"/>
      <c r="X22" s="157"/>
      <c r="Y22" s="157"/>
      <c r="Z22" s="157"/>
      <c r="AA22" s="198"/>
      <c r="AB22" s="198"/>
      <c r="AC22" s="198"/>
      <c r="AD22" s="198"/>
      <c r="AE22" s="198"/>
      <c r="AF22" s="157"/>
      <c r="AG22" s="198"/>
      <c r="AH22" s="198"/>
      <c r="AJ22" s="198"/>
    </row>
    <row r="23" spans="1:36" x14ac:dyDescent="0.25">
      <c r="A23" s="26" t="s">
        <v>169</v>
      </c>
      <c r="B23" s="28" t="s">
        <v>170</v>
      </c>
      <c r="C23" s="80" t="s">
        <v>173</v>
      </c>
      <c r="D23" s="80" t="s">
        <v>173</v>
      </c>
      <c r="E23" s="80" t="s">
        <v>173</v>
      </c>
      <c r="F23" s="80" t="s">
        <v>173</v>
      </c>
      <c r="G23" s="80" t="s">
        <v>173</v>
      </c>
      <c r="H23" s="80" t="s">
        <v>173</v>
      </c>
      <c r="I23" s="80" t="s">
        <v>173</v>
      </c>
      <c r="J23" s="80" t="s">
        <v>173</v>
      </c>
      <c r="K23" s="80" t="s">
        <v>173</v>
      </c>
      <c r="L23" s="80" t="s">
        <v>173</v>
      </c>
      <c r="M23" s="80" t="s">
        <v>173</v>
      </c>
      <c r="N23" s="80" t="s">
        <v>173</v>
      </c>
      <c r="O23" s="80" t="s">
        <v>173</v>
      </c>
      <c r="P23" s="80" t="s">
        <v>173</v>
      </c>
      <c r="Q23" s="80" t="s">
        <v>173</v>
      </c>
      <c r="R23" s="28"/>
      <c r="S23" s="28"/>
      <c r="T23" s="28"/>
      <c r="U23" s="28"/>
      <c r="V23" s="28"/>
      <c r="W23" s="28"/>
      <c r="X23" s="28"/>
      <c r="Y23" s="28"/>
      <c r="Z23" s="28"/>
      <c r="AA23" s="80" t="s">
        <v>173</v>
      </c>
      <c r="AB23" s="80" t="s">
        <v>173</v>
      </c>
      <c r="AC23" s="80" t="s">
        <v>173</v>
      </c>
      <c r="AD23" s="80" t="s">
        <v>173</v>
      </c>
      <c r="AE23" s="80" t="s">
        <v>173</v>
      </c>
      <c r="AF23" s="28"/>
      <c r="AG23" s="80" t="s">
        <v>173</v>
      </c>
      <c r="AH23" s="80" t="s">
        <v>173</v>
      </c>
      <c r="AJ23" s="80" t="s">
        <v>173</v>
      </c>
    </row>
    <row r="24" spans="1:36" x14ac:dyDescent="0.25">
      <c r="A24" s="26" t="s">
        <v>171</v>
      </c>
      <c r="B24" s="28" t="s">
        <v>170</v>
      </c>
      <c r="C24" s="80" t="s">
        <v>173</v>
      </c>
      <c r="D24" s="80" t="s">
        <v>173</v>
      </c>
      <c r="E24" s="80" t="s">
        <v>173</v>
      </c>
      <c r="F24" s="80" t="s">
        <v>173</v>
      </c>
      <c r="G24" s="80" t="s">
        <v>173</v>
      </c>
      <c r="H24" s="80" t="s">
        <v>173</v>
      </c>
      <c r="I24" s="80" t="s">
        <v>173</v>
      </c>
      <c r="J24" s="80" t="s">
        <v>173</v>
      </c>
      <c r="K24" s="80" t="s">
        <v>173</v>
      </c>
      <c r="L24" s="80" t="s">
        <v>173</v>
      </c>
      <c r="M24" s="80" t="s">
        <v>173</v>
      </c>
      <c r="N24" s="80" t="s">
        <v>173</v>
      </c>
      <c r="O24" s="80" t="s">
        <v>173</v>
      </c>
      <c r="P24" s="80" t="s">
        <v>173</v>
      </c>
      <c r="Q24" s="80" t="s">
        <v>173</v>
      </c>
      <c r="R24" s="28"/>
      <c r="S24" s="28"/>
      <c r="T24" s="28"/>
      <c r="U24" s="28"/>
      <c r="V24" s="28"/>
      <c r="W24" s="28"/>
      <c r="X24" s="28"/>
      <c r="Y24" s="28"/>
      <c r="Z24" s="28"/>
      <c r="AA24" s="80" t="s">
        <v>173</v>
      </c>
      <c r="AB24" s="80" t="s">
        <v>173</v>
      </c>
      <c r="AC24" s="80" t="s">
        <v>173</v>
      </c>
      <c r="AD24" s="80" t="s">
        <v>173</v>
      </c>
      <c r="AE24" s="80" t="s">
        <v>173</v>
      </c>
      <c r="AF24" s="28"/>
      <c r="AG24" s="80" t="s">
        <v>173</v>
      </c>
      <c r="AH24" s="80" t="s">
        <v>173</v>
      </c>
      <c r="AJ24" s="80" t="s">
        <v>173</v>
      </c>
    </row>
    <row r="25" spans="1:36" x14ac:dyDescent="0.25">
      <c r="A25" s="26" t="s">
        <v>172</v>
      </c>
      <c r="B25" s="28" t="s">
        <v>173</v>
      </c>
      <c r="C25" s="80" t="s">
        <v>173</v>
      </c>
      <c r="D25" s="80" t="s">
        <v>173</v>
      </c>
      <c r="E25" s="80" t="s">
        <v>173</v>
      </c>
      <c r="F25" s="80" t="s">
        <v>173</v>
      </c>
      <c r="G25" s="80" t="s">
        <v>173</v>
      </c>
      <c r="H25" s="80" t="s">
        <v>173</v>
      </c>
      <c r="I25" s="80" t="s">
        <v>173</v>
      </c>
      <c r="J25" s="80" t="s">
        <v>173</v>
      </c>
      <c r="K25" s="80" t="s">
        <v>173</v>
      </c>
      <c r="L25" s="80" t="s">
        <v>173</v>
      </c>
      <c r="M25" s="80" t="s">
        <v>173</v>
      </c>
      <c r="N25" s="80" t="s">
        <v>173</v>
      </c>
      <c r="O25" s="80" t="s">
        <v>173</v>
      </c>
      <c r="P25" s="80" t="s">
        <v>173</v>
      </c>
      <c r="Q25" s="80" t="s">
        <v>173</v>
      </c>
      <c r="R25" s="28"/>
      <c r="S25" s="28"/>
      <c r="T25" s="28"/>
      <c r="U25" s="28"/>
      <c r="V25" s="28"/>
      <c r="W25" s="28"/>
      <c r="X25" s="28"/>
      <c r="Y25" s="28"/>
      <c r="Z25" s="28"/>
      <c r="AA25" s="80" t="s">
        <v>173</v>
      </c>
      <c r="AB25" s="80" t="s">
        <v>173</v>
      </c>
      <c r="AC25" s="80" t="s">
        <v>173</v>
      </c>
      <c r="AD25" s="80" t="s">
        <v>173</v>
      </c>
      <c r="AE25" s="80" t="s">
        <v>173</v>
      </c>
      <c r="AF25" s="28"/>
      <c r="AG25" s="80" t="s">
        <v>173</v>
      </c>
      <c r="AH25" s="80" t="s">
        <v>173</v>
      </c>
      <c r="AJ25" s="80" t="s">
        <v>173</v>
      </c>
    </row>
    <row r="26" spans="1:36" x14ac:dyDescent="0.25">
      <c r="A26" s="26" t="s">
        <v>174</v>
      </c>
      <c r="B26" s="28" t="s">
        <v>173</v>
      </c>
      <c r="C26" s="80" t="s">
        <v>173</v>
      </c>
      <c r="D26" s="80" t="s">
        <v>173</v>
      </c>
      <c r="E26" s="80" t="s">
        <v>173</v>
      </c>
      <c r="F26" s="80" t="s">
        <v>173</v>
      </c>
      <c r="G26" s="80" t="s">
        <v>173</v>
      </c>
      <c r="H26" s="80" t="s">
        <v>173</v>
      </c>
      <c r="I26" s="80" t="s">
        <v>173</v>
      </c>
      <c r="J26" s="80" t="s">
        <v>173</v>
      </c>
      <c r="K26" s="80" t="s">
        <v>173</v>
      </c>
      <c r="L26" s="80" t="s">
        <v>173</v>
      </c>
      <c r="M26" s="80" t="s">
        <v>173</v>
      </c>
      <c r="N26" s="80" t="s">
        <v>173</v>
      </c>
      <c r="O26" s="80" t="s">
        <v>173</v>
      </c>
      <c r="P26" s="80" t="s">
        <v>173</v>
      </c>
      <c r="Q26" s="80" t="s">
        <v>173</v>
      </c>
      <c r="R26" s="28"/>
      <c r="S26" s="28"/>
      <c r="T26" s="28"/>
      <c r="U26" s="28"/>
      <c r="V26" s="28"/>
      <c r="W26" s="28"/>
      <c r="X26" s="28"/>
      <c r="Y26" s="28"/>
      <c r="Z26" s="28"/>
      <c r="AA26" s="80" t="s">
        <v>173</v>
      </c>
      <c r="AB26" s="80" t="s">
        <v>173</v>
      </c>
      <c r="AC26" s="80" t="s">
        <v>173</v>
      </c>
      <c r="AD26" s="80" t="s">
        <v>173</v>
      </c>
      <c r="AE26" s="80" t="s">
        <v>173</v>
      </c>
      <c r="AF26" s="28"/>
      <c r="AG26" s="80" t="s">
        <v>173</v>
      </c>
      <c r="AH26" s="80" t="s">
        <v>173</v>
      </c>
      <c r="AJ26" s="80" t="s">
        <v>173</v>
      </c>
    </row>
    <row r="27" spans="1:36" x14ac:dyDescent="0.25">
      <c r="A27" s="26" t="s">
        <v>175</v>
      </c>
      <c r="B27" s="28" t="s">
        <v>199</v>
      </c>
      <c r="C27" s="80" t="s">
        <v>199</v>
      </c>
      <c r="D27" s="80" t="s">
        <v>199</v>
      </c>
      <c r="E27" s="80" t="s">
        <v>199</v>
      </c>
      <c r="F27" s="80" t="s">
        <v>199</v>
      </c>
      <c r="G27" s="80" t="s">
        <v>199</v>
      </c>
      <c r="H27" s="80" t="s">
        <v>199</v>
      </c>
      <c r="I27" s="80" t="s">
        <v>199</v>
      </c>
      <c r="J27" s="80" t="s">
        <v>199</v>
      </c>
      <c r="K27" s="80" t="s">
        <v>199</v>
      </c>
      <c r="L27" s="80" t="s">
        <v>199</v>
      </c>
      <c r="M27" s="80" t="s">
        <v>199</v>
      </c>
      <c r="N27" s="80" t="s">
        <v>199</v>
      </c>
      <c r="O27" s="80" t="s">
        <v>199</v>
      </c>
      <c r="P27" s="80" t="s">
        <v>199</v>
      </c>
      <c r="Q27" s="80" t="s">
        <v>199</v>
      </c>
      <c r="R27" s="28"/>
      <c r="S27" s="28"/>
      <c r="T27" s="28"/>
      <c r="U27" s="28"/>
      <c r="V27" s="28"/>
      <c r="W27" s="28"/>
      <c r="X27" s="28"/>
      <c r="Y27" s="28"/>
      <c r="Z27" s="28"/>
      <c r="AA27" s="80" t="s">
        <v>199</v>
      </c>
      <c r="AB27" s="80" t="s">
        <v>199</v>
      </c>
      <c r="AC27" s="80" t="s">
        <v>199</v>
      </c>
      <c r="AD27" s="80" t="s">
        <v>199</v>
      </c>
      <c r="AE27" s="80" t="s">
        <v>199</v>
      </c>
      <c r="AF27" s="28"/>
      <c r="AG27" s="80" t="s">
        <v>199</v>
      </c>
      <c r="AH27" s="80" t="s">
        <v>199</v>
      </c>
      <c r="AJ27" s="80" t="s">
        <v>199</v>
      </c>
    </row>
    <row r="28" spans="1:36" x14ac:dyDescent="0.25">
      <c r="A28" s="26" t="s">
        <v>176</v>
      </c>
      <c r="B28" s="30">
        <v>-2</v>
      </c>
      <c r="C28" s="82">
        <v>-2</v>
      </c>
      <c r="D28" s="82">
        <v>-2</v>
      </c>
      <c r="E28" s="82">
        <v>-2</v>
      </c>
      <c r="F28" s="82">
        <v>-2</v>
      </c>
      <c r="G28" s="82">
        <v>-2</v>
      </c>
      <c r="H28" s="82">
        <v>-2</v>
      </c>
      <c r="I28" s="82">
        <v>-2</v>
      </c>
      <c r="J28" s="82">
        <v>-2</v>
      </c>
      <c r="K28" s="82">
        <v>-2</v>
      </c>
      <c r="L28" s="82">
        <v>-2</v>
      </c>
      <c r="M28" s="82">
        <v>-2</v>
      </c>
      <c r="N28" s="82">
        <v>-2</v>
      </c>
      <c r="O28" s="82">
        <v>-2</v>
      </c>
      <c r="P28" s="82">
        <v>-2</v>
      </c>
      <c r="Q28" s="82">
        <v>-2</v>
      </c>
      <c r="R28" s="30"/>
      <c r="S28" s="30"/>
      <c r="T28" s="30"/>
      <c r="U28" s="30"/>
      <c r="V28" s="30"/>
      <c r="W28" s="30"/>
      <c r="X28" s="30"/>
      <c r="Y28" s="30"/>
      <c r="Z28" s="30"/>
      <c r="AA28" s="82">
        <v>-2</v>
      </c>
      <c r="AB28" s="82">
        <v>-2</v>
      </c>
      <c r="AC28" s="82">
        <v>-2</v>
      </c>
      <c r="AD28" s="82">
        <v>-2</v>
      </c>
      <c r="AE28" s="82">
        <v>-2</v>
      </c>
      <c r="AF28" s="30"/>
      <c r="AG28" s="82">
        <v>-2</v>
      </c>
      <c r="AH28" s="82">
        <v>-2</v>
      </c>
      <c r="AJ28" s="82">
        <v>-2</v>
      </c>
    </row>
    <row r="29" spans="1:36" x14ac:dyDescent="0.25">
      <c r="A29" s="26" t="s">
        <v>177</v>
      </c>
      <c r="B29" s="28" t="s">
        <v>334</v>
      </c>
      <c r="C29" s="80" t="s">
        <v>341</v>
      </c>
      <c r="D29" s="80" t="s">
        <v>341</v>
      </c>
      <c r="E29" s="80" t="s">
        <v>341</v>
      </c>
      <c r="F29" s="80" t="s">
        <v>341</v>
      </c>
      <c r="G29" s="80" t="s">
        <v>341</v>
      </c>
      <c r="H29" s="80" t="s">
        <v>341</v>
      </c>
      <c r="I29" s="80" t="s">
        <v>341</v>
      </c>
      <c r="J29" s="80" t="s">
        <v>341</v>
      </c>
      <c r="K29" s="80" t="s">
        <v>341</v>
      </c>
      <c r="L29" s="80" t="s">
        <v>341</v>
      </c>
      <c r="M29" s="80" t="s">
        <v>341</v>
      </c>
      <c r="N29" s="80" t="s">
        <v>341</v>
      </c>
      <c r="O29" s="80" t="s">
        <v>341</v>
      </c>
      <c r="P29" s="80" t="s">
        <v>341</v>
      </c>
      <c r="Q29" s="80" t="s">
        <v>341</v>
      </c>
      <c r="R29" s="28"/>
      <c r="S29" s="28"/>
      <c r="T29" s="28"/>
      <c r="U29" s="28"/>
      <c r="V29" s="28"/>
      <c r="W29" s="28"/>
      <c r="X29" s="28"/>
      <c r="Y29" s="28"/>
      <c r="Z29" s="28"/>
      <c r="AA29" s="80" t="s">
        <v>341</v>
      </c>
      <c r="AB29" s="80" t="s">
        <v>341</v>
      </c>
      <c r="AC29" s="80" t="s">
        <v>341</v>
      </c>
      <c r="AD29" s="80" t="s">
        <v>341</v>
      </c>
      <c r="AE29" s="80" t="s">
        <v>341</v>
      </c>
      <c r="AF29" s="28"/>
      <c r="AG29" s="80" t="s">
        <v>341</v>
      </c>
      <c r="AH29" s="80" t="s">
        <v>341</v>
      </c>
      <c r="AJ29" s="80" t="s">
        <v>341</v>
      </c>
    </row>
    <row r="30" spans="1:36" x14ac:dyDescent="0.25">
      <c r="A30" s="26" t="s">
        <v>182</v>
      </c>
      <c r="B30" s="30">
        <f>1/3</f>
        <v>0.33333333333333331</v>
      </c>
      <c r="C30" s="82">
        <v>0</v>
      </c>
      <c r="D30" s="82">
        <v>0</v>
      </c>
      <c r="E30" s="82">
        <v>0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  <c r="N30" s="82">
        <v>0</v>
      </c>
      <c r="O30" s="82">
        <v>0</v>
      </c>
      <c r="P30" s="82">
        <v>0</v>
      </c>
      <c r="Q30" s="82">
        <v>0</v>
      </c>
      <c r="R30" s="30"/>
      <c r="S30" s="30"/>
      <c r="T30" s="30"/>
      <c r="U30" s="30"/>
      <c r="V30" s="30"/>
      <c r="W30" s="30"/>
      <c r="X30" s="30"/>
      <c r="Y30" s="30"/>
      <c r="Z30" s="30"/>
      <c r="AA30" s="82">
        <v>0</v>
      </c>
      <c r="AB30" s="82">
        <v>0</v>
      </c>
      <c r="AC30" s="82">
        <v>0</v>
      </c>
      <c r="AD30" s="82">
        <v>0</v>
      </c>
      <c r="AE30" s="82">
        <v>0</v>
      </c>
      <c r="AF30" s="30"/>
      <c r="AG30" s="82">
        <v>0</v>
      </c>
      <c r="AH30" s="82">
        <v>0</v>
      </c>
      <c r="AJ30" s="82">
        <v>0</v>
      </c>
    </row>
    <row r="31" spans="1:36" ht="15.75" customHeight="1" x14ac:dyDescent="0.25">
      <c r="AH31" s="78" t="s">
        <v>1275</v>
      </c>
      <c r="AJ31" s="78" t="s">
        <v>1276</v>
      </c>
    </row>
    <row r="32" spans="1:36" x14ac:dyDescent="0.25">
      <c r="A32" s="31" t="s">
        <v>183</v>
      </c>
    </row>
    <row r="33" spans="1:2" x14ac:dyDescent="0.25">
      <c r="A33" s="56" t="s">
        <v>1277</v>
      </c>
      <c r="B33" s="56" t="s">
        <v>1278</v>
      </c>
    </row>
    <row r="34" spans="1:2" x14ac:dyDescent="0.25">
      <c r="A34" s="56" t="s">
        <v>1279</v>
      </c>
      <c r="B34" s="56" t="s">
        <v>1204</v>
      </c>
    </row>
    <row r="35" spans="1:2" x14ac:dyDescent="0.25">
      <c r="B35" s="26" t="s">
        <v>1280</v>
      </c>
    </row>
    <row r="36" spans="1:2" x14ac:dyDescent="0.25">
      <c r="A36" s="56"/>
      <c r="B36" s="56"/>
    </row>
    <row r="37" spans="1:2" x14ac:dyDescent="0.25">
      <c r="B37" s="56"/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6747F-B94B-476B-AE56-75869F90A2DB}">
  <dimension ref="A1:AH33"/>
  <sheetViews>
    <sheetView workbookViewId="0">
      <selection activeCell="AC9" sqref="AC9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895</v>
      </c>
      <c r="I1" s="25" t="s">
        <v>1120</v>
      </c>
    </row>
    <row r="3" spans="1:34" ht="18" x14ac:dyDescent="0.25">
      <c r="A3" s="25" t="s">
        <v>119</v>
      </c>
      <c r="B3" s="215">
        <v>81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1267</v>
      </c>
      <c r="C4" s="215"/>
      <c r="D4" s="215"/>
      <c r="F4" s="216" t="s">
        <v>1281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1106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ht="15.75" customHeight="1" x14ac:dyDescent="0.25">
      <c r="A8" s="26" t="s">
        <v>159</v>
      </c>
      <c r="B8" s="28" t="s">
        <v>247</v>
      </c>
      <c r="C8" s="28" t="s">
        <v>1269</v>
      </c>
      <c r="D8" s="28" t="s">
        <v>1269</v>
      </c>
      <c r="E8" s="28" t="s">
        <v>1270</v>
      </c>
      <c r="F8" s="28" t="s">
        <v>1270</v>
      </c>
      <c r="G8" s="28" t="s">
        <v>248</v>
      </c>
      <c r="H8" s="28" t="s">
        <v>248</v>
      </c>
      <c r="I8" s="28" t="s">
        <v>248</v>
      </c>
      <c r="J8" s="28" t="s">
        <v>222</v>
      </c>
      <c r="K8" s="28" t="s">
        <v>1271</v>
      </c>
      <c r="L8" s="28" t="s">
        <v>1271</v>
      </c>
      <c r="M8" s="28" t="s">
        <v>1271</v>
      </c>
      <c r="N8" s="28" t="s">
        <v>1271</v>
      </c>
      <c r="O8" s="28" t="s">
        <v>1271</v>
      </c>
      <c r="P8" s="28" t="s">
        <v>1272</v>
      </c>
      <c r="Q8" s="28" t="s">
        <v>1272</v>
      </c>
      <c r="R8" s="28"/>
      <c r="S8" s="28"/>
      <c r="T8" s="28"/>
      <c r="U8" s="28"/>
      <c r="V8" s="28"/>
      <c r="W8" s="28"/>
      <c r="X8" s="28"/>
      <c r="Y8" s="28"/>
      <c r="Z8" s="28"/>
      <c r="AA8" s="28" t="s">
        <v>1273</v>
      </c>
      <c r="AB8" s="28" t="s">
        <v>1273</v>
      </c>
      <c r="AC8" s="28" t="s">
        <v>1273</v>
      </c>
      <c r="AD8" s="28" t="s">
        <v>1005</v>
      </c>
      <c r="AE8" s="28" t="s">
        <v>1005</v>
      </c>
      <c r="AF8" s="28"/>
      <c r="AG8" s="28" t="s">
        <v>193</v>
      </c>
      <c r="AH8" s="28" t="s">
        <v>194</v>
      </c>
    </row>
    <row r="9" spans="1:34" ht="15.75" customHeight="1" x14ac:dyDescent="0.25">
      <c r="A9" s="26" t="s">
        <v>165</v>
      </c>
      <c r="B9" s="28" t="s">
        <v>254</v>
      </c>
      <c r="C9" s="113" t="s">
        <v>255</v>
      </c>
      <c r="D9" s="29" t="s">
        <v>256</v>
      </c>
      <c r="E9" s="28" t="s">
        <v>257</v>
      </c>
      <c r="F9" s="28" t="s">
        <v>258</v>
      </c>
      <c r="G9" s="28" t="s">
        <v>258</v>
      </c>
      <c r="H9" s="28" t="s">
        <v>259</v>
      </c>
      <c r="I9" s="28" t="s">
        <v>256</v>
      </c>
      <c r="J9" s="28" t="s">
        <v>258</v>
      </c>
      <c r="K9" s="28" t="s">
        <v>260</v>
      </c>
      <c r="L9" s="28" t="s">
        <v>260</v>
      </c>
      <c r="M9" s="28" t="s">
        <v>260</v>
      </c>
      <c r="N9" s="28" t="s">
        <v>260</v>
      </c>
      <c r="O9" s="28" t="s">
        <v>260</v>
      </c>
      <c r="P9" s="29" t="s">
        <v>261</v>
      </c>
      <c r="Q9" s="29" t="s">
        <v>261</v>
      </c>
      <c r="R9" s="29"/>
      <c r="S9" s="29"/>
      <c r="T9" s="29"/>
      <c r="U9" s="29"/>
      <c r="V9" s="29"/>
      <c r="W9" s="29"/>
      <c r="X9" s="29"/>
      <c r="Y9" s="29"/>
      <c r="Z9" s="29"/>
      <c r="AA9" s="28" t="s">
        <v>1274</v>
      </c>
      <c r="AB9" s="28" t="s">
        <v>1274</v>
      </c>
      <c r="AC9" s="28" t="s">
        <v>1274</v>
      </c>
      <c r="AD9" s="29" t="s">
        <v>1190</v>
      </c>
      <c r="AE9" s="29" t="s">
        <v>1190</v>
      </c>
      <c r="AF9" s="29"/>
      <c r="AG9" s="28" t="s">
        <v>196</v>
      </c>
      <c r="AH9" s="28" t="s">
        <v>196</v>
      </c>
    </row>
    <row r="10" spans="1:34" x14ac:dyDescent="0.25">
      <c r="A10" s="131" t="s">
        <v>168</v>
      </c>
      <c r="B10" s="157">
        <v>19</v>
      </c>
      <c r="C10" s="157">
        <v>120</v>
      </c>
      <c r="D10" s="157">
        <v>50</v>
      </c>
      <c r="E10" s="157">
        <v>102</v>
      </c>
      <c r="F10" s="157">
        <v>44</v>
      </c>
      <c r="G10" s="157">
        <v>44</v>
      </c>
      <c r="H10" s="157">
        <v>46</v>
      </c>
      <c r="I10" s="157">
        <v>50</v>
      </c>
      <c r="J10" s="157">
        <v>44</v>
      </c>
      <c r="K10" s="157">
        <v>52</v>
      </c>
      <c r="L10" s="157">
        <v>52</v>
      </c>
      <c r="M10" s="157">
        <v>52</v>
      </c>
      <c r="N10" s="157">
        <v>52</v>
      </c>
      <c r="O10" s="157">
        <v>52</v>
      </c>
      <c r="P10" s="157">
        <v>48</v>
      </c>
      <c r="Q10" s="157">
        <v>48</v>
      </c>
      <c r="R10" s="157"/>
      <c r="S10" s="157"/>
      <c r="T10" s="157"/>
      <c r="U10" s="157"/>
      <c r="V10" s="157"/>
      <c r="W10" s="157"/>
      <c r="X10" s="157"/>
      <c r="Y10" s="157"/>
      <c r="Z10" s="157"/>
      <c r="AA10" s="157">
        <v>186</v>
      </c>
      <c r="AB10" s="157">
        <v>186</v>
      </c>
      <c r="AC10" s="157">
        <v>186</v>
      </c>
      <c r="AD10" s="157">
        <v>180</v>
      </c>
      <c r="AE10" s="157">
        <v>180</v>
      </c>
      <c r="AF10" s="157"/>
      <c r="AG10" s="157">
        <v>26</v>
      </c>
      <c r="AH10" s="157">
        <v>26</v>
      </c>
    </row>
    <row r="11" spans="1:34" x14ac:dyDescent="0.25">
      <c r="A11" s="26" t="s">
        <v>169</v>
      </c>
      <c r="B11" s="29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29" t="s">
        <v>170</v>
      </c>
      <c r="H11" s="29" t="s">
        <v>170</v>
      </c>
      <c r="I11" s="29" t="s">
        <v>170</v>
      </c>
      <c r="J11" s="28" t="s">
        <v>170</v>
      </c>
      <c r="K11" s="29" t="s">
        <v>170</v>
      </c>
      <c r="L11" s="29" t="s">
        <v>170</v>
      </c>
      <c r="M11" s="29" t="s">
        <v>170</v>
      </c>
      <c r="N11" s="29" t="s">
        <v>170</v>
      </c>
      <c r="O11" s="29" t="s">
        <v>170</v>
      </c>
      <c r="P11" s="29" t="s">
        <v>170</v>
      </c>
      <c r="Q11" s="29" t="s">
        <v>170</v>
      </c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170</v>
      </c>
      <c r="AB11" s="28" t="s">
        <v>170</v>
      </c>
      <c r="AC11" s="28" t="s">
        <v>170</v>
      </c>
      <c r="AD11" s="28" t="s">
        <v>170</v>
      </c>
      <c r="AE11" s="28" t="s">
        <v>170</v>
      </c>
      <c r="AF11" s="28"/>
      <c r="AG11" s="28" t="s">
        <v>170</v>
      </c>
      <c r="AH11" s="28" t="s">
        <v>170</v>
      </c>
    </row>
    <row r="12" spans="1:34" x14ac:dyDescent="0.25">
      <c r="A12" s="26" t="s">
        <v>171</v>
      </c>
      <c r="B12" s="28" t="s">
        <v>173</v>
      </c>
      <c r="C12" s="28" t="s">
        <v>173</v>
      </c>
      <c r="D12" s="28" t="s">
        <v>173</v>
      </c>
      <c r="E12" s="28" t="s">
        <v>173</v>
      </c>
      <c r="F12" s="28" t="s">
        <v>173</v>
      </c>
      <c r="G12" s="28" t="s">
        <v>173</v>
      </c>
      <c r="H12" s="28" t="s">
        <v>173</v>
      </c>
      <c r="I12" s="28" t="s">
        <v>173</v>
      </c>
      <c r="J12" s="28" t="s">
        <v>173</v>
      </c>
      <c r="K12" s="28" t="s">
        <v>173</v>
      </c>
      <c r="L12" s="28" t="s">
        <v>173</v>
      </c>
      <c r="M12" s="28" t="s">
        <v>173</v>
      </c>
      <c r="N12" s="28" t="s">
        <v>173</v>
      </c>
      <c r="O12" s="28" t="s">
        <v>173</v>
      </c>
      <c r="P12" s="28" t="s">
        <v>173</v>
      </c>
      <c r="Q12" s="28" t="s">
        <v>173</v>
      </c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173</v>
      </c>
      <c r="AB12" s="28" t="s">
        <v>173</v>
      </c>
      <c r="AC12" s="28" t="s">
        <v>173</v>
      </c>
      <c r="AD12" s="28" t="s">
        <v>173</v>
      </c>
      <c r="AE12" s="28" t="s">
        <v>173</v>
      </c>
      <c r="AF12" s="28"/>
      <c r="AG12" s="28" t="s">
        <v>173</v>
      </c>
      <c r="AH12" s="28" t="s">
        <v>173</v>
      </c>
    </row>
    <row r="13" spans="1:34" x14ac:dyDescent="0.25">
      <c r="A13" s="26" t="s">
        <v>172</v>
      </c>
      <c r="B13" s="28" t="s">
        <v>173</v>
      </c>
      <c r="C13" s="28" t="s">
        <v>170</v>
      </c>
      <c r="D13" s="28" t="s">
        <v>170</v>
      </c>
      <c r="E13" s="130" t="s">
        <v>266</v>
      </c>
      <c r="F13" s="28" t="s">
        <v>173</v>
      </c>
      <c r="G13" s="28" t="s">
        <v>173</v>
      </c>
      <c r="H13" s="28" t="s">
        <v>170</v>
      </c>
      <c r="I13" s="28" t="s">
        <v>170</v>
      </c>
      <c r="J13" s="28" t="s">
        <v>173</v>
      </c>
      <c r="K13" s="28" t="s">
        <v>170</v>
      </c>
      <c r="L13" s="28" t="s">
        <v>170</v>
      </c>
      <c r="M13" s="28" t="s">
        <v>170</v>
      </c>
      <c r="N13" s="28" t="s">
        <v>170</v>
      </c>
      <c r="O13" s="28" t="s">
        <v>170</v>
      </c>
      <c r="P13" s="28" t="s">
        <v>170</v>
      </c>
      <c r="Q13" s="28" t="s">
        <v>170</v>
      </c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170</v>
      </c>
      <c r="AB13" s="28" t="s">
        <v>170</v>
      </c>
      <c r="AC13" s="28" t="s">
        <v>170</v>
      </c>
      <c r="AD13" s="28" t="s">
        <v>170</v>
      </c>
      <c r="AE13" s="28" t="s">
        <v>170</v>
      </c>
      <c r="AF13" s="28"/>
      <c r="AG13" s="28" t="s">
        <v>170</v>
      </c>
      <c r="AH13" s="28" t="s">
        <v>170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173</v>
      </c>
      <c r="AB14" s="28" t="s">
        <v>173</v>
      </c>
      <c r="AC14" s="28" t="s">
        <v>173</v>
      </c>
      <c r="AD14" s="28" t="s">
        <v>173</v>
      </c>
      <c r="AE14" s="28" t="s">
        <v>173</v>
      </c>
      <c r="AF14" s="28"/>
      <c r="AG14" s="28" t="s">
        <v>173</v>
      </c>
      <c r="AH14" s="28" t="s">
        <v>173</v>
      </c>
    </row>
    <row r="15" spans="1:34" x14ac:dyDescent="0.25">
      <c r="A15" s="26" t="s">
        <v>175</v>
      </c>
      <c r="B15" s="28" t="s">
        <v>267</v>
      </c>
      <c r="C15" s="28" t="s">
        <v>198</v>
      </c>
      <c r="D15" s="28" t="s">
        <v>198</v>
      </c>
      <c r="E15" s="28" t="s">
        <v>198</v>
      </c>
      <c r="F15" s="28" t="s">
        <v>198</v>
      </c>
      <c r="G15" s="28" t="s">
        <v>198</v>
      </c>
      <c r="H15" s="28" t="s">
        <v>198</v>
      </c>
      <c r="I15" s="28" t="s">
        <v>198</v>
      </c>
      <c r="J15" s="28" t="s">
        <v>198</v>
      </c>
      <c r="K15" s="28" t="s">
        <v>198</v>
      </c>
      <c r="L15" s="28" t="s">
        <v>198</v>
      </c>
      <c r="M15" s="28" t="s">
        <v>198</v>
      </c>
      <c r="N15" s="28" t="s">
        <v>198</v>
      </c>
      <c r="O15" s="28" t="s">
        <v>198</v>
      </c>
      <c r="P15" s="28" t="s">
        <v>198</v>
      </c>
      <c r="Q15" s="28" t="s">
        <v>198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199</v>
      </c>
      <c r="AB15" s="28" t="s">
        <v>199</v>
      </c>
      <c r="AC15" s="28" t="s">
        <v>199</v>
      </c>
      <c r="AD15" s="28" t="s">
        <v>198</v>
      </c>
      <c r="AE15" s="28" t="s">
        <v>198</v>
      </c>
      <c r="AF15" s="28"/>
      <c r="AG15" s="28" t="s">
        <v>198</v>
      </c>
      <c r="AH15" s="28" t="s">
        <v>198</v>
      </c>
    </row>
    <row r="16" spans="1:34" x14ac:dyDescent="0.25">
      <c r="A16" s="26" t="s">
        <v>176</v>
      </c>
      <c r="B16" s="30">
        <v>-3</v>
      </c>
      <c r="C16" s="30">
        <f>13/12</f>
        <v>1.0833333333333333</v>
      </c>
      <c r="D16" s="30">
        <v>1</v>
      </c>
      <c r="E16" s="30">
        <f>AVERAGE(2,2,1)</f>
        <v>1.6666666666666667</v>
      </c>
      <c r="F16" s="30">
        <v>2</v>
      </c>
      <c r="G16" s="30">
        <v>2</v>
      </c>
      <c r="H16" s="30">
        <f>5/3</f>
        <v>1.6666666666666667</v>
      </c>
      <c r="I16" s="30">
        <v>1</v>
      </c>
      <c r="J16" s="30">
        <v>2</v>
      </c>
      <c r="K16" s="30">
        <v>0.5</v>
      </c>
      <c r="L16" s="30">
        <v>0.5</v>
      </c>
      <c r="M16" s="30">
        <v>0.5</v>
      </c>
      <c r="N16" s="30">
        <v>0.5</v>
      </c>
      <c r="O16" s="30">
        <v>0.5</v>
      </c>
      <c r="P16" s="30">
        <f>4/3</f>
        <v>1.3333333333333333</v>
      </c>
      <c r="Q16" s="30">
        <f>4/3</f>
        <v>1.3333333333333333</v>
      </c>
      <c r="R16" s="30"/>
      <c r="S16" s="30"/>
      <c r="T16" s="30"/>
      <c r="U16" s="30"/>
      <c r="V16" s="30"/>
      <c r="W16" s="30"/>
      <c r="X16" s="30"/>
      <c r="Y16" s="30"/>
      <c r="Z16" s="30"/>
      <c r="AA16" s="30">
        <v>-0.5</v>
      </c>
      <c r="AB16" s="30">
        <v>-0.5</v>
      </c>
      <c r="AC16" s="30">
        <v>-0.5</v>
      </c>
      <c r="AD16" s="30">
        <v>1</v>
      </c>
      <c r="AE16" s="30">
        <v>1</v>
      </c>
      <c r="AF16" s="30"/>
      <c r="AG16" s="30">
        <f>4/3</f>
        <v>1.3333333333333333</v>
      </c>
      <c r="AH16" s="30">
        <f>4/3</f>
        <v>1.3333333333333333</v>
      </c>
    </row>
    <row r="17" spans="1:34" x14ac:dyDescent="0.25">
      <c r="A17" s="26" t="s">
        <v>177</v>
      </c>
      <c r="B17" s="28" t="s">
        <v>178</v>
      </c>
      <c r="C17" s="28" t="s">
        <v>181</v>
      </c>
      <c r="D17" s="28" t="s">
        <v>181</v>
      </c>
      <c r="E17" s="28" t="s">
        <v>181</v>
      </c>
      <c r="F17" s="28" t="s">
        <v>181</v>
      </c>
      <c r="G17" s="28" t="s">
        <v>181</v>
      </c>
      <c r="H17" s="28" t="s">
        <v>181</v>
      </c>
      <c r="I17" s="28" t="s">
        <v>181</v>
      </c>
      <c r="J17" s="28" t="s">
        <v>181</v>
      </c>
      <c r="K17" s="28" t="s">
        <v>181</v>
      </c>
      <c r="L17" s="28" t="s">
        <v>181</v>
      </c>
      <c r="M17" s="28" t="s">
        <v>181</v>
      </c>
      <c r="N17" s="28" t="s">
        <v>181</v>
      </c>
      <c r="O17" s="28" t="s">
        <v>181</v>
      </c>
      <c r="P17" s="28" t="s">
        <v>181</v>
      </c>
      <c r="Q17" s="28" t="s">
        <v>181</v>
      </c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1012</v>
      </c>
      <c r="AB17" s="28" t="s">
        <v>1012</v>
      </c>
      <c r="AC17" s="28" t="s">
        <v>1012</v>
      </c>
      <c r="AD17" s="28" t="s">
        <v>1012</v>
      </c>
      <c r="AE17" s="28" t="s">
        <v>1012</v>
      </c>
      <c r="AF17" s="28"/>
      <c r="AG17" s="28" t="s">
        <v>200</v>
      </c>
      <c r="AH17" s="28" t="s">
        <v>200</v>
      </c>
    </row>
    <row r="18" spans="1:34" x14ac:dyDescent="0.25">
      <c r="A18" s="26" t="s">
        <v>182</v>
      </c>
      <c r="B18" s="30">
        <v>4</v>
      </c>
      <c r="C18" s="30">
        <v>2</v>
      </c>
      <c r="D18" s="30">
        <v>2</v>
      </c>
      <c r="E18" s="30">
        <v>2</v>
      </c>
      <c r="F18" s="30">
        <v>2</v>
      </c>
      <c r="G18" s="30">
        <v>2</v>
      </c>
      <c r="H18" s="30">
        <v>2</v>
      </c>
      <c r="I18" s="30">
        <v>2</v>
      </c>
      <c r="J18" s="30">
        <v>2</v>
      </c>
      <c r="K18" s="30">
        <v>2</v>
      </c>
      <c r="L18" s="30">
        <v>2</v>
      </c>
      <c r="M18" s="30">
        <v>2</v>
      </c>
      <c r="N18" s="30">
        <v>2</v>
      </c>
      <c r="O18" s="30">
        <v>2</v>
      </c>
      <c r="P18" s="30">
        <v>2</v>
      </c>
      <c r="Q18" s="30">
        <v>2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v>3.75</v>
      </c>
      <c r="AB18" s="30">
        <v>3.75</v>
      </c>
      <c r="AC18" s="30">
        <v>3.75</v>
      </c>
      <c r="AD18" s="30">
        <v>3.75</v>
      </c>
      <c r="AE18" s="30">
        <v>3.75</v>
      </c>
      <c r="AF18" s="30"/>
      <c r="AG18" s="30">
        <v>3</v>
      </c>
      <c r="AH18" s="30">
        <v>3</v>
      </c>
    </row>
    <row r="20" spans="1:34" ht="15.75" customHeight="1" x14ac:dyDescent="0.25">
      <c r="A20" s="26" t="s">
        <v>159</v>
      </c>
      <c r="B20" s="28" t="s">
        <v>1126</v>
      </c>
      <c r="C20" s="80" t="s">
        <v>341</v>
      </c>
      <c r="D20" s="80" t="s">
        <v>341</v>
      </c>
      <c r="E20" s="80" t="s">
        <v>341</v>
      </c>
      <c r="F20" s="80" t="s">
        <v>341</v>
      </c>
      <c r="G20" s="80" t="s">
        <v>341</v>
      </c>
      <c r="H20" s="80" t="s">
        <v>341</v>
      </c>
      <c r="I20" s="80" t="s">
        <v>341</v>
      </c>
      <c r="J20" s="80" t="s">
        <v>341</v>
      </c>
      <c r="K20" s="80" t="s">
        <v>341</v>
      </c>
      <c r="L20" s="80" t="s">
        <v>341</v>
      </c>
      <c r="M20" s="80" t="s">
        <v>341</v>
      </c>
      <c r="N20" s="80" t="s">
        <v>341</v>
      </c>
      <c r="O20" s="80" t="s">
        <v>341</v>
      </c>
      <c r="P20" s="80" t="s">
        <v>341</v>
      </c>
      <c r="Q20" s="80" t="s">
        <v>341</v>
      </c>
      <c r="R20" s="28"/>
      <c r="S20" s="28"/>
      <c r="T20" s="28"/>
      <c r="U20" s="28"/>
      <c r="V20" s="28"/>
      <c r="W20" s="28"/>
      <c r="X20" s="28"/>
      <c r="Y20" s="28"/>
      <c r="Z20" s="28"/>
      <c r="AA20" s="80" t="s">
        <v>341</v>
      </c>
      <c r="AB20" s="80" t="s">
        <v>341</v>
      </c>
      <c r="AC20" s="80" t="s">
        <v>341</v>
      </c>
      <c r="AD20" s="80" t="s">
        <v>341</v>
      </c>
      <c r="AE20" s="80" t="s">
        <v>341</v>
      </c>
      <c r="AF20" s="28"/>
      <c r="AG20" s="80" t="s">
        <v>341</v>
      </c>
      <c r="AH20" s="80" t="s">
        <v>341</v>
      </c>
    </row>
    <row r="21" spans="1:34" ht="15.75" customHeight="1" x14ac:dyDescent="0.25">
      <c r="A21" s="26" t="s">
        <v>165</v>
      </c>
      <c r="B21" s="28" t="s">
        <v>322</v>
      </c>
      <c r="C21" s="80" t="s">
        <v>341</v>
      </c>
      <c r="D21" s="80" t="s">
        <v>341</v>
      </c>
      <c r="E21" s="80" t="s">
        <v>341</v>
      </c>
      <c r="F21" s="80" t="s">
        <v>341</v>
      </c>
      <c r="G21" s="80" t="s">
        <v>341</v>
      </c>
      <c r="H21" s="80" t="s">
        <v>341</v>
      </c>
      <c r="I21" s="80" t="s">
        <v>341</v>
      </c>
      <c r="J21" s="80" t="s">
        <v>341</v>
      </c>
      <c r="K21" s="80" t="s">
        <v>341</v>
      </c>
      <c r="L21" s="80" t="s">
        <v>341</v>
      </c>
      <c r="M21" s="80" t="s">
        <v>341</v>
      </c>
      <c r="N21" s="80" t="s">
        <v>341</v>
      </c>
      <c r="O21" s="80" t="s">
        <v>341</v>
      </c>
      <c r="P21" s="80" t="s">
        <v>341</v>
      </c>
      <c r="Q21" s="80" t="s">
        <v>341</v>
      </c>
      <c r="R21" s="29"/>
      <c r="S21" s="29"/>
      <c r="T21" s="29"/>
      <c r="U21" s="29"/>
      <c r="V21" s="29"/>
      <c r="W21" s="29"/>
      <c r="X21" s="29"/>
      <c r="Y21" s="29"/>
      <c r="Z21" s="29"/>
      <c r="AA21" s="80" t="s">
        <v>341</v>
      </c>
      <c r="AB21" s="80" t="s">
        <v>341</v>
      </c>
      <c r="AC21" s="80" t="s">
        <v>341</v>
      </c>
      <c r="AD21" s="80" t="s">
        <v>341</v>
      </c>
      <c r="AE21" s="80" t="s">
        <v>341</v>
      </c>
      <c r="AF21" s="29"/>
      <c r="AG21" s="80" t="s">
        <v>341</v>
      </c>
      <c r="AH21" s="80" t="s">
        <v>341</v>
      </c>
    </row>
    <row r="22" spans="1:34" x14ac:dyDescent="0.25">
      <c r="A22" s="131" t="s">
        <v>168</v>
      </c>
      <c r="B22" s="157">
        <v>98</v>
      </c>
      <c r="C22" s="198"/>
      <c r="D22" s="198"/>
      <c r="E22" s="198"/>
      <c r="F22" s="198"/>
      <c r="G22" s="198"/>
      <c r="H22" s="198"/>
      <c r="I22" s="198"/>
      <c r="J22" s="198"/>
      <c r="K22" s="198"/>
      <c r="L22" s="198"/>
      <c r="M22" s="198"/>
      <c r="N22" s="198"/>
      <c r="O22" s="198"/>
      <c r="P22" s="198"/>
      <c r="Q22" s="198"/>
      <c r="R22" s="157"/>
      <c r="S22" s="157"/>
      <c r="T22" s="157"/>
      <c r="U22" s="157"/>
      <c r="V22" s="157"/>
      <c r="W22" s="157"/>
      <c r="X22" s="157"/>
      <c r="Y22" s="157"/>
      <c r="Z22" s="157"/>
      <c r="AA22" s="198"/>
      <c r="AB22" s="198"/>
      <c r="AC22" s="198"/>
      <c r="AD22" s="198"/>
      <c r="AE22" s="198"/>
      <c r="AF22" s="157"/>
      <c r="AG22" s="198"/>
      <c r="AH22" s="198"/>
    </row>
    <row r="23" spans="1:34" x14ac:dyDescent="0.25">
      <c r="A23" s="26" t="s">
        <v>169</v>
      </c>
      <c r="B23" s="28" t="s">
        <v>170</v>
      </c>
      <c r="C23" s="80" t="s">
        <v>173</v>
      </c>
      <c r="D23" s="80" t="s">
        <v>173</v>
      </c>
      <c r="E23" s="80" t="s">
        <v>173</v>
      </c>
      <c r="F23" s="80" t="s">
        <v>173</v>
      </c>
      <c r="G23" s="80" t="s">
        <v>173</v>
      </c>
      <c r="H23" s="80" t="s">
        <v>173</v>
      </c>
      <c r="I23" s="80" t="s">
        <v>173</v>
      </c>
      <c r="J23" s="80" t="s">
        <v>173</v>
      </c>
      <c r="K23" s="80" t="s">
        <v>173</v>
      </c>
      <c r="L23" s="80" t="s">
        <v>173</v>
      </c>
      <c r="M23" s="80" t="s">
        <v>173</v>
      </c>
      <c r="N23" s="80" t="s">
        <v>173</v>
      </c>
      <c r="O23" s="80" t="s">
        <v>173</v>
      </c>
      <c r="P23" s="80" t="s">
        <v>173</v>
      </c>
      <c r="Q23" s="80" t="s">
        <v>173</v>
      </c>
      <c r="R23" s="28"/>
      <c r="S23" s="28"/>
      <c r="T23" s="28"/>
      <c r="U23" s="28"/>
      <c r="V23" s="28"/>
      <c r="W23" s="28"/>
      <c r="X23" s="28"/>
      <c r="Y23" s="28"/>
      <c r="Z23" s="28"/>
      <c r="AA23" s="80" t="s">
        <v>173</v>
      </c>
      <c r="AB23" s="80" t="s">
        <v>173</v>
      </c>
      <c r="AC23" s="80" t="s">
        <v>173</v>
      </c>
      <c r="AD23" s="80" t="s">
        <v>173</v>
      </c>
      <c r="AE23" s="80" t="s">
        <v>173</v>
      </c>
      <c r="AF23" s="28"/>
      <c r="AG23" s="80" t="s">
        <v>173</v>
      </c>
      <c r="AH23" s="80" t="s">
        <v>173</v>
      </c>
    </row>
    <row r="24" spans="1:34" x14ac:dyDescent="0.25">
      <c r="A24" s="26" t="s">
        <v>171</v>
      </c>
      <c r="B24" s="28" t="s">
        <v>170</v>
      </c>
      <c r="C24" s="80" t="s">
        <v>173</v>
      </c>
      <c r="D24" s="80" t="s">
        <v>173</v>
      </c>
      <c r="E24" s="80" t="s">
        <v>173</v>
      </c>
      <c r="F24" s="80" t="s">
        <v>173</v>
      </c>
      <c r="G24" s="80" t="s">
        <v>173</v>
      </c>
      <c r="H24" s="80" t="s">
        <v>173</v>
      </c>
      <c r="I24" s="80" t="s">
        <v>173</v>
      </c>
      <c r="J24" s="80" t="s">
        <v>173</v>
      </c>
      <c r="K24" s="80" t="s">
        <v>173</v>
      </c>
      <c r="L24" s="80" t="s">
        <v>173</v>
      </c>
      <c r="M24" s="80" t="s">
        <v>173</v>
      </c>
      <c r="N24" s="80" t="s">
        <v>173</v>
      </c>
      <c r="O24" s="80" t="s">
        <v>173</v>
      </c>
      <c r="P24" s="80" t="s">
        <v>173</v>
      </c>
      <c r="Q24" s="80" t="s">
        <v>173</v>
      </c>
      <c r="R24" s="28"/>
      <c r="S24" s="28"/>
      <c r="T24" s="28"/>
      <c r="U24" s="28"/>
      <c r="V24" s="28"/>
      <c r="W24" s="28"/>
      <c r="X24" s="28"/>
      <c r="Y24" s="28"/>
      <c r="Z24" s="28"/>
      <c r="AA24" s="80" t="s">
        <v>173</v>
      </c>
      <c r="AB24" s="80" t="s">
        <v>173</v>
      </c>
      <c r="AC24" s="80" t="s">
        <v>173</v>
      </c>
      <c r="AD24" s="80" t="s">
        <v>173</v>
      </c>
      <c r="AE24" s="80" t="s">
        <v>173</v>
      </c>
      <c r="AF24" s="28"/>
      <c r="AG24" s="80" t="s">
        <v>173</v>
      </c>
      <c r="AH24" s="80" t="s">
        <v>173</v>
      </c>
    </row>
    <row r="25" spans="1:34" x14ac:dyDescent="0.25">
      <c r="A25" s="26" t="s">
        <v>172</v>
      </c>
      <c r="B25" s="28" t="s">
        <v>173</v>
      </c>
      <c r="C25" s="80" t="s">
        <v>173</v>
      </c>
      <c r="D25" s="80" t="s">
        <v>173</v>
      </c>
      <c r="E25" s="80" t="s">
        <v>173</v>
      </c>
      <c r="F25" s="80" t="s">
        <v>173</v>
      </c>
      <c r="G25" s="80" t="s">
        <v>173</v>
      </c>
      <c r="H25" s="80" t="s">
        <v>173</v>
      </c>
      <c r="I25" s="80" t="s">
        <v>173</v>
      </c>
      <c r="J25" s="80" t="s">
        <v>173</v>
      </c>
      <c r="K25" s="80" t="s">
        <v>173</v>
      </c>
      <c r="L25" s="80" t="s">
        <v>173</v>
      </c>
      <c r="M25" s="80" t="s">
        <v>173</v>
      </c>
      <c r="N25" s="80" t="s">
        <v>173</v>
      </c>
      <c r="O25" s="80" t="s">
        <v>173</v>
      </c>
      <c r="P25" s="80" t="s">
        <v>173</v>
      </c>
      <c r="Q25" s="80" t="s">
        <v>173</v>
      </c>
      <c r="R25" s="28"/>
      <c r="S25" s="28"/>
      <c r="T25" s="28"/>
      <c r="U25" s="28"/>
      <c r="V25" s="28"/>
      <c r="W25" s="28"/>
      <c r="X25" s="28"/>
      <c r="Y25" s="28"/>
      <c r="Z25" s="28"/>
      <c r="AA25" s="80" t="s">
        <v>173</v>
      </c>
      <c r="AB25" s="80" t="s">
        <v>173</v>
      </c>
      <c r="AC25" s="80" t="s">
        <v>173</v>
      </c>
      <c r="AD25" s="80" t="s">
        <v>173</v>
      </c>
      <c r="AE25" s="80" t="s">
        <v>173</v>
      </c>
      <c r="AF25" s="28"/>
      <c r="AG25" s="80" t="s">
        <v>173</v>
      </c>
      <c r="AH25" s="80" t="s">
        <v>173</v>
      </c>
    </row>
    <row r="26" spans="1:34" x14ac:dyDescent="0.25">
      <c r="A26" s="26" t="s">
        <v>174</v>
      </c>
      <c r="B26" s="28" t="s">
        <v>173</v>
      </c>
      <c r="C26" s="80" t="s">
        <v>173</v>
      </c>
      <c r="D26" s="80" t="s">
        <v>173</v>
      </c>
      <c r="E26" s="80" t="s">
        <v>173</v>
      </c>
      <c r="F26" s="80" t="s">
        <v>173</v>
      </c>
      <c r="G26" s="80" t="s">
        <v>173</v>
      </c>
      <c r="H26" s="80" t="s">
        <v>173</v>
      </c>
      <c r="I26" s="80" t="s">
        <v>173</v>
      </c>
      <c r="J26" s="80" t="s">
        <v>173</v>
      </c>
      <c r="K26" s="80" t="s">
        <v>173</v>
      </c>
      <c r="L26" s="80" t="s">
        <v>173</v>
      </c>
      <c r="M26" s="80" t="s">
        <v>173</v>
      </c>
      <c r="N26" s="80" t="s">
        <v>173</v>
      </c>
      <c r="O26" s="80" t="s">
        <v>173</v>
      </c>
      <c r="P26" s="80" t="s">
        <v>173</v>
      </c>
      <c r="Q26" s="80" t="s">
        <v>173</v>
      </c>
      <c r="R26" s="28"/>
      <c r="S26" s="28"/>
      <c r="T26" s="28"/>
      <c r="U26" s="28"/>
      <c r="V26" s="28"/>
      <c r="W26" s="28"/>
      <c r="X26" s="28"/>
      <c r="Y26" s="28"/>
      <c r="Z26" s="28"/>
      <c r="AA26" s="80" t="s">
        <v>173</v>
      </c>
      <c r="AB26" s="80" t="s">
        <v>173</v>
      </c>
      <c r="AC26" s="80" t="s">
        <v>173</v>
      </c>
      <c r="AD26" s="80" t="s">
        <v>173</v>
      </c>
      <c r="AE26" s="80" t="s">
        <v>173</v>
      </c>
      <c r="AF26" s="28"/>
      <c r="AG26" s="80" t="s">
        <v>173</v>
      </c>
      <c r="AH26" s="80" t="s">
        <v>173</v>
      </c>
    </row>
    <row r="27" spans="1:34" x14ac:dyDescent="0.25">
      <c r="A27" s="26" t="s">
        <v>175</v>
      </c>
      <c r="B27" s="28" t="s">
        <v>199</v>
      </c>
      <c r="C27" s="80" t="s">
        <v>199</v>
      </c>
      <c r="D27" s="80" t="s">
        <v>199</v>
      </c>
      <c r="E27" s="80" t="s">
        <v>199</v>
      </c>
      <c r="F27" s="80" t="s">
        <v>199</v>
      </c>
      <c r="G27" s="80" t="s">
        <v>199</v>
      </c>
      <c r="H27" s="80" t="s">
        <v>199</v>
      </c>
      <c r="I27" s="80" t="s">
        <v>199</v>
      </c>
      <c r="J27" s="80" t="s">
        <v>199</v>
      </c>
      <c r="K27" s="80" t="s">
        <v>199</v>
      </c>
      <c r="L27" s="80" t="s">
        <v>199</v>
      </c>
      <c r="M27" s="80" t="s">
        <v>199</v>
      </c>
      <c r="N27" s="80" t="s">
        <v>199</v>
      </c>
      <c r="O27" s="80" t="s">
        <v>199</v>
      </c>
      <c r="P27" s="80" t="s">
        <v>199</v>
      </c>
      <c r="Q27" s="80" t="s">
        <v>199</v>
      </c>
      <c r="R27" s="28"/>
      <c r="S27" s="28"/>
      <c r="T27" s="28"/>
      <c r="U27" s="28"/>
      <c r="V27" s="28"/>
      <c r="W27" s="28"/>
      <c r="X27" s="28"/>
      <c r="Y27" s="28"/>
      <c r="Z27" s="28"/>
      <c r="AA27" s="80" t="s">
        <v>199</v>
      </c>
      <c r="AB27" s="80" t="s">
        <v>199</v>
      </c>
      <c r="AC27" s="80" t="s">
        <v>199</v>
      </c>
      <c r="AD27" s="80" t="s">
        <v>199</v>
      </c>
      <c r="AE27" s="80" t="s">
        <v>199</v>
      </c>
      <c r="AF27" s="28"/>
      <c r="AG27" s="80" t="s">
        <v>199</v>
      </c>
      <c r="AH27" s="80" t="s">
        <v>199</v>
      </c>
    </row>
    <row r="28" spans="1:34" x14ac:dyDescent="0.25">
      <c r="A28" s="26" t="s">
        <v>176</v>
      </c>
      <c r="B28" s="30">
        <v>-2</v>
      </c>
      <c r="C28" s="82">
        <v>-2</v>
      </c>
      <c r="D28" s="82">
        <v>-2</v>
      </c>
      <c r="E28" s="82">
        <v>-2</v>
      </c>
      <c r="F28" s="82">
        <v>-2</v>
      </c>
      <c r="G28" s="82">
        <v>-2</v>
      </c>
      <c r="H28" s="82">
        <v>-2</v>
      </c>
      <c r="I28" s="82">
        <v>-2</v>
      </c>
      <c r="J28" s="82">
        <v>-2</v>
      </c>
      <c r="K28" s="82">
        <v>-2</v>
      </c>
      <c r="L28" s="82">
        <v>-2</v>
      </c>
      <c r="M28" s="82">
        <v>-2</v>
      </c>
      <c r="N28" s="82">
        <v>-2</v>
      </c>
      <c r="O28" s="82">
        <v>-2</v>
      </c>
      <c r="P28" s="82">
        <v>-2</v>
      </c>
      <c r="Q28" s="82">
        <v>-2</v>
      </c>
      <c r="R28" s="30"/>
      <c r="S28" s="30"/>
      <c r="T28" s="30"/>
      <c r="U28" s="30"/>
      <c r="V28" s="30"/>
      <c r="W28" s="30"/>
      <c r="X28" s="30"/>
      <c r="Y28" s="30"/>
      <c r="Z28" s="30"/>
      <c r="AA28" s="82">
        <v>-2</v>
      </c>
      <c r="AB28" s="82">
        <v>-2</v>
      </c>
      <c r="AC28" s="82">
        <v>-2</v>
      </c>
      <c r="AD28" s="82">
        <v>-2</v>
      </c>
      <c r="AE28" s="82">
        <v>-2</v>
      </c>
      <c r="AF28" s="30"/>
      <c r="AG28" s="82">
        <v>-2</v>
      </c>
      <c r="AH28" s="82">
        <v>-2</v>
      </c>
    </row>
    <row r="29" spans="1:34" x14ac:dyDescent="0.25">
      <c r="A29" s="26" t="s">
        <v>177</v>
      </c>
      <c r="B29" s="28" t="s">
        <v>334</v>
      </c>
      <c r="C29" s="80" t="s">
        <v>341</v>
      </c>
      <c r="D29" s="80" t="s">
        <v>341</v>
      </c>
      <c r="E29" s="80" t="s">
        <v>341</v>
      </c>
      <c r="F29" s="80" t="s">
        <v>341</v>
      </c>
      <c r="G29" s="80" t="s">
        <v>341</v>
      </c>
      <c r="H29" s="80" t="s">
        <v>341</v>
      </c>
      <c r="I29" s="80" t="s">
        <v>341</v>
      </c>
      <c r="J29" s="80" t="s">
        <v>341</v>
      </c>
      <c r="K29" s="80" t="s">
        <v>341</v>
      </c>
      <c r="L29" s="80" t="s">
        <v>341</v>
      </c>
      <c r="M29" s="80" t="s">
        <v>341</v>
      </c>
      <c r="N29" s="80" t="s">
        <v>341</v>
      </c>
      <c r="O29" s="80" t="s">
        <v>341</v>
      </c>
      <c r="P29" s="80" t="s">
        <v>341</v>
      </c>
      <c r="Q29" s="80" t="s">
        <v>341</v>
      </c>
      <c r="R29" s="28"/>
      <c r="S29" s="28"/>
      <c r="T29" s="28"/>
      <c r="U29" s="28"/>
      <c r="V29" s="28"/>
      <c r="W29" s="28"/>
      <c r="X29" s="28"/>
      <c r="Y29" s="28"/>
      <c r="Z29" s="28"/>
      <c r="AA29" s="80" t="s">
        <v>341</v>
      </c>
      <c r="AB29" s="80" t="s">
        <v>341</v>
      </c>
      <c r="AC29" s="80" t="s">
        <v>341</v>
      </c>
      <c r="AD29" s="80" t="s">
        <v>341</v>
      </c>
      <c r="AE29" s="80" t="s">
        <v>341</v>
      </c>
      <c r="AF29" s="28"/>
      <c r="AG29" s="80" t="s">
        <v>341</v>
      </c>
      <c r="AH29" s="80" t="s">
        <v>341</v>
      </c>
    </row>
    <row r="30" spans="1:34" x14ac:dyDescent="0.25">
      <c r="A30" s="26" t="s">
        <v>182</v>
      </c>
      <c r="B30" s="30">
        <f>1/3</f>
        <v>0.33333333333333331</v>
      </c>
      <c r="C30" s="82">
        <v>0</v>
      </c>
      <c r="D30" s="82">
        <v>0</v>
      </c>
      <c r="E30" s="82">
        <v>0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  <c r="N30" s="82">
        <v>0</v>
      </c>
      <c r="O30" s="82">
        <v>0</v>
      </c>
      <c r="P30" s="82">
        <v>0</v>
      </c>
      <c r="Q30" s="82">
        <v>0</v>
      </c>
      <c r="R30" s="30"/>
      <c r="S30" s="30"/>
      <c r="T30" s="30"/>
      <c r="U30" s="30"/>
      <c r="V30" s="30"/>
      <c r="W30" s="30"/>
      <c r="X30" s="30"/>
      <c r="Y30" s="30"/>
      <c r="Z30" s="30"/>
      <c r="AA30" s="82">
        <v>0</v>
      </c>
      <c r="AB30" s="82">
        <v>0</v>
      </c>
      <c r="AC30" s="82">
        <v>0</v>
      </c>
      <c r="AD30" s="82">
        <v>0</v>
      </c>
      <c r="AE30" s="82">
        <v>0</v>
      </c>
      <c r="AF30" s="30"/>
      <c r="AG30" s="82">
        <v>0</v>
      </c>
      <c r="AH30" s="82">
        <v>0</v>
      </c>
    </row>
    <row r="32" spans="1:34" x14ac:dyDescent="0.25">
      <c r="A32" s="31" t="s">
        <v>183</v>
      </c>
    </row>
    <row r="33" spans="1:2" x14ac:dyDescent="0.25">
      <c r="A33" s="26" t="s">
        <v>1282</v>
      </c>
      <c r="B33" s="56"/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FAFEF-76A6-470D-8DEF-816784CA7765}">
  <dimension ref="A1:BI48"/>
  <sheetViews>
    <sheetView topLeftCell="A5" workbookViewId="0">
      <selection activeCell="C22" sqref="C22"/>
    </sheetView>
  </sheetViews>
  <sheetFormatPr defaultColWidth="9.140625" defaultRowHeight="15" x14ac:dyDescent="0.25"/>
  <cols>
    <col min="1" max="1" width="23.28515625" style="26" bestFit="1" customWidth="1"/>
    <col min="2" max="62" width="5.7109375" style="26" customWidth="1"/>
    <col min="63" max="16384" width="9.140625" style="26"/>
  </cols>
  <sheetData>
    <row r="1" spans="1:61" x14ac:dyDescent="0.25">
      <c r="A1" s="25" t="s">
        <v>116</v>
      </c>
      <c r="D1" s="25" t="s">
        <v>895</v>
      </c>
      <c r="I1" s="25" t="s">
        <v>1120</v>
      </c>
    </row>
    <row r="3" spans="1:61" ht="18" x14ac:dyDescent="0.25">
      <c r="A3" s="25" t="s">
        <v>119</v>
      </c>
      <c r="B3" s="215">
        <v>82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61" ht="18" x14ac:dyDescent="0.25">
      <c r="A4" s="25" t="s">
        <v>121</v>
      </c>
      <c r="B4" s="215" t="s">
        <v>1283</v>
      </c>
      <c r="C4" s="215"/>
      <c r="D4" s="215"/>
      <c r="F4" s="216" t="s">
        <v>1284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61" ht="18" x14ac:dyDescent="0.25">
      <c r="A5" s="25" t="s">
        <v>124</v>
      </c>
      <c r="B5" s="215" t="s">
        <v>899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61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72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76" t="s">
        <v>158</v>
      </c>
      <c r="AJ7" s="58" t="s">
        <v>127</v>
      </c>
      <c r="AK7" s="58" t="s">
        <v>128</v>
      </c>
      <c r="AL7" s="59" t="s">
        <v>129</v>
      </c>
      <c r="AM7" s="60" t="s">
        <v>130</v>
      </c>
      <c r="AN7" s="61" t="s">
        <v>131</v>
      </c>
      <c r="AO7" s="61" t="s">
        <v>132</v>
      </c>
      <c r="AP7" s="62" t="s">
        <v>133</v>
      </c>
      <c r="AQ7" s="63" t="s">
        <v>134</v>
      </c>
      <c r="AR7" s="64" t="s">
        <v>135</v>
      </c>
      <c r="AS7" s="64" t="s">
        <v>136</v>
      </c>
      <c r="AT7" s="64" t="s">
        <v>137</v>
      </c>
      <c r="AU7" s="65" t="s">
        <v>138</v>
      </c>
      <c r="AV7" s="65" t="s">
        <v>139</v>
      </c>
      <c r="AW7" s="68" t="s">
        <v>143</v>
      </c>
      <c r="AX7" s="69" t="s">
        <v>144</v>
      </c>
      <c r="AY7" s="69" t="s">
        <v>145</v>
      </c>
      <c r="AZ7" s="70" t="s">
        <v>146</v>
      </c>
      <c r="BA7" s="70" t="s">
        <v>147</v>
      </c>
      <c r="BB7" s="71" t="s">
        <v>148</v>
      </c>
      <c r="BC7" s="71" t="s">
        <v>149</v>
      </c>
      <c r="BD7" s="72" t="s">
        <v>150</v>
      </c>
      <c r="BE7" s="72" t="s">
        <v>151</v>
      </c>
      <c r="BF7" s="73" t="s">
        <v>152</v>
      </c>
      <c r="BG7" s="73" t="s">
        <v>153</v>
      </c>
      <c r="BH7" s="73" t="s">
        <v>154</v>
      </c>
      <c r="BI7" s="75" t="s">
        <v>156</v>
      </c>
    </row>
    <row r="8" spans="1:61" x14ac:dyDescent="0.25">
      <c r="A8" s="26" t="s">
        <v>159</v>
      </c>
      <c r="B8" s="28" t="s">
        <v>315</v>
      </c>
      <c r="C8" s="80" t="s">
        <v>341</v>
      </c>
      <c r="D8" s="80" t="s">
        <v>341</v>
      </c>
      <c r="E8" s="80" t="s">
        <v>341</v>
      </c>
      <c r="F8" s="80" t="s">
        <v>341</v>
      </c>
      <c r="G8" s="80" t="s">
        <v>341</v>
      </c>
      <c r="H8" s="80" t="s">
        <v>341</v>
      </c>
      <c r="I8" s="80" t="s">
        <v>341</v>
      </c>
      <c r="J8" s="80" t="s">
        <v>341</v>
      </c>
      <c r="K8" s="80" t="s">
        <v>341</v>
      </c>
      <c r="L8" s="80" t="s">
        <v>341</v>
      </c>
      <c r="M8" s="80" t="s">
        <v>341</v>
      </c>
      <c r="N8" s="80" t="s">
        <v>341</v>
      </c>
      <c r="O8" s="80" t="s">
        <v>341</v>
      </c>
      <c r="P8" s="80" t="s">
        <v>341</v>
      </c>
      <c r="Q8" s="80" t="s">
        <v>341</v>
      </c>
      <c r="R8" s="28"/>
      <c r="S8" s="28"/>
      <c r="T8" s="28"/>
      <c r="U8" s="28"/>
      <c r="V8" s="28"/>
      <c r="W8" s="28"/>
      <c r="X8" s="28"/>
      <c r="Y8" s="28"/>
      <c r="Z8" s="28"/>
      <c r="AA8" s="28" t="s">
        <v>1005</v>
      </c>
      <c r="AB8" s="28"/>
      <c r="AC8" s="28"/>
      <c r="AD8" s="28"/>
      <c r="AE8" s="28"/>
      <c r="AF8" s="28"/>
      <c r="AG8" s="28"/>
      <c r="AH8" s="80" t="s">
        <v>341</v>
      </c>
      <c r="AJ8" s="80" t="s">
        <v>341</v>
      </c>
      <c r="AK8" s="80" t="s">
        <v>341</v>
      </c>
      <c r="AL8" s="80" t="s">
        <v>341</v>
      </c>
      <c r="AM8" s="80" t="s">
        <v>341</v>
      </c>
      <c r="AN8" s="80" t="s">
        <v>341</v>
      </c>
      <c r="AO8" s="80" t="s">
        <v>341</v>
      </c>
      <c r="AP8" s="80" t="s">
        <v>341</v>
      </c>
      <c r="AQ8" s="80" t="s">
        <v>341</v>
      </c>
      <c r="AR8" s="80" t="s">
        <v>341</v>
      </c>
      <c r="AS8" s="80" t="s">
        <v>341</v>
      </c>
      <c r="AT8" s="80" t="s">
        <v>341</v>
      </c>
      <c r="AU8" s="80" t="s">
        <v>341</v>
      </c>
      <c r="AV8" s="80" t="s">
        <v>341</v>
      </c>
      <c r="AW8" s="28"/>
      <c r="AX8" s="28"/>
      <c r="AY8" s="28"/>
      <c r="AZ8" s="28"/>
      <c r="BA8" s="28"/>
      <c r="BB8" s="28"/>
      <c r="BC8" s="28"/>
      <c r="BD8" s="28"/>
      <c r="BE8" s="80" t="s">
        <v>341</v>
      </c>
      <c r="BF8" s="28"/>
      <c r="BG8" s="28"/>
      <c r="BH8" s="28"/>
      <c r="BI8" s="28"/>
    </row>
    <row r="9" spans="1:61" x14ac:dyDescent="0.25">
      <c r="A9" s="26" t="s">
        <v>165</v>
      </c>
      <c r="B9" s="28" t="s">
        <v>303</v>
      </c>
      <c r="C9" s="80" t="s">
        <v>341</v>
      </c>
      <c r="D9" s="80" t="s">
        <v>341</v>
      </c>
      <c r="E9" s="80" t="s">
        <v>341</v>
      </c>
      <c r="F9" s="80" t="s">
        <v>341</v>
      </c>
      <c r="G9" s="80" t="s">
        <v>341</v>
      </c>
      <c r="H9" s="80" t="s">
        <v>341</v>
      </c>
      <c r="I9" s="80" t="s">
        <v>341</v>
      </c>
      <c r="J9" s="80" t="s">
        <v>341</v>
      </c>
      <c r="K9" s="80" t="s">
        <v>341</v>
      </c>
      <c r="L9" s="80" t="s">
        <v>341</v>
      </c>
      <c r="M9" s="80" t="s">
        <v>341</v>
      </c>
      <c r="N9" s="80" t="s">
        <v>341</v>
      </c>
      <c r="O9" s="80" t="s">
        <v>341</v>
      </c>
      <c r="P9" s="80" t="s">
        <v>341</v>
      </c>
      <c r="Q9" s="80" t="s">
        <v>341</v>
      </c>
      <c r="R9" s="29"/>
      <c r="S9" s="29"/>
      <c r="T9" s="29"/>
      <c r="U9" s="29"/>
      <c r="V9" s="29"/>
      <c r="W9" s="29"/>
      <c r="X9" s="29"/>
      <c r="Y9" s="29"/>
      <c r="Z9" s="29"/>
      <c r="AA9" s="113" t="s">
        <v>1116</v>
      </c>
      <c r="AB9" s="29"/>
      <c r="AC9" s="29"/>
      <c r="AD9" s="29"/>
      <c r="AE9" s="29"/>
      <c r="AF9" s="29"/>
      <c r="AG9" s="29"/>
      <c r="AH9" s="80" t="s">
        <v>341</v>
      </c>
      <c r="AJ9" s="80" t="s">
        <v>341</v>
      </c>
      <c r="AK9" s="80" t="s">
        <v>341</v>
      </c>
      <c r="AL9" s="80" t="s">
        <v>341</v>
      </c>
      <c r="AM9" s="80" t="s">
        <v>341</v>
      </c>
      <c r="AN9" s="80" t="s">
        <v>341</v>
      </c>
      <c r="AO9" s="80" t="s">
        <v>341</v>
      </c>
      <c r="AP9" s="80" t="s">
        <v>341</v>
      </c>
      <c r="AQ9" s="80" t="s">
        <v>341</v>
      </c>
      <c r="AR9" s="80" t="s">
        <v>341</v>
      </c>
      <c r="AS9" s="80" t="s">
        <v>341</v>
      </c>
      <c r="AT9" s="80" t="s">
        <v>341</v>
      </c>
      <c r="AU9" s="80" t="s">
        <v>341</v>
      </c>
      <c r="AV9" s="80" t="s">
        <v>341</v>
      </c>
      <c r="AW9" s="28"/>
      <c r="AX9" s="28"/>
      <c r="AY9" s="28"/>
      <c r="AZ9" s="28"/>
      <c r="BA9" s="28"/>
      <c r="BB9" s="28"/>
      <c r="BC9" s="28"/>
      <c r="BD9" s="28"/>
      <c r="BE9" s="80" t="s">
        <v>341</v>
      </c>
      <c r="BF9" s="28"/>
      <c r="BG9" s="28"/>
      <c r="BH9" s="28"/>
      <c r="BI9" s="28"/>
    </row>
    <row r="10" spans="1:61" x14ac:dyDescent="0.25">
      <c r="A10" s="131" t="s">
        <v>168</v>
      </c>
      <c r="B10" s="157">
        <v>20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57"/>
      <c r="S10" s="157"/>
      <c r="T10" s="157"/>
      <c r="U10" s="157"/>
      <c r="V10" s="157"/>
      <c r="W10" s="157"/>
      <c r="X10" s="157"/>
      <c r="Y10" s="157"/>
      <c r="Z10" s="157"/>
      <c r="AA10" s="157">
        <v>181</v>
      </c>
      <c r="AB10" s="157"/>
      <c r="AC10" s="157"/>
      <c r="AD10" s="157"/>
      <c r="AE10" s="157"/>
      <c r="AF10" s="157"/>
      <c r="AG10" s="157"/>
      <c r="AH10" s="198"/>
      <c r="AJ10" s="198"/>
      <c r="AK10" s="198"/>
      <c r="AL10" s="198"/>
      <c r="AM10" s="198"/>
      <c r="AN10" s="198"/>
      <c r="AO10" s="198"/>
      <c r="AP10" s="198"/>
      <c r="AQ10" s="198"/>
      <c r="AR10" s="198"/>
      <c r="AS10" s="198"/>
      <c r="AT10" s="198"/>
      <c r="AU10" s="198"/>
      <c r="AV10" s="198"/>
      <c r="AW10" s="157"/>
      <c r="AX10" s="157"/>
      <c r="AY10" s="157"/>
      <c r="AZ10" s="157"/>
      <c r="BA10" s="157"/>
      <c r="BB10" s="157"/>
      <c r="BC10" s="157"/>
      <c r="BD10" s="157"/>
      <c r="BE10" s="198"/>
      <c r="BF10" s="157"/>
      <c r="BG10" s="157"/>
      <c r="BH10" s="157"/>
      <c r="BI10" s="157"/>
    </row>
    <row r="11" spans="1:61" x14ac:dyDescent="0.25">
      <c r="A11" s="26" t="s">
        <v>169</v>
      </c>
      <c r="B11" s="29" t="s">
        <v>170</v>
      </c>
      <c r="C11" s="80" t="s">
        <v>173</v>
      </c>
      <c r="D11" s="80" t="s">
        <v>173</v>
      </c>
      <c r="E11" s="80" t="s">
        <v>173</v>
      </c>
      <c r="F11" s="80" t="s">
        <v>173</v>
      </c>
      <c r="G11" s="80" t="s">
        <v>173</v>
      </c>
      <c r="H11" s="80" t="s">
        <v>173</v>
      </c>
      <c r="I11" s="80" t="s">
        <v>173</v>
      </c>
      <c r="J11" s="80" t="s">
        <v>173</v>
      </c>
      <c r="K11" s="80" t="s">
        <v>173</v>
      </c>
      <c r="L11" s="80" t="s">
        <v>173</v>
      </c>
      <c r="M11" s="80" t="s">
        <v>173</v>
      </c>
      <c r="N11" s="80" t="s">
        <v>173</v>
      </c>
      <c r="O11" s="80" t="s">
        <v>173</v>
      </c>
      <c r="P11" s="80" t="s">
        <v>173</v>
      </c>
      <c r="Q11" s="80" t="s">
        <v>173</v>
      </c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170</v>
      </c>
      <c r="AB11" s="28"/>
      <c r="AC11" s="29"/>
      <c r="AD11" s="28"/>
      <c r="AE11" s="29"/>
      <c r="AF11" s="28"/>
      <c r="AG11" s="28"/>
      <c r="AH11" s="80" t="s">
        <v>173</v>
      </c>
      <c r="AJ11" s="80" t="s">
        <v>173</v>
      </c>
      <c r="AK11" s="80" t="s">
        <v>173</v>
      </c>
      <c r="AL11" s="80" t="s">
        <v>173</v>
      </c>
      <c r="AM11" s="80" t="s">
        <v>173</v>
      </c>
      <c r="AN11" s="80" t="s">
        <v>173</v>
      </c>
      <c r="AO11" s="80" t="s">
        <v>173</v>
      </c>
      <c r="AP11" s="80" t="s">
        <v>173</v>
      </c>
      <c r="AQ11" s="80" t="s">
        <v>173</v>
      </c>
      <c r="AR11" s="80" t="s">
        <v>173</v>
      </c>
      <c r="AS11" s="80" t="s">
        <v>173</v>
      </c>
      <c r="AT11" s="80" t="s">
        <v>173</v>
      </c>
      <c r="AU11" s="80" t="s">
        <v>173</v>
      </c>
      <c r="AV11" s="80" t="s">
        <v>173</v>
      </c>
      <c r="AW11" s="28"/>
      <c r="AX11" s="28"/>
      <c r="AY11" s="28"/>
      <c r="AZ11" s="28"/>
      <c r="BA11" s="28"/>
      <c r="BB11" s="28"/>
      <c r="BC11" s="28"/>
      <c r="BD11" s="28"/>
      <c r="BE11" s="80" t="s">
        <v>173</v>
      </c>
      <c r="BF11" s="28"/>
      <c r="BG11" s="28"/>
      <c r="BH11" s="28"/>
      <c r="BI11" s="28"/>
    </row>
    <row r="12" spans="1:61" x14ac:dyDescent="0.25">
      <c r="A12" s="26" t="s">
        <v>171</v>
      </c>
      <c r="B12" s="29" t="s">
        <v>170</v>
      </c>
      <c r="C12" s="80" t="s">
        <v>173</v>
      </c>
      <c r="D12" s="80" t="s">
        <v>173</v>
      </c>
      <c r="E12" s="80" t="s">
        <v>173</v>
      </c>
      <c r="F12" s="80" t="s">
        <v>173</v>
      </c>
      <c r="G12" s="80" t="s">
        <v>173</v>
      </c>
      <c r="H12" s="80" t="s">
        <v>173</v>
      </c>
      <c r="I12" s="80" t="s">
        <v>173</v>
      </c>
      <c r="J12" s="80" t="s">
        <v>173</v>
      </c>
      <c r="K12" s="80" t="s">
        <v>173</v>
      </c>
      <c r="L12" s="80" t="s">
        <v>173</v>
      </c>
      <c r="M12" s="80" t="s">
        <v>173</v>
      </c>
      <c r="N12" s="80" t="s">
        <v>173</v>
      </c>
      <c r="O12" s="80" t="s">
        <v>173</v>
      </c>
      <c r="P12" s="80" t="s">
        <v>173</v>
      </c>
      <c r="Q12" s="80" t="s">
        <v>173</v>
      </c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170</v>
      </c>
      <c r="AB12" s="28"/>
      <c r="AC12" s="28"/>
      <c r="AD12" s="28"/>
      <c r="AE12" s="28"/>
      <c r="AF12" s="28"/>
      <c r="AG12" s="28"/>
      <c r="AH12" s="80" t="s">
        <v>173</v>
      </c>
      <c r="AJ12" s="80" t="s">
        <v>173</v>
      </c>
      <c r="AK12" s="80" t="s">
        <v>173</v>
      </c>
      <c r="AL12" s="80" t="s">
        <v>173</v>
      </c>
      <c r="AM12" s="80" t="s">
        <v>173</v>
      </c>
      <c r="AN12" s="80" t="s">
        <v>173</v>
      </c>
      <c r="AO12" s="80" t="s">
        <v>173</v>
      </c>
      <c r="AP12" s="80" t="s">
        <v>173</v>
      </c>
      <c r="AQ12" s="80" t="s">
        <v>173</v>
      </c>
      <c r="AR12" s="80" t="s">
        <v>173</v>
      </c>
      <c r="AS12" s="80" t="s">
        <v>173</v>
      </c>
      <c r="AT12" s="80" t="s">
        <v>173</v>
      </c>
      <c r="AU12" s="80" t="s">
        <v>173</v>
      </c>
      <c r="AV12" s="80" t="s">
        <v>173</v>
      </c>
      <c r="AW12" s="28"/>
      <c r="AX12" s="28"/>
      <c r="AY12" s="28"/>
      <c r="AZ12" s="28"/>
      <c r="BA12" s="28"/>
      <c r="BB12" s="28"/>
      <c r="BC12" s="28"/>
      <c r="BD12" s="28"/>
      <c r="BE12" s="80" t="s">
        <v>173</v>
      </c>
      <c r="BF12" s="28"/>
      <c r="BG12" s="28"/>
      <c r="BH12" s="28"/>
      <c r="BI12" s="28"/>
    </row>
    <row r="13" spans="1:61" x14ac:dyDescent="0.25">
      <c r="A13" s="26" t="s">
        <v>172</v>
      </c>
      <c r="B13" s="28" t="s">
        <v>173</v>
      </c>
      <c r="C13" s="80" t="s">
        <v>173</v>
      </c>
      <c r="D13" s="80" t="s">
        <v>173</v>
      </c>
      <c r="E13" s="80" t="s">
        <v>173</v>
      </c>
      <c r="F13" s="80" t="s">
        <v>173</v>
      </c>
      <c r="G13" s="80" t="s">
        <v>173</v>
      </c>
      <c r="H13" s="80" t="s">
        <v>173</v>
      </c>
      <c r="I13" s="80" t="s">
        <v>173</v>
      </c>
      <c r="J13" s="80" t="s">
        <v>173</v>
      </c>
      <c r="K13" s="80" t="s">
        <v>173</v>
      </c>
      <c r="L13" s="80" t="s">
        <v>173</v>
      </c>
      <c r="M13" s="80" t="s">
        <v>173</v>
      </c>
      <c r="N13" s="80" t="s">
        <v>173</v>
      </c>
      <c r="O13" s="80" t="s">
        <v>173</v>
      </c>
      <c r="P13" s="80" t="s">
        <v>173</v>
      </c>
      <c r="Q13" s="80" t="s">
        <v>173</v>
      </c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170</v>
      </c>
      <c r="AB13" s="28"/>
      <c r="AC13" s="28"/>
      <c r="AD13" s="28"/>
      <c r="AE13" s="28"/>
      <c r="AF13" s="28"/>
      <c r="AG13" s="28"/>
      <c r="AH13" s="80" t="s">
        <v>173</v>
      </c>
      <c r="AJ13" s="80" t="s">
        <v>173</v>
      </c>
      <c r="AK13" s="80" t="s">
        <v>173</v>
      </c>
      <c r="AL13" s="80" t="s">
        <v>173</v>
      </c>
      <c r="AM13" s="80" t="s">
        <v>173</v>
      </c>
      <c r="AN13" s="80" t="s">
        <v>173</v>
      </c>
      <c r="AO13" s="80" t="s">
        <v>173</v>
      </c>
      <c r="AP13" s="80" t="s">
        <v>173</v>
      </c>
      <c r="AQ13" s="80" t="s">
        <v>173</v>
      </c>
      <c r="AR13" s="80" t="s">
        <v>173</v>
      </c>
      <c r="AS13" s="80" t="s">
        <v>173</v>
      </c>
      <c r="AT13" s="80" t="s">
        <v>173</v>
      </c>
      <c r="AU13" s="80" t="s">
        <v>173</v>
      </c>
      <c r="AV13" s="80" t="s">
        <v>173</v>
      </c>
      <c r="AW13" s="29"/>
      <c r="AX13" s="29"/>
      <c r="AY13" s="29"/>
      <c r="AZ13" s="29"/>
      <c r="BA13" s="29"/>
      <c r="BB13" s="29"/>
      <c r="BC13" s="29"/>
      <c r="BD13" s="29"/>
      <c r="BE13" s="80" t="s">
        <v>173</v>
      </c>
      <c r="BF13" s="29"/>
      <c r="BG13" s="29"/>
      <c r="BH13" s="29"/>
      <c r="BI13" s="29"/>
    </row>
    <row r="14" spans="1:61" x14ac:dyDescent="0.25">
      <c r="A14" s="26" t="s">
        <v>174</v>
      </c>
      <c r="B14" s="28" t="s">
        <v>173</v>
      </c>
      <c r="C14" s="80" t="s">
        <v>173</v>
      </c>
      <c r="D14" s="80" t="s">
        <v>173</v>
      </c>
      <c r="E14" s="80" t="s">
        <v>173</v>
      </c>
      <c r="F14" s="80" t="s">
        <v>173</v>
      </c>
      <c r="G14" s="80" t="s">
        <v>173</v>
      </c>
      <c r="H14" s="80" t="s">
        <v>173</v>
      </c>
      <c r="I14" s="80" t="s">
        <v>173</v>
      </c>
      <c r="J14" s="80" t="s">
        <v>173</v>
      </c>
      <c r="K14" s="80" t="s">
        <v>173</v>
      </c>
      <c r="L14" s="80" t="s">
        <v>173</v>
      </c>
      <c r="M14" s="80" t="s">
        <v>173</v>
      </c>
      <c r="N14" s="80" t="s">
        <v>173</v>
      </c>
      <c r="O14" s="80" t="s">
        <v>173</v>
      </c>
      <c r="P14" s="80" t="s">
        <v>173</v>
      </c>
      <c r="Q14" s="80" t="s">
        <v>173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173</v>
      </c>
      <c r="AB14" s="28"/>
      <c r="AC14" s="28"/>
      <c r="AD14" s="28"/>
      <c r="AE14" s="28"/>
      <c r="AF14" s="28"/>
      <c r="AG14" s="28"/>
      <c r="AH14" s="80" t="s">
        <v>173</v>
      </c>
      <c r="AJ14" s="80" t="s">
        <v>173</v>
      </c>
      <c r="AK14" s="80" t="s">
        <v>173</v>
      </c>
      <c r="AL14" s="80" t="s">
        <v>173</v>
      </c>
      <c r="AM14" s="80" t="s">
        <v>173</v>
      </c>
      <c r="AN14" s="80" t="s">
        <v>173</v>
      </c>
      <c r="AO14" s="80" t="s">
        <v>173</v>
      </c>
      <c r="AP14" s="80" t="s">
        <v>173</v>
      </c>
      <c r="AQ14" s="80" t="s">
        <v>173</v>
      </c>
      <c r="AR14" s="80" t="s">
        <v>173</v>
      </c>
      <c r="AS14" s="80" t="s">
        <v>173</v>
      </c>
      <c r="AT14" s="80" t="s">
        <v>173</v>
      </c>
      <c r="AU14" s="80" t="s">
        <v>173</v>
      </c>
      <c r="AV14" s="80" t="s">
        <v>173</v>
      </c>
      <c r="AW14" s="28"/>
      <c r="AX14" s="28"/>
      <c r="AY14" s="28"/>
      <c r="AZ14" s="28"/>
      <c r="BA14" s="28"/>
      <c r="BB14" s="28"/>
      <c r="BC14" s="28"/>
      <c r="BD14" s="28"/>
      <c r="BE14" s="80" t="s">
        <v>173</v>
      </c>
      <c r="BF14" s="28"/>
      <c r="BG14" s="28"/>
      <c r="BH14" s="28"/>
      <c r="BI14" s="28"/>
    </row>
    <row r="15" spans="1:61" x14ac:dyDescent="0.25">
      <c r="A15" s="26" t="s">
        <v>175</v>
      </c>
      <c r="B15" s="28" t="s">
        <v>267</v>
      </c>
      <c r="C15" s="80" t="s">
        <v>199</v>
      </c>
      <c r="D15" s="80" t="s">
        <v>199</v>
      </c>
      <c r="E15" s="80" t="s">
        <v>199</v>
      </c>
      <c r="F15" s="80" t="s">
        <v>199</v>
      </c>
      <c r="G15" s="80" t="s">
        <v>199</v>
      </c>
      <c r="H15" s="80" t="s">
        <v>199</v>
      </c>
      <c r="I15" s="80" t="s">
        <v>199</v>
      </c>
      <c r="J15" s="80" t="s">
        <v>199</v>
      </c>
      <c r="K15" s="80" t="s">
        <v>199</v>
      </c>
      <c r="L15" s="80" t="s">
        <v>199</v>
      </c>
      <c r="M15" s="80" t="s">
        <v>199</v>
      </c>
      <c r="N15" s="80" t="s">
        <v>199</v>
      </c>
      <c r="O15" s="80" t="s">
        <v>199</v>
      </c>
      <c r="P15" s="80" t="s">
        <v>199</v>
      </c>
      <c r="Q15" s="80" t="s">
        <v>199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198</v>
      </c>
      <c r="AB15" s="28"/>
      <c r="AC15" s="28"/>
      <c r="AD15" s="28"/>
      <c r="AE15" s="28"/>
      <c r="AF15" s="28"/>
      <c r="AG15" s="28"/>
      <c r="AH15" s="80" t="s">
        <v>199</v>
      </c>
      <c r="AJ15" s="80" t="s">
        <v>199</v>
      </c>
      <c r="AK15" s="80" t="s">
        <v>199</v>
      </c>
      <c r="AL15" s="80" t="s">
        <v>199</v>
      </c>
      <c r="AM15" s="80" t="s">
        <v>199</v>
      </c>
      <c r="AN15" s="80" t="s">
        <v>199</v>
      </c>
      <c r="AO15" s="80" t="s">
        <v>199</v>
      </c>
      <c r="AP15" s="80" t="s">
        <v>199</v>
      </c>
      <c r="AQ15" s="80" t="s">
        <v>199</v>
      </c>
      <c r="AR15" s="80" t="s">
        <v>199</v>
      </c>
      <c r="AS15" s="80" t="s">
        <v>199</v>
      </c>
      <c r="AT15" s="80" t="s">
        <v>199</v>
      </c>
      <c r="AU15" s="80" t="s">
        <v>199</v>
      </c>
      <c r="AV15" s="80" t="s">
        <v>199</v>
      </c>
      <c r="AW15" s="28"/>
      <c r="AX15" s="28"/>
      <c r="AY15" s="28"/>
      <c r="AZ15" s="28"/>
      <c r="BA15" s="28"/>
      <c r="BB15" s="28"/>
      <c r="BC15" s="28"/>
      <c r="BD15" s="28"/>
      <c r="BE15" s="80" t="s">
        <v>199</v>
      </c>
      <c r="BF15" s="28"/>
      <c r="BG15" s="28"/>
      <c r="BH15" s="28"/>
      <c r="BI15" s="28"/>
    </row>
    <row r="16" spans="1:61" x14ac:dyDescent="0.25">
      <c r="A16" s="26" t="s">
        <v>176</v>
      </c>
      <c r="B16" s="30">
        <v>-3</v>
      </c>
      <c r="C16" s="82">
        <v>-2</v>
      </c>
      <c r="D16" s="82">
        <v>-2</v>
      </c>
      <c r="E16" s="82">
        <v>-2</v>
      </c>
      <c r="F16" s="82">
        <v>-2</v>
      </c>
      <c r="G16" s="82">
        <v>-2</v>
      </c>
      <c r="H16" s="82">
        <v>-2</v>
      </c>
      <c r="I16" s="82">
        <v>-2</v>
      </c>
      <c r="J16" s="82">
        <v>-2</v>
      </c>
      <c r="K16" s="82">
        <v>-2</v>
      </c>
      <c r="L16" s="82">
        <v>-2</v>
      </c>
      <c r="M16" s="82">
        <v>-2</v>
      </c>
      <c r="N16" s="82">
        <v>-2</v>
      </c>
      <c r="O16" s="82">
        <v>-2</v>
      </c>
      <c r="P16" s="82">
        <v>-2</v>
      </c>
      <c r="Q16" s="82">
        <v>-2</v>
      </c>
      <c r="R16" s="30"/>
      <c r="S16" s="30"/>
      <c r="T16" s="30"/>
      <c r="U16" s="30"/>
      <c r="V16" s="30"/>
      <c r="W16" s="30"/>
      <c r="X16" s="30"/>
      <c r="Y16" s="30"/>
      <c r="Z16" s="30"/>
      <c r="AA16" s="30">
        <v>1</v>
      </c>
      <c r="AB16" s="30"/>
      <c r="AC16" s="30"/>
      <c r="AD16" s="30"/>
      <c r="AE16" s="30"/>
      <c r="AF16" s="30"/>
      <c r="AG16" s="30"/>
      <c r="AH16" s="82">
        <v>-2</v>
      </c>
      <c r="AJ16" s="82">
        <v>-2</v>
      </c>
      <c r="AK16" s="82">
        <v>-2</v>
      </c>
      <c r="AL16" s="82">
        <v>-2</v>
      </c>
      <c r="AM16" s="82">
        <v>-2</v>
      </c>
      <c r="AN16" s="82">
        <v>-2</v>
      </c>
      <c r="AO16" s="82">
        <v>-2</v>
      </c>
      <c r="AP16" s="82">
        <v>-2</v>
      </c>
      <c r="AQ16" s="82">
        <v>-2</v>
      </c>
      <c r="AR16" s="82">
        <v>-2</v>
      </c>
      <c r="AS16" s="82">
        <v>-2</v>
      </c>
      <c r="AT16" s="82">
        <v>-2</v>
      </c>
      <c r="AU16" s="82">
        <v>-2</v>
      </c>
      <c r="AV16" s="82">
        <v>-2</v>
      </c>
      <c r="AW16" s="30"/>
      <c r="AX16" s="30"/>
      <c r="AY16" s="30"/>
      <c r="AZ16" s="30"/>
      <c r="BA16" s="30"/>
      <c r="BB16" s="30"/>
      <c r="BC16" s="30"/>
      <c r="BD16" s="30"/>
      <c r="BE16" s="82">
        <v>-2</v>
      </c>
      <c r="BF16" s="30"/>
      <c r="BG16" s="30"/>
      <c r="BH16" s="30"/>
      <c r="BI16" s="30"/>
    </row>
    <row r="17" spans="1:61" x14ac:dyDescent="0.25">
      <c r="A17" s="26" t="s">
        <v>177</v>
      </c>
      <c r="B17" s="28" t="s">
        <v>178</v>
      </c>
      <c r="C17" s="80" t="s">
        <v>341</v>
      </c>
      <c r="D17" s="80" t="s">
        <v>341</v>
      </c>
      <c r="E17" s="80" t="s">
        <v>341</v>
      </c>
      <c r="F17" s="80" t="s">
        <v>341</v>
      </c>
      <c r="G17" s="80" t="s">
        <v>341</v>
      </c>
      <c r="H17" s="80" t="s">
        <v>341</v>
      </c>
      <c r="I17" s="80" t="s">
        <v>341</v>
      </c>
      <c r="J17" s="80" t="s">
        <v>341</v>
      </c>
      <c r="K17" s="80" t="s">
        <v>341</v>
      </c>
      <c r="L17" s="80" t="s">
        <v>341</v>
      </c>
      <c r="M17" s="80" t="s">
        <v>341</v>
      </c>
      <c r="N17" s="80" t="s">
        <v>341</v>
      </c>
      <c r="O17" s="80" t="s">
        <v>341</v>
      </c>
      <c r="P17" s="80" t="s">
        <v>341</v>
      </c>
      <c r="Q17" s="80" t="s">
        <v>341</v>
      </c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1012</v>
      </c>
      <c r="AB17" s="28"/>
      <c r="AC17" s="28"/>
      <c r="AD17" s="28"/>
      <c r="AE17" s="28"/>
      <c r="AF17" s="28"/>
      <c r="AG17" s="28"/>
      <c r="AH17" s="80" t="s">
        <v>341</v>
      </c>
      <c r="AJ17" s="80" t="s">
        <v>341</v>
      </c>
      <c r="AK17" s="80" t="s">
        <v>341</v>
      </c>
      <c r="AL17" s="80" t="s">
        <v>341</v>
      </c>
      <c r="AM17" s="80" t="s">
        <v>341</v>
      </c>
      <c r="AN17" s="80" t="s">
        <v>341</v>
      </c>
      <c r="AO17" s="80" t="s">
        <v>341</v>
      </c>
      <c r="AP17" s="80" t="s">
        <v>341</v>
      </c>
      <c r="AQ17" s="80" t="s">
        <v>341</v>
      </c>
      <c r="AR17" s="80" t="s">
        <v>341</v>
      </c>
      <c r="AS17" s="80" t="s">
        <v>341</v>
      </c>
      <c r="AT17" s="80" t="s">
        <v>341</v>
      </c>
      <c r="AU17" s="80" t="s">
        <v>341</v>
      </c>
      <c r="AV17" s="80" t="s">
        <v>341</v>
      </c>
      <c r="AW17" s="28"/>
      <c r="AX17" s="28"/>
      <c r="AY17" s="28"/>
      <c r="AZ17" s="28"/>
      <c r="BA17" s="28"/>
      <c r="BB17" s="28"/>
      <c r="BC17" s="28"/>
      <c r="BD17" s="28"/>
      <c r="BE17" s="80" t="s">
        <v>341</v>
      </c>
      <c r="BF17" s="28"/>
      <c r="BG17" s="28"/>
      <c r="BH17" s="28"/>
      <c r="BI17" s="28"/>
    </row>
    <row r="18" spans="1:61" x14ac:dyDescent="0.25">
      <c r="A18" s="26" t="s">
        <v>182</v>
      </c>
      <c r="B18" s="30">
        <v>4</v>
      </c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v>3.75</v>
      </c>
      <c r="AB18" s="30"/>
      <c r="AC18" s="30"/>
      <c r="AD18" s="30"/>
      <c r="AE18" s="30"/>
      <c r="AF18" s="30"/>
      <c r="AG18" s="30"/>
      <c r="AH18" s="82">
        <v>0</v>
      </c>
      <c r="AJ18" s="82">
        <v>0</v>
      </c>
      <c r="AK18" s="82">
        <v>0</v>
      </c>
      <c r="AL18" s="82">
        <v>0</v>
      </c>
      <c r="AM18" s="82">
        <v>0</v>
      </c>
      <c r="AN18" s="82">
        <v>0</v>
      </c>
      <c r="AO18" s="82">
        <v>0</v>
      </c>
      <c r="AP18" s="82">
        <v>0</v>
      </c>
      <c r="AQ18" s="82">
        <v>0</v>
      </c>
      <c r="AR18" s="82">
        <v>0</v>
      </c>
      <c r="AS18" s="82">
        <v>0</v>
      </c>
      <c r="AT18" s="82">
        <v>0</v>
      </c>
      <c r="AU18" s="82">
        <v>0</v>
      </c>
      <c r="AV18" s="82">
        <v>0</v>
      </c>
      <c r="AW18" s="120"/>
      <c r="AX18" s="120"/>
      <c r="AY18" s="120"/>
      <c r="AZ18" s="30"/>
      <c r="BA18" s="30"/>
      <c r="BB18" s="30"/>
      <c r="BC18" s="30"/>
      <c r="BD18" s="30"/>
      <c r="BE18" s="82">
        <v>0</v>
      </c>
      <c r="BF18" s="30"/>
      <c r="BG18" s="30"/>
      <c r="BH18" s="30"/>
      <c r="BI18" s="30"/>
    </row>
    <row r="20" spans="1:61" x14ac:dyDescent="0.25">
      <c r="A20" s="26" t="s">
        <v>159</v>
      </c>
      <c r="B20" s="86" t="s">
        <v>1126</v>
      </c>
      <c r="C20" s="28" t="s">
        <v>942</v>
      </c>
      <c r="D20" s="28" t="s">
        <v>942</v>
      </c>
      <c r="E20" s="28" t="s">
        <v>942</v>
      </c>
      <c r="F20" s="80" t="s">
        <v>341</v>
      </c>
      <c r="G20" s="28" t="s">
        <v>942</v>
      </c>
      <c r="H20" s="28" t="s">
        <v>942</v>
      </c>
      <c r="I20" s="28" t="s">
        <v>942</v>
      </c>
      <c r="J20" s="28" t="s">
        <v>942</v>
      </c>
      <c r="K20" s="28" t="s">
        <v>556</v>
      </c>
      <c r="L20" s="28" t="s">
        <v>556</v>
      </c>
      <c r="M20" s="28" t="s">
        <v>556</v>
      </c>
      <c r="N20" s="28" t="s">
        <v>556</v>
      </c>
      <c r="O20" s="28" t="s">
        <v>556</v>
      </c>
      <c r="P20" s="28" t="s">
        <v>1213</v>
      </c>
      <c r="Q20" s="28" t="s">
        <v>1213</v>
      </c>
      <c r="R20" s="28"/>
      <c r="S20" s="28"/>
      <c r="T20" s="28"/>
      <c r="U20" s="28"/>
      <c r="V20" s="28"/>
      <c r="W20" s="28"/>
      <c r="X20" s="28"/>
      <c r="Y20" s="28"/>
      <c r="Z20" s="28"/>
      <c r="AA20" s="80" t="s">
        <v>341</v>
      </c>
      <c r="AB20" s="28"/>
      <c r="AC20" s="28"/>
      <c r="AD20" s="28"/>
      <c r="AE20" s="28"/>
      <c r="AF20" s="28"/>
      <c r="AG20" s="28"/>
      <c r="AH20" s="28" t="s">
        <v>942</v>
      </c>
      <c r="AJ20" s="28" t="s">
        <v>322</v>
      </c>
      <c r="AK20" s="28" t="s">
        <v>322</v>
      </c>
      <c r="AL20" s="28" t="s">
        <v>316</v>
      </c>
      <c r="AM20" s="28" t="s">
        <v>1089</v>
      </c>
      <c r="AN20" s="28" t="s">
        <v>317</v>
      </c>
      <c r="AO20" s="28" t="s">
        <v>317</v>
      </c>
      <c r="AP20" s="86" t="s">
        <v>317</v>
      </c>
      <c r="AQ20" s="28" t="s">
        <v>317</v>
      </c>
      <c r="AR20" s="28" t="s">
        <v>322</v>
      </c>
      <c r="AS20" s="28" t="s">
        <v>322</v>
      </c>
      <c r="AT20" s="86" t="s">
        <v>322</v>
      </c>
      <c r="AU20" s="28" t="s">
        <v>350</v>
      </c>
      <c r="AV20" s="28" t="s">
        <v>350</v>
      </c>
      <c r="AW20" s="28"/>
      <c r="AX20" s="28"/>
      <c r="AY20" s="28"/>
      <c r="AZ20" s="28"/>
      <c r="BA20" s="28"/>
      <c r="BB20" s="28"/>
      <c r="BC20" s="28"/>
      <c r="BD20" s="28"/>
      <c r="BE20" s="28" t="s">
        <v>1088</v>
      </c>
      <c r="BF20" s="28"/>
      <c r="BG20" s="28"/>
      <c r="BH20" s="28"/>
      <c r="BI20" s="28"/>
    </row>
    <row r="21" spans="1:61" x14ac:dyDescent="0.25">
      <c r="A21" s="26" t="s">
        <v>165</v>
      </c>
      <c r="B21" s="86" t="s">
        <v>322</v>
      </c>
      <c r="C21" s="28" t="s">
        <v>614</v>
      </c>
      <c r="D21" s="28" t="s">
        <v>614</v>
      </c>
      <c r="E21" s="28" t="s">
        <v>614</v>
      </c>
      <c r="F21" s="80" t="s">
        <v>341</v>
      </c>
      <c r="G21" s="28" t="s">
        <v>614</v>
      </c>
      <c r="H21" s="28" t="s">
        <v>614</v>
      </c>
      <c r="I21" s="28" t="s">
        <v>614</v>
      </c>
      <c r="J21" s="28" t="s">
        <v>614</v>
      </c>
      <c r="K21" s="86" t="s">
        <v>322</v>
      </c>
      <c r="L21" s="86" t="s">
        <v>322</v>
      </c>
      <c r="M21" s="86" t="s">
        <v>322</v>
      </c>
      <c r="N21" s="86" t="s">
        <v>322</v>
      </c>
      <c r="O21" s="86" t="s">
        <v>322</v>
      </c>
      <c r="P21" s="28" t="s">
        <v>322</v>
      </c>
      <c r="Q21" s="28" t="s">
        <v>322</v>
      </c>
      <c r="R21" s="29"/>
      <c r="S21" s="29"/>
      <c r="T21" s="29"/>
      <c r="U21" s="29"/>
      <c r="V21" s="29"/>
      <c r="W21" s="29"/>
      <c r="X21" s="29"/>
      <c r="Y21" s="29"/>
      <c r="Z21" s="29"/>
      <c r="AA21" s="80" t="s">
        <v>341</v>
      </c>
      <c r="AB21" s="29"/>
      <c r="AC21" s="29"/>
      <c r="AD21" s="29"/>
      <c r="AE21" s="29"/>
      <c r="AF21" s="29"/>
      <c r="AG21" s="29"/>
      <c r="AH21" s="28" t="s">
        <v>614</v>
      </c>
      <c r="AJ21" s="28" t="s">
        <v>324</v>
      </c>
      <c r="AK21" s="28" t="s">
        <v>324</v>
      </c>
      <c r="AL21" s="28" t="s">
        <v>283</v>
      </c>
      <c r="AM21" s="28" t="s">
        <v>1091</v>
      </c>
      <c r="AN21" s="28" t="s">
        <v>1008</v>
      </c>
      <c r="AO21" s="28" t="s">
        <v>1008</v>
      </c>
      <c r="AP21" s="86" t="s">
        <v>1008</v>
      </c>
      <c r="AQ21" s="28" t="s">
        <v>1008</v>
      </c>
      <c r="AR21" s="28" t="s">
        <v>324</v>
      </c>
      <c r="AS21" s="28" t="s">
        <v>227</v>
      </c>
      <c r="AT21" s="28" t="s">
        <v>324</v>
      </c>
      <c r="AU21" s="115" t="s">
        <v>326</v>
      </c>
      <c r="AV21" s="28" t="s">
        <v>324</v>
      </c>
      <c r="AW21" s="28"/>
      <c r="AX21" s="28"/>
      <c r="AY21" s="28"/>
      <c r="AZ21" s="29"/>
      <c r="BA21" s="29"/>
      <c r="BB21" s="29"/>
      <c r="BC21" s="29"/>
      <c r="BD21" s="29"/>
      <c r="BE21" s="28" t="s">
        <v>1009</v>
      </c>
      <c r="BF21" s="29"/>
      <c r="BG21" s="29"/>
      <c r="BH21" s="29"/>
      <c r="BI21" s="29"/>
    </row>
    <row r="22" spans="1:61" x14ac:dyDescent="0.25">
      <c r="A22" s="131" t="s">
        <v>168</v>
      </c>
      <c r="B22" s="157">
        <v>98</v>
      </c>
      <c r="C22" s="157">
        <v>151</v>
      </c>
      <c r="D22" s="157">
        <v>151</v>
      </c>
      <c r="E22" s="157">
        <v>151</v>
      </c>
      <c r="F22" s="198"/>
      <c r="G22" s="157">
        <v>151</v>
      </c>
      <c r="H22" s="157">
        <v>151</v>
      </c>
      <c r="I22" s="157">
        <v>151</v>
      </c>
      <c r="J22" s="157">
        <v>151</v>
      </c>
      <c r="K22" s="157">
        <v>98</v>
      </c>
      <c r="L22" s="157">
        <v>98</v>
      </c>
      <c r="M22" s="157">
        <v>98</v>
      </c>
      <c r="N22" s="157">
        <v>98</v>
      </c>
      <c r="O22" s="157">
        <v>98</v>
      </c>
      <c r="P22" s="157">
        <v>98</v>
      </c>
      <c r="Q22" s="157">
        <v>98</v>
      </c>
      <c r="R22" s="157"/>
      <c r="S22" s="157"/>
      <c r="T22" s="157"/>
      <c r="U22" s="157"/>
      <c r="V22" s="157"/>
      <c r="W22" s="157"/>
      <c r="X22" s="157"/>
      <c r="Y22" s="157"/>
      <c r="Z22" s="157"/>
      <c r="AA22" s="198"/>
      <c r="AB22" s="157"/>
      <c r="AC22" s="157"/>
      <c r="AD22" s="157"/>
      <c r="AE22" s="157"/>
      <c r="AF22" s="157"/>
      <c r="AG22" s="157"/>
      <c r="AH22" s="157">
        <v>151</v>
      </c>
      <c r="AJ22" s="157">
        <v>57</v>
      </c>
      <c r="AK22" s="157">
        <v>57</v>
      </c>
      <c r="AL22" s="157">
        <v>56</v>
      </c>
      <c r="AM22" s="157">
        <v>193</v>
      </c>
      <c r="AN22" s="157">
        <v>61</v>
      </c>
      <c r="AO22" s="157">
        <v>61</v>
      </c>
      <c r="AP22" s="161">
        <v>61</v>
      </c>
      <c r="AQ22" s="157">
        <v>61</v>
      </c>
      <c r="AR22" s="157">
        <v>57</v>
      </c>
      <c r="AS22" s="157">
        <v>35</v>
      </c>
      <c r="AT22" s="157">
        <v>57</v>
      </c>
      <c r="AU22" s="157">
        <v>194</v>
      </c>
      <c r="AV22" s="157">
        <v>57</v>
      </c>
      <c r="AW22" s="157"/>
      <c r="AX22" s="157"/>
      <c r="AY22" s="157"/>
      <c r="AZ22" s="157"/>
      <c r="BA22" s="157"/>
      <c r="BB22" s="157"/>
      <c r="BC22" s="157"/>
      <c r="BD22" s="157"/>
      <c r="BE22" s="157">
        <v>187</v>
      </c>
      <c r="BF22" s="157"/>
      <c r="BG22" s="157"/>
      <c r="BH22" s="157"/>
      <c r="BI22" s="157"/>
    </row>
    <row r="23" spans="1:61" x14ac:dyDescent="0.25">
      <c r="A23" s="26" t="s">
        <v>169</v>
      </c>
      <c r="B23" s="28" t="s">
        <v>170</v>
      </c>
      <c r="C23" s="28" t="s">
        <v>266</v>
      </c>
      <c r="D23" s="28" t="s">
        <v>266</v>
      </c>
      <c r="E23" s="28" t="s">
        <v>266</v>
      </c>
      <c r="F23" s="80" t="s">
        <v>173</v>
      </c>
      <c r="G23" s="28" t="s">
        <v>266</v>
      </c>
      <c r="H23" s="28" t="s">
        <v>266</v>
      </c>
      <c r="I23" s="28" t="s">
        <v>266</v>
      </c>
      <c r="J23" s="28" t="s">
        <v>266</v>
      </c>
      <c r="K23" s="28" t="s">
        <v>170</v>
      </c>
      <c r="L23" s="28" t="s">
        <v>170</v>
      </c>
      <c r="M23" s="28" t="s">
        <v>170</v>
      </c>
      <c r="N23" s="28" t="s">
        <v>170</v>
      </c>
      <c r="O23" s="28" t="s">
        <v>170</v>
      </c>
      <c r="P23" s="29" t="s">
        <v>170</v>
      </c>
      <c r="Q23" s="29" t="s">
        <v>170</v>
      </c>
      <c r="R23" s="28"/>
      <c r="S23" s="28"/>
      <c r="T23" s="28"/>
      <c r="U23" s="28"/>
      <c r="V23" s="28"/>
      <c r="W23" s="28"/>
      <c r="X23" s="28"/>
      <c r="Y23" s="28"/>
      <c r="Z23" s="28"/>
      <c r="AA23" s="80" t="s">
        <v>173</v>
      </c>
      <c r="AB23" s="28"/>
      <c r="AC23" s="29"/>
      <c r="AD23" s="28"/>
      <c r="AE23" s="29"/>
      <c r="AF23" s="28"/>
      <c r="AG23" s="28"/>
      <c r="AH23" s="28" t="s">
        <v>266</v>
      </c>
      <c r="AJ23" s="29" t="s">
        <v>170</v>
      </c>
      <c r="AK23" s="29" t="s">
        <v>170</v>
      </c>
      <c r="AL23" s="29" t="s">
        <v>170</v>
      </c>
      <c r="AM23" s="29" t="s">
        <v>170</v>
      </c>
      <c r="AN23" s="29" t="s">
        <v>170</v>
      </c>
      <c r="AO23" s="29" t="s">
        <v>170</v>
      </c>
      <c r="AP23" s="91" t="s">
        <v>170</v>
      </c>
      <c r="AQ23" s="28" t="s">
        <v>170</v>
      </c>
      <c r="AR23" s="28" t="s">
        <v>170</v>
      </c>
      <c r="AS23" s="28" t="s">
        <v>170</v>
      </c>
      <c r="AT23" s="28" t="s">
        <v>170</v>
      </c>
      <c r="AU23" s="28" t="s">
        <v>170</v>
      </c>
      <c r="AV23" s="28" t="s">
        <v>170</v>
      </c>
      <c r="AW23" s="28"/>
      <c r="AX23" s="28"/>
      <c r="AY23" s="28"/>
      <c r="AZ23" s="28"/>
      <c r="BA23" s="28"/>
      <c r="BB23" s="28"/>
      <c r="BC23" s="28"/>
      <c r="BD23" s="28"/>
      <c r="BE23" s="29" t="s">
        <v>170</v>
      </c>
      <c r="BF23" s="28"/>
      <c r="BG23" s="29"/>
      <c r="BH23" s="28"/>
      <c r="BI23" s="28"/>
    </row>
    <row r="24" spans="1:61" x14ac:dyDescent="0.25">
      <c r="A24" s="26" t="s">
        <v>171</v>
      </c>
      <c r="B24" s="28" t="s">
        <v>170</v>
      </c>
      <c r="C24" s="29" t="s">
        <v>266</v>
      </c>
      <c r="D24" s="29" t="s">
        <v>266</v>
      </c>
      <c r="E24" s="29" t="s">
        <v>266</v>
      </c>
      <c r="F24" s="80" t="s">
        <v>173</v>
      </c>
      <c r="G24" s="29" t="s">
        <v>266</v>
      </c>
      <c r="H24" s="29" t="s">
        <v>266</v>
      </c>
      <c r="I24" s="29" t="s">
        <v>266</v>
      </c>
      <c r="J24" s="29" t="s">
        <v>266</v>
      </c>
      <c r="K24" s="28" t="s">
        <v>170</v>
      </c>
      <c r="L24" s="28" t="s">
        <v>170</v>
      </c>
      <c r="M24" s="28" t="s">
        <v>170</v>
      </c>
      <c r="N24" s="28" t="s">
        <v>170</v>
      </c>
      <c r="O24" s="28" t="s">
        <v>170</v>
      </c>
      <c r="P24" s="28" t="s">
        <v>170</v>
      </c>
      <c r="Q24" s="28" t="s">
        <v>170</v>
      </c>
      <c r="R24" s="28"/>
      <c r="S24" s="28"/>
      <c r="T24" s="28"/>
      <c r="U24" s="28"/>
      <c r="V24" s="28"/>
      <c r="W24" s="28"/>
      <c r="X24" s="28"/>
      <c r="Y24" s="28"/>
      <c r="Z24" s="28"/>
      <c r="AA24" s="80" t="s">
        <v>173</v>
      </c>
      <c r="AB24" s="28"/>
      <c r="AC24" s="28"/>
      <c r="AD24" s="28"/>
      <c r="AE24" s="28"/>
      <c r="AF24" s="28"/>
      <c r="AG24" s="28"/>
      <c r="AH24" s="29" t="s">
        <v>266</v>
      </c>
      <c r="AJ24" s="28" t="s">
        <v>170</v>
      </c>
      <c r="AK24" s="28" t="s">
        <v>170</v>
      </c>
      <c r="AL24" s="29" t="s">
        <v>173</v>
      </c>
      <c r="AM24" s="28" t="s">
        <v>266</v>
      </c>
      <c r="AN24" s="28" t="s">
        <v>170</v>
      </c>
      <c r="AO24" s="28" t="s">
        <v>170</v>
      </c>
      <c r="AP24" s="86" t="s">
        <v>170</v>
      </c>
      <c r="AQ24" s="28" t="s">
        <v>170</v>
      </c>
      <c r="AR24" s="28" t="s">
        <v>170</v>
      </c>
      <c r="AS24" s="28" t="s">
        <v>170</v>
      </c>
      <c r="AT24" s="28" t="s">
        <v>170</v>
      </c>
      <c r="AU24" s="28" t="s">
        <v>170</v>
      </c>
      <c r="AV24" s="28" t="s">
        <v>170</v>
      </c>
      <c r="AW24" s="28"/>
      <c r="AX24" s="28"/>
      <c r="AY24" s="28"/>
      <c r="AZ24" s="28"/>
      <c r="BA24" s="28"/>
      <c r="BB24" s="28"/>
      <c r="BC24" s="28"/>
      <c r="BD24" s="28"/>
      <c r="BE24" s="28" t="s">
        <v>170</v>
      </c>
      <c r="BF24" s="28"/>
      <c r="BG24" s="28"/>
      <c r="BH24" s="28"/>
      <c r="BI24" s="28"/>
    </row>
    <row r="25" spans="1:61" x14ac:dyDescent="0.25">
      <c r="A25" s="26" t="s">
        <v>172</v>
      </c>
      <c r="B25" s="28" t="s">
        <v>173</v>
      </c>
      <c r="C25" s="28" t="s">
        <v>173</v>
      </c>
      <c r="D25" s="28" t="s">
        <v>173</v>
      </c>
      <c r="E25" s="28" t="s">
        <v>173</v>
      </c>
      <c r="F25" s="80" t="s">
        <v>173</v>
      </c>
      <c r="G25" s="28" t="s">
        <v>173</v>
      </c>
      <c r="H25" s="28" t="s">
        <v>173</v>
      </c>
      <c r="I25" s="28" t="s">
        <v>173</v>
      </c>
      <c r="J25" s="28" t="s">
        <v>173</v>
      </c>
      <c r="K25" s="28" t="s">
        <v>173</v>
      </c>
      <c r="L25" s="28" t="s">
        <v>173</v>
      </c>
      <c r="M25" s="28" t="s">
        <v>173</v>
      </c>
      <c r="N25" s="28" t="s">
        <v>173</v>
      </c>
      <c r="O25" s="28" t="s">
        <v>173</v>
      </c>
      <c r="P25" s="28" t="s">
        <v>173</v>
      </c>
      <c r="Q25" s="28" t="s">
        <v>173</v>
      </c>
      <c r="R25" s="28"/>
      <c r="S25" s="28"/>
      <c r="T25" s="28"/>
      <c r="U25" s="28"/>
      <c r="V25" s="28"/>
      <c r="W25" s="28"/>
      <c r="X25" s="28"/>
      <c r="Y25" s="28"/>
      <c r="Z25" s="28"/>
      <c r="AA25" s="80" t="s">
        <v>173</v>
      </c>
      <c r="AB25" s="28"/>
      <c r="AC25" s="28"/>
      <c r="AD25" s="28"/>
      <c r="AE25" s="28"/>
      <c r="AF25" s="28"/>
      <c r="AG25" s="28"/>
      <c r="AH25" s="28" t="s">
        <v>173</v>
      </c>
      <c r="AJ25" s="28" t="s">
        <v>170</v>
      </c>
      <c r="AK25" s="28" t="s">
        <v>170</v>
      </c>
      <c r="AL25" s="28" t="s">
        <v>170</v>
      </c>
      <c r="AM25" s="28" t="s">
        <v>287</v>
      </c>
      <c r="AN25" s="28" t="s">
        <v>173</v>
      </c>
      <c r="AO25" s="28" t="s">
        <v>173</v>
      </c>
      <c r="AP25" s="28" t="s">
        <v>173</v>
      </c>
      <c r="AQ25" s="29" t="s">
        <v>173</v>
      </c>
      <c r="AR25" s="28" t="s">
        <v>170</v>
      </c>
      <c r="AS25" s="28" t="s">
        <v>170</v>
      </c>
      <c r="AT25" s="28" t="s">
        <v>170</v>
      </c>
      <c r="AU25" s="28" t="s">
        <v>170</v>
      </c>
      <c r="AV25" s="28" t="s">
        <v>170</v>
      </c>
      <c r="AW25" s="29"/>
      <c r="AX25" s="29"/>
      <c r="AY25" s="29"/>
      <c r="AZ25" s="28"/>
      <c r="BA25" s="28"/>
      <c r="BB25" s="28"/>
      <c r="BC25" s="28"/>
      <c r="BD25" s="28"/>
      <c r="BE25" s="28" t="s">
        <v>170</v>
      </c>
      <c r="BF25" s="28"/>
      <c r="BG25" s="28"/>
      <c r="BH25" s="28"/>
      <c r="BI25" s="28"/>
    </row>
    <row r="26" spans="1:61" x14ac:dyDescent="0.25">
      <c r="A26" s="26" t="s">
        <v>174</v>
      </c>
      <c r="B26" s="28" t="s">
        <v>173</v>
      </c>
      <c r="C26" s="28" t="s">
        <v>173</v>
      </c>
      <c r="D26" s="28" t="s">
        <v>173</v>
      </c>
      <c r="E26" s="28" t="s">
        <v>173</v>
      </c>
      <c r="F26" s="80" t="s">
        <v>173</v>
      </c>
      <c r="G26" s="28" t="s">
        <v>173</v>
      </c>
      <c r="H26" s="28" t="s">
        <v>173</v>
      </c>
      <c r="I26" s="28" t="s">
        <v>173</v>
      </c>
      <c r="J26" s="28" t="s">
        <v>173</v>
      </c>
      <c r="K26" s="28" t="s">
        <v>173</v>
      </c>
      <c r="L26" s="28" t="s">
        <v>173</v>
      </c>
      <c r="M26" s="28" t="s">
        <v>173</v>
      </c>
      <c r="N26" s="28" t="s">
        <v>173</v>
      </c>
      <c r="O26" s="28" t="s">
        <v>173</v>
      </c>
      <c r="P26" s="28" t="s">
        <v>173</v>
      </c>
      <c r="Q26" s="28" t="s">
        <v>173</v>
      </c>
      <c r="R26" s="28"/>
      <c r="S26" s="28"/>
      <c r="T26" s="28"/>
      <c r="U26" s="28"/>
      <c r="V26" s="28"/>
      <c r="W26" s="28"/>
      <c r="X26" s="28"/>
      <c r="Y26" s="28"/>
      <c r="Z26" s="28"/>
      <c r="AA26" s="80" t="s">
        <v>173</v>
      </c>
      <c r="AB26" s="28"/>
      <c r="AC26" s="28"/>
      <c r="AD26" s="28"/>
      <c r="AE26" s="28"/>
      <c r="AF26" s="28"/>
      <c r="AG26" s="28"/>
      <c r="AH26" s="28" t="s">
        <v>173</v>
      </c>
      <c r="AJ26" s="28" t="s">
        <v>173</v>
      </c>
      <c r="AK26" s="28" t="s">
        <v>173</v>
      </c>
      <c r="AL26" s="28" t="s">
        <v>173</v>
      </c>
      <c r="AM26" s="28" t="s">
        <v>173</v>
      </c>
      <c r="AN26" s="28" t="s">
        <v>173</v>
      </c>
      <c r="AO26" s="28" t="s">
        <v>173</v>
      </c>
      <c r="AP26" s="28" t="s">
        <v>173</v>
      </c>
      <c r="AQ26" s="28" t="s">
        <v>173</v>
      </c>
      <c r="AR26" s="28" t="s">
        <v>173</v>
      </c>
      <c r="AS26" s="28" t="s">
        <v>173</v>
      </c>
      <c r="AT26" s="28" t="s">
        <v>173</v>
      </c>
      <c r="AU26" s="28" t="s">
        <v>173</v>
      </c>
      <c r="AV26" s="28" t="s">
        <v>173</v>
      </c>
      <c r="AW26" s="28"/>
      <c r="AX26" s="28"/>
      <c r="AY26" s="28"/>
      <c r="AZ26" s="28"/>
      <c r="BA26" s="28"/>
      <c r="BB26" s="28"/>
      <c r="BC26" s="28"/>
      <c r="BD26" s="28"/>
      <c r="BE26" s="28" t="s">
        <v>173</v>
      </c>
      <c r="BF26" s="28"/>
      <c r="BG26" s="28"/>
      <c r="BH26" s="28"/>
      <c r="BI26" s="28"/>
    </row>
    <row r="27" spans="1:61" x14ac:dyDescent="0.25">
      <c r="A27" s="26" t="s">
        <v>175</v>
      </c>
      <c r="B27" s="28" t="s">
        <v>199</v>
      </c>
      <c r="C27" s="28" t="s">
        <v>199</v>
      </c>
      <c r="D27" s="28" t="s">
        <v>199</v>
      </c>
      <c r="E27" s="28" t="s">
        <v>199</v>
      </c>
      <c r="F27" s="80" t="s">
        <v>199</v>
      </c>
      <c r="G27" s="28" t="s">
        <v>199</v>
      </c>
      <c r="H27" s="28" t="s">
        <v>199</v>
      </c>
      <c r="I27" s="28" t="s">
        <v>199</v>
      </c>
      <c r="J27" s="28" t="s">
        <v>199</v>
      </c>
      <c r="K27" s="28" t="s">
        <v>199</v>
      </c>
      <c r="L27" s="28" t="s">
        <v>199</v>
      </c>
      <c r="M27" s="28" t="s">
        <v>199</v>
      </c>
      <c r="N27" s="28" t="s">
        <v>199</v>
      </c>
      <c r="O27" s="28" t="s">
        <v>199</v>
      </c>
      <c r="P27" s="28" t="s">
        <v>199</v>
      </c>
      <c r="Q27" s="28" t="s">
        <v>199</v>
      </c>
      <c r="R27" s="28"/>
      <c r="S27" s="28"/>
      <c r="T27" s="28"/>
      <c r="U27" s="28"/>
      <c r="V27" s="28"/>
      <c r="W27" s="28"/>
      <c r="X27" s="28"/>
      <c r="Y27" s="28"/>
      <c r="Z27" s="28"/>
      <c r="AA27" s="80" t="s">
        <v>199</v>
      </c>
      <c r="AB27" s="28"/>
      <c r="AC27" s="28"/>
      <c r="AD27" s="28"/>
      <c r="AE27" s="28"/>
      <c r="AF27" s="28"/>
      <c r="AG27" s="28"/>
      <c r="AH27" s="28" t="s">
        <v>199</v>
      </c>
      <c r="AJ27" s="28" t="s">
        <v>199</v>
      </c>
      <c r="AK27" s="28" t="s">
        <v>199</v>
      </c>
      <c r="AL27" s="28" t="s">
        <v>199</v>
      </c>
      <c r="AM27" s="28" t="s">
        <v>199</v>
      </c>
      <c r="AN27" s="28" t="s">
        <v>199</v>
      </c>
      <c r="AO27" s="28" t="s">
        <v>199</v>
      </c>
      <c r="AP27" s="28" t="s">
        <v>199</v>
      </c>
      <c r="AQ27" s="28" t="s">
        <v>199</v>
      </c>
      <c r="AR27" s="28" t="s">
        <v>199</v>
      </c>
      <c r="AS27" s="28" t="s">
        <v>199</v>
      </c>
      <c r="AT27" s="28" t="s">
        <v>199</v>
      </c>
      <c r="AU27" s="28" t="s">
        <v>333</v>
      </c>
      <c r="AV27" s="28" t="s">
        <v>199</v>
      </c>
      <c r="AW27" s="28"/>
      <c r="AX27" s="28"/>
      <c r="AY27" s="28"/>
      <c r="AZ27" s="28"/>
      <c r="BA27" s="28"/>
      <c r="BB27" s="28"/>
      <c r="BC27" s="28"/>
      <c r="BD27" s="28"/>
      <c r="BE27" s="28" t="s">
        <v>199</v>
      </c>
      <c r="BF27" s="28"/>
      <c r="BG27" s="28"/>
      <c r="BH27" s="28"/>
      <c r="BI27" s="28"/>
    </row>
    <row r="28" spans="1:61" x14ac:dyDescent="0.25">
      <c r="A28" s="26" t="s">
        <v>176</v>
      </c>
      <c r="B28" s="30">
        <v>-2</v>
      </c>
      <c r="C28" s="30">
        <v>-2</v>
      </c>
      <c r="D28" s="30">
        <v>-2</v>
      </c>
      <c r="E28" s="30">
        <v>-2</v>
      </c>
      <c r="F28" s="82">
        <v>-2</v>
      </c>
      <c r="G28" s="30">
        <v>-2</v>
      </c>
      <c r="H28" s="30">
        <v>-2</v>
      </c>
      <c r="I28" s="30">
        <v>-2</v>
      </c>
      <c r="J28" s="30">
        <v>-2</v>
      </c>
      <c r="K28" s="30">
        <v>-2</v>
      </c>
      <c r="L28" s="30">
        <v>-2</v>
      </c>
      <c r="M28" s="30">
        <v>-2</v>
      </c>
      <c r="N28" s="30">
        <v>-2</v>
      </c>
      <c r="O28" s="30">
        <v>-2</v>
      </c>
      <c r="P28" s="30">
        <v>-2</v>
      </c>
      <c r="Q28" s="30">
        <v>-2</v>
      </c>
      <c r="R28" s="30"/>
      <c r="S28" s="30"/>
      <c r="T28" s="30"/>
      <c r="U28" s="30"/>
      <c r="V28" s="30"/>
      <c r="W28" s="30"/>
      <c r="X28" s="30"/>
      <c r="Y28" s="30"/>
      <c r="Z28" s="30"/>
      <c r="AA28" s="82">
        <v>-2</v>
      </c>
      <c r="AB28" s="30"/>
      <c r="AC28" s="30"/>
      <c r="AD28" s="30"/>
      <c r="AE28" s="30"/>
      <c r="AF28" s="30"/>
      <c r="AG28" s="30"/>
      <c r="AH28" s="30">
        <v>-2</v>
      </c>
      <c r="AJ28" s="30">
        <v>-0.5</v>
      </c>
      <c r="AK28" s="30">
        <v>-0.5</v>
      </c>
      <c r="AL28" s="30">
        <v>-0.5</v>
      </c>
      <c r="AM28" s="30">
        <f>AVERAGE(-2,-0.5)</f>
        <v>-1.25</v>
      </c>
      <c r="AN28" s="30">
        <v>-2</v>
      </c>
      <c r="AO28" s="30">
        <v>-2</v>
      </c>
      <c r="AP28" s="30">
        <v>-2</v>
      </c>
      <c r="AQ28" s="30">
        <v>-2</v>
      </c>
      <c r="AR28" s="30">
        <v>-0.5</v>
      </c>
      <c r="AS28" s="30">
        <v>-0.5</v>
      </c>
      <c r="AT28" s="30">
        <v>-0.5</v>
      </c>
      <c r="AU28" s="30">
        <f>AVERAGE(-0.5,-0.5,0.5)</f>
        <v>-0.16666666666666666</v>
      </c>
      <c r="AV28" s="30">
        <v>-0.5</v>
      </c>
      <c r="AW28" s="30"/>
      <c r="AX28" s="30"/>
      <c r="AY28" s="30"/>
      <c r="AZ28" s="30"/>
      <c r="BA28" s="30"/>
      <c r="BB28" s="30"/>
      <c r="BC28" s="30"/>
      <c r="BD28" s="30"/>
      <c r="BE28" s="30">
        <v>-0.5</v>
      </c>
      <c r="BF28" s="30"/>
      <c r="BG28" s="30"/>
      <c r="BH28" s="30"/>
      <c r="BI28" s="30"/>
    </row>
    <row r="29" spans="1:61" x14ac:dyDescent="0.25">
      <c r="A29" s="26" t="s">
        <v>177</v>
      </c>
      <c r="B29" s="28" t="s">
        <v>334</v>
      </c>
      <c r="C29" s="29" t="s">
        <v>537</v>
      </c>
      <c r="D29" s="29" t="s">
        <v>537</v>
      </c>
      <c r="E29" s="29" t="s">
        <v>537</v>
      </c>
      <c r="F29" s="81" t="s">
        <v>341</v>
      </c>
      <c r="G29" s="29" t="s">
        <v>537</v>
      </c>
      <c r="H29" s="29" t="s">
        <v>537</v>
      </c>
      <c r="I29" s="29" t="s">
        <v>537</v>
      </c>
      <c r="J29" s="29" t="s">
        <v>537</v>
      </c>
      <c r="K29" s="28" t="s">
        <v>334</v>
      </c>
      <c r="L29" s="28" t="s">
        <v>334</v>
      </c>
      <c r="M29" s="28" t="s">
        <v>334</v>
      </c>
      <c r="N29" s="28" t="s">
        <v>334</v>
      </c>
      <c r="O29" s="28" t="s">
        <v>334</v>
      </c>
      <c r="P29" s="28" t="s">
        <v>334</v>
      </c>
      <c r="Q29" s="28" t="s">
        <v>334</v>
      </c>
      <c r="R29" s="28"/>
      <c r="S29" s="28"/>
      <c r="T29" s="28"/>
      <c r="U29" s="28"/>
      <c r="V29" s="28"/>
      <c r="W29" s="28"/>
      <c r="X29" s="28"/>
      <c r="Y29" s="28"/>
      <c r="Z29" s="28"/>
      <c r="AA29" s="80" t="s">
        <v>341</v>
      </c>
      <c r="AB29" s="28"/>
      <c r="AC29" s="28"/>
      <c r="AD29" s="28"/>
      <c r="AE29" s="28"/>
      <c r="AF29" s="28"/>
      <c r="AG29" s="28"/>
      <c r="AH29" s="29" t="s">
        <v>537</v>
      </c>
      <c r="AJ29" s="28" t="s">
        <v>181</v>
      </c>
      <c r="AK29" s="28" t="s">
        <v>181</v>
      </c>
      <c r="AL29" s="28" t="s">
        <v>181</v>
      </c>
      <c r="AM29" s="28" t="s">
        <v>181</v>
      </c>
      <c r="AN29" s="28" t="s">
        <v>181</v>
      </c>
      <c r="AO29" s="28" t="s">
        <v>181</v>
      </c>
      <c r="AP29" s="28" t="s">
        <v>181</v>
      </c>
      <c r="AQ29" s="28" t="s">
        <v>181</v>
      </c>
      <c r="AR29" s="28" t="s">
        <v>181</v>
      </c>
      <c r="AS29" s="28" t="s">
        <v>200</v>
      </c>
      <c r="AT29" s="28" t="s">
        <v>181</v>
      </c>
      <c r="AU29" s="28" t="s">
        <v>200</v>
      </c>
      <c r="AV29" s="28" t="s">
        <v>181</v>
      </c>
      <c r="AW29" s="28"/>
      <c r="AX29" s="28"/>
      <c r="AY29" s="28"/>
      <c r="AZ29" s="28"/>
      <c r="BA29" s="28"/>
      <c r="BB29" s="28"/>
      <c r="BC29" s="28"/>
      <c r="BD29" s="28"/>
      <c r="BE29" s="28" t="s">
        <v>1012</v>
      </c>
      <c r="BF29" s="28"/>
      <c r="BG29" s="28"/>
      <c r="BH29" s="28"/>
      <c r="BI29" s="28"/>
    </row>
    <row r="30" spans="1:61" x14ac:dyDescent="0.25">
      <c r="A30" s="26" t="s">
        <v>182</v>
      </c>
      <c r="B30" s="30">
        <f>1/3</f>
        <v>0.33333333333333331</v>
      </c>
      <c r="C30" s="30">
        <f>AVERAGE(1/3,0)</f>
        <v>0.16666666666666666</v>
      </c>
      <c r="D30" s="30">
        <f>AVERAGE(1/3,0)</f>
        <v>0.16666666666666666</v>
      </c>
      <c r="E30" s="30">
        <f>AVERAGE(1/3,0)</f>
        <v>0.16666666666666666</v>
      </c>
      <c r="F30" s="82">
        <v>0</v>
      </c>
      <c r="G30" s="30">
        <f t="shared" ref="G30:J30" si="0">AVERAGE(1/3,0)</f>
        <v>0.16666666666666666</v>
      </c>
      <c r="H30" s="30">
        <f t="shared" si="0"/>
        <v>0.16666666666666666</v>
      </c>
      <c r="I30" s="30">
        <f t="shared" si="0"/>
        <v>0.16666666666666666</v>
      </c>
      <c r="J30" s="30">
        <f t="shared" si="0"/>
        <v>0.16666666666666666</v>
      </c>
      <c r="K30" s="30">
        <f t="shared" ref="K30:Q30" si="1">1/3</f>
        <v>0.33333333333333331</v>
      </c>
      <c r="L30" s="30">
        <f t="shared" si="1"/>
        <v>0.33333333333333331</v>
      </c>
      <c r="M30" s="30">
        <f t="shared" si="1"/>
        <v>0.33333333333333331</v>
      </c>
      <c r="N30" s="30">
        <f t="shared" si="1"/>
        <v>0.33333333333333331</v>
      </c>
      <c r="O30" s="30">
        <f t="shared" si="1"/>
        <v>0.33333333333333331</v>
      </c>
      <c r="P30" s="30">
        <f t="shared" si="1"/>
        <v>0.33333333333333331</v>
      </c>
      <c r="Q30" s="30">
        <f t="shared" si="1"/>
        <v>0.33333333333333331</v>
      </c>
      <c r="R30" s="30"/>
      <c r="S30" s="30"/>
      <c r="T30" s="30"/>
      <c r="U30" s="30"/>
      <c r="V30" s="30"/>
      <c r="W30" s="30"/>
      <c r="X30" s="30"/>
      <c r="Y30" s="30"/>
      <c r="Z30" s="30"/>
      <c r="AA30" s="82">
        <v>0</v>
      </c>
      <c r="AB30" s="30"/>
      <c r="AC30" s="30"/>
      <c r="AD30" s="30"/>
      <c r="AE30" s="30"/>
      <c r="AF30" s="30"/>
      <c r="AG30" s="30"/>
      <c r="AH30" s="30">
        <f>AVERAGE(1/3,0)</f>
        <v>0.16666666666666666</v>
      </c>
      <c r="AJ30" s="30">
        <v>2</v>
      </c>
      <c r="AK30" s="30">
        <v>2</v>
      </c>
      <c r="AL30" s="30">
        <v>2</v>
      </c>
      <c r="AM30" s="30">
        <v>2</v>
      </c>
      <c r="AN30" s="30">
        <v>2</v>
      </c>
      <c r="AO30" s="30">
        <v>2</v>
      </c>
      <c r="AP30" s="30">
        <v>2</v>
      </c>
      <c r="AQ30" s="30">
        <v>2</v>
      </c>
      <c r="AR30" s="120">
        <v>2</v>
      </c>
      <c r="AS30" s="120">
        <v>3</v>
      </c>
      <c r="AT30" s="120">
        <v>2</v>
      </c>
      <c r="AU30" s="120">
        <v>3</v>
      </c>
      <c r="AV30" s="120">
        <v>2</v>
      </c>
      <c r="AW30" s="120"/>
      <c r="AX30" s="120"/>
      <c r="AY30" s="120"/>
      <c r="AZ30" s="30"/>
      <c r="BA30" s="30"/>
      <c r="BB30" s="30"/>
      <c r="BC30" s="30"/>
      <c r="BD30" s="30"/>
      <c r="BE30" s="30">
        <v>3.75</v>
      </c>
      <c r="BF30" s="30"/>
      <c r="BG30" s="30"/>
      <c r="BH30" s="30"/>
      <c r="BI30" s="30"/>
    </row>
    <row r="31" spans="1:61" ht="15.75" customHeight="1" x14ac:dyDescent="0.25">
      <c r="C31" s="223" t="s">
        <v>1285</v>
      </c>
      <c r="D31" s="223"/>
      <c r="AA31" s="78" t="s">
        <v>1285</v>
      </c>
      <c r="AJ31" s="78" t="s">
        <v>1286</v>
      </c>
    </row>
    <row r="32" spans="1:61" x14ac:dyDescent="0.25">
      <c r="A32" s="31" t="s">
        <v>183</v>
      </c>
    </row>
    <row r="33" spans="1:57" ht="29.25" x14ac:dyDescent="0.25">
      <c r="A33" s="186" t="s">
        <v>1287</v>
      </c>
      <c r="B33" s="56"/>
    </row>
    <row r="34" spans="1:57" ht="29.25" x14ac:dyDescent="0.25">
      <c r="A34" s="186" t="s">
        <v>1288</v>
      </c>
    </row>
    <row r="35" spans="1:57" x14ac:dyDescent="0.25">
      <c r="B35" s="26" t="s">
        <v>1289</v>
      </c>
    </row>
    <row r="37" spans="1:57" x14ac:dyDescent="0.25">
      <c r="A37" s="25" t="s">
        <v>681</v>
      </c>
    </row>
    <row r="38" spans="1:57" x14ac:dyDescent="0.25">
      <c r="A38" s="26" t="s">
        <v>1290</v>
      </c>
      <c r="C38" s="235" t="s">
        <v>1219</v>
      </c>
      <c r="D38" s="235"/>
      <c r="E38" s="26" t="s">
        <v>1219</v>
      </c>
      <c r="F38" s="26" t="s">
        <v>1219</v>
      </c>
      <c r="G38" s="235" t="s">
        <v>1219</v>
      </c>
      <c r="H38" s="235"/>
      <c r="I38" s="235"/>
      <c r="AJ38" s="235" t="s">
        <v>324</v>
      </c>
      <c r="AK38" s="235"/>
      <c r="AL38" s="26" t="s">
        <v>283</v>
      </c>
      <c r="AM38" s="26" t="s">
        <v>1008</v>
      </c>
      <c r="AN38" s="235" t="s">
        <v>1008</v>
      </c>
      <c r="AO38" s="235"/>
      <c r="AP38" s="235"/>
    </row>
    <row r="39" spans="1:57" ht="15.75" customHeight="1" x14ac:dyDescent="0.25">
      <c r="A39" s="26" t="s">
        <v>1291</v>
      </c>
      <c r="C39" s="235" t="s">
        <v>322</v>
      </c>
      <c r="D39" s="235"/>
      <c r="E39" s="26" t="s">
        <v>341</v>
      </c>
      <c r="F39" s="26" t="s">
        <v>341</v>
      </c>
      <c r="G39" s="235" t="s">
        <v>341</v>
      </c>
      <c r="H39" s="235"/>
      <c r="I39" s="235"/>
      <c r="J39" s="26" t="s">
        <v>1219</v>
      </c>
      <c r="K39" s="235" t="s">
        <v>1219</v>
      </c>
      <c r="L39" s="235"/>
      <c r="M39" s="235"/>
      <c r="N39" s="235" t="s">
        <v>1219</v>
      </c>
      <c r="O39" s="235"/>
      <c r="P39" s="235" t="s">
        <v>1177</v>
      </c>
      <c r="Q39" s="235"/>
      <c r="AA39" s="26" t="s">
        <v>1219</v>
      </c>
      <c r="AH39" s="26" t="s">
        <v>341</v>
      </c>
      <c r="AJ39" s="235" t="s">
        <v>1224</v>
      </c>
      <c r="AK39" s="235"/>
      <c r="AL39" s="26" t="s">
        <v>1224</v>
      </c>
      <c r="AM39" s="26" t="s">
        <v>1224</v>
      </c>
      <c r="AN39" s="235" t="s">
        <v>1224</v>
      </c>
      <c r="AO39" s="235"/>
      <c r="AP39" s="235"/>
      <c r="AQ39" s="26" t="s">
        <v>1008</v>
      </c>
      <c r="AR39" s="26" t="s">
        <v>1167</v>
      </c>
      <c r="AS39" s="26" t="s">
        <v>1167</v>
      </c>
      <c r="AT39" s="26" t="s">
        <v>1167</v>
      </c>
      <c r="AU39" s="134" t="s">
        <v>1292</v>
      </c>
      <c r="AV39" s="26" t="s">
        <v>324</v>
      </c>
      <c r="BE39" s="26" t="s">
        <v>1229</v>
      </c>
    </row>
    <row r="40" spans="1:57" ht="15.75" customHeight="1" x14ac:dyDescent="0.25">
      <c r="A40" s="26" t="s">
        <v>1293</v>
      </c>
      <c r="C40" s="235" t="s">
        <v>322</v>
      </c>
      <c r="D40" s="235"/>
      <c r="E40" s="26" t="s">
        <v>322</v>
      </c>
      <c r="F40" s="26" t="s">
        <v>1219</v>
      </c>
      <c r="G40" s="235" t="s">
        <v>1219</v>
      </c>
      <c r="H40" s="235"/>
      <c r="I40" s="235"/>
      <c r="J40" s="26" t="s">
        <v>1219</v>
      </c>
      <c r="K40" s="235" t="s">
        <v>1219</v>
      </c>
      <c r="L40" s="235"/>
      <c r="M40" s="235"/>
      <c r="N40" s="235" t="s">
        <v>1219</v>
      </c>
      <c r="O40" s="235"/>
      <c r="P40" s="235" t="s">
        <v>322</v>
      </c>
      <c r="Q40" s="235"/>
      <c r="AA40" s="26" t="s">
        <v>1219</v>
      </c>
      <c r="AJ40" s="235" t="s">
        <v>1224</v>
      </c>
      <c r="AK40" s="235"/>
      <c r="AL40" s="26" t="s">
        <v>1224</v>
      </c>
      <c r="AM40" s="26" t="s">
        <v>1008</v>
      </c>
      <c r="AN40" s="235" t="s">
        <v>1294</v>
      </c>
      <c r="AO40" s="235"/>
      <c r="AP40" s="235"/>
      <c r="AQ40" s="26" t="s">
        <v>1008</v>
      </c>
      <c r="AR40" s="26" t="s">
        <v>1295</v>
      </c>
      <c r="AS40" s="26" t="s">
        <v>1167</v>
      </c>
      <c r="AT40" s="26" t="s">
        <v>1295</v>
      </c>
      <c r="AU40" s="134" t="s">
        <v>1292</v>
      </c>
      <c r="AV40" s="26" t="s">
        <v>324</v>
      </c>
      <c r="BE40" s="26" t="s">
        <v>1229</v>
      </c>
    </row>
    <row r="41" spans="1:57" ht="15.75" customHeight="1" x14ac:dyDescent="0.25">
      <c r="A41" s="26" t="s">
        <v>1296</v>
      </c>
      <c r="C41" s="235" t="s">
        <v>322</v>
      </c>
      <c r="D41" s="235"/>
      <c r="E41" s="26" t="s">
        <v>322</v>
      </c>
      <c r="F41" s="26" t="s">
        <v>1219</v>
      </c>
      <c r="G41" s="235" t="s">
        <v>1219</v>
      </c>
      <c r="H41" s="235"/>
      <c r="I41" s="235"/>
      <c r="J41" s="26" t="s">
        <v>1219</v>
      </c>
      <c r="K41" s="235" t="s">
        <v>1219</v>
      </c>
      <c r="L41" s="235"/>
      <c r="M41" s="235"/>
      <c r="N41" s="235" t="s">
        <v>1219</v>
      </c>
      <c r="O41" s="235"/>
      <c r="P41" s="235" t="s">
        <v>322</v>
      </c>
      <c r="Q41" s="235"/>
      <c r="AA41" s="26" t="s">
        <v>1219</v>
      </c>
      <c r="AJ41" s="235" t="s">
        <v>1224</v>
      </c>
      <c r="AK41" s="235"/>
      <c r="AL41" s="26" t="s">
        <v>1224</v>
      </c>
      <c r="AM41" s="26" t="s">
        <v>1008</v>
      </c>
      <c r="AN41" s="235" t="s">
        <v>1294</v>
      </c>
      <c r="AO41" s="235"/>
      <c r="AP41" s="235"/>
      <c r="AQ41" s="26" t="s">
        <v>1297</v>
      </c>
      <c r="AR41" s="26" t="s">
        <v>1295</v>
      </c>
      <c r="AS41" s="26" t="s">
        <v>1167</v>
      </c>
      <c r="AT41" s="26" t="s">
        <v>1295</v>
      </c>
      <c r="AU41" s="134" t="s">
        <v>1292</v>
      </c>
      <c r="AV41" s="26" t="s">
        <v>324</v>
      </c>
      <c r="BE41" s="26" t="s">
        <v>1229</v>
      </c>
    </row>
    <row r="42" spans="1:57" ht="15.75" customHeight="1" x14ac:dyDescent="0.25">
      <c r="A42" s="26" t="s">
        <v>1298</v>
      </c>
      <c r="C42" s="235"/>
      <c r="D42" s="235"/>
      <c r="G42" s="235" t="s">
        <v>1177</v>
      </c>
      <c r="H42" s="235"/>
      <c r="I42" s="235"/>
      <c r="P42" s="235"/>
      <c r="Q42" s="235"/>
      <c r="AJ42" s="235"/>
      <c r="AK42" s="235"/>
      <c r="AN42" s="235" t="s">
        <v>1224</v>
      </c>
      <c r="AO42" s="235"/>
      <c r="AP42" s="235"/>
    </row>
    <row r="43" spans="1:57" ht="15.75" customHeight="1" x14ac:dyDescent="0.25">
      <c r="A43" s="26" t="s">
        <v>1299</v>
      </c>
      <c r="C43" s="235" t="s">
        <v>1219</v>
      </c>
      <c r="D43" s="235"/>
      <c r="E43" s="26" t="s">
        <v>1219</v>
      </c>
      <c r="F43" s="26" t="s">
        <v>1219</v>
      </c>
      <c r="G43" s="235" t="s">
        <v>1219</v>
      </c>
      <c r="H43" s="235"/>
      <c r="I43" s="235"/>
      <c r="J43" s="194" t="s">
        <v>1260</v>
      </c>
      <c r="K43" s="235" t="s">
        <v>1219</v>
      </c>
      <c r="L43" s="235"/>
      <c r="M43" s="235"/>
      <c r="N43" s="235" t="s">
        <v>1219</v>
      </c>
      <c r="O43" s="235"/>
      <c r="P43" s="235" t="s">
        <v>1221</v>
      </c>
      <c r="Q43" s="235"/>
      <c r="AA43" s="194" t="s">
        <v>1006</v>
      </c>
      <c r="AJ43" s="235" t="s">
        <v>324</v>
      </c>
      <c r="AK43" s="235"/>
      <c r="AL43" s="26" t="s">
        <v>283</v>
      </c>
      <c r="AM43" s="26" t="s">
        <v>283</v>
      </c>
      <c r="AN43" s="235" t="s">
        <v>1294</v>
      </c>
      <c r="AO43" s="235"/>
      <c r="AP43" s="235"/>
      <c r="AQ43" s="194" t="s">
        <v>1260</v>
      </c>
      <c r="AR43" s="26" t="s">
        <v>1295</v>
      </c>
      <c r="AU43" s="26" t="s">
        <v>1099</v>
      </c>
      <c r="AV43" s="26" t="s">
        <v>324</v>
      </c>
      <c r="BE43" s="26" t="s">
        <v>1224</v>
      </c>
    </row>
    <row r="44" spans="1:57" ht="15.75" customHeight="1" x14ac:dyDescent="0.25">
      <c r="A44" s="26" t="s">
        <v>1300</v>
      </c>
      <c r="C44" s="235"/>
      <c r="D44" s="235"/>
      <c r="G44" s="235"/>
      <c r="H44" s="235"/>
      <c r="I44" s="235"/>
      <c r="P44" s="255" t="s">
        <v>324</v>
      </c>
      <c r="Q44" s="255"/>
      <c r="AA44" s="1" t="s">
        <v>1245</v>
      </c>
      <c r="AJ44" s="235"/>
      <c r="AK44" s="235"/>
      <c r="AN44" s="235"/>
      <c r="AO44" s="235"/>
      <c r="AP44" s="235"/>
      <c r="BE44" s="1" t="s">
        <v>1246</v>
      </c>
    </row>
    <row r="45" spans="1:57" ht="15.75" customHeight="1" x14ac:dyDescent="0.25">
      <c r="A45" s="26" t="s">
        <v>1301</v>
      </c>
      <c r="C45" s="255" t="s">
        <v>1219</v>
      </c>
      <c r="D45" s="255"/>
      <c r="E45" s="26" t="s">
        <v>1219</v>
      </c>
      <c r="F45" s="26" t="s">
        <v>341</v>
      </c>
      <c r="G45" s="255" t="s">
        <v>1302</v>
      </c>
      <c r="H45" s="255"/>
      <c r="I45" s="255"/>
      <c r="J45" s="26" t="s">
        <v>1219</v>
      </c>
      <c r="K45" s="235" t="s">
        <v>1219</v>
      </c>
      <c r="L45" s="235"/>
      <c r="M45" s="235"/>
      <c r="N45" s="235" t="s">
        <v>1219</v>
      </c>
      <c r="O45" s="235"/>
      <c r="P45" s="254" t="s">
        <v>324</v>
      </c>
      <c r="Q45" s="254"/>
      <c r="AA45" s="194" t="s">
        <v>1167</v>
      </c>
      <c r="AH45" s="194" t="s">
        <v>1167</v>
      </c>
      <c r="AJ45" s="255" t="s">
        <v>1303</v>
      </c>
      <c r="AK45" s="255"/>
      <c r="AL45" s="26" t="s">
        <v>283</v>
      </c>
      <c r="AM45" s="26" t="s">
        <v>1224</v>
      </c>
      <c r="AN45" s="255" t="s">
        <v>1302</v>
      </c>
      <c r="AO45" s="255"/>
      <c r="AP45" s="255"/>
      <c r="AQ45" s="27" t="s">
        <v>1304</v>
      </c>
      <c r="AR45" s="235" t="s">
        <v>1167</v>
      </c>
      <c r="AS45" s="235"/>
      <c r="AT45" s="235"/>
      <c r="AU45" s="197" t="s">
        <v>1305</v>
      </c>
      <c r="AV45" s="27" t="s">
        <v>1167</v>
      </c>
      <c r="BE45" s="194" t="s">
        <v>1167</v>
      </c>
    </row>
    <row r="46" spans="1:57" ht="15.75" customHeight="1" x14ac:dyDescent="0.25">
      <c r="A46" s="26" t="s">
        <v>1306</v>
      </c>
      <c r="C46" s="235" t="s">
        <v>322</v>
      </c>
      <c r="D46" s="235"/>
      <c r="E46" s="26" t="s">
        <v>322</v>
      </c>
      <c r="F46" s="26" t="s">
        <v>1219</v>
      </c>
      <c r="G46" s="235" t="s">
        <v>1219</v>
      </c>
      <c r="H46" s="235"/>
      <c r="I46" s="235"/>
      <c r="J46" s="26" t="s">
        <v>1219</v>
      </c>
      <c r="K46" s="235" t="s">
        <v>1219</v>
      </c>
      <c r="L46" s="235"/>
      <c r="M46" s="235"/>
      <c r="N46" s="235" t="s">
        <v>1219</v>
      </c>
      <c r="O46" s="235"/>
      <c r="P46" s="254" t="s">
        <v>324</v>
      </c>
      <c r="Q46" s="254"/>
      <c r="AA46" s="26" t="s">
        <v>1219</v>
      </c>
      <c r="AJ46" s="235" t="s">
        <v>1224</v>
      </c>
      <c r="AK46" s="235"/>
      <c r="AL46" s="26" t="s">
        <v>1224</v>
      </c>
      <c r="AM46" s="26" t="s">
        <v>1008</v>
      </c>
      <c r="AN46" s="235" t="s">
        <v>1294</v>
      </c>
      <c r="AO46" s="235"/>
      <c r="AP46" s="235"/>
      <c r="AQ46" s="27" t="s">
        <v>1304</v>
      </c>
      <c r="AR46" s="235" t="s">
        <v>1167</v>
      </c>
      <c r="AS46" s="235"/>
      <c r="AT46" s="235"/>
      <c r="AU46" s="134" t="s">
        <v>1292</v>
      </c>
      <c r="AV46" s="77" t="s">
        <v>1307</v>
      </c>
      <c r="BE46" s="26" t="s">
        <v>1229</v>
      </c>
    </row>
    <row r="47" spans="1:57" ht="15.75" customHeight="1" x14ac:dyDescent="0.25">
      <c r="A47" s="26" t="s">
        <v>1308</v>
      </c>
      <c r="C47" s="235" t="s">
        <v>1219</v>
      </c>
      <c r="D47" s="235"/>
      <c r="E47" s="26" t="s">
        <v>1219</v>
      </c>
      <c r="G47" s="235" t="s">
        <v>341</v>
      </c>
      <c r="H47" s="235"/>
      <c r="I47" s="235"/>
      <c r="K47" s="235" t="s">
        <v>1177</v>
      </c>
      <c r="L47" s="235"/>
      <c r="M47" s="235"/>
      <c r="P47" s="235"/>
      <c r="Q47" s="235"/>
      <c r="AA47" s="26" t="s">
        <v>1219</v>
      </c>
      <c r="AJ47" s="235" t="s">
        <v>324</v>
      </c>
      <c r="AK47" s="235"/>
      <c r="AL47" s="26" t="s">
        <v>283</v>
      </c>
      <c r="AN47" s="235" t="s">
        <v>1224</v>
      </c>
      <c r="AO47" s="235"/>
      <c r="AP47" s="235"/>
      <c r="AR47" s="235" t="s">
        <v>1224</v>
      </c>
      <c r="AS47" s="235"/>
      <c r="AT47" s="235"/>
      <c r="BE47" s="26" t="s">
        <v>1229</v>
      </c>
    </row>
    <row r="48" spans="1:57" ht="15.75" customHeight="1" x14ac:dyDescent="0.25">
      <c r="A48" s="26" t="s">
        <v>1309</v>
      </c>
      <c r="C48" s="235" t="s">
        <v>322</v>
      </c>
      <c r="D48" s="235"/>
      <c r="E48" s="26" t="s">
        <v>322</v>
      </c>
      <c r="F48" s="26" t="s">
        <v>1219</v>
      </c>
      <c r="G48" s="235" t="s">
        <v>1219</v>
      </c>
      <c r="H48" s="235"/>
      <c r="I48" s="235"/>
      <c r="J48" s="4" t="s">
        <v>1310</v>
      </c>
      <c r="K48" s="235" t="s">
        <v>322</v>
      </c>
      <c r="L48" s="235"/>
      <c r="M48" s="235"/>
      <c r="N48" s="26" t="s">
        <v>322</v>
      </c>
      <c r="O48" s="26" t="s">
        <v>1242</v>
      </c>
      <c r="P48" s="235" t="s">
        <v>1177</v>
      </c>
      <c r="Q48" s="235"/>
      <c r="AA48" s="194" t="s">
        <v>322</v>
      </c>
      <c r="AJ48" s="235" t="s">
        <v>1224</v>
      </c>
      <c r="AK48" s="235"/>
      <c r="AL48" s="26" t="s">
        <v>1224</v>
      </c>
      <c r="AM48" s="26" t="s">
        <v>1008</v>
      </c>
      <c r="AN48" s="235" t="s">
        <v>1294</v>
      </c>
      <c r="AO48" s="235"/>
      <c r="AP48" s="235"/>
      <c r="AQ48" s="160" t="s">
        <v>1311</v>
      </c>
      <c r="AR48" s="235" t="s">
        <v>1224</v>
      </c>
      <c r="AS48" s="235"/>
      <c r="AT48" s="235"/>
      <c r="AV48" s="77" t="s">
        <v>1307</v>
      </c>
      <c r="BE48" s="194" t="s">
        <v>322</v>
      </c>
    </row>
  </sheetData>
  <mergeCells count="78">
    <mergeCell ref="P39:Q39"/>
    <mergeCell ref="P40:Q40"/>
    <mergeCell ref="P41:Q41"/>
    <mergeCell ref="C39:D39"/>
    <mergeCell ref="C40:D40"/>
    <mergeCell ref="C41:D41"/>
    <mergeCell ref="K47:M47"/>
    <mergeCell ref="K43:M43"/>
    <mergeCell ref="N43:O43"/>
    <mergeCell ref="AN38:AP38"/>
    <mergeCell ref="AJ38:AK38"/>
    <mergeCell ref="AN39:AP39"/>
    <mergeCell ref="AN40:AP40"/>
    <mergeCell ref="AN46:AP46"/>
    <mergeCell ref="AN47:AP47"/>
    <mergeCell ref="AN41:AP41"/>
    <mergeCell ref="AN42:AP42"/>
    <mergeCell ref="AN43:AP43"/>
    <mergeCell ref="AN44:AP44"/>
    <mergeCell ref="AJ39:AK39"/>
    <mergeCell ref="AJ40:AK40"/>
    <mergeCell ref="AJ41:AK41"/>
    <mergeCell ref="AJ48:AK48"/>
    <mergeCell ref="P43:Q43"/>
    <mergeCell ref="P44:Q44"/>
    <mergeCell ref="P45:Q45"/>
    <mergeCell ref="P46:Q46"/>
    <mergeCell ref="AJ44:AK44"/>
    <mergeCell ref="AN48:AP48"/>
    <mergeCell ref="AR45:AT45"/>
    <mergeCell ref="K45:M45"/>
    <mergeCell ref="K46:M46"/>
    <mergeCell ref="AR46:AT46"/>
    <mergeCell ref="N45:O45"/>
    <mergeCell ref="N46:O46"/>
    <mergeCell ref="AJ46:AK46"/>
    <mergeCell ref="K48:M48"/>
    <mergeCell ref="AR47:AT47"/>
    <mergeCell ref="AR48:AT48"/>
    <mergeCell ref="P47:Q47"/>
    <mergeCell ref="P48:Q48"/>
    <mergeCell ref="AJ47:AK47"/>
    <mergeCell ref="AJ45:AK45"/>
    <mergeCell ref="AN45:AP45"/>
    <mergeCell ref="AJ42:AK42"/>
    <mergeCell ref="AJ43:AK43"/>
    <mergeCell ref="G44:I44"/>
    <mergeCell ref="G45:I45"/>
    <mergeCell ref="G46:I46"/>
    <mergeCell ref="P42:Q42"/>
    <mergeCell ref="G47:I47"/>
    <mergeCell ref="G48:I48"/>
    <mergeCell ref="G39:I39"/>
    <mergeCell ref="G40:I40"/>
    <mergeCell ref="G41:I41"/>
    <mergeCell ref="G42:I42"/>
    <mergeCell ref="G43:I43"/>
    <mergeCell ref="C44:D44"/>
    <mergeCell ref="C45:D45"/>
    <mergeCell ref="C46:D46"/>
    <mergeCell ref="C47:D47"/>
    <mergeCell ref="C48:D48"/>
    <mergeCell ref="F3:O3"/>
    <mergeCell ref="F4:O5"/>
    <mergeCell ref="C43:D43"/>
    <mergeCell ref="C31:D31"/>
    <mergeCell ref="B3:D3"/>
    <mergeCell ref="B4:D4"/>
    <mergeCell ref="B5:D5"/>
    <mergeCell ref="C38:D38"/>
    <mergeCell ref="G38:I38"/>
    <mergeCell ref="K39:M39"/>
    <mergeCell ref="K40:M40"/>
    <mergeCell ref="K41:M41"/>
    <mergeCell ref="N39:O39"/>
    <mergeCell ref="N40:O40"/>
    <mergeCell ref="N41:O41"/>
    <mergeCell ref="C42:D42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A6983-1382-4249-AA8C-5922A8AA84A1}">
  <dimension ref="A1:AL47"/>
  <sheetViews>
    <sheetView workbookViewId="0">
      <selection activeCell="C10" sqref="C10"/>
    </sheetView>
  </sheetViews>
  <sheetFormatPr defaultColWidth="9.140625" defaultRowHeight="15" x14ac:dyDescent="0.25"/>
  <cols>
    <col min="1" max="1" width="23.28515625" style="26" bestFit="1" customWidth="1"/>
    <col min="2" max="54" width="5.7109375" style="26" customWidth="1"/>
    <col min="55" max="16384" width="9.140625" style="26"/>
  </cols>
  <sheetData>
    <row r="1" spans="1:38" x14ac:dyDescent="0.25">
      <c r="A1" s="25" t="s">
        <v>116</v>
      </c>
      <c r="D1" s="25" t="s">
        <v>895</v>
      </c>
      <c r="I1" s="25" t="s">
        <v>1120</v>
      </c>
    </row>
    <row r="3" spans="1:38" ht="18" x14ac:dyDescent="0.25">
      <c r="A3" s="25" t="s">
        <v>119</v>
      </c>
      <c r="B3" s="215">
        <v>83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8" ht="18" x14ac:dyDescent="0.25">
      <c r="A4" s="25" t="s">
        <v>121</v>
      </c>
      <c r="B4" s="215" t="s">
        <v>1312</v>
      </c>
      <c r="C4" s="215"/>
      <c r="D4" s="215"/>
      <c r="F4" s="216" t="s">
        <v>1313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8" ht="18" x14ac:dyDescent="0.25">
      <c r="A5" s="25" t="s">
        <v>124</v>
      </c>
      <c r="B5" s="215" t="s">
        <v>899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8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76" t="s">
        <v>158</v>
      </c>
      <c r="AJ7" s="64" t="s">
        <v>135</v>
      </c>
      <c r="AK7" s="64" t="s">
        <v>136</v>
      </c>
      <c r="AL7" s="64" t="s">
        <v>137</v>
      </c>
    </row>
    <row r="8" spans="1:38" x14ac:dyDescent="0.25">
      <c r="A8" s="26" t="s">
        <v>159</v>
      </c>
      <c r="B8" s="28" t="s">
        <v>402</v>
      </c>
      <c r="C8" s="28" t="s">
        <v>942</v>
      </c>
      <c r="D8" s="28" t="s">
        <v>942</v>
      </c>
      <c r="E8" s="28" t="s">
        <v>1314</v>
      </c>
      <c r="F8" s="28" t="s">
        <v>164</v>
      </c>
      <c r="G8" s="28" t="s">
        <v>161</v>
      </c>
      <c r="H8" s="28" t="s">
        <v>161</v>
      </c>
      <c r="I8" s="28" t="s">
        <v>161</v>
      </c>
      <c r="J8" s="28"/>
      <c r="K8" s="28" t="s">
        <v>164</v>
      </c>
      <c r="L8" s="28" t="s">
        <v>164</v>
      </c>
      <c r="M8" s="28" t="s">
        <v>164</v>
      </c>
      <c r="N8" s="28"/>
      <c r="O8" s="28"/>
      <c r="P8" s="80" t="s">
        <v>341</v>
      </c>
      <c r="Q8" s="80" t="s">
        <v>341</v>
      </c>
      <c r="R8" s="28"/>
      <c r="S8" s="28"/>
      <c r="T8" s="28"/>
      <c r="U8" s="28"/>
      <c r="V8" s="28"/>
      <c r="W8" s="28"/>
      <c r="X8" s="28"/>
      <c r="Y8" s="28"/>
      <c r="Z8" s="28"/>
      <c r="AA8" s="28" t="s">
        <v>1150</v>
      </c>
      <c r="AB8" s="28"/>
      <c r="AC8" s="28"/>
      <c r="AD8" s="28"/>
      <c r="AE8" s="28"/>
      <c r="AF8" s="28"/>
      <c r="AG8" s="28"/>
      <c r="AH8" s="28" t="s">
        <v>556</v>
      </c>
      <c r="AJ8" s="28" t="s">
        <v>531</v>
      </c>
      <c r="AK8" s="28" t="s">
        <v>531</v>
      </c>
      <c r="AL8" s="28" t="s">
        <v>531</v>
      </c>
    </row>
    <row r="9" spans="1:38" ht="15.75" customHeight="1" x14ac:dyDescent="0.25">
      <c r="A9" s="26" t="s">
        <v>165</v>
      </c>
      <c r="B9" s="28" t="s">
        <v>1315</v>
      </c>
      <c r="C9" s="28" t="s">
        <v>614</v>
      </c>
      <c r="D9" s="28" t="s">
        <v>614</v>
      </c>
      <c r="E9" s="28" t="s">
        <v>901</v>
      </c>
      <c r="F9" s="28" t="s">
        <v>901</v>
      </c>
      <c r="G9" s="28" t="s">
        <v>901</v>
      </c>
      <c r="H9" s="28" t="s">
        <v>901</v>
      </c>
      <c r="I9" s="28" t="s">
        <v>901</v>
      </c>
      <c r="J9" s="29"/>
      <c r="K9" s="28" t="s">
        <v>902</v>
      </c>
      <c r="L9" s="28" t="s">
        <v>913</v>
      </c>
      <c r="M9" s="28" t="s">
        <v>164</v>
      </c>
      <c r="N9" s="29"/>
      <c r="O9" s="29"/>
      <c r="P9" s="80" t="s">
        <v>341</v>
      </c>
      <c r="Q9" s="80" t="s">
        <v>341</v>
      </c>
      <c r="R9" s="29"/>
      <c r="S9" s="29"/>
      <c r="T9" s="29"/>
      <c r="U9" s="29"/>
      <c r="V9" s="29"/>
      <c r="W9" s="29"/>
      <c r="X9" s="29"/>
      <c r="Y9" s="29"/>
      <c r="Z9" s="29"/>
      <c r="AA9" s="28" t="s">
        <v>1150</v>
      </c>
      <c r="AB9" s="29"/>
      <c r="AC9" s="29"/>
      <c r="AD9" s="29"/>
      <c r="AE9" s="29"/>
      <c r="AF9" s="29"/>
      <c r="AG9" s="29"/>
      <c r="AH9" s="28" t="s">
        <v>322</v>
      </c>
      <c r="AJ9" s="28" t="s">
        <v>403</v>
      </c>
      <c r="AK9" s="28" t="s">
        <v>403</v>
      </c>
      <c r="AL9" s="28" t="s">
        <v>403</v>
      </c>
    </row>
    <row r="10" spans="1:38" x14ac:dyDescent="0.25">
      <c r="A10" s="131" t="s">
        <v>168</v>
      </c>
      <c r="B10" s="157">
        <v>260</v>
      </c>
      <c r="C10" s="157">
        <v>151</v>
      </c>
      <c r="D10" s="157">
        <v>151</v>
      </c>
      <c r="E10" s="157">
        <v>91</v>
      </c>
      <c r="F10" s="157">
        <v>91</v>
      </c>
      <c r="G10" s="157">
        <v>91</v>
      </c>
      <c r="H10" s="157">
        <v>91</v>
      </c>
      <c r="I10" s="157">
        <v>91</v>
      </c>
      <c r="J10" s="157"/>
      <c r="K10" s="157">
        <v>166</v>
      </c>
      <c r="L10" s="157">
        <v>167</v>
      </c>
      <c r="M10" s="157">
        <v>43</v>
      </c>
      <c r="N10" s="157"/>
      <c r="O10" s="157"/>
      <c r="P10" s="198"/>
      <c r="Q10" s="198"/>
      <c r="R10" s="157"/>
      <c r="S10" s="157"/>
      <c r="T10" s="157"/>
      <c r="U10" s="157"/>
      <c r="V10" s="157"/>
      <c r="W10" s="157"/>
      <c r="X10" s="157"/>
      <c r="Y10" s="157"/>
      <c r="Z10" s="157"/>
      <c r="AA10" s="157">
        <v>196</v>
      </c>
      <c r="AB10" s="157"/>
      <c r="AC10" s="157"/>
      <c r="AD10" s="157"/>
      <c r="AE10" s="157"/>
      <c r="AF10" s="157"/>
      <c r="AG10" s="157"/>
      <c r="AH10" s="157">
        <v>98</v>
      </c>
      <c r="AJ10" s="157">
        <v>97</v>
      </c>
      <c r="AK10" s="157">
        <v>97</v>
      </c>
      <c r="AL10" s="157">
        <v>97</v>
      </c>
    </row>
    <row r="11" spans="1:38" x14ac:dyDescent="0.25">
      <c r="A11" s="26" t="s">
        <v>169</v>
      </c>
      <c r="B11" s="29" t="s">
        <v>170</v>
      </c>
      <c r="C11" s="29" t="s">
        <v>266</v>
      </c>
      <c r="D11" s="29" t="s">
        <v>266</v>
      </c>
      <c r="E11" s="29" t="s">
        <v>170</v>
      </c>
      <c r="F11" s="29" t="s">
        <v>170</v>
      </c>
      <c r="G11" s="29" t="s">
        <v>170</v>
      </c>
      <c r="H11" s="29" t="s">
        <v>170</v>
      </c>
      <c r="I11" s="29" t="s">
        <v>170</v>
      </c>
      <c r="J11" s="28"/>
      <c r="K11" s="28" t="s">
        <v>170</v>
      </c>
      <c r="L11" s="29" t="s">
        <v>170</v>
      </c>
      <c r="M11" s="28" t="s">
        <v>170</v>
      </c>
      <c r="N11" s="28"/>
      <c r="O11" s="28"/>
      <c r="P11" s="80" t="s">
        <v>173</v>
      </c>
      <c r="Q11" s="80" t="s">
        <v>173</v>
      </c>
      <c r="R11" s="28"/>
      <c r="S11" s="28"/>
      <c r="T11" s="28"/>
      <c r="U11" s="28"/>
      <c r="V11" s="28"/>
      <c r="W11" s="28"/>
      <c r="X11" s="28"/>
      <c r="Y11" s="28"/>
      <c r="Z11" s="28"/>
      <c r="AA11" s="29" t="s">
        <v>170</v>
      </c>
      <c r="AB11" s="28"/>
      <c r="AC11" s="29"/>
      <c r="AD11" s="28"/>
      <c r="AE11" s="29"/>
      <c r="AF11" s="28"/>
      <c r="AG11" s="28"/>
      <c r="AH11" s="29" t="s">
        <v>170</v>
      </c>
      <c r="AJ11" s="28" t="s">
        <v>170</v>
      </c>
      <c r="AK11" s="28" t="s">
        <v>170</v>
      </c>
      <c r="AL11" s="28" t="s">
        <v>170</v>
      </c>
    </row>
    <row r="12" spans="1:38" x14ac:dyDescent="0.25">
      <c r="A12" s="26" t="s">
        <v>171</v>
      </c>
      <c r="B12" s="29" t="s">
        <v>170</v>
      </c>
      <c r="C12" s="29" t="s">
        <v>266</v>
      </c>
      <c r="D12" s="29" t="s">
        <v>266</v>
      </c>
      <c r="E12" s="29" t="s">
        <v>170</v>
      </c>
      <c r="F12" s="29" t="s">
        <v>170</v>
      </c>
      <c r="G12" s="29" t="s">
        <v>170</v>
      </c>
      <c r="H12" s="29" t="s">
        <v>170</v>
      </c>
      <c r="I12" s="29" t="s">
        <v>170</v>
      </c>
      <c r="J12" s="28"/>
      <c r="K12" s="28" t="s">
        <v>170</v>
      </c>
      <c r="L12" s="28" t="s">
        <v>170</v>
      </c>
      <c r="M12" s="28" t="s">
        <v>170</v>
      </c>
      <c r="N12" s="28"/>
      <c r="O12" s="28"/>
      <c r="P12" s="80" t="s">
        <v>173</v>
      </c>
      <c r="Q12" s="80" t="s">
        <v>173</v>
      </c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170</v>
      </c>
      <c r="AB12" s="28"/>
      <c r="AC12" s="28"/>
      <c r="AD12" s="28"/>
      <c r="AE12" s="28"/>
      <c r="AF12" s="28"/>
      <c r="AG12" s="28"/>
      <c r="AH12" s="28" t="s">
        <v>170</v>
      </c>
      <c r="AJ12" s="28" t="s">
        <v>170</v>
      </c>
      <c r="AK12" s="28" t="s">
        <v>170</v>
      </c>
      <c r="AL12" s="28" t="s">
        <v>170</v>
      </c>
    </row>
    <row r="13" spans="1:38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/>
      <c r="K13" s="28" t="s">
        <v>173</v>
      </c>
      <c r="L13" s="28" t="s">
        <v>173</v>
      </c>
      <c r="M13" s="28" t="s">
        <v>173</v>
      </c>
      <c r="N13" s="28"/>
      <c r="O13" s="28"/>
      <c r="P13" s="80" t="s">
        <v>173</v>
      </c>
      <c r="Q13" s="80" t="s">
        <v>173</v>
      </c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173</v>
      </c>
      <c r="AB13" s="28"/>
      <c r="AC13" s="28"/>
      <c r="AD13" s="28"/>
      <c r="AE13" s="28"/>
      <c r="AF13" s="28"/>
      <c r="AG13" s="28"/>
      <c r="AH13" s="28" t="s">
        <v>173</v>
      </c>
      <c r="AJ13" s="28" t="s">
        <v>173</v>
      </c>
      <c r="AK13" s="28" t="s">
        <v>173</v>
      </c>
      <c r="AL13" s="28" t="s">
        <v>173</v>
      </c>
    </row>
    <row r="14" spans="1:38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/>
      <c r="K14" s="28" t="s">
        <v>173</v>
      </c>
      <c r="L14" s="28" t="s">
        <v>173</v>
      </c>
      <c r="M14" s="28" t="s">
        <v>173</v>
      </c>
      <c r="N14" s="28"/>
      <c r="O14" s="28"/>
      <c r="P14" s="80" t="s">
        <v>173</v>
      </c>
      <c r="Q14" s="80" t="s">
        <v>173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173</v>
      </c>
      <c r="AB14" s="28"/>
      <c r="AC14" s="28"/>
      <c r="AD14" s="28"/>
      <c r="AE14" s="28"/>
      <c r="AF14" s="28"/>
      <c r="AG14" s="28"/>
      <c r="AH14" s="28" t="s">
        <v>173</v>
      </c>
      <c r="AJ14" s="28" t="s">
        <v>173</v>
      </c>
      <c r="AK14" s="28" t="s">
        <v>173</v>
      </c>
      <c r="AL14" s="28" t="s">
        <v>173</v>
      </c>
    </row>
    <row r="15" spans="1:38" x14ac:dyDescent="0.25">
      <c r="A15" s="26" t="s">
        <v>175</v>
      </c>
      <c r="B15" s="103" t="s">
        <v>536</v>
      </c>
      <c r="C15" s="28" t="s">
        <v>199</v>
      </c>
      <c r="D15" s="28" t="s">
        <v>199</v>
      </c>
      <c r="E15" s="28" t="s">
        <v>160</v>
      </c>
      <c r="F15" s="28" t="s">
        <v>160</v>
      </c>
      <c r="G15" s="28" t="s">
        <v>160</v>
      </c>
      <c r="H15" s="28" t="s">
        <v>160</v>
      </c>
      <c r="I15" s="28" t="s">
        <v>160</v>
      </c>
      <c r="J15" s="28"/>
      <c r="K15" s="28" t="s">
        <v>160</v>
      </c>
      <c r="L15" s="28" t="s">
        <v>160</v>
      </c>
      <c r="M15" s="28" t="s">
        <v>160</v>
      </c>
      <c r="N15" s="28"/>
      <c r="O15" s="28"/>
      <c r="P15" s="80" t="s">
        <v>160</v>
      </c>
      <c r="Q15" s="80" t="s">
        <v>160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160</v>
      </c>
      <c r="AB15" s="28"/>
      <c r="AC15" s="28"/>
      <c r="AD15" s="28"/>
      <c r="AE15" s="28"/>
      <c r="AF15" s="28"/>
      <c r="AG15" s="28"/>
      <c r="AH15" s="28" t="s">
        <v>199</v>
      </c>
      <c r="AJ15" s="28" t="s">
        <v>405</v>
      </c>
      <c r="AK15" s="28" t="s">
        <v>405</v>
      </c>
      <c r="AL15" s="28" t="s">
        <v>405</v>
      </c>
    </row>
    <row r="16" spans="1:38" x14ac:dyDescent="0.25">
      <c r="A16" s="26" t="s">
        <v>176</v>
      </c>
      <c r="B16" s="30">
        <f>AVERAGE(0,3)</f>
        <v>1.5</v>
      </c>
      <c r="C16" s="30">
        <v>-2</v>
      </c>
      <c r="D16" s="30">
        <v>-2</v>
      </c>
      <c r="E16" s="30">
        <v>3</v>
      </c>
      <c r="F16" s="30">
        <v>3</v>
      </c>
      <c r="G16" s="30">
        <v>3</v>
      </c>
      <c r="H16" s="30">
        <v>3</v>
      </c>
      <c r="I16" s="30">
        <v>3</v>
      </c>
      <c r="J16" s="30"/>
      <c r="K16" s="30">
        <v>3</v>
      </c>
      <c r="L16" s="30">
        <f>AVERAGE(2.5,3)</f>
        <v>2.75</v>
      </c>
      <c r="M16" s="30">
        <v>2.5</v>
      </c>
      <c r="N16" s="30"/>
      <c r="O16" s="30"/>
      <c r="P16" s="82">
        <v>2.5</v>
      </c>
      <c r="Q16" s="82">
        <v>2.5</v>
      </c>
      <c r="R16" s="30"/>
      <c r="S16" s="30"/>
      <c r="T16" s="30"/>
      <c r="U16" s="30"/>
      <c r="V16" s="30"/>
      <c r="W16" s="30"/>
      <c r="X16" s="30"/>
      <c r="Y16" s="30"/>
      <c r="Z16" s="30"/>
      <c r="AA16" s="30">
        <v>3</v>
      </c>
      <c r="AB16" s="30"/>
      <c r="AC16" s="30"/>
      <c r="AD16" s="30"/>
      <c r="AE16" s="30"/>
      <c r="AF16" s="30"/>
      <c r="AG16" s="30"/>
      <c r="AH16" s="30">
        <v>-2</v>
      </c>
      <c r="AJ16" s="30">
        <v>0</v>
      </c>
      <c r="AK16" s="30">
        <v>0</v>
      </c>
      <c r="AL16" s="30">
        <v>0</v>
      </c>
    </row>
    <row r="17" spans="1:38" x14ac:dyDescent="0.25">
      <c r="A17" s="26" t="s">
        <v>177</v>
      </c>
      <c r="B17" s="28" t="s">
        <v>538</v>
      </c>
      <c r="C17" s="103" t="s">
        <v>537</v>
      </c>
      <c r="D17" s="103" t="s">
        <v>537</v>
      </c>
      <c r="E17" s="28" t="s">
        <v>334</v>
      </c>
      <c r="F17" s="28" t="s">
        <v>334</v>
      </c>
      <c r="G17" s="28" t="s">
        <v>334</v>
      </c>
      <c r="H17" s="28" t="s">
        <v>334</v>
      </c>
      <c r="I17" s="28" t="s">
        <v>334</v>
      </c>
      <c r="J17" s="28"/>
      <c r="K17" s="28" t="s">
        <v>905</v>
      </c>
      <c r="L17" s="28" t="s">
        <v>905</v>
      </c>
      <c r="M17" s="28" t="s">
        <v>181</v>
      </c>
      <c r="N17" s="28"/>
      <c r="O17" s="28"/>
      <c r="P17" s="80" t="s">
        <v>341</v>
      </c>
      <c r="Q17" s="80" t="s">
        <v>341</v>
      </c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1125</v>
      </c>
      <c r="AB17" s="28"/>
      <c r="AC17" s="28"/>
      <c r="AD17" s="28"/>
      <c r="AE17" s="28"/>
      <c r="AF17" s="28"/>
      <c r="AG17" s="28"/>
      <c r="AH17" s="28" t="s">
        <v>334</v>
      </c>
      <c r="AJ17" s="28" t="s">
        <v>334</v>
      </c>
      <c r="AK17" s="28" t="s">
        <v>334</v>
      </c>
      <c r="AL17" s="28" t="s">
        <v>334</v>
      </c>
    </row>
    <row r="18" spans="1:38" x14ac:dyDescent="0.25">
      <c r="A18" s="26" t="s">
        <v>182</v>
      </c>
      <c r="B18" s="30">
        <f>AVERAGE(1/3,2)</f>
        <v>1.1666666666666667</v>
      </c>
      <c r="C18" s="30">
        <f>AVERAGE(1/3,0)</f>
        <v>0.16666666666666666</v>
      </c>
      <c r="D18" s="30">
        <f>AVERAGE(1/3,0)</f>
        <v>0.16666666666666666</v>
      </c>
      <c r="E18" s="30">
        <v>0.5</v>
      </c>
      <c r="F18" s="30">
        <v>0.5</v>
      </c>
      <c r="G18" s="30">
        <v>0.5</v>
      </c>
      <c r="H18" s="30">
        <v>0.5</v>
      </c>
      <c r="I18" s="30">
        <v>0.5</v>
      </c>
      <c r="J18" s="30"/>
      <c r="K18" s="30">
        <f>AVERAGE(2,0.5)</f>
        <v>1.25</v>
      </c>
      <c r="L18" s="30">
        <f>AVERAGE(2,0.5)</f>
        <v>1.25</v>
      </c>
      <c r="M18" s="30">
        <v>2</v>
      </c>
      <c r="N18" s="30"/>
      <c r="O18" s="30"/>
      <c r="P18" s="82">
        <v>0</v>
      </c>
      <c r="Q18" s="82">
        <v>0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v>5</v>
      </c>
      <c r="AB18" s="30"/>
      <c r="AC18" s="30"/>
      <c r="AD18" s="30"/>
      <c r="AE18" s="30"/>
      <c r="AF18" s="30"/>
      <c r="AG18" s="30"/>
      <c r="AH18" s="30">
        <f>1/3</f>
        <v>0.33333333333333331</v>
      </c>
      <c r="AJ18" s="30">
        <f t="shared" ref="AJ18:AL18" si="0">1/3</f>
        <v>0.33333333333333331</v>
      </c>
      <c r="AK18" s="30">
        <f t="shared" si="0"/>
        <v>0.33333333333333331</v>
      </c>
      <c r="AL18" s="30">
        <f t="shared" si="0"/>
        <v>0.33333333333333331</v>
      </c>
    </row>
    <row r="19" spans="1:38" x14ac:dyDescent="0.25">
      <c r="E19" s="54"/>
      <c r="K19" s="54"/>
      <c r="L19" s="54"/>
      <c r="M19" s="54"/>
    </row>
    <row r="20" spans="1:38" x14ac:dyDescent="0.25">
      <c r="A20" s="26" t="s">
        <v>159</v>
      </c>
      <c r="B20" s="28" t="s">
        <v>1126</v>
      </c>
      <c r="C20" s="28" t="s">
        <v>164</v>
      </c>
      <c r="D20" s="28" t="s">
        <v>164</v>
      </c>
      <c r="E20" s="28" t="s">
        <v>556</v>
      </c>
      <c r="F20" s="28" t="s">
        <v>556</v>
      </c>
      <c r="G20" s="28" t="s">
        <v>556</v>
      </c>
      <c r="H20" s="28" t="s">
        <v>556</v>
      </c>
      <c r="I20" s="28" t="s">
        <v>556</v>
      </c>
      <c r="J20" s="28" t="s">
        <v>556</v>
      </c>
      <c r="K20" s="28" t="s">
        <v>556</v>
      </c>
      <c r="L20" s="28" t="s">
        <v>556</v>
      </c>
      <c r="M20" s="28" t="s">
        <v>556</v>
      </c>
      <c r="N20" s="28"/>
      <c r="O20" s="28"/>
      <c r="P20" s="28" t="s">
        <v>1156</v>
      </c>
      <c r="Q20" s="28" t="s">
        <v>1156</v>
      </c>
      <c r="R20" s="28"/>
      <c r="S20" s="28"/>
      <c r="T20" s="28"/>
      <c r="U20" s="28"/>
      <c r="V20" s="28"/>
      <c r="W20" s="28"/>
      <c r="X20" s="28"/>
      <c r="Y20" s="28"/>
      <c r="Z20" s="28"/>
      <c r="AA20" s="28" t="s">
        <v>556</v>
      </c>
      <c r="AB20" s="28"/>
      <c r="AC20" s="28"/>
      <c r="AD20" s="28"/>
      <c r="AE20" s="28"/>
      <c r="AF20" s="28"/>
      <c r="AG20" s="28"/>
      <c r="AH20" s="28" t="s">
        <v>161</v>
      </c>
      <c r="AJ20" s="28" t="s">
        <v>322</v>
      </c>
      <c r="AK20" s="28" t="s">
        <v>322</v>
      </c>
      <c r="AL20" s="28" t="s">
        <v>322</v>
      </c>
    </row>
    <row r="21" spans="1:38" ht="15.75" customHeight="1" x14ac:dyDescent="0.25">
      <c r="A21" s="26" t="s">
        <v>165</v>
      </c>
      <c r="B21" s="28" t="s">
        <v>322</v>
      </c>
      <c r="C21" s="28" t="s">
        <v>1055</v>
      </c>
      <c r="D21" s="28" t="s">
        <v>164</v>
      </c>
      <c r="E21" s="28" t="s">
        <v>322</v>
      </c>
      <c r="F21" s="28" t="s">
        <v>322</v>
      </c>
      <c r="G21" s="28" t="s">
        <v>322</v>
      </c>
      <c r="H21" s="28" t="s">
        <v>322</v>
      </c>
      <c r="I21" s="28" t="s">
        <v>322</v>
      </c>
      <c r="J21" s="28" t="s">
        <v>322</v>
      </c>
      <c r="K21" s="29" t="s">
        <v>614</v>
      </c>
      <c r="L21" s="29" t="s">
        <v>614</v>
      </c>
      <c r="M21" s="29" t="s">
        <v>614</v>
      </c>
      <c r="N21" s="29"/>
      <c r="O21" s="29"/>
      <c r="P21" s="28" t="s">
        <v>324</v>
      </c>
      <c r="Q21" s="28" t="s">
        <v>324</v>
      </c>
      <c r="R21" s="29"/>
      <c r="S21" s="29"/>
      <c r="T21" s="29"/>
      <c r="U21" s="29"/>
      <c r="V21" s="29"/>
      <c r="W21" s="29"/>
      <c r="X21" s="29"/>
      <c r="Y21" s="29"/>
      <c r="Z21" s="29"/>
      <c r="AA21" s="28" t="s">
        <v>322</v>
      </c>
      <c r="AB21" s="29"/>
      <c r="AC21" s="29"/>
      <c r="AD21" s="29"/>
      <c r="AE21" s="29"/>
      <c r="AF21" s="29"/>
      <c r="AG21" s="29"/>
      <c r="AH21" s="28" t="s">
        <v>161</v>
      </c>
      <c r="AJ21" s="29" t="s">
        <v>324</v>
      </c>
      <c r="AK21" s="29" t="s">
        <v>227</v>
      </c>
      <c r="AL21" s="29" t="s">
        <v>324</v>
      </c>
    </row>
    <row r="22" spans="1:38" x14ac:dyDescent="0.25">
      <c r="A22" s="131" t="s">
        <v>168</v>
      </c>
      <c r="B22" s="157">
        <v>98</v>
      </c>
      <c r="C22" s="157">
        <v>262</v>
      </c>
      <c r="D22" s="157">
        <v>43</v>
      </c>
      <c r="E22" s="157">
        <v>98</v>
      </c>
      <c r="F22" s="157">
        <v>98</v>
      </c>
      <c r="G22" s="157">
        <v>98</v>
      </c>
      <c r="H22" s="157">
        <v>98</v>
      </c>
      <c r="I22" s="157">
        <v>98</v>
      </c>
      <c r="J22" s="157">
        <v>98</v>
      </c>
      <c r="K22" s="157">
        <v>151</v>
      </c>
      <c r="L22" s="157">
        <v>151</v>
      </c>
      <c r="M22" s="157">
        <v>151</v>
      </c>
      <c r="N22" s="157"/>
      <c r="O22" s="157"/>
      <c r="P22" s="157">
        <v>57</v>
      </c>
      <c r="Q22" s="157">
        <v>57</v>
      </c>
      <c r="R22" s="157"/>
      <c r="S22" s="157"/>
      <c r="T22" s="157"/>
      <c r="U22" s="157"/>
      <c r="V22" s="157"/>
      <c r="W22" s="157"/>
      <c r="X22" s="157"/>
      <c r="Y22" s="157"/>
      <c r="Z22" s="157"/>
      <c r="AA22" s="157">
        <v>98</v>
      </c>
      <c r="AB22" s="157"/>
      <c r="AC22" s="157"/>
      <c r="AD22" s="157"/>
      <c r="AE22" s="157"/>
      <c r="AF22" s="157"/>
      <c r="AG22" s="157"/>
      <c r="AH22" s="157">
        <v>2</v>
      </c>
      <c r="AJ22" s="157">
        <v>57</v>
      </c>
      <c r="AK22" s="157">
        <v>35</v>
      </c>
      <c r="AL22" s="157">
        <v>57</v>
      </c>
    </row>
    <row r="23" spans="1:38" x14ac:dyDescent="0.25">
      <c r="A23" s="26" t="s">
        <v>169</v>
      </c>
      <c r="B23" s="28" t="s">
        <v>170</v>
      </c>
      <c r="C23" s="28" t="s">
        <v>170</v>
      </c>
      <c r="D23" s="28" t="s">
        <v>170</v>
      </c>
      <c r="E23" s="28" t="s">
        <v>170</v>
      </c>
      <c r="F23" s="28" t="s">
        <v>170</v>
      </c>
      <c r="G23" s="28" t="s">
        <v>170</v>
      </c>
      <c r="H23" s="28" t="s">
        <v>170</v>
      </c>
      <c r="I23" s="28" t="s">
        <v>170</v>
      </c>
      <c r="J23" s="28" t="s">
        <v>170</v>
      </c>
      <c r="K23" s="29" t="s">
        <v>266</v>
      </c>
      <c r="L23" s="29" t="s">
        <v>266</v>
      </c>
      <c r="M23" s="29" t="s">
        <v>266</v>
      </c>
      <c r="N23" s="28"/>
      <c r="O23" s="28"/>
      <c r="P23" s="28" t="s">
        <v>170</v>
      </c>
      <c r="Q23" s="28" t="s">
        <v>170</v>
      </c>
      <c r="R23" s="28"/>
      <c r="S23" s="28"/>
      <c r="T23" s="28"/>
      <c r="U23" s="28"/>
      <c r="V23" s="28"/>
      <c r="W23" s="28"/>
      <c r="X23" s="28"/>
      <c r="Y23" s="28"/>
      <c r="Z23" s="28"/>
      <c r="AA23" s="28" t="s">
        <v>170</v>
      </c>
      <c r="AB23" s="28"/>
      <c r="AC23" s="29"/>
      <c r="AD23" s="28"/>
      <c r="AE23" s="29"/>
      <c r="AF23" s="28"/>
      <c r="AG23" s="28"/>
      <c r="AH23" s="28" t="s">
        <v>170</v>
      </c>
      <c r="AJ23" s="28" t="s">
        <v>170</v>
      </c>
      <c r="AK23" s="28" t="s">
        <v>170</v>
      </c>
      <c r="AL23" s="28" t="s">
        <v>170</v>
      </c>
    </row>
    <row r="24" spans="1:38" x14ac:dyDescent="0.25">
      <c r="A24" s="26" t="s">
        <v>171</v>
      </c>
      <c r="B24" s="28" t="s">
        <v>170</v>
      </c>
      <c r="C24" s="28" t="s">
        <v>170</v>
      </c>
      <c r="D24" s="28" t="s">
        <v>170</v>
      </c>
      <c r="E24" s="28" t="s">
        <v>170</v>
      </c>
      <c r="F24" s="28" t="s">
        <v>170</v>
      </c>
      <c r="G24" s="28" t="s">
        <v>170</v>
      </c>
      <c r="H24" s="28" t="s">
        <v>170</v>
      </c>
      <c r="I24" s="28" t="s">
        <v>170</v>
      </c>
      <c r="J24" s="28" t="s">
        <v>170</v>
      </c>
      <c r="K24" s="28" t="s">
        <v>266</v>
      </c>
      <c r="L24" s="28" t="s">
        <v>266</v>
      </c>
      <c r="M24" s="28" t="s">
        <v>266</v>
      </c>
      <c r="N24" s="28"/>
      <c r="O24" s="28"/>
      <c r="P24" s="28" t="s">
        <v>170</v>
      </c>
      <c r="Q24" s="28" t="s">
        <v>170</v>
      </c>
      <c r="R24" s="28"/>
      <c r="S24" s="28"/>
      <c r="T24" s="28"/>
      <c r="U24" s="28"/>
      <c r="V24" s="28"/>
      <c r="W24" s="28"/>
      <c r="X24" s="28"/>
      <c r="Y24" s="28"/>
      <c r="Z24" s="28"/>
      <c r="AA24" s="28" t="s">
        <v>170</v>
      </c>
      <c r="AB24" s="28"/>
      <c r="AC24" s="28"/>
      <c r="AD24" s="28"/>
      <c r="AE24" s="28"/>
      <c r="AF24" s="28"/>
      <c r="AG24" s="28"/>
      <c r="AH24" s="28" t="s">
        <v>170</v>
      </c>
      <c r="AJ24" s="28" t="s">
        <v>170</v>
      </c>
      <c r="AK24" s="28" t="s">
        <v>170</v>
      </c>
      <c r="AL24" s="28" t="s">
        <v>170</v>
      </c>
    </row>
    <row r="25" spans="1:38" x14ac:dyDescent="0.25">
      <c r="A25" s="26" t="s">
        <v>172</v>
      </c>
      <c r="B25" s="28" t="s">
        <v>173</v>
      </c>
      <c r="C25" s="28" t="s">
        <v>173</v>
      </c>
      <c r="D25" s="28" t="s">
        <v>173</v>
      </c>
      <c r="E25" s="28" t="s">
        <v>173</v>
      </c>
      <c r="F25" s="28" t="s">
        <v>173</v>
      </c>
      <c r="G25" s="28" t="s">
        <v>173</v>
      </c>
      <c r="H25" s="28" t="s">
        <v>173</v>
      </c>
      <c r="I25" s="28" t="s">
        <v>173</v>
      </c>
      <c r="J25" s="28" t="s">
        <v>173</v>
      </c>
      <c r="K25" s="28" t="s">
        <v>173</v>
      </c>
      <c r="L25" s="28" t="s">
        <v>173</v>
      </c>
      <c r="M25" s="28" t="s">
        <v>173</v>
      </c>
      <c r="N25" s="28"/>
      <c r="O25" s="28"/>
      <c r="P25" s="28" t="s">
        <v>170</v>
      </c>
      <c r="Q25" s="28" t="s">
        <v>170</v>
      </c>
      <c r="R25" s="28"/>
      <c r="S25" s="28"/>
      <c r="T25" s="28"/>
      <c r="U25" s="28"/>
      <c r="V25" s="28"/>
      <c r="W25" s="28"/>
      <c r="X25" s="28"/>
      <c r="Y25" s="28"/>
      <c r="Z25" s="28"/>
      <c r="AA25" s="28" t="s">
        <v>173</v>
      </c>
      <c r="AB25" s="28"/>
      <c r="AC25" s="28"/>
      <c r="AD25" s="28"/>
      <c r="AE25" s="28"/>
      <c r="AF25" s="28"/>
      <c r="AG25" s="28"/>
      <c r="AH25" s="28" t="s">
        <v>173</v>
      </c>
      <c r="AJ25" s="28" t="s">
        <v>170</v>
      </c>
      <c r="AK25" s="28" t="s">
        <v>170</v>
      </c>
      <c r="AL25" s="28" t="s">
        <v>170</v>
      </c>
    </row>
    <row r="26" spans="1:38" x14ac:dyDescent="0.25">
      <c r="A26" s="26" t="s">
        <v>174</v>
      </c>
      <c r="B26" s="28" t="s">
        <v>173</v>
      </c>
      <c r="C26" s="28" t="s">
        <v>173</v>
      </c>
      <c r="D26" s="28" t="s">
        <v>173</v>
      </c>
      <c r="E26" s="28" t="s">
        <v>173</v>
      </c>
      <c r="F26" s="28" t="s">
        <v>173</v>
      </c>
      <c r="G26" s="28" t="s">
        <v>173</v>
      </c>
      <c r="H26" s="28" t="s">
        <v>173</v>
      </c>
      <c r="I26" s="28" t="s">
        <v>173</v>
      </c>
      <c r="J26" s="28" t="s">
        <v>173</v>
      </c>
      <c r="K26" s="28" t="s">
        <v>173</v>
      </c>
      <c r="L26" s="28" t="s">
        <v>173</v>
      </c>
      <c r="M26" s="28" t="s">
        <v>173</v>
      </c>
      <c r="N26" s="28"/>
      <c r="O26" s="28"/>
      <c r="P26" s="28" t="s">
        <v>173</v>
      </c>
      <c r="Q26" s="28" t="s">
        <v>173</v>
      </c>
      <c r="R26" s="28"/>
      <c r="S26" s="28"/>
      <c r="T26" s="28"/>
      <c r="U26" s="28"/>
      <c r="V26" s="28"/>
      <c r="W26" s="28"/>
      <c r="X26" s="28"/>
      <c r="Y26" s="28"/>
      <c r="Z26" s="28"/>
      <c r="AA26" s="28" t="s">
        <v>173</v>
      </c>
      <c r="AB26" s="28"/>
      <c r="AC26" s="28"/>
      <c r="AD26" s="28"/>
      <c r="AE26" s="28"/>
      <c r="AF26" s="28"/>
      <c r="AG26" s="28"/>
      <c r="AH26" s="28" t="s">
        <v>173</v>
      </c>
      <c r="AJ26" s="28" t="s">
        <v>173</v>
      </c>
      <c r="AK26" s="28" t="s">
        <v>173</v>
      </c>
      <c r="AL26" s="28" t="s">
        <v>173</v>
      </c>
    </row>
    <row r="27" spans="1:38" x14ac:dyDescent="0.25">
      <c r="A27" s="26" t="s">
        <v>175</v>
      </c>
      <c r="B27" s="28" t="s">
        <v>199</v>
      </c>
      <c r="C27" s="28" t="s">
        <v>160</v>
      </c>
      <c r="D27" s="28" t="s">
        <v>160</v>
      </c>
      <c r="E27" s="28" t="s">
        <v>199</v>
      </c>
      <c r="F27" s="28" t="s">
        <v>199</v>
      </c>
      <c r="G27" s="28" t="s">
        <v>199</v>
      </c>
      <c r="H27" s="28" t="s">
        <v>199</v>
      </c>
      <c r="I27" s="28" t="s">
        <v>199</v>
      </c>
      <c r="J27" s="28" t="s">
        <v>199</v>
      </c>
      <c r="K27" s="28" t="s">
        <v>199</v>
      </c>
      <c r="L27" s="28" t="s">
        <v>199</v>
      </c>
      <c r="M27" s="28" t="s">
        <v>199</v>
      </c>
      <c r="N27" s="28"/>
      <c r="O27" s="28"/>
      <c r="P27" s="28" t="s">
        <v>199</v>
      </c>
      <c r="Q27" s="28" t="s">
        <v>199</v>
      </c>
      <c r="R27" s="28"/>
      <c r="S27" s="28"/>
      <c r="T27" s="28"/>
      <c r="U27" s="28"/>
      <c r="V27" s="28"/>
      <c r="W27" s="28"/>
      <c r="X27" s="28"/>
      <c r="Y27" s="28"/>
      <c r="Z27" s="28"/>
      <c r="AA27" s="28" t="s">
        <v>199</v>
      </c>
      <c r="AB27" s="28"/>
      <c r="AC27" s="28"/>
      <c r="AD27" s="28"/>
      <c r="AE27" s="28"/>
      <c r="AF27" s="28"/>
      <c r="AG27" s="28"/>
      <c r="AH27" s="28" t="s">
        <v>160</v>
      </c>
      <c r="AJ27" s="28" t="s">
        <v>199</v>
      </c>
      <c r="AK27" s="28" t="s">
        <v>199</v>
      </c>
      <c r="AL27" s="28" t="s">
        <v>199</v>
      </c>
    </row>
    <row r="28" spans="1:38" x14ac:dyDescent="0.25">
      <c r="A28" s="26" t="s">
        <v>176</v>
      </c>
      <c r="B28" s="30">
        <v>-2</v>
      </c>
      <c r="C28" s="30">
        <f>AVERAGE(2.5,2.5,2.5,3)</f>
        <v>2.625</v>
      </c>
      <c r="D28" s="30">
        <v>2.5</v>
      </c>
      <c r="E28" s="30">
        <v>-2</v>
      </c>
      <c r="F28" s="30">
        <v>-2</v>
      </c>
      <c r="G28" s="30">
        <v>-2</v>
      </c>
      <c r="H28" s="30">
        <v>-2</v>
      </c>
      <c r="I28" s="30">
        <v>-2</v>
      </c>
      <c r="J28" s="30">
        <v>-2</v>
      </c>
      <c r="K28" s="30">
        <v>-2</v>
      </c>
      <c r="L28" s="30">
        <v>-2</v>
      </c>
      <c r="M28" s="30">
        <v>-2</v>
      </c>
      <c r="N28" s="30"/>
      <c r="O28" s="30"/>
      <c r="P28" s="30">
        <v>-0.5</v>
      </c>
      <c r="Q28" s="30">
        <v>-0.5</v>
      </c>
      <c r="R28" s="30"/>
      <c r="S28" s="30"/>
      <c r="T28" s="30"/>
      <c r="U28" s="30"/>
      <c r="V28" s="30"/>
      <c r="W28" s="30"/>
      <c r="X28" s="30"/>
      <c r="Y28" s="30"/>
      <c r="Z28" s="30"/>
      <c r="AA28" s="30">
        <v>-2</v>
      </c>
      <c r="AB28" s="30"/>
      <c r="AC28" s="30"/>
      <c r="AD28" s="30"/>
      <c r="AE28" s="30"/>
      <c r="AF28" s="30"/>
      <c r="AG28" s="30"/>
      <c r="AH28" s="30">
        <v>3</v>
      </c>
      <c r="AJ28" s="30">
        <v>-0.5</v>
      </c>
      <c r="AK28" s="30">
        <v>-0.5</v>
      </c>
      <c r="AL28" s="30">
        <v>-0.5</v>
      </c>
    </row>
    <row r="29" spans="1:38" x14ac:dyDescent="0.25">
      <c r="A29" s="26" t="s">
        <v>177</v>
      </c>
      <c r="B29" s="28" t="s">
        <v>334</v>
      </c>
      <c r="C29" s="28" t="s">
        <v>181</v>
      </c>
      <c r="D29" s="28" t="s">
        <v>181</v>
      </c>
      <c r="E29" s="28" t="s">
        <v>334</v>
      </c>
      <c r="F29" s="28" t="s">
        <v>334</v>
      </c>
      <c r="G29" s="28" t="s">
        <v>334</v>
      </c>
      <c r="H29" s="28" t="s">
        <v>334</v>
      </c>
      <c r="I29" s="28" t="s">
        <v>334</v>
      </c>
      <c r="J29" s="28" t="s">
        <v>334</v>
      </c>
      <c r="K29" s="29" t="s">
        <v>537</v>
      </c>
      <c r="L29" s="29" t="s">
        <v>537</v>
      </c>
      <c r="M29" s="29" t="s">
        <v>537</v>
      </c>
      <c r="N29" s="28"/>
      <c r="O29" s="28"/>
      <c r="P29" s="28" t="s">
        <v>181</v>
      </c>
      <c r="Q29" s="28" t="s">
        <v>181</v>
      </c>
      <c r="R29" s="28"/>
      <c r="S29" s="28"/>
      <c r="T29" s="28"/>
      <c r="U29" s="28"/>
      <c r="V29" s="28"/>
      <c r="W29" s="28"/>
      <c r="X29" s="28"/>
      <c r="Y29" s="28"/>
      <c r="Z29" s="28"/>
      <c r="AA29" s="28" t="s">
        <v>334</v>
      </c>
      <c r="AB29" s="28"/>
      <c r="AC29" s="28"/>
      <c r="AD29" s="28"/>
      <c r="AE29" s="28"/>
      <c r="AF29" s="28"/>
      <c r="AG29" s="28"/>
      <c r="AH29" s="28" t="s">
        <v>178</v>
      </c>
      <c r="AJ29" s="28" t="s">
        <v>181</v>
      </c>
      <c r="AK29" s="28" t="s">
        <v>200</v>
      </c>
      <c r="AL29" s="28" t="s">
        <v>181</v>
      </c>
    </row>
    <row r="30" spans="1:38" x14ac:dyDescent="0.25">
      <c r="A30" s="26" t="s">
        <v>182</v>
      </c>
      <c r="B30" s="30">
        <f>1/3</f>
        <v>0.33333333333333331</v>
      </c>
      <c r="C30" s="30">
        <v>2</v>
      </c>
      <c r="D30" s="30">
        <v>2</v>
      </c>
      <c r="E30" s="30">
        <f t="shared" ref="E30:J30" si="1">1/3</f>
        <v>0.33333333333333331</v>
      </c>
      <c r="F30" s="30">
        <f t="shared" si="1"/>
        <v>0.33333333333333331</v>
      </c>
      <c r="G30" s="30">
        <f t="shared" si="1"/>
        <v>0.33333333333333331</v>
      </c>
      <c r="H30" s="30">
        <f t="shared" si="1"/>
        <v>0.33333333333333331</v>
      </c>
      <c r="I30" s="30">
        <f t="shared" si="1"/>
        <v>0.33333333333333331</v>
      </c>
      <c r="J30" s="30">
        <f t="shared" si="1"/>
        <v>0.33333333333333331</v>
      </c>
      <c r="K30" s="30">
        <f>AVERAGE(1/3,0)</f>
        <v>0.16666666666666666</v>
      </c>
      <c r="L30" s="30">
        <f>AVERAGE(1/3,0)</f>
        <v>0.16666666666666666</v>
      </c>
      <c r="M30" s="30">
        <f>AVERAGE(1/3,0)</f>
        <v>0.16666666666666666</v>
      </c>
      <c r="N30" s="30"/>
      <c r="O30" s="30"/>
      <c r="P30" s="30">
        <v>2</v>
      </c>
      <c r="Q30" s="30">
        <v>2</v>
      </c>
      <c r="R30" s="30"/>
      <c r="S30" s="30"/>
      <c r="T30" s="30"/>
      <c r="U30" s="30"/>
      <c r="V30" s="30"/>
      <c r="W30" s="30"/>
      <c r="X30" s="30"/>
      <c r="Y30" s="30"/>
      <c r="Z30" s="30"/>
      <c r="AA30" s="30">
        <f>1/3</f>
        <v>0.33333333333333331</v>
      </c>
      <c r="AB30" s="30"/>
      <c r="AC30" s="30"/>
      <c r="AD30" s="30"/>
      <c r="AE30" s="30"/>
      <c r="AF30" s="30"/>
      <c r="AG30" s="30"/>
      <c r="AH30" s="30">
        <v>4</v>
      </c>
      <c r="AJ30" s="30">
        <v>2</v>
      </c>
      <c r="AK30" s="30">
        <v>3</v>
      </c>
      <c r="AL30" s="30">
        <v>2</v>
      </c>
    </row>
    <row r="31" spans="1:38" x14ac:dyDescent="0.25">
      <c r="K31" s="223" t="s">
        <v>1316</v>
      </c>
      <c r="L31" s="223"/>
      <c r="M31" s="223"/>
      <c r="AJ31" s="223" t="s">
        <v>1317</v>
      </c>
      <c r="AK31" s="223"/>
      <c r="AL31" s="223"/>
    </row>
    <row r="32" spans="1:38" x14ac:dyDescent="0.25">
      <c r="A32" s="31" t="s">
        <v>183</v>
      </c>
    </row>
    <row r="33" spans="1:13" x14ac:dyDescent="0.25">
      <c r="A33" s="26" t="s">
        <v>1318</v>
      </c>
      <c r="B33" s="56"/>
      <c r="C33" s="77"/>
      <c r="H33" s="77"/>
      <c r="M33" s="77"/>
    </row>
    <row r="34" spans="1:13" ht="39" customHeight="1" x14ac:dyDescent="0.25">
      <c r="A34" s="256" t="s">
        <v>1319</v>
      </c>
      <c r="B34" s="256"/>
      <c r="C34" s="256"/>
      <c r="D34" s="256"/>
      <c r="E34" s="256"/>
      <c r="F34" s="256"/>
      <c r="G34" s="256"/>
    </row>
    <row r="35" spans="1:13" x14ac:dyDescent="0.25">
      <c r="A35" s="26" t="s">
        <v>1320</v>
      </c>
      <c r="B35" s="56"/>
    </row>
    <row r="37" spans="1:13" x14ac:dyDescent="0.25">
      <c r="A37" s="25" t="s">
        <v>681</v>
      </c>
    </row>
    <row r="38" spans="1:13" x14ac:dyDescent="0.25">
      <c r="A38" s="109" t="s">
        <v>1321</v>
      </c>
      <c r="E38" s="26" t="s">
        <v>1145</v>
      </c>
      <c r="F38" s="26" t="s">
        <v>1145</v>
      </c>
    </row>
    <row r="39" spans="1:13" x14ac:dyDescent="0.25">
      <c r="A39" s="26" t="s">
        <v>1322</v>
      </c>
      <c r="E39" s="26" t="s">
        <v>1133</v>
      </c>
      <c r="F39" s="26" t="s">
        <v>1145</v>
      </c>
    </row>
    <row r="40" spans="1:13" x14ac:dyDescent="0.25">
      <c r="A40" s="26" t="s">
        <v>1323</v>
      </c>
      <c r="E40" s="194" t="s">
        <v>283</v>
      </c>
      <c r="F40" s="194" t="s">
        <v>1008</v>
      </c>
    </row>
    <row r="41" spans="1:13" x14ac:dyDescent="0.25">
      <c r="A41" s="26" t="s">
        <v>1324</v>
      </c>
      <c r="E41" s="26" t="s">
        <v>1099</v>
      </c>
      <c r="F41" s="26" t="s">
        <v>1099</v>
      </c>
    </row>
    <row r="42" spans="1:13" x14ac:dyDescent="0.25">
      <c r="A42" s="26" t="s">
        <v>1325</v>
      </c>
      <c r="E42" s="26" t="s">
        <v>1133</v>
      </c>
      <c r="F42" s="26" t="s">
        <v>1145</v>
      </c>
    </row>
    <row r="43" spans="1:13" x14ac:dyDescent="0.25">
      <c r="A43" s="26" t="s">
        <v>1326</v>
      </c>
      <c r="E43" s="26" t="s">
        <v>1145</v>
      </c>
      <c r="F43" s="26" t="s">
        <v>1145</v>
      </c>
    </row>
    <row r="45" spans="1:13" x14ac:dyDescent="0.25">
      <c r="A45" s="26" t="s">
        <v>1327</v>
      </c>
      <c r="E45" s="26" t="s">
        <v>322</v>
      </c>
      <c r="F45" s="26" t="s">
        <v>1099</v>
      </c>
    </row>
    <row r="46" spans="1:13" x14ac:dyDescent="0.25">
      <c r="A46" s="26" t="s">
        <v>1328</v>
      </c>
      <c r="E46" s="26" t="s">
        <v>1145</v>
      </c>
      <c r="F46" s="26" t="s">
        <v>1145</v>
      </c>
    </row>
    <row r="47" spans="1:13" x14ac:dyDescent="0.25">
      <c r="A47" s="26" t="s">
        <v>1329</v>
      </c>
      <c r="E47" s="26" t="s">
        <v>1145</v>
      </c>
      <c r="F47" s="26" t="s">
        <v>1145</v>
      </c>
    </row>
  </sheetData>
  <mergeCells count="8">
    <mergeCell ref="A34:G34"/>
    <mergeCell ref="K31:M31"/>
    <mergeCell ref="AJ31:AL31"/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96513-3D0F-43A0-8CA0-210C3E0111BD}">
  <dimension ref="A1:AH39"/>
  <sheetViews>
    <sheetView workbookViewId="0">
      <selection activeCell="K22" sqref="K22"/>
    </sheetView>
  </sheetViews>
  <sheetFormatPr defaultColWidth="9.140625" defaultRowHeight="15" x14ac:dyDescent="0.25"/>
  <cols>
    <col min="1" max="1" width="23.28515625" style="26" bestFit="1" customWidth="1"/>
    <col min="2" max="51" width="5.7109375" style="26" customWidth="1"/>
    <col min="52" max="16384" width="9.140625" style="26"/>
  </cols>
  <sheetData>
    <row r="1" spans="1:34" x14ac:dyDescent="0.25">
      <c r="A1" s="25" t="s">
        <v>116</v>
      </c>
      <c r="D1" s="25" t="s">
        <v>895</v>
      </c>
      <c r="I1" s="25" t="s">
        <v>1120</v>
      </c>
    </row>
    <row r="3" spans="1:34" ht="18" x14ac:dyDescent="0.25">
      <c r="A3" s="25" t="s">
        <v>119</v>
      </c>
      <c r="B3" s="215">
        <v>83.5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1330</v>
      </c>
      <c r="C4" s="215"/>
      <c r="D4" s="215"/>
      <c r="F4" s="216" t="s">
        <v>1331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899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28" t="s">
        <v>181</v>
      </c>
      <c r="C8" s="28" t="s">
        <v>556</v>
      </c>
      <c r="D8" s="28" t="s">
        <v>556</v>
      </c>
      <c r="E8" s="28" t="s">
        <v>385</v>
      </c>
      <c r="F8" s="28"/>
      <c r="G8" s="28" t="s">
        <v>385</v>
      </c>
      <c r="H8" s="28" t="s">
        <v>385</v>
      </c>
      <c r="I8" s="28" t="s">
        <v>385</v>
      </c>
      <c r="J8" s="28"/>
      <c r="K8" s="28" t="s">
        <v>385</v>
      </c>
      <c r="L8" s="28" t="s">
        <v>385</v>
      </c>
      <c r="M8" s="28" t="s">
        <v>385</v>
      </c>
      <c r="N8" s="28" t="s">
        <v>385</v>
      </c>
      <c r="O8" s="28" t="s">
        <v>385</v>
      </c>
      <c r="P8" s="28" t="s">
        <v>385</v>
      </c>
      <c r="Q8" s="28" t="s">
        <v>385</v>
      </c>
      <c r="R8" s="28"/>
      <c r="S8" s="28"/>
      <c r="T8" s="28"/>
      <c r="U8" s="28"/>
      <c r="V8" s="28"/>
      <c r="W8" s="28"/>
      <c r="X8" s="28"/>
      <c r="Y8" s="28"/>
      <c r="Z8" s="28"/>
      <c r="AA8" s="28" t="s">
        <v>1332</v>
      </c>
      <c r="AB8" s="28"/>
      <c r="AC8" s="28"/>
      <c r="AD8" s="28"/>
      <c r="AE8" s="28"/>
      <c r="AF8" s="28"/>
      <c r="AG8" s="28"/>
      <c r="AH8" s="28" t="s">
        <v>556</v>
      </c>
    </row>
    <row r="9" spans="1:34" x14ac:dyDescent="0.25">
      <c r="A9" s="26" t="s">
        <v>165</v>
      </c>
      <c r="B9" s="29" t="s">
        <v>387</v>
      </c>
      <c r="C9" s="28" t="s">
        <v>322</v>
      </c>
      <c r="D9" s="28" t="s">
        <v>322</v>
      </c>
      <c r="E9" s="29" t="s">
        <v>385</v>
      </c>
      <c r="F9" s="29"/>
      <c r="G9" s="29" t="s">
        <v>385</v>
      </c>
      <c r="H9" s="29" t="s">
        <v>385</v>
      </c>
      <c r="I9" s="29" t="s">
        <v>385</v>
      </c>
      <c r="J9" s="29"/>
      <c r="K9" s="29" t="s">
        <v>385</v>
      </c>
      <c r="L9" s="29" t="s">
        <v>385</v>
      </c>
      <c r="M9" s="29" t="s">
        <v>385</v>
      </c>
      <c r="N9" s="29" t="s">
        <v>385</v>
      </c>
      <c r="O9" s="29" t="s">
        <v>385</v>
      </c>
      <c r="P9" s="29" t="s">
        <v>385</v>
      </c>
      <c r="Q9" s="29" t="s">
        <v>385</v>
      </c>
      <c r="R9" s="29"/>
      <c r="S9" s="29"/>
      <c r="T9" s="29"/>
      <c r="U9" s="29"/>
      <c r="V9" s="29"/>
      <c r="W9" s="29"/>
      <c r="X9" s="29"/>
      <c r="Y9" s="29"/>
      <c r="Z9" s="29"/>
      <c r="AA9" s="29" t="s">
        <v>1332</v>
      </c>
      <c r="AB9" s="29"/>
      <c r="AC9" s="29"/>
      <c r="AD9" s="29"/>
      <c r="AE9" s="29"/>
      <c r="AF9" s="29"/>
      <c r="AG9" s="29"/>
      <c r="AH9" s="28" t="s">
        <v>322</v>
      </c>
    </row>
    <row r="10" spans="1:34" x14ac:dyDescent="0.25">
      <c r="A10" s="131" t="s">
        <v>168</v>
      </c>
      <c r="B10" s="157">
        <v>114</v>
      </c>
      <c r="C10" s="157">
        <v>98</v>
      </c>
      <c r="D10" s="157">
        <v>98</v>
      </c>
      <c r="E10" s="157">
        <v>42</v>
      </c>
      <c r="F10" s="157"/>
      <c r="G10" s="157">
        <v>42</v>
      </c>
      <c r="H10" s="157">
        <v>42</v>
      </c>
      <c r="I10" s="157">
        <v>42</v>
      </c>
      <c r="J10" s="157"/>
      <c r="K10" s="157">
        <v>42</v>
      </c>
      <c r="L10" s="157">
        <v>42</v>
      </c>
      <c r="M10" s="157">
        <v>42</v>
      </c>
      <c r="N10" s="157">
        <v>42</v>
      </c>
      <c r="O10" s="157">
        <v>42</v>
      </c>
      <c r="P10" s="157">
        <v>42</v>
      </c>
      <c r="Q10" s="157">
        <v>42</v>
      </c>
      <c r="R10" s="157"/>
      <c r="S10" s="157"/>
      <c r="T10" s="157"/>
      <c r="U10" s="157"/>
      <c r="V10" s="157"/>
      <c r="W10" s="157"/>
      <c r="X10" s="157"/>
      <c r="Y10" s="157"/>
      <c r="Z10" s="157"/>
      <c r="AA10" s="157">
        <v>208</v>
      </c>
      <c r="AB10" s="157"/>
      <c r="AC10" s="157"/>
      <c r="AD10" s="157"/>
      <c r="AE10" s="157"/>
      <c r="AF10" s="157"/>
      <c r="AG10" s="157"/>
      <c r="AH10" s="157">
        <v>98</v>
      </c>
    </row>
    <row r="11" spans="1:34" x14ac:dyDescent="0.25">
      <c r="A11" s="26" t="s">
        <v>169</v>
      </c>
      <c r="B11" s="28" t="s">
        <v>170</v>
      </c>
      <c r="C11" s="29" t="s">
        <v>170</v>
      </c>
      <c r="D11" s="29" t="s">
        <v>170</v>
      </c>
      <c r="E11" s="29" t="s">
        <v>170</v>
      </c>
      <c r="F11" s="28"/>
      <c r="G11" s="29" t="s">
        <v>170</v>
      </c>
      <c r="H11" s="29" t="s">
        <v>170</v>
      </c>
      <c r="I11" s="29" t="s">
        <v>170</v>
      </c>
      <c r="J11" s="28"/>
      <c r="K11" s="29" t="s">
        <v>170</v>
      </c>
      <c r="L11" s="29" t="s">
        <v>170</v>
      </c>
      <c r="M11" s="29" t="s">
        <v>170</v>
      </c>
      <c r="N11" s="29" t="s">
        <v>170</v>
      </c>
      <c r="O11" s="29" t="s">
        <v>170</v>
      </c>
      <c r="P11" s="29" t="s">
        <v>170</v>
      </c>
      <c r="Q11" s="29" t="s">
        <v>170</v>
      </c>
      <c r="R11" s="28"/>
      <c r="S11" s="28"/>
      <c r="T11" s="28"/>
      <c r="U11" s="28"/>
      <c r="V11" s="28"/>
      <c r="W11" s="28"/>
      <c r="X11" s="28"/>
      <c r="Y11" s="28"/>
      <c r="Z11" s="28"/>
      <c r="AA11" s="29" t="s">
        <v>170</v>
      </c>
      <c r="AB11" s="28"/>
      <c r="AC11" s="29"/>
      <c r="AD11" s="28"/>
      <c r="AE11" s="29"/>
      <c r="AF11" s="28"/>
      <c r="AG11" s="28"/>
      <c r="AH11" s="29" t="s">
        <v>170</v>
      </c>
    </row>
    <row r="12" spans="1:34" x14ac:dyDescent="0.25">
      <c r="A12" s="26" t="s">
        <v>171</v>
      </c>
      <c r="B12" s="28" t="s">
        <v>173</v>
      </c>
      <c r="C12" s="28" t="s">
        <v>170</v>
      </c>
      <c r="D12" s="28" t="s">
        <v>170</v>
      </c>
      <c r="E12" s="28" t="s">
        <v>173</v>
      </c>
      <c r="F12" s="28"/>
      <c r="G12" s="28" t="s">
        <v>173</v>
      </c>
      <c r="H12" s="28" t="s">
        <v>173</v>
      </c>
      <c r="I12" s="28" t="s">
        <v>173</v>
      </c>
      <c r="J12" s="28"/>
      <c r="K12" s="28" t="s">
        <v>173</v>
      </c>
      <c r="L12" s="28" t="s">
        <v>173</v>
      </c>
      <c r="M12" s="28" t="s">
        <v>173</v>
      </c>
      <c r="N12" s="28" t="s">
        <v>173</v>
      </c>
      <c r="O12" s="28" t="s">
        <v>173</v>
      </c>
      <c r="P12" s="28" t="s">
        <v>173</v>
      </c>
      <c r="Q12" s="28" t="s">
        <v>173</v>
      </c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173</v>
      </c>
      <c r="AB12" s="28"/>
      <c r="AC12" s="28"/>
      <c r="AD12" s="28"/>
      <c r="AE12" s="28"/>
      <c r="AF12" s="28"/>
      <c r="AG12" s="28"/>
      <c r="AH12" s="28" t="s">
        <v>170</v>
      </c>
    </row>
    <row r="13" spans="1:34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/>
      <c r="G13" s="28" t="s">
        <v>173</v>
      </c>
      <c r="H13" s="28" t="s">
        <v>173</v>
      </c>
      <c r="I13" s="28" t="s">
        <v>173</v>
      </c>
      <c r="J13" s="28"/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173</v>
      </c>
      <c r="AB13" s="28"/>
      <c r="AC13" s="28"/>
      <c r="AD13" s="28"/>
      <c r="AE13" s="28"/>
      <c r="AF13" s="28"/>
      <c r="AG13" s="28"/>
      <c r="AH13" s="28" t="s">
        <v>173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/>
      <c r="G14" s="28" t="s">
        <v>173</v>
      </c>
      <c r="H14" s="28" t="s">
        <v>173</v>
      </c>
      <c r="I14" s="28" t="s">
        <v>173</v>
      </c>
      <c r="J14" s="28"/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173</v>
      </c>
      <c r="AB14" s="28"/>
      <c r="AC14" s="28"/>
      <c r="AD14" s="28"/>
      <c r="AE14" s="28"/>
      <c r="AF14" s="28"/>
      <c r="AG14" s="28"/>
      <c r="AH14" s="28" t="s">
        <v>173</v>
      </c>
    </row>
    <row r="15" spans="1:34" x14ac:dyDescent="0.25">
      <c r="A15" s="26" t="s">
        <v>175</v>
      </c>
      <c r="B15" s="28" t="s">
        <v>160</v>
      </c>
      <c r="C15" s="28" t="s">
        <v>199</v>
      </c>
      <c r="D15" s="28" t="s">
        <v>199</v>
      </c>
      <c r="E15" s="28" t="s">
        <v>160</v>
      </c>
      <c r="F15" s="28"/>
      <c r="G15" s="28" t="s">
        <v>160</v>
      </c>
      <c r="H15" s="28" t="s">
        <v>160</v>
      </c>
      <c r="I15" s="28" t="s">
        <v>160</v>
      </c>
      <c r="J15" s="28"/>
      <c r="K15" s="28" t="s">
        <v>160</v>
      </c>
      <c r="L15" s="28" t="s">
        <v>160</v>
      </c>
      <c r="M15" s="28" t="s">
        <v>160</v>
      </c>
      <c r="N15" s="28" t="s">
        <v>160</v>
      </c>
      <c r="O15" s="28" t="s">
        <v>160</v>
      </c>
      <c r="P15" s="28" t="s">
        <v>160</v>
      </c>
      <c r="Q15" s="28" t="s">
        <v>160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160</v>
      </c>
      <c r="AB15" s="28"/>
      <c r="AC15" s="28"/>
      <c r="AD15" s="28"/>
      <c r="AE15" s="28"/>
      <c r="AF15" s="28"/>
      <c r="AG15" s="28"/>
      <c r="AH15" s="28" t="s">
        <v>199</v>
      </c>
    </row>
    <row r="16" spans="1:34" x14ac:dyDescent="0.25">
      <c r="A16" s="26" t="s">
        <v>176</v>
      </c>
      <c r="B16" s="30">
        <v>2.75</v>
      </c>
      <c r="C16" s="30">
        <v>-2</v>
      </c>
      <c r="D16" s="30">
        <v>-2</v>
      </c>
      <c r="E16" s="30">
        <v>2.5</v>
      </c>
      <c r="F16" s="30"/>
      <c r="G16" s="30">
        <v>2.5</v>
      </c>
      <c r="H16" s="30">
        <v>2.5</v>
      </c>
      <c r="I16" s="30">
        <v>2.5</v>
      </c>
      <c r="J16" s="30"/>
      <c r="K16" s="30">
        <v>2.5</v>
      </c>
      <c r="L16" s="30">
        <v>2.5</v>
      </c>
      <c r="M16" s="30">
        <v>2.5</v>
      </c>
      <c r="N16" s="30">
        <v>2.5</v>
      </c>
      <c r="O16" s="30">
        <v>2.5</v>
      </c>
      <c r="P16" s="30">
        <v>2.5</v>
      </c>
      <c r="Q16" s="30">
        <v>2.5</v>
      </c>
      <c r="R16" s="30"/>
      <c r="S16" s="30"/>
      <c r="T16" s="30"/>
      <c r="U16" s="30"/>
      <c r="V16" s="30"/>
      <c r="W16" s="30"/>
      <c r="X16" s="30"/>
      <c r="Y16" s="30"/>
      <c r="Z16" s="30"/>
      <c r="AA16" s="30">
        <v>2.5</v>
      </c>
      <c r="AB16" s="30"/>
      <c r="AC16" s="30"/>
      <c r="AD16" s="30"/>
      <c r="AE16" s="30"/>
      <c r="AF16" s="30"/>
      <c r="AG16" s="30"/>
      <c r="AH16" s="30">
        <v>-2</v>
      </c>
    </row>
    <row r="17" spans="1:34" x14ac:dyDescent="0.25">
      <c r="A17" s="26" t="s">
        <v>177</v>
      </c>
      <c r="B17" s="28" t="s">
        <v>181</v>
      </c>
      <c r="C17" s="28" t="s">
        <v>334</v>
      </c>
      <c r="D17" s="28" t="s">
        <v>334</v>
      </c>
      <c r="E17" s="28" t="s">
        <v>181</v>
      </c>
      <c r="F17" s="28"/>
      <c r="G17" s="28" t="s">
        <v>181</v>
      </c>
      <c r="H17" s="28" t="s">
        <v>181</v>
      </c>
      <c r="I17" s="28" t="s">
        <v>181</v>
      </c>
      <c r="J17" s="28"/>
      <c r="K17" s="28" t="s">
        <v>181</v>
      </c>
      <c r="L17" s="28" t="s">
        <v>181</v>
      </c>
      <c r="M17" s="28" t="s">
        <v>181</v>
      </c>
      <c r="N17" s="28" t="s">
        <v>181</v>
      </c>
      <c r="O17" s="28" t="s">
        <v>181</v>
      </c>
      <c r="P17" s="28" t="s">
        <v>181</v>
      </c>
      <c r="Q17" s="28" t="s">
        <v>181</v>
      </c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1333</v>
      </c>
      <c r="AB17" s="28"/>
      <c r="AC17" s="28"/>
      <c r="AD17" s="28"/>
      <c r="AE17" s="28"/>
      <c r="AF17" s="28"/>
      <c r="AG17" s="28"/>
      <c r="AH17" s="28" t="s">
        <v>334</v>
      </c>
    </row>
    <row r="18" spans="1:34" x14ac:dyDescent="0.25">
      <c r="A18" s="26" t="s">
        <v>182</v>
      </c>
      <c r="B18" s="30">
        <v>2</v>
      </c>
      <c r="C18" s="30">
        <f t="shared" ref="C18:D18" si="0">1/3</f>
        <v>0.33333333333333331</v>
      </c>
      <c r="D18" s="30">
        <f t="shared" si="0"/>
        <v>0.33333333333333331</v>
      </c>
      <c r="E18" s="30">
        <v>2</v>
      </c>
      <c r="F18" s="30"/>
      <c r="G18" s="30">
        <v>2</v>
      </c>
      <c r="H18" s="30">
        <v>2</v>
      </c>
      <c r="I18" s="30">
        <v>2</v>
      </c>
      <c r="J18" s="30"/>
      <c r="K18" s="30">
        <v>2</v>
      </c>
      <c r="L18" s="30">
        <v>2</v>
      </c>
      <c r="M18" s="30">
        <v>2</v>
      </c>
      <c r="N18" s="30">
        <v>2</v>
      </c>
      <c r="O18" s="30">
        <v>2</v>
      </c>
      <c r="P18" s="30">
        <v>2</v>
      </c>
      <c r="Q18" s="30">
        <v>2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v>2.5</v>
      </c>
      <c r="AB18" s="30"/>
      <c r="AC18" s="30"/>
      <c r="AD18" s="30"/>
      <c r="AE18" s="30"/>
      <c r="AF18" s="30"/>
      <c r="AG18" s="30"/>
      <c r="AH18" s="30">
        <f>1/3</f>
        <v>0.33333333333333331</v>
      </c>
    </row>
    <row r="20" spans="1:34" x14ac:dyDescent="0.25">
      <c r="A20" s="26" t="s">
        <v>159</v>
      </c>
      <c r="B20" s="28" t="s">
        <v>1126</v>
      </c>
      <c r="C20" s="28" t="s">
        <v>385</v>
      </c>
      <c r="D20" s="28" t="s">
        <v>385</v>
      </c>
      <c r="E20" s="28" t="s">
        <v>556</v>
      </c>
      <c r="F20" s="28"/>
      <c r="G20" s="28" t="s">
        <v>556</v>
      </c>
      <c r="H20" s="28" t="s">
        <v>556</v>
      </c>
      <c r="I20" s="28" t="s">
        <v>556</v>
      </c>
      <c r="J20" s="28"/>
      <c r="K20" s="28" t="s">
        <v>556</v>
      </c>
      <c r="L20" s="28" t="s">
        <v>556</v>
      </c>
      <c r="M20" s="28" t="s">
        <v>556</v>
      </c>
      <c r="N20" s="28" t="s">
        <v>556</v>
      </c>
      <c r="O20" s="28" t="s">
        <v>556</v>
      </c>
      <c r="P20" s="28" t="s">
        <v>556</v>
      </c>
      <c r="Q20" s="28" t="s">
        <v>556</v>
      </c>
      <c r="R20" s="28"/>
      <c r="S20" s="28"/>
      <c r="T20" s="28"/>
      <c r="U20" s="28"/>
      <c r="V20" s="28"/>
      <c r="W20" s="28"/>
      <c r="X20" s="28"/>
      <c r="Y20" s="28"/>
      <c r="Z20" s="28"/>
      <c r="AA20" s="28" t="s">
        <v>556</v>
      </c>
      <c r="AB20" s="28"/>
      <c r="AC20" s="28"/>
      <c r="AD20" s="28"/>
      <c r="AE20" s="28"/>
      <c r="AF20" s="28"/>
      <c r="AG20" s="28"/>
      <c r="AH20" s="28" t="s">
        <v>385</v>
      </c>
    </row>
    <row r="21" spans="1:34" x14ac:dyDescent="0.25">
      <c r="A21" s="26" t="s">
        <v>165</v>
      </c>
      <c r="B21" s="28" t="s">
        <v>322</v>
      </c>
      <c r="C21" s="29" t="s">
        <v>385</v>
      </c>
      <c r="D21" s="29" t="s">
        <v>385</v>
      </c>
      <c r="E21" s="28" t="s">
        <v>322</v>
      </c>
      <c r="F21" s="29"/>
      <c r="G21" s="28" t="s">
        <v>322</v>
      </c>
      <c r="H21" s="28" t="s">
        <v>322</v>
      </c>
      <c r="I21" s="28" t="s">
        <v>322</v>
      </c>
      <c r="J21" s="29"/>
      <c r="K21" s="29" t="s">
        <v>614</v>
      </c>
      <c r="L21" s="29" t="s">
        <v>614</v>
      </c>
      <c r="M21" s="29" t="s">
        <v>614</v>
      </c>
      <c r="N21" s="28" t="s">
        <v>322</v>
      </c>
      <c r="O21" s="28" t="s">
        <v>322</v>
      </c>
      <c r="P21" s="29" t="s">
        <v>614</v>
      </c>
      <c r="Q21" s="29" t="s">
        <v>614</v>
      </c>
      <c r="R21" s="29"/>
      <c r="S21" s="29"/>
      <c r="T21" s="29"/>
      <c r="U21" s="29"/>
      <c r="V21" s="29"/>
      <c r="W21" s="29"/>
      <c r="X21" s="29"/>
      <c r="Y21" s="29"/>
      <c r="Z21" s="29"/>
      <c r="AA21" s="28" t="s">
        <v>322</v>
      </c>
      <c r="AB21" s="29"/>
      <c r="AC21" s="29"/>
      <c r="AD21" s="29"/>
      <c r="AE21" s="29"/>
      <c r="AF21" s="29"/>
      <c r="AG21" s="29"/>
      <c r="AH21" s="29" t="s">
        <v>385</v>
      </c>
    </row>
    <row r="22" spans="1:34" x14ac:dyDescent="0.25">
      <c r="A22" s="131" t="s">
        <v>168</v>
      </c>
      <c r="B22" s="157">
        <v>98</v>
      </c>
      <c r="C22" s="157">
        <v>42</v>
      </c>
      <c r="D22" s="157">
        <v>42</v>
      </c>
      <c r="E22" s="157">
        <v>98</v>
      </c>
      <c r="F22" s="157"/>
      <c r="G22" s="157">
        <v>98</v>
      </c>
      <c r="H22" s="157">
        <v>98</v>
      </c>
      <c r="I22" s="157">
        <v>98</v>
      </c>
      <c r="J22" s="157"/>
      <c r="K22" s="157">
        <v>151</v>
      </c>
      <c r="L22" s="157">
        <v>151</v>
      </c>
      <c r="M22" s="157">
        <v>151</v>
      </c>
      <c r="N22" s="157">
        <v>98</v>
      </c>
      <c r="O22" s="157">
        <v>98</v>
      </c>
      <c r="P22" s="157">
        <v>151</v>
      </c>
      <c r="Q22" s="157">
        <v>151</v>
      </c>
      <c r="R22" s="157"/>
      <c r="S22" s="157"/>
      <c r="T22" s="157"/>
      <c r="U22" s="157"/>
      <c r="V22" s="157"/>
      <c r="W22" s="157"/>
      <c r="X22" s="157"/>
      <c r="Y22" s="157"/>
      <c r="Z22" s="157"/>
      <c r="AA22" s="157">
        <v>98</v>
      </c>
      <c r="AB22" s="157"/>
      <c r="AC22" s="157"/>
      <c r="AD22" s="157"/>
      <c r="AE22" s="157"/>
      <c r="AF22" s="157"/>
      <c r="AG22" s="157"/>
      <c r="AH22" s="157">
        <v>42</v>
      </c>
    </row>
    <row r="23" spans="1:34" x14ac:dyDescent="0.25">
      <c r="A23" s="26" t="s">
        <v>169</v>
      </c>
      <c r="B23" s="29" t="s">
        <v>170</v>
      </c>
      <c r="C23" s="29" t="s">
        <v>170</v>
      </c>
      <c r="D23" s="29" t="s">
        <v>170</v>
      </c>
      <c r="E23" s="29" t="s">
        <v>170</v>
      </c>
      <c r="F23" s="28"/>
      <c r="G23" s="29" t="s">
        <v>170</v>
      </c>
      <c r="H23" s="29" t="s">
        <v>170</v>
      </c>
      <c r="I23" s="29" t="s">
        <v>170</v>
      </c>
      <c r="J23" s="28"/>
      <c r="K23" s="29" t="s">
        <v>266</v>
      </c>
      <c r="L23" s="29" t="s">
        <v>266</v>
      </c>
      <c r="M23" s="29" t="s">
        <v>266</v>
      </c>
      <c r="N23" s="29" t="s">
        <v>170</v>
      </c>
      <c r="O23" s="29" t="s">
        <v>170</v>
      </c>
      <c r="P23" s="29" t="s">
        <v>266</v>
      </c>
      <c r="Q23" s="29" t="s">
        <v>266</v>
      </c>
      <c r="R23" s="28"/>
      <c r="S23" s="28"/>
      <c r="T23" s="28"/>
      <c r="U23" s="28"/>
      <c r="V23" s="28"/>
      <c r="W23" s="28"/>
      <c r="X23" s="28"/>
      <c r="Y23" s="28"/>
      <c r="Z23" s="28"/>
      <c r="AA23" s="29" t="s">
        <v>170</v>
      </c>
      <c r="AB23" s="28"/>
      <c r="AC23" s="29"/>
      <c r="AD23" s="28"/>
      <c r="AE23" s="29"/>
      <c r="AF23" s="28"/>
      <c r="AG23" s="28"/>
      <c r="AH23" s="29" t="s">
        <v>170</v>
      </c>
    </row>
    <row r="24" spans="1:34" x14ac:dyDescent="0.25">
      <c r="A24" s="26" t="s">
        <v>171</v>
      </c>
      <c r="B24" s="28" t="s">
        <v>170</v>
      </c>
      <c r="C24" s="28" t="s">
        <v>173</v>
      </c>
      <c r="D24" s="28" t="s">
        <v>173</v>
      </c>
      <c r="E24" s="28" t="s">
        <v>170</v>
      </c>
      <c r="F24" s="28"/>
      <c r="G24" s="28" t="s">
        <v>170</v>
      </c>
      <c r="H24" s="28" t="s">
        <v>170</v>
      </c>
      <c r="I24" s="28" t="s">
        <v>170</v>
      </c>
      <c r="J24" s="28"/>
      <c r="K24" s="28" t="s">
        <v>266</v>
      </c>
      <c r="L24" s="28" t="s">
        <v>266</v>
      </c>
      <c r="M24" s="28" t="s">
        <v>266</v>
      </c>
      <c r="N24" s="28" t="s">
        <v>170</v>
      </c>
      <c r="O24" s="28" t="s">
        <v>170</v>
      </c>
      <c r="P24" s="28" t="s">
        <v>266</v>
      </c>
      <c r="Q24" s="28" t="s">
        <v>266</v>
      </c>
      <c r="R24" s="28"/>
      <c r="S24" s="28"/>
      <c r="T24" s="28"/>
      <c r="U24" s="28"/>
      <c r="V24" s="28"/>
      <c r="W24" s="28"/>
      <c r="X24" s="28"/>
      <c r="Y24" s="28"/>
      <c r="Z24" s="28"/>
      <c r="AA24" s="28" t="s">
        <v>170</v>
      </c>
      <c r="AB24" s="28"/>
      <c r="AC24" s="28"/>
      <c r="AD24" s="28"/>
      <c r="AE24" s="28"/>
      <c r="AF24" s="28"/>
      <c r="AG24" s="28"/>
      <c r="AH24" s="28" t="s">
        <v>173</v>
      </c>
    </row>
    <row r="25" spans="1:34" x14ac:dyDescent="0.25">
      <c r="A25" s="26" t="s">
        <v>172</v>
      </c>
      <c r="B25" s="28" t="s">
        <v>173</v>
      </c>
      <c r="C25" s="28" t="s">
        <v>173</v>
      </c>
      <c r="D25" s="28" t="s">
        <v>173</v>
      </c>
      <c r="E25" s="28" t="s">
        <v>173</v>
      </c>
      <c r="F25" s="28"/>
      <c r="G25" s="28" t="s">
        <v>173</v>
      </c>
      <c r="H25" s="28" t="s">
        <v>173</v>
      </c>
      <c r="I25" s="28" t="s">
        <v>173</v>
      </c>
      <c r="J25" s="28"/>
      <c r="K25" s="28" t="s">
        <v>173</v>
      </c>
      <c r="L25" s="28" t="s">
        <v>173</v>
      </c>
      <c r="M25" s="28" t="s">
        <v>173</v>
      </c>
      <c r="N25" s="28" t="s">
        <v>173</v>
      </c>
      <c r="O25" s="28" t="s">
        <v>173</v>
      </c>
      <c r="P25" s="28" t="s">
        <v>173</v>
      </c>
      <c r="Q25" s="28" t="s">
        <v>173</v>
      </c>
      <c r="R25" s="28"/>
      <c r="S25" s="28"/>
      <c r="T25" s="28"/>
      <c r="U25" s="28"/>
      <c r="V25" s="28"/>
      <c r="W25" s="28"/>
      <c r="X25" s="28"/>
      <c r="Y25" s="28"/>
      <c r="Z25" s="28"/>
      <c r="AA25" s="28" t="s">
        <v>173</v>
      </c>
      <c r="AB25" s="28"/>
      <c r="AC25" s="28"/>
      <c r="AD25" s="28"/>
      <c r="AE25" s="28"/>
      <c r="AF25" s="28"/>
      <c r="AG25" s="28"/>
      <c r="AH25" s="28" t="s">
        <v>173</v>
      </c>
    </row>
    <row r="26" spans="1:34" x14ac:dyDescent="0.25">
      <c r="A26" s="26" t="s">
        <v>174</v>
      </c>
      <c r="B26" s="28" t="s">
        <v>173</v>
      </c>
      <c r="C26" s="28" t="s">
        <v>173</v>
      </c>
      <c r="D26" s="28" t="s">
        <v>173</v>
      </c>
      <c r="E26" s="28" t="s">
        <v>173</v>
      </c>
      <c r="F26" s="28"/>
      <c r="G26" s="28" t="s">
        <v>173</v>
      </c>
      <c r="H26" s="28" t="s">
        <v>173</v>
      </c>
      <c r="I26" s="28" t="s">
        <v>173</v>
      </c>
      <c r="J26" s="28"/>
      <c r="K26" s="28" t="s">
        <v>173</v>
      </c>
      <c r="L26" s="28" t="s">
        <v>173</v>
      </c>
      <c r="M26" s="28" t="s">
        <v>173</v>
      </c>
      <c r="N26" s="28" t="s">
        <v>173</v>
      </c>
      <c r="O26" s="28" t="s">
        <v>173</v>
      </c>
      <c r="P26" s="28" t="s">
        <v>173</v>
      </c>
      <c r="Q26" s="28" t="s">
        <v>173</v>
      </c>
      <c r="R26" s="28"/>
      <c r="S26" s="28"/>
      <c r="T26" s="28"/>
      <c r="U26" s="28"/>
      <c r="V26" s="28"/>
      <c r="W26" s="28"/>
      <c r="X26" s="28"/>
      <c r="Y26" s="28"/>
      <c r="Z26" s="28"/>
      <c r="AA26" s="28" t="s">
        <v>173</v>
      </c>
      <c r="AB26" s="28"/>
      <c r="AC26" s="28"/>
      <c r="AD26" s="28"/>
      <c r="AE26" s="28"/>
      <c r="AF26" s="28"/>
      <c r="AG26" s="28"/>
      <c r="AH26" s="28" t="s">
        <v>173</v>
      </c>
    </row>
    <row r="27" spans="1:34" x14ac:dyDescent="0.25">
      <c r="A27" s="26" t="s">
        <v>175</v>
      </c>
      <c r="B27" s="28" t="s">
        <v>199</v>
      </c>
      <c r="C27" s="28" t="s">
        <v>160</v>
      </c>
      <c r="D27" s="28" t="s">
        <v>160</v>
      </c>
      <c r="E27" s="28" t="s">
        <v>199</v>
      </c>
      <c r="F27" s="28"/>
      <c r="G27" s="28" t="s">
        <v>199</v>
      </c>
      <c r="H27" s="28" t="s">
        <v>199</v>
      </c>
      <c r="I27" s="28" t="s">
        <v>199</v>
      </c>
      <c r="J27" s="28"/>
      <c r="K27" s="28" t="s">
        <v>199</v>
      </c>
      <c r="L27" s="28" t="s">
        <v>199</v>
      </c>
      <c r="M27" s="28" t="s">
        <v>199</v>
      </c>
      <c r="N27" s="28" t="s">
        <v>199</v>
      </c>
      <c r="O27" s="28" t="s">
        <v>199</v>
      </c>
      <c r="P27" s="28" t="s">
        <v>199</v>
      </c>
      <c r="Q27" s="28" t="s">
        <v>199</v>
      </c>
      <c r="R27" s="28"/>
      <c r="S27" s="28"/>
      <c r="T27" s="28"/>
      <c r="U27" s="28"/>
      <c r="V27" s="28"/>
      <c r="W27" s="28"/>
      <c r="X27" s="28"/>
      <c r="Y27" s="28"/>
      <c r="Z27" s="28"/>
      <c r="AA27" s="28" t="s">
        <v>199</v>
      </c>
      <c r="AB27" s="28"/>
      <c r="AC27" s="28"/>
      <c r="AD27" s="28"/>
      <c r="AE27" s="28"/>
      <c r="AF27" s="28"/>
      <c r="AG27" s="28"/>
      <c r="AH27" s="28" t="s">
        <v>160</v>
      </c>
    </row>
    <row r="28" spans="1:34" x14ac:dyDescent="0.25">
      <c r="A28" s="26" t="s">
        <v>176</v>
      </c>
      <c r="B28" s="30">
        <v>-2</v>
      </c>
      <c r="C28" s="30">
        <v>2.5</v>
      </c>
      <c r="D28" s="30">
        <v>2.5</v>
      </c>
      <c r="E28" s="30">
        <v>-2</v>
      </c>
      <c r="F28" s="30"/>
      <c r="G28" s="30">
        <v>-2</v>
      </c>
      <c r="H28" s="30">
        <v>-2</v>
      </c>
      <c r="I28" s="30">
        <v>-2</v>
      </c>
      <c r="J28" s="30"/>
      <c r="K28" s="30">
        <v>-2</v>
      </c>
      <c r="L28" s="30">
        <v>-2</v>
      </c>
      <c r="M28" s="30">
        <v>-2</v>
      </c>
      <c r="N28" s="30">
        <v>-2</v>
      </c>
      <c r="O28" s="30">
        <v>-2</v>
      </c>
      <c r="P28" s="30">
        <v>-2</v>
      </c>
      <c r="Q28" s="30">
        <v>-2</v>
      </c>
      <c r="R28" s="30"/>
      <c r="S28" s="30"/>
      <c r="T28" s="30"/>
      <c r="U28" s="30"/>
      <c r="V28" s="30"/>
      <c r="W28" s="30"/>
      <c r="X28" s="30"/>
      <c r="Y28" s="30"/>
      <c r="Z28" s="30"/>
      <c r="AA28" s="30">
        <v>-2</v>
      </c>
      <c r="AB28" s="30"/>
      <c r="AC28" s="30"/>
      <c r="AD28" s="30"/>
      <c r="AE28" s="30"/>
      <c r="AF28" s="30"/>
      <c r="AG28" s="30"/>
      <c r="AH28" s="30">
        <v>2.5</v>
      </c>
    </row>
    <row r="29" spans="1:34" x14ac:dyDescent="0.25">
      <c r="A29" s="26" t="s">
        <v>177</v>
      </c>
      <c r="B29" s="28" t="s">
        <v>334</v>
      </c>
      <c r="C29" s="28" t="s">
        <v>181</v>
      </c>
      <c r="D29" s="28" t="s">
        <v>181</v>
      </c>
      <c r="E29" s="28" t="s">
        <v>334</v>
      </c>
      <c r="F29" s="28"/>
      <c r="G29" s="28" t="s">
        <v>334</v>
      </c>
      <c r="H29" s="28" t="s">
        <v>334</v>
      </c>
      <c r="I29" s="28" t="s">
        <v>334</v>
      </c>
      <c r="J29" s="28"/>
      <c r="K29" s="29" t="s">
        <v>537</v>
      </c>
      <c r="L29" s="29" t="s">
        <v>537</v>
      </c>
      <c r="M29" s="29" t="s">
        <v>537</v>
      </c>
      <c r="N29" s="28" t="s">
        <v>334</v>
      </c>
      <c r="O29" s="28" t="s">
        <v>334</v>
      </c>
      <c r="P29" s="29" t="s">
        <v>537</v>
      </c>
      <c r="Q29" s="29" t="s">
        <v>537</v>
      </c>
      <c r="R29" s="28"/>
      <c r="S29" s="28"/>
      <c r="T29" s="28"/>
      <c r="U29" s="28"/>
      <c r="V29" s="28"/>
      <c r="W29" s="28"/>
      <c r="X29" s="28"/>
      <c r="Y29" s="28"/>
      <c r="Z29" s="28"/>
      <c r="AA29" s="28" t="s">
        <v>334</v>
      </c>
      <c r="AB29" s="28"/>
      <c r="AC29" s="28"/>
      <c r="AD29" s="28"/>
      <c r="AE29" s="28"/>
      <c r="AF29" s="28"/>
      <c r="AG29" s="28"/>
      <c r="AH29" s="28" t="s">
        <v>181</v>
      </c>
    </row>
    <row r="30" spans="1:34" x14ac:dyDescent="0.25">
      <c r="A30" s="26" t="s">
        <v>182</v>
      </c>
      <c r="B30" s="30">
        <f>1/3</f>
        <v>0.33333333333333331</v>
      </c>
      <c r="C30" s="30">
        <v>2</v>
      </c>
      <c r="D30" s="30">
        <v>2</v>
      </c>
      <c r="E30" s="30">
        <f>1/3</f>
        <v>0.33333333333333331</v>
      </c>
      <c r="F30" s="30"/>
      <c r="G30" s="30">
        <f>1/3</f>
        <v>0.33333333333333331</v>
      </c>
      <c r="H30" s="30">
        <f>1/3</f>
        <v>0.33333333333333331</v>
      </c>
      <c r="I30" s="30">
        <f>1/3</f>
        <v>0.33333333333333331</v>
      </c>
      <c r="J30" s="30"/>
      <c r="K30" s="30">
        <f>AVERAGE(1/3,0)</f>
        <v>0.16666666666666666</v>
      </c>
      <c r="L30" s="30">
        <f>AVERAGE(1/3,0)</f>
        <v>0.16666666666666666</v>
      </c>
      <c r="M30" s="30">
        <f>AVERAGE(1/3,0)</f>
        <v>0.16666666666666666</v>
      </c>
      <c r="N30" s="30">
        <f>1/3</f>
        <v>0.33333333333333331</v>
      </c>
      <c r="O30" s="30">
        <f>1/3</f>
        <v>0.33333333333333331</v>
      </c>
      <c r="P30" s="30">
        <f>AVERAGE(1/3,0)</f>
        <v>0.16666666666666666</v>
      </c>
      <c r="Q30" s="30">
        <f>AVERAGE(1/3,0)</f>
        <v>0.16666666666666666</v>
      </c>
      <c r="R30" s="30"/>
      <c r="S30" s="30"/>
      <c r="T30" s="30"/>
      <c r="U30" s="30"/>
      <c r="V30" s="30"/>
      <c r="W30" s="30"/>
      <c r="X30" s="30"/>
      <c r="Y30" s="30"/>
      <c r="Z30" s="30"/>
      <c r="AA30" s="30">
        <f>1/3</f>
        <v>0.33333333333333331</v>
      </c>
      <c r="AB30" s="30"/>
      <c r="AC30" s="30"/>
      <c r="AD30" s="30"/>
      <c r="AE30" s="30"/>
      <c r="AF30" s="30"/>
      <c r="AG30" s="30"/>
      <c r="AH30" s="30">
        <v>2</v>
      </c>
    </row>
    <row r="32" spans="1:34" x14ac:dyDescent="0.25">
      <c r="A32" s="31" t="s">
        <v>183</v>
      </c>
    </row>
    <row r="33" spans="1:15" x14ac:dyDescent="0.25">
      <c r="A33" s="26" t="s">
        <v>1334</v>
      </c>
      <c r="B33" s="56" t="s">
        <v>1335</v>
      </c>
      <c r="C33" s="77"/>
      <c r="H33" s="77"/>
      <c r="M33" s="77"/>
    </row>
    <row r="34" spans="1:15" x14ac:dyDescent="0.25">
      <c r="A34" s="118" t="s">
        <v>1336</v>
      </c>
      <c r="B34" s="56"/>
    </row>
    <row r="36" spans="1:15" x14ac:dyDescent="0.25">
      <c r="A36" s="25" t="s">
        <v>681</v>
      </c>
    </row>
    <row r="37" spans="1:15" x14ac:dyDescent="0.25">
      <c r="A37" s="26" t="s">
        <v>1337</v>
      </c>
      <c r="C37" s="235" t="s">
        <v>1338</v>
      </c>
      <c r="D37" s="235"/>
      <c r="E37" s="26" t="s">
        <v>1339</v>
      </c>
    </row>
    <row r="38" spans="1:15" x14ac:dyDescent="0.25">
      <c r="A38" s="77" t="s">
        <v>1340</v>
      </c>
      <c r="N38" s="26" t="s">
        <v>1341</v>
      </c>
      <c r="O38" s="26" t="s">
        <v>1341</v>
      </c>
    </row>
    <row r="39" spans="1:15" x14ac:dyDescent="0.25">
      <c r="A39" s="77" t="s">
        <v>1342</v>
      </c>
    </row>
  </sheetData>
  <mergeCells count="6">
    <mergeCell ref="C37:D37"/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14DCB-74B8-463A-B66E-C816815AE039}">
  <dimension ref="A1:AL49"/>
  <sheetViews>
    <sheetView topLeftCell="E10" workbookViewId="0">
      <selection activeCell="AL21" sqref="AL21"/>
    </sheetView>
  </sheetViews>
  <sheetFormatPr defaultColWidth="9.140625" defaultRowHeight="15" x14ac:dyDescent="0.25"/>
  <cols>
    <col min="1" max="1" width="23.28515625" style="26" bestFit="1" customWidth="1"/>
    <col min="2" max="58" width="5.7109375" style="26" customWidth="1"/>
    <col min="59" max="16384" width="9.140625" style="26"/>
  </cols>
  <sheetData>
    <row r="1" spans="1:38" x14ac:dyDescent="0.25">
      <c r="A1" s="25" t="s">
        <v>116</v>
      </c>
      <c r="D1" s="25" t="s">
        <v>895</v>
      </c>
      <c r="I1" s="25" t="s">
        <v>1120</v>
      </c>
    </row>
    <row r="3" spans="1:38" ht="18" x14ac:dyDescent="0.25">
      <c r="A3" s="25" t="s">
        <v>119</v>
      </c>
      <c r="B3" s="215">
        <v>84</v>
      </c>
      <c r="C3" s="215"/>
      <c r="D3" s="215"/>
      <c r="E3" s="25"/>
      <c r="F3" s="234" t="s">
        <v>120</v>
      </c>
      <c r="G3" s="234"/>
      <c r="H3" s="234"/>
      <c r="I3" s="234"/>
      <c r="J3" s="234"/>
      <c r="K3" s="234"/>
      <c r="L3" s="234"/>
      <c r="M3" s="234"/>
      <c r="N3" s="234"/>
      <c r="O3" s="234"/>
    </row>
    <row r="4" spans="1:38" ht="18" x14ac:dyDescent="0.25">
      <c r="A4" s="25" t="s">
        <v>121</v>
      </c>
      <c r="B4" s="215" t="s">
        <v>1343</v>
      </c>
      <c r="C4" s="215"/>
      <c r="D4" s="215"/>
      <c r="F4" s="216" t="s">
        <v>1344</v>
      </c>
      <c r="G4" s="217"/>
      <c r="H4" s="217"/>
      <c r="I4" s="217"/>
      <c r="J4" s="217"/>
      <c r="K4" s="217"/>
      <c r="L4" s="217"/>
      <c r="M4" s="217"/>
      <c r="N4" s="217"/>
      <c r="O4" s="217"/>
      <c r="P4" s="218"/>
    </row>
    <row r="5" spans="1:38" ht="18" x14ac:dyDescent="0.25">
      <c r="A5" s="25" t="s">
        <v>124</v>
      </c>
      <c r="B5" s="215" t="s">
        <v>899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0"/>
      <c r="P5" s="221"/>
    </row>
    <row r="7" spans="1:38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76" t="s">
        <v>158</v>
      </c>
      <c r="AJ7" s="58" t="s">
        <v>127</v>
      </c>
      <c r="AK7" s="58" t="s">
        <v>128</v>
      </c>
      <c r="AL7" s="33" t="s">
        <v>129</v>
      </c>
    </row>
    <row r="8" spans="1:38" x14ac:dyDescent="0.25">
      <c r="A8" s="26" t="s">
        <v>159</v>
      </c>
      <c r="B8" s="28" t="s">
        <v>414</v>
      </c>
      <c r="C8" s="28" t="s">
        <v>556</v>
      </c>
      <c r="D8" s="28" t="s">
        <v>556</v>
      </c>
      <c r="E8" s="28" t="s">
        <v>556</v>
      </c>
      <c r="F8" s="28"/>
      <c r="G8" s="80" t="s">
        <v>341</v>
      </c>
      <c r="H8" s="80" t="s">
        <v>341</v>
      </c>
      <c r="I8" s="80" t="s">
        <v>341</v>
      </c>
      <c r="J8" s="28"/>
      <c r="K8" s="80" t="s">
        <v>341</v>
      </c>
      <c r="L8" s="80" t="s">
        <v>341</v>
      </c>
      <c r="M8" s="80" t="s">
        <v>341</v>
      </c>
      <c r="N8" s="28"/>
      <c r="O8" s="28"/>
      <c r="P8" s="80" t="s">
        <v>341</v>
      </c>
      <c r="Q8" s="80" t="s">
        <v>341</v>
      </c>
      <c r="R8" s="28"/>
      <c r="S8" s="28"/>
      <c r="T8" s="28"/>
      <c r="U8" s="28"/>
      <c r="V8" s="28"/>
      <c r="W8" s="28"/>
      <c r="X8" s="28"/>
      <c r="Y8" s="28"/>
      <c r="Z8" s="28"/>
      <c r="AA8" s="28" t="s">
        <v>1345</v>
      </c>
      <c r="AB8" s="28" t="s">
        <v>727</v>
      </c>
      <c r="AC8" s="28" t="s">
        <v>256</v>
      </c>
      <c r="AD8" s="28" t="s">
        <v>256</v>
      </c>
      <c r="AE8" s="28" t="s">
        <v>256</v>
      </c>
      <c r="AF8" s="28"/>
      <c r="AG8" s="28" t="s">
        <v>1346</v>
      </c>
      <c r="AH8" s="28" t="s">
        <v>415</v>
      </c>
      <c r="AJ8" s="80" t="s">
        <v>341</v>
      </c>
      <c r="AK8" s="80" t="s">
        <v>341</v>
      </c>
      <c r="AL8" s="80" t="s">
        <v>341</v>
      </c>
    </row>
    <row r="9" spans="1:38" ht="15.75" customHeight="1" x14ac:dyDescent="0.25">
      <c r="A9" s="26" t="s">
        <v>165</v>
      </c>
      <c r="B9" s="28" t="s">
        <v>260</v>
      </c>
      <c r="C9" s="28" t="s">
        <v>322</v>
      </c>
      <c r="D9" s="28" t="s">
        <v>322</v>
      </c>
      <c r="E9" s="28" t="s">
        <v>322</v>
      </c>
      <c r="F9" s="29"/>
      <c r="G9" s="80" t="s">
        <v>341</v>
      </c>
      <c r="H9" s="80" t="s">
        <v>341</v>
      </c>
      <c r="I9" s="80" t="s">
        <v>341</v>
      </c>
      <c r="J9" s="29"/>
      <c r="K9" s="80" t="s">
        <v>341</v>
      </c>
      <c r="L9" s="80" t="s">
        <v>341</v>
      </c>
      <c r="M9" s="80" t="s">
        <v>341</v>
      </c>
      <c r="N9" s="29"/>
      <c r="O9" s="29"/>
      <c r="P9" s="80" t="s">
        <v>341</v>
      </c>
      <c r="Q9" s="80" t="s">
        <v>341</v>
      </c>
      <c r="R9" s="29"/>
      <c r="S9" s="29"/>
      <c r="T9" s="29"/>
      <c r="U9" s="29"/>
      <c r="V9" s="29"/>
      <c r="W9" s="29"/>
      <c r="X9" s="29"/>
      <c r="Y9" s="29"/>
      <c r="Z9" s="29"/>
      <c r="AA9" s="28" t="s">
        <v>1347</v>
      </c>
      <c r="AB9" s="28" t="s">
        <v>283</v>
      </c>
      <c r="AC9" s="28" t="s">
        <v>256</v>
      </c>
      <c r="AD9" s="28" t="s">
        <v>256</v>
      </c>
      <c r="AE9" s="28" t="s">
        <v>256</v>
      </c>
      <c r="AF9" s="29"/>
      <c r="AG9" s="28" t="s">
        <v>283</v>
      </c>
      <c r="AH9" s="28" t="s">
        <v>283</v>
      </c>
      <c r="AJ9" s="80" t="s">
        <v>341</v>
      </c>
      <c r="AK9" s="80" t="s">
        <v>341</v>
      </c>
      <c r="AL9" s="80" t="s">
        <v>341</v>
      </c>
    </row>
    <row r="10" spans="1:38" x14ac:dyDescent="0.25">
      <c r="A10" s="131" t="s">
        <v>168</v>
      </c>
      <c r="B10" s="157">
        <v>52</v>
      </c>
      <c r="C10" s="157">
        <v>98</v>
      </c>
      <c r="D10" s="157">
        <v>98</v>
      </c>
      <c r="E10" s="157">
        <v>98</v>
      </c>
      <c r="F10" s="157"/>
      <c r="G10" s="198"/>
      <c r="H10" s="198"/>
      <c r="I10" s="198"/>
      <c r="J10" s="157"/>
      <c r="K10" s="198"/>
      <c r="L10" s="198"/>
      <c r="M10" s="198"/>
      <c r="N10" s="157"/>
      <c r="O10" s="157"/>
      <c r="P10" s="198"/>
      <c r="Q10" s="198"/>
      <c r="R10" s="157"/>
      <c r="S10" s="157"/>
      <c r="T10" s="157"/>
      <c r="U10" s="157"/>
      <c r="V10" s="157"/>
      <c r="W10" s="157"/>
      <c r="X10" s="157"/>
      <c r="Y10" s="157"/>
      <c r="Z10" s="157"/>
      <c r="AA10" s="157">
        <v>263</v>
      </c>
      <c r="AB10" s="157">
        <v>56</v>
      </c>
      <c r="AC10" s="157">
        <v>50</v>
      </c>
      <c r="AD10" s="157">
        <v>50</v>
      </c>
      <c r="AE10" s="157">
        <v>50</v>
      </c>
      <c r="AF10" s="157"/>
      <c r="AG10" s="157">
        <v>56</v>
      </c>
      <c r="AH10" s="157">
        <v>56</v>
      </c>
      <c r="AJ10" s="198"/>
      <c r="AK10" s="198"/>
      <c r="AL10" s="198"/>
    </row>
    <row r="11" spans="1:38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28"/>
      <c r="G11" s="80" t="s">
        <v>173</v>
      </c>
      <c r="H11" s="80" t="s">
        <v>173</v>
      </c>
      <c r="I11" s="80" t="s">
        <v>173</v>
      </c>
      <c r="J11" s="28"/>
      <c r="K11" s="80" t="s">
        <v>173</v>
      </c>
      <c r="L11" s="80" t="s">
        <v>173</v>
      </c>
      <c r="M11" s="80" t="s">
        <v>173</v>
      </c>
      <c r="N11" s="28"/>
      <c r="O11" s="28"/>
      <c r="P11" s="80" t="s">
        <v>173</v>
      </c>
      <c r="Q11" s="80" t="s">
        <v>173</v>
      </c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170</v>
      </c>
      <c r="AB11" s="28" t="s">
        <v>170</v>
      </c>
      <c r="AC11" s="28" t="s">
        <v>170</v>
      </c>
      <c r="AD11" s="28" t="s">
        <v>170</v>
      </c>
      <c r="AE11" s="28" t="s">
        <v>170</v>
      </c>
      <c r="AF11" s="28"/>
      <c r="AG11" s="28" t="s">
        <v>170</v>
      </c>
      <c r="AH11" s="28" t="s">
        <v>170</v>
      </c>
      <c r="AJ11" s="80" t="s">
        <v>173</v>
      </c>
      <c r="AK11" s="80" t="s">
        <v>173</v>
      </c>
      <c r="AL11" s="80" t="s">
        <v>173</v>
      </c>
    </row>
    <row r="12" spans="1:38" x14ac:dyDescent="0.25">
      <c r="A12" s="26" t="s">
        <v>171</v>
      </c>
      <c r="B12" s="28" t="s">
        <v>173</v>
      </c>
      <c r="C12" s="28" t="s">
        <v>170</v>
      </c>
      <c r="D12" s="28" t="s">
        <v>170</v>
      </c>
      <c r="E12" s="28" t="s">
        <v>170</v>
      </c>
      <c r="F12" s="28"/>
      <c r="G12" s="80" t="s">
        <v>173</v>
      </c>
      <c r="H12" s="80" t="s">
        <v>173</v>
      </c>
      <c r="I12" s="80" t="s">
        <v>173</v>
      </c>
      <c r="J12" s="28"/>
      <c r="K12" s="80" t="s">
        <v>173</v>
      </c>
      <c r="L12" s="80" t="s">
        <v>173</v>
      </c>
      <c r="M12" s="80" t="s">
        <v>173</v>
      </c>
      <c r="N12" s="28"/>
      <c r="O12" s="28"/>
      <c r="P12" s="80" t="s">
        <v>173</v>
      </c>
      <c r="Q12" s="80" t="s">
        <v>173</v>
      </c>
      <c r="R12" s="28"/>
      <c r="S12" s="28"/>
      <c r="T12" s="28"/>
      <c r="U12" s="28"/>
      <c r="V12" s="28"/>
      <c r="W12" s="28"/>
      <c r="X12" s="28"/>
      <c r="Y12" s="28"/>
      <c r="Z12" s="28"/>
      <c r="AA12" s="28" t="s">
        <v>266</v>
      </c>
      <c r="AB12" s="28" t="s">
        <v>173</v>
      </c>
      <c r="AC12" s="29" t="s">
        <v>173</v>
      </c>
      <c r="AD12" s="29" t="s">
        <v>173</v>
      </c>
      <c r="AE12" s="29" t="s">
        <v>173</v>
      </c>
      <c r="AF12" s="28"/>
      <c r="AG12" s="28" t="s">
        <v>173</v>
      </c>
      <c r="AH12" s="28" t="s">
        <v>173</v>
      </c>
      <c r="AJ12" s="80" t="s">
        <v>173</v>
      </c>
      <c r="AK12" s="80" t="s">
        <v>173</v>
      </c>
      <c r="AL12" s="80" t="s">
        <v>173</v>
      </c>
    </row>
    <row r="13" spans="1:38" x14ac:dyDescent="0.25">
      <c r="A13" s="26" t="s">
        <v>172</v>
      </c>
      <c r="B13" s="28" t="s">
        <v>170</v>
      </c>
      <c r="C13" s="28" t="s">
        <v>173</v>
      </c>
      <c r="D13" s="28" t="s">
        <v>173</v>
      </c>
      <c r="E13" s="28" t="s">
        <v>173</v>
      </c>
      <c r="F13" s="28"/>
      <c r="G13" s="80" t="s">
        <v>173</v>
      </c>
      <c r="H13" s="80" t="s">
        <v>173</v>
      </c>
      <c r="I13" s="80" t="s">
        <v>173</v>
      </c>
      <c r="J13" s="28"/>
      <c r="K13" s="80" t="s">
        <v>173</v>
      </c>
      <c r="L13" s="80" t="s">
        <v>173</v>
      </c>
      <c r="M13" s="80" t="s">
        <v>173</v>
      </c>
      <c r="N13" s="28"/>
      <c r="O13" s="28"/>
      <c r="P13" s="80" t="s">
        <v>173</v>
      </c>
      <c r="Q13" s="80" t="s">
        <v>173</v>
      </c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170</v>
      </c>
      <c r="AB13" s="28" t="s">
        <v>170</v>
      </c>
      <c r="AC13" s="28" t="s">
        <v>170</v>
      </c>
      <c r="AD13" s="28" t="s">
        <v>170</v>
      </c>
      <c r="AE13" s="28" t="s">
        <v>170</v>
      </c>
      <c r="AF13" s="28"/>
      <c r="AG13" s="28" t="s">
        <v>170</v>
      </c>
      <c r="AH13" s="28" t="s">
        <v>170</v>
      </c>
      <c r="AJ13" s="80" t="s">
        <v>173</v>
      </c>
      <c r="AK13" s="80" t="s">
        <v>173</v>
      </c>
      <c r="AL13" s="80" t="s">
        <v>173</v>
      </c>
    </row>
    <row r="14" spans="1:38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/>
      <c r="G14" s="80" t="s">
        <v>173</v>
      </c>
      <c r="H14" s="80" t="s">
        <v>173</v>
      </c>
      <c r="I14" s="80" t="s">
        <v>173</v>
      </c>
      <c r="J14" s="28"/>
      <c r="K14" s="80" t="s">
        <v>173</v>
      </c>
      <c r="L14" s="80" t="s">
        <v>173</v>
      </c>
      <c r="M14" s="80" t="s">
        <v>173</v>
      </c>
      <c r="N14" s="28"/>
      <c r="O14" s="28"/>
      <c r="P14" s="80" t="s">
        <v>173</v>
      </c>
      <c r="Q14" s="80" t="s">
        <v>173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173</v>
      </c>
      <c r="AB14" s="28" t="s">
        <v>173</v>
      </c>
      <c r="AC14" s="28" t="s">
        <v>173</v>
      </c>
      <c r="AD14" s="28" t="s">
        <v>173</v>
      </c>
      <c r="AE14" s="28" t="s">
        <v>173</v>
      </c>
      <c r="AF14" s="28"/>
      <c r="AG14" s="28" t="s">
        <v>173</v>
      </c>
      <c r="AH14" s="28" t="s">
        <v>173</v>
      </c>
      <c r="AJ14" s="80" t="s">
        <v>173</v>
      </c>
      <c r="AK14" s="80" t="s">
        <v>173</v>
      </c>
      <c r="AL14" s="80" t="s">
        <v>173</v>
      </c>
    </row>
    <row r="15" spans="1:38" x14ac:dyDescent="0.25">
      <c r="A15" s="26" t="s">
        <v>175</v>
      </c>
      <c r="B15" s="28" t="s">
        <v>198</v>
      </c>
      <c r="C15" s="28" t="s">
        <v>199</v>
      </c>
      <c r="D15" s="28" t="s">
        <v>199</v>
      </c>
      <c r="E15" s="28" t="s">
        <v>199</v>
      </c>
      <c r="F15" s="28"/>
      <c r="G15" s="80" t="s">
        <v>199</v>
      </c>
      <c r="H15" s="80" t="s">
        <v>199</v>
      </c>
      <c r="I15" s="80" t="s">
        <v>199</v>
      </c>
      <c r="J15" s="28"/>
      <c r="K15" s="80" t="s">
        <v>199</v>
      </c>
      <c r="L15" s="80" t="s">
        <v>199</v>
      </c>
      <c r="M15" s="80" t="s">
        <v>199</v>
      </c>
      <c r="N15" s="28"/>
      <c r="O15" s="28"/>
      <c r="P15" s="80" t="s">
        <v>199</v>
      </c>
      <c r="Q15" s="80" t="s">
        <v>199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199</v>
      </c>
      <c r="AB15" s="28" t="s">
        <v>199</v>
      </c>
      <c r="AC15" s="28" t="s">
        <v>198</v>
      </c>
      <c r="AD15" s="28" t="s">
        <v>198</v>
      </c>
      <c r="AE15" s="28" t="s">
        <v>198</v>
      </c>
      <c r="AF15" s="28"/>
      <c r="AG15" s="28" t="s">
        <v>199</v>
      </c>
      <c r="AH15" s="28" t="s">
        <v>199</v>
      </c>
      <c r="AJ15" s="80" t="s">
        <v>199</v>
      </c>
      <c r="AK15" s="80" t="s">
        <v>199</v>
      </c>
      <c r="AL15" s="80" t="s">
        <v>199</v>
      </c>
    </row>
    <row r="16" spans="1:38" x14ac:dyDescent="0.25">
      <c r="A16" s="26" t="s">
        <v>176</v>
      </c>
      <c r="B16" s="30">
        <v>0.5</v>
      </c>
      <c r="C16" s="30">
        <v>-2</v>
      </c>
      <c r="D16" s="30">
        <v>-2</v>
      </c>
      <c r="E16" s="30">
        <v>-2</v>
      </c>
      <c r="F16" s="30"/>
      <c r="G16" s="82">
        <v>-2</v>
      </c>
      <c r="H16" s="82">
        <v>-2</v>
      </c>
      <c r="I16" s="82">
        <v>-2</v>
      </c>
      <c r="J16" s="30"/>
      <c r="K16" s="82">
        <v>-2</v>
      </c>
      <c r="L16" s="82">
        <v>-2</v>
      </c>
      <c r="M16" s="82">
        <v>-2</v>
      </c>
      <c r="N16" s="30"/>
      <c r="O16" s="30"/>
      <c r="P16" s="82">
        <v>-2</v>
      </c>
      <c r="Q16" s="82">
        <v>-2</v>
      </c>
      <c r="R16" s="30"/>
      <c r="S16" s="30"/>
      <c r="T16" s="30"/>
      <c r="U16" s="30"/>
      <c r="V16" s="30"/>
      <c r="W16" s="30"/>
      <c r="X16" s="30"/>
      <c r="Y16" s="30"/>
      <c r="Z16" s="30"/>
      <c r="AA16" s="30">
        <v>-0.5</v>
      </c>
      <c r="AB16" s="30">
        <v>-0.5</v>
      </c>
      <c r="AC16" s="30">
        <v>1</v>
      </c>
      <c r="AD16" s="30">
        <v>1</v>
      </c>
      <c r="AE16" s="30">
        <v>1</v>
      </c>
      <c r="AF16" s="30"/>
      <c r="AG16" s="30">
        <v>-0.5</v>
      </c>
      <c r="AH16" s="30">
        <v>-0.5</v>
      </c>
      <c r="AJ16" s="82">
        <v>-2</v>
      </c>
      <c r="AK16" s="82">
        <v>-2</v>
      </c>
      <c r="AL16" s="82">
        <v>-2</v>
      </c>
    </row>
    <row r="17" spans="1:38" x14ac:dyDescent="0.25">
      <c r="A17" s="26" t="s">
        <v>177</v>
      </c>
      <c r="B17" s="28" t="s">
        <v>181</v>
      </c>
      <c r="C17" s="28" t="s">
        <v>334</v>
      </c>
      <c r="D17" s="28" t="s">
        <v>334</v>
      </c>
      <c r="E17" s="28" t="s">
        <v>334</v>
      </c>
      <c r="F17" s="28"/>
      <c r="G17" s="81" t="s">
        <v>341</v>
      </c>
      <c r="H17" s="81" t="s">
        <v>341</v>
      </c>
      <c r="I17" s="81" t="s">
        <v>341</v>
      </c>
      <c r="J17" s="28"/>
      <c r="K17" s="81" t="s">
        <v>341</v>
      </c>
      <c r="L17" s="81" t="s">
        <v>341</v>
      </c>
      <c r="M17" s="81" t="s">
        <v>341</v>
      </c>
      <c r="N17" s="28"/>
      <c r="O17" s="28"/>
      <c r="P17" s="81" t="s">
        <v>341</v>
      </c>
      <c r="Q17" s="81" t="s">
        <v>341</v>
      </c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1154</v>
      </c>
      <c r="AB17" s="28" t="s">
        <v>181</v>
      </c>
      <c r="AC17" s="28" t="s">
        <v>181</v>
      </c>
      <c r="AD17" s="28" t="s">
        <v>181</v>
      </c>
      <c r="AE17" s="28" t="s">
        <v>181</v>
      </c>
      <c r="AF17" s="28"/>
      <c r="AG17" s="28" t="s">
        <v>181</v>
      </c>
      <c r="AH17" s="28" t="s">
        <v>181</v>
      </c>
      <c r="AJ17" s="81" t="s">
        <v>341</v>
      </c>
      <c r="AK17" s="81" t="s">
        <v>341</v>
      </c>
      <c r="AL17" s="81" t="s">
        <v>341</v>
      </c>
    </row>
    <row r="18" spans="1:38" x14ac:dyDescent="0.25">
      <c r="A18" s="26" t="s">
        <v>182</v>
      </c>
      <c r="B18" s="30">
        <v>2</v>
      </c>
      <c r="C18" s="30">
        <f t="shared" ref="C18:E18" si="0">1/3</f>
        <v>0.33333333333333331</v>
      </c>
      <c r="D18" s="30">
        <f t="shared" si="0"/>
        <v>0.33333333333333331</v>
      </c>
      <c r="E18" s="30">
        <f t="shared" si="0"/>
        <v>0.33333333333333331</v>
      </c>
      <c r="F18" s="30"/>
      <c r="G18" s="82">
        <v>0</v>
      </c>
      <c r="H18" s="82">
        <v>0</v>
      </c>
      <c r="I18" s="82">
        <v>0</v>
      </c>
      <c r="J18" s="30"/>
      <c r="K18" s="82">
        <v>0</v>
      </c>
      <c r="L18" s="82">
        <v>0</v>
      </c>
      <c r="M18" s="82">
        <v>0</v>
      </c>
      <c r="N18" s="30"/>
      <c r="O18" s="30"/>
      <c r="P18" s="82">
        <v>0</v>
      </c>
      <c r="Q18" s="82">
        <v>0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f>AVERAGE(2,3)</f>
        <v>2.5</v>
      </c>
      <c r="AB18" s="30">
        <v>2</v>
      </c>
      <c r="AC18" s="30">
        <v>2</v>
      </c>
      <c r="AD18" s="30">
        <v>2</v>
      </c>
      <c r="AE18" s="30">
        <v>2</v>
      </c>
      <c r="AF18" s="30"/>
      <c r="AG18" s="30">
        <v>2</v>
      </c>
      <c r="AH18" s="30">
        <v>2</v>
      </c>
      <c r="AJ18" s="82">
        <v>0</v>
      </c>
      <c r="AK18" s="82">
        <v>0</v>
      </c>
      <c r="AL18" s="82">
        <v>0</v>
      </c>
    </row>
    <row r="20" spans="1:38" x14ac:dyDescent="0.25">
      <c r="A20" s="26" t="s">
        <v>159</v>
      </c>
      <c r="B20" s="28" t="s">
        <v>1126</v>
      </c>
      <c r="C20" s="28" t="s">
        <v>322</v>
      </c>
      <c r="D20" s="28" t="s">
        <v>322</v>
      </c>
      <c r="E20" s="28" t="s">
        <v>316</v>
      </c>
      <c r="F20" s="28"/>
      <c r="G20" s="28" t="s">
        <v>1059</v>
      </c>
      <c r="H20" s="28" t="s">
        <v>1059</v>
      </c>
      <c r="I20" s="28" t="s">
        <v>1059</v>
      </c>
      <c r="J20" s="28"/>
      <c r="K20" s="28" t="s">
        <v>256</v>
      </c>
      <c r="L20" s="28" t="s">
        <v>256</v>
      </c>
      <c r="M20" s="28" t="s">
        <v>256</v>
      </c>
      <c r="N20" s="28"/>
      <c r="O20" s="28"/>
      <c r="P20" s="28" t="s">
        <v>256</v>
      </c>
      <c r="Q20" s="28" t="s">
        <v>256</v>
      </c>
      <c r="R20" s="28"/>
      <c r="S20" s="28"/>
      <c r="T20" s="28"/>
      <c r="U20" s="28"/>
      <c r="V20" s="28"/>
      <c r="W20" s="28"/>
      <c r="X20" s="28"/>
      <c r="Y20" s="28"/>
      <c r="Z20" s="28"/>
      <c r="AA20" s="80" t="s">
        <v>341</v>
      </c>
      <c r="AB20" s="80" t="s">
        <v>341</v>
      </c>
      <c r="AC20" s="80" t="s">
        <v>341</v>
      </c>
      <c r="AD20" s="80" t="s">
        <v>341</v>
      </c>
      <c r="AE20" s="80" t="s">
        <v>341</v>
      </c>
      <c r="AF20" s="28"/>
      <c r="AG20" s="80" t="s">
        <v>341</v>
      </c>
      <c r="AH20" s="80" t="s">
        <v>341</v>
      </c>
      <c r="AJ20" s="28" t="s">
        <v>1059</v>
      </c>
      <c r="AK20" s="28" t="s">
        <v>1059</v>
      </c>
      <c r="AL20" s="28" t="s">
        <v>256</v>
      </c>
    </row>
    <row r="21" spans="1:38" ht="15.75" customHeight="1" x14ac:dyDescent="0.25">
      <c r="A21" s="26" t="s">
        <v>165</v>
      </c>
      <c r="B21" s="28" t="s">
        <v>322</v>
      </c>
      <c r="C21" s="28" t="s">
        <v>324</v>
      </c>
      <c r="D21" s="28" t="s">
        <v>324</v>
      </c>
      <c r="E21" s="28" t="s">
        <v>283</v>
      </c>
      <c r="F21" s="29"/>
      <c r="G21" s="28" t="s">
        <v>265</v>
      </c>
      <c r="H21" s="28" t="s">
        <v>259</v>
      </c>
      <c r="I21" s="28" t="s">
        <v>256</v>
      </c>
      <c r="J21" s="29"/>
      <c r="K21" s="29" t="s">
        <v>1061</v>
      </c>
      <c r="L21" s="29" t="s">
        <v>1061</v>
      </c>
      <c r="M21" s="29" t="s">
        <v>1061</v>
      </c>
      <c r="N21" s="29"/>
      <c r="O21" s="29"/>
      <c r="P21" s="29" t="s">
        <v>226</v>
      </c>
      <c r="Q21" s="29" t="s">
        <v>226</v>
      </c>
      <c r="R21" s="29"/>
      <c r="S21" s="29"/>
      <c r="T21" s="29"/>
      <c r="U21" s="29"/>
      <c r="V21" s="29"/>
      <c r="W21" s="29"/>
      <c r="X21" s="29"/>
      <c r="Y21" s="29"/>
      <c r="Z21" s="29"/>
      <c r="AA21" s="80" t="s">
        <v>341</v>
      </c>
      <c r="AB21" s="80" t="s">
        <v>341</v>
      </c>
      <c r="AC21" s="80" t="s">
        <v>341</v>
      </c>
      <c r="AD21" s="80" t="s">
        <v>341</v>
      </c>
      <c r="AE21" s="80" t="s">
        <v>341</v>
      </c>
      <c r="AF21" s="29"/>
      <c r="AG21" s="80" t="s">
        <v>341</v>
      </c>
      <c r="AH21" s="80" t="s">
        <v>341</v>
      </c>
      <c r="AJ21" s="113" t="s">
        <v>1348</v>
      </c>
      <c r="AK21" s="29" t="s">
        <v>222</v>
      </c>
      <c r="AL21" s="28" t="s">
        <v>811</v>
      </c>
    </row>
    <row r="22" spans="1:38" x14ac:dyDescent="0.25">
      <c r="A22" s="131" t="s">
        <v>168</v>
      </c>
      <c r="B22" s="157">
        <v>98</v>
      </c>
      <c r="C22" s="157">
        <v>57</v>
      </c>
      <c r="D22" s="157">
        <v>57</v>
      </c>
      <c r="E22" s="157">
        <v>56</v>
      </c>
      <c r="F22" s="157"/>
      <c r="G22" s="157">
        <v>104</v>
      </c>
      <c r="H22" s="157">
        <v>46</v>
      </c>
      <c r="I22" s="157">
        <v>50</v>
      </c>
      <c r="J22" s="157"/>
      <c r="K22" s="157">
        <v>53</v>
      </c>
      <c r="L22" s="157">
        <v>53</v>
      </c>
      <c r="M22" s="157">
        <v>53</v>
      </c>
      <c r="N22" s="157"/>
      <c r="O22" s="157"/>
      <c r="P22" s="157">
        <v>49</v>
      </c>
      <c r="Q22" s="157">
        <v>49</v>
      </c>
      <c r="R22" s="157"/>
      <c r="S22" s="157"/>
      <c r="T22" s="157"/>
      <c r="U22" s="157"/>
      <c r="V22" s="157"/>
      <c r="W22" s="157"/>
      <c r="X22" s="157"/>
      <c r="Y22" s="157"/>
      <c r="Z22" s="157"/>
      <c r="AA22" s="198"/>
      <c r="AB22" s="198"/>
      <c r="AC22" s="198"/>
      <c r="AD22" s="198"/>
      <c r="AE22" s="198"/>
      <c r="AF22" s="157"/>
      <c r="AG22" s="198"/>
      <c r="AH22" s="198"/>
      <c r="AJ22" s="157">
        <v>119</v>
      </c>
      <c r="AK22" s="157">
        <v>51</v>
      </c>
      <c r="AL22" s="157">
        <v>122</v>
      </c>
    </row>
    <row r="23" spans="1:38" x14ac:dyDescent="0.25">
      <c r="A23" s="26" t="s">
        <v>169</v>
      </c>
      <c r="B23" s="28" t="s">
        <v>170</v>
      </c>
      <c r="C23" s="28" t="s">
        <v>170</v>
      </c>
      <c r="D23" s="28" t="s">
        <v>170</v>
      </c>
      <c r="E23" s="28" t="s">
        <v>170</v>
      </c>
      <c r="F23" s="28"/>
      <c r="G23" s="28" t="s">
        <v>170</v>
      </c>
      <c r="H23" s="28" t="s">
        <v>170</v>
      </c>
      <c r="I23" s="28" t="s">
        <v>170</v>
      </c>
      <c r="J23" s="28"/>
      <c r="K23" s="29" t="s">
        <v>170</v>
      </c>
      <c r="L23" s="29" t="s">
        <v>170</v>
      </c>
      <c r="M23" s="29" t="s">
        <v>170</v>
      </c>
      <c r="N23" s="28"/>
      <c r="O23" s="28"/>
      <c r="P23" s="29" t="s">
        <v>170</v>
      </c>
      <c r="Q23" s="29" t="s">
        <v>170</v>
      </c>
      <c r="R23" s="28"/>
      <c r="S23" s="28"/>
      <c r="T23" s="28"/>
      <c r="U23" s="28"/>
      <c r="V23" s="28"/>
      <c r="W23" s="28"/>
      <c r="X23" s="28"/>
      <c r="Y23" s="28"/>
      <c r="Z23" s="28"/>
      <c r="AA23" s="80" t="s">
        <v>173</v>
      </c>
      <c r="AB23" s="80" t="s">
        <v>173</v>
      </c>
      <c r="AC23" s="80" t="s">
        <v>173</v>
      </c>
      <c r="AD23" s="80" t="s">
        <v>173</v>
      </c>
      <c r="AE23" s="80" t="s">
        <v>173</v>
      </c>
      <c r="AF23" s="28"/>
      <c r="AG23" s="80" t="s">
        <v>173</v>
      </c>
      <c r="AH23" s="80" t="s">
        <v>173</v>
      </c>
      <c r="AJ23" s="28" t="s">
        <v>170</v>
      </c>
      <c r="AK23" s="29" t="s">
        <v>170</v>
      </c>
      <c r="AL23" s="28" t="s">
        <v>170</v>
      </c>
    </row>
    <row r="24" spans="1:38" x14ac:dyDescent="0.25">
      <c r="A24" s="26" t="s">
        <v>171</v>
      </c>
      <c r="B24" s="28" t="s">
        <v>170</v>
      </c>
      <c r="C24" s="28" t="s">
        <v>170</v>
      </c>
      <c r="D24" s="28" t="s">
        <v>170</v>
      </c>
      <c r="E24" s="28" t="s">
        <v>173</v>
      </c>
      <c r="F24" s="28"/>
      <c r="G24" s="29" t="s">
        <v>173</v>
      </c>
      <c r="H24" s="29" t="s">
        <v>173</v>
      </c>
      <c r="I24" s="29" t="s">
        <v>173</v>
      </c>
      <c r="J24" s="28"/>
      <c r="K24" s="28" t="s">
        <v>170</v>
      </c>
      <c r="L24" s="28" t="s">
        <v>170</v>
      </c>
      <c r="M24" s="28" t="s">
        <v>170</v>
      </c>
      <c r="N24" s="28"/>
      <c r="O24" s="28"/>
      <c r="P24" s="28" t="s">
        <v>170</v>
      </c>
      <c r="Q24" s="28" t="s">
        <v>170</v>
      </c>
      <c r="R24" s="28"/>
      <c r="S24" s="28"/>
      <c r="T24" s="28"/>
      <c r="U24" s="28"/>
      <c r="V24" s="28"/>
      <c r="W24" s="28"/>
      <c r="X24" s="28"/>
      <c r="Y24" s="28"/>
      <c r="Z24" s="28"/>
      <c r="AA24" s="80" t="s">
        <v>173</v>
      </c>
      <c r="AB24" s="80" t="s">
        <v>173</v>
      </c>
      <c r="AC24" s="80" t="s">
        <v>173</v>
      </c>
      <c r="AD24" s="80" t="s">
        <v>173</v>
      </c>
      <c r="AE24" s="80" t="s">
        <v>173</v>
      </c>
      <c r="AF24" s="28"/>
      <c r="AG24" s="80" t="s">
        <v>173</v>
      </c>
      <c r="AH24" s="80" t="s">
        <v>173</v>
      </c>
      <c r="AJ24" s="28" t="s">
        <v>170</v>
      </c>
      <c r="AK24" s="29" t="s">
        <v>170</v>
      </c>
      <c r="AL24" s="28" t="s">
        <v>173</v>
      </c>
    </row>
    <row r="25" spans="1:38" x14ac:dyDescent="0.25">
      <c r="A25" s="26" t="s">
        <v>172</v>
      </c>
      <c r="B25" s="28" t="s">
        <v>173</v>
      </c>
      <c r="C25" s="28" t="s">
        <v>170</v>
      </c>
      <c r="D25" s="28" t="s">
        <v>170</v>
      </c>
      <c r="E25" s="28" t="s">
        <v>170</v>
      </c>
      <c r="F25" s="28"/>
      <c r="G25" s="28" t="s">
        <v>266</v>
      </c>
      <c r="H25" s="28" t="s">
        <v>170</v>
      </c>
      <c r="I25" s="28" t="s">
        <v>170</v>
      </c>
      <c r="J25" s="28"/>
      <c r="K25" s="28" t="s">
        <v>170</v>
      </c>
      <c r="L25" s="28" t="s">
        <v>170</v>
      </c>
      <c r="M25" s="28" t="s">
        <v>170</v>
      </c>
      <c r="N25" s="28"/>
      <c r="O25" s="28"/>
      <c r="P25" s="28" t="s">
        <v>170</v>
      </c>
      <c r="Q25" s="28" t="s">
        <v>170</v>
      </c>
      <c r="R25" s="28"/>
      <c r="S25" s="28"/>
      <c r="T25" s="28"/>
      <c r="U25" s="28"/>
      <c r="V25" s="28"/>
      <c r="W25" s="28"/>
      <c r="X25" s="28"/>
      <c r="Y25" s="28"/>
      <c r="Z25" s="28"/>
      <c r="AA25" s="80" t="s">
        <v>173</v>
      </c>
      <c r="AB25" s="80" t="s">
        <v>173</v>
      </c>
      <c r="AC25" s="80" t="s">
        <v>173</v>
      </c>
      <c r="AD25" s="80" t="s">
        <v>173</v>
      </c>
      <c r="AE25" s="80" t="s">
        <v>173</v>
      </c>
      <c r="AF25" s="28"/>
      <c r="AG25" s="80" t="s">
        <v>173</v>
      </c>
      <c r="AH25" s="80" t="s">
        <v>173</v>
      </c>
      <c r="AJ25" s="28" t="s">
        <v>170</v>
      </c>
      <c r="AK25" s="28" t="s">
        <v>170</v>
      </c>
      <c r="AL25" s="28" t="s">
        <v>170</v>
      </c>
    </row>
    <row r="26" spans="1:38" x14ac:dyDescent="0.25">
      <c r="A26" s="26" t="s">
        <v>174</v>
      </c>
      <c r="B26" s="28" t="s">
        <v>173</v>
      </c>
      <c r="C26" s="28" t="s">
        <v>173</v>
      </c>
      <c r="D26" s="28" t="s">
        <v>173</v>
      </c>
      <c r="E26" s="28" t="s">
        <v>173</v>
      </c>
      <c r="F26" s="28"/>
      <c r="G26" s="28" t="s">
        <v>173</v>
      </c>
      <c r="H26" s="28" t="s">
        <v>173</v>
      </c>
      <c r="I26" s="28" t="s">
        <v>173</v>
      </c>
      <c r="J26" s="28"/>
      <c r="K26" s="28" t="s">
        <v>173</v>
      </c>
      <c r="L26" s="28" t="s">
        <v>173</v>
      </c>
      <c r="M26" s="28" t="s">
        <v>173</v>
      </c>
      <c r="N26" s="28"/>
      <c r="O26" s="28"/>
      <c r="P26" s="28" t="s">
        <v>173</v>
      </c>
      <c r="Q26" s="28" t="s">
        <v>173</v>
      </c>
      <c r="R26" s="28"/>
      <c r="S26" s="28"/>
      <c r="T26" s="28"/>
      <c r="U26" s="28"/>
      <c r="V26" s="28"/>
      <c r="W26" s="28"/>
      <c r="X26" s="28"/>
      <c r="Y26" s="28"/>
      <c r="Z26" s="28"/>
      <c r="AA26" s="80" t="s">
        <v>173</v>
      </c>
      <c r="AB26" s="80" t="s">
        <v>173</v>
      </c>
      <c r="AC26" s="80" t="s">
        <v>173</v>
      </c>
      <c r="AD26" s="80" t="s">
        <v>173</v>
      </c>
      <c r="AE26" s="80" t="s">
        <v>173</v>
      </c>
      <c r="AF26" s="28"/>
      <c r="AG26" s="80" t="s">
        <v>173</v>
      </c>
      <c r="AH26" s="80" t="s">
        <v>173</v>
      </c>
      <c r="AJ26" s="28" t="s">
        <v>173</v>
      </c>
      <c r="AK26" s="28" t="s">
        <v>173</v>
      </c>
      <c r="AL26" s="28" t="s">
        <v>173</v>
      </c>
    </row>
    <row r="27" spans="1:38" x14ac:dyDescent="0.25">
      <c r="A27" s="26" t="s">
        <v>175</v>
      </c>
      <c r="B27" s="28" t="s">
        <v>199</v>
      </c>
      <c r="C27" s="28" t="s">
        <v>199</v>
      </c>
      <c r="D27" s="28" t="s">
        <v>199</v>
      </c>
      <c r="E27" s="28" t="s">
        <v>199</v>
      </c>
      <c r="F27" s="28"/>
      <c r="G27" s="28" t="s">
        <v>198</v>
      </c>
      <c r="H27" s="28" t="s">
        <v>198</v>
      </c>
      <c r="I27" s="28" t="s">
        <v>198</v>
      </c>
      <c r="J27" s="28"/>
      <c r="K27" s="28" t="s">
        <v>198</v>
      </c>
      <c r="L27" s="28" t="s">
        <v>198</v>
      </c>
      <c r="M27" s="28" t="s">
        <v>198</v>
      </c>
      <c r="N27" s="28"/>
      <c r="O27" s="28"/>
      <c r="P27" s="28" t="s">
        <v>198</v>
      </c>
      <c r="Q27" s="28" t="s">
        <v>198</v>
      </c>
      <c r="R27" s="28"/>
      <c r="S27" s="28"/>
      <c r="T27" s="28"/>
      <c r="U27" s="28"/>
      <c r="V27" s="28"/>
      <c r="W27" s="28"/>
      <c r="X27" s="28"/>
      <c r="Y27" s="28"/>
      <c r="Z27" s="28"/>
      <c r="AA27" s="80" t="s">
        <v>199</v>
      </c>
      <c r="AB27" s="80" t="s">
        <v>199</v>
      </c>
      <c r="AC27" s="80" t="s">
        <v>199</v>
      </c>
      <c r="AD27" s="80" t="s">
        <v>199</v>
      </c>
      <c r="AE27" s="80" t="s">
        <v>199</v>
      </c>
      <c r="AF27" s="28"/>
      <c r="AG27" s="80" t="s">
        <v>199</v>
      </c>
      <c r="AH27" s="80" t="s">
        <v>199</v>
      </c>
      <c r="AJ27" s="28" t="s">
        <v>198</v>
      </c>
      <c r="AK27" s="28" t="s">
        <v>198</v>
      </c>
      <c r="AL27" s="28" t="s">
        <v>198</v>
      </c>
    </row>
    <row r="28" spans="1:38" x14ac:dyDescent="0.25">
      <c r="A28" s="26" t="s">
        <v>176</v>
      </c>
      <c r="B28" s="30">
        <v>-2</v>
      </c>
      <c r="C28" s="30">
        <v>-0.5</v>
      </c>
      <c r="D28" s="30">
        <v>-0.5</v>
      </c>
      <c r="E28" s="30">
        <v>-0.5</v>
      </c>
      <c r="F28" s="30"/>
      <c r="G28" s="30">
        <f>AVERAGE(0.5,2)</f>
        <v>1.25</v>
      </c>
      <c r="H28" s="30">
        <f>5/3</f>
        <v>1.6666666666666667</v>
      </c>
      <c r="I28" s="30">
        <v>1</v>
      </c>
      <c r="J28" s="30"/>
      <c r="K28" s="30">
        <v>0.5</v>
      </c>
      <c r="L28" s="30">
        <v>0.5</v>
      </c>
      <c r="M28" s="30">
        <v>0.5</v>
      </c>
      <c r="N28" s="30"/>
      <c r="O28" s="30"/>
      <c r="P28" s="30">
        <f>4/3</f>
        <v>1.3333333333333333</v>
      </c>
      <c r="Q28" s="30">
        <f>4/3</f>
        <v>1.3333333333333333</v>
      </c>
      <c r="R28" s="30"/>
      <c r="S28" s="30"/>
      <c r="T28" s="30"/>
      <c r="U28" s="30"/>
      <c r="V28" s="30"/>
      <c r="W28" s="30"/>
      <c r="X28" s="30"/>
      <c r="Y28" s="30"/>
      <c r="Z28" s="30"/>
      <c r="AA28" s="82">
        <v>-2</v>
      </c>
      <c r="AB28" s="82">
        <v>-2</v>
      </c>
      <c r="AC28" s="82">
        <v>-2</v>
      </c>
      <c r="AD28" s="82">
        <v>-2</v>
      </c>
      <c r="AE28" s="82">
        <v>-2</v>
      </c>
      <c r="AF28" s="30"/>
      <c r="AG28" s="82">
        <v>-2</v>
      </c>
      <c r="AH28" s="82">
        <v>-2</v>
      </c>
      <c r="AJ28" s="30">
        <v>0.875</v>
      </c>
      <c r="AK28" s="30">
        <v>1</v>
      </c>
      <c r="AL28" s="30">
        <f>AVERAGE(0.5,0.5,0.5,1)</f>
        <v>0.625</v>
      </c>
    </row>
    <row r="29" spans="1:38" x14ac:dyDescent="0.25">
      <c r="A29" s="26" t="s">
        <v>177</v>
      </c>
      <c r="B29" s="28" t="s">
        <v>334</v>
      </c>
      <c r="C29" s="28" t="s">
        <v>181</v>
      </c>
      <c r="D29" s="28" t="s">
        <v>181</v>
      </c>
      <c r="E29" s="28" t="s">
        <v>181</v>
      </c>
      <c r="F29" s="28"/>
      <c r="G29" s="28" t="s">
        <v>181</v>
      </c>
      <c r="H29" s="28" t="s">
        <v>181</v>
      </c>
      <c r="I29" s="28" t="s">
        <v>181</v>
      </c>
      <c r="J29" s="28"/>
      <c r="K29" s="28" t="s">
        <v>181</v>
      </c>
      <c r="L29" s="28" t="s">
        <v>181</v>
      </c>
      <c r="M29" s="28" t="s">
        <v>181</v>
      </c>
      <c r="N29" s="28"/>
      <c r="O29" s="28"/>
      <c r="P29" s="28" t="s">
        <v>181</v>
      </c>
      <c r="Q29" s="28" t="s">
        <v>181</v>
      </c>
      <c r="R29" s="28"/>
      <c r="S29" s="28"/>
      <c r="T29" s="28"/>
      <c r="U29" s="28"/>
      <c r="V29" s="28"/>
      <c r="W29" s="28"/>
      <c r="X29" s="28"/>
      <c r="Y29" s="28"/>
      <c r="Z29" s="28"/>
      <c r="AA29" s="80" t="s">
        <v>341</v>
      </c>
      <c r="AB29" s="80" t="s">
        <v>341</v>
      </c>
      <c r="AC29" s="80" t="s">
        <v>341</v>
      </c>
      <c r="AD29" s="80" t="s">
        <v>341</v>
      </c>
      <c r="AE29" s="80" t="s">
        <v>341</v>
      </c>
      <c r="AF29" s="28"/>
      <c r="AG29" s="80" t="s">
        <v>341</v>
      </c>
      <c r="AH29" s="80" t="s">
        <v>341</v>
      </c>
      <c r="AJ29" s="28" t="s">
        <v>181</v>
      </c>
      <c r="AK29" s="28" t="s">
        <v>181</v>
      </c>
      <c r="AL29" s="28" t="s">
        <v>181</v>
      </c>
    </row>
    <row r="30" spans="1:38" x14ac:dyDescent="0.25">
      <c r="A30" s="26" t="s">
        <v>182</v>
      </c>
      <c r="B30" s="30">
        <f>1/3</f>
        <v>0.33333333333333331</v>
      </c>
      <c r="C30" s="30">
        <v>2</v>
      </c>
      <c r="D30" s="30">
        <v>2</v>
      </c>
      <c r="E30" s="30">
        <v>2</v>
      </c>
      <c r="F30" s="30"/>
      <c r="G30" s="30">
        <v>2</v>
      </c>
      <c r="H30" s="30">
        <v>2</v>
      </c>
      <c r="I30" s="30">
        <v>2</v>
      </c>
      <c r="J30" s="30"/>
      <c r="K30" s="30">
        <v>2</v>
      </c>
      <c r="L30" s="30">
        <v>2</v>
      </c>
      <c r="M30" s="30">
        <v>2</v>
      </c>
      <c r="N30" s="30"/>
      <c r="O30" s="30"/>
      <c r="P30" s="30">
        <v>2</v>
      </c>
      <c r="Q30" s="30">
        <v>2</v>
      </c>
      <c r="R30" s="30"/>
      <c r="S30" s="30"/>
      <c r="T30" s="30"/>
      <c r="U30" s="30"/>
      <c r="V30" s="30"/>
      <c r="W30" s="30"/>
      <c r="X30" s="30"/>
      <c r="Y30" s="30"/>
      <c r="Z30" s="30"/>
      <c r="AA30" s="82">
        <v>0</v>
      </c>
      <c r="AB30" s="82">
        <v>0</v>
      </c>
      <c r="AC30" s="82">
        <v>0</v>
      </c>
      <c r="AD30" s="82">
        <v>0</v>
      </c>
      <c r="AE30" s="82">
        <v>0</v>
      </c>
      <c r="AF30" s="30"/>
      <c r="AG30" s="82">
        <v>0</v>
      </c>
      <c r="AH30" s="82">
        <v>0</v>
      </c>
      <c r="AJ30" s="30">
        <v>2</v>
      </c>
      <c r="AK30" s="30">
        <v>2</v>
      </c>
      <c r="AL30" s="30">
        <v>2</v>
      </c>
    </row>
    <row r="31" spans="1:38" ht="15.75" customHeight="1" x14ac:dyDescent="0.25">
      <c r="AJ31" s="247" t="s">
        <v>1349</v>
      </c>
      <c r="AK31" s="247"/>
    </row>
    <row r="32" spans="1:38" x14ac:dyDescent="0.25">
      <c r="A32" s="31" t="s">
        <v>183</v>
      </c>
    </row>
    <row r="33" spans="1:27" x14ac:dyDescent="0.25">
      <c r="A33" s="26" t="s">
        <v>1350</v>
      </c>
      <c r="B33" s="56"/>
    </row>
    <row r="34" spans="1:27" x14ac:dyDescent="0.25">
      <c r="A34" s="26" t="s">
        <v>1351</v>
      </c>
      <c r="B34" s="56" t="s">
        <v>1352</v>
      </c>
    </row>
    <row r="35" spans="1:27" x14ac:dyDescent="0.25">
      <c r="A35" s="117" t="s">
        <v>1353</v>
      </c>
    </row>
    <row r="37" spans="1:27" x14ac:dyDescent="0.25">
      <c r="A37" s="25" t="s">
        <v>681</v>
      </c>
    </row>
    <row r="38" spans="1:27" ht="15.75" customHeight="1" x14ac:dyDescent="0.25">
      <c r="A38" s="26" t="s">
        <v>1354</v>
      </c>
      <c r="C38" s="235" t="s">
        <v>1355</v>
      </c>
      <c r="D38" s="235"/>
      <c r="E38" s="26" t="s">
        <v>1356</v>
      </c>
      <c r="F38" s="26" t="s">
        <v>1357</v>
      </c>
      <c r="G38" s="26" t="s">
        <v>1357</v>
      </c>
      <c r="H38" s="26" t="s">
        <v>1358</v>
      </c>
      <c r="I38" s="26" t="s">
        <v>1357</v>
      </c>
      <c r="J38" s="26" t="s">
        <v>1357</v>
      </c>
      <c r="K38" s="235" t="s">
        <v>1359</v>
      </c>
      <c r="L38" s="235"/>
      <c r="M38" s="235"/>
      <c r="N38" s="26" t="s">
        <v>1360</v>
      </c>
      <c r="O38" s="26" t="s">
        <v>1361</v>
      </c>
      <c r="P38" s="235" t="s">
        <v>1362</v>
      </c>
      <c r="Q38" s="235"/>
      <c r="R38" s="26" t="s">
        <v>1363</v>
      </c>
      <c r="AA38" s="26" t="s">
        <v>1364</v>
      </c>
    </row>
    <row r="39" spans="1:27" ht="15.75" customHeight="1" x14ac:dyDescent="0.25">
      <c r="A39" s="26" t="s">
        <v>1365</v>
      </c>
      <c r="C39" s="235" t="s">
        <v>1355</v>
      </c>
      <c r="D39" s="235"/>
      <c r="E39" s="26" t="s">
        <v>1356</v>
      </c>
      <c r="F39" s="26" t="s">
        <v>1357</v>
      </c>
      <c r="G39" s="26" t="s">
        <v>1357</v>
      </c>
      <c r="H39" s="26" t="s">
        <v>1358</v>
      </c>
      <c r="I39" s="26" t="s">
        <v>1366</v>
      </c>
      <c r="J39" s="26" t="s">
        <v>260</v>
      </c>
      <c r="K39" s="235" t="s">
        <v>1021</v>
      </c>
      <c r="L39" s="235"/>
      <c r="M39" s="235"/>
      <c r="N39" s="26" t="s">
        <v>1099</v>
      </c>
      <c r="O39" s="26" t="s">
        <v>1099</v>
      </c>
      <c r="P39" s="235" t="s">
        <v>226</v>
      </c>
      <c r="Q39" s="235"/>
      <c r="AA39" s="26" t="s">
        <v>1364</v>
      </c>
    </row>
    <row r="40" spans="1:27" ht="15.75" customHeight="1" x14ac:dyDescent="0.25">
      <c r="A40" s="26" t="s">
        <v>1367</v>
      </c>
      <c r="C40" s="235" t="s">
        <v>1368</v>
      </c>
      <c r="D40" s="235"/>
      <c r="E40" s="26" t="s">
        <v>1356</v>
      </c>
      <c r="F40" s="26" t="s">
        <v>258</v>
      </c>
      <c r="G40" s="26" t="s">
        <v>258</v>
      </c>
      <c r="H40" s="26" t="s">
        <v>259</v>
      </c>
      <c r="I40" s="26" t="s">
        <v>256</v>
      </c>
      <c r="J40" s="26" t="s">
        <v>1369</v>
      </c>
      <c r="K40" s="235" t="s">
        <v>561</v>
      </c>
      <c r="L40" s="235"/>
      <c r="M40" s="235"/>
      <c r="N40" s="160" t="s">
        <v>1370</v>
      </c>
      <c r="O40" s="26" t="s">
        <v>1371</v>
      </c>
      <c r="P40" s="235" t="s">
        <v>226</v>
      </c>
      <c r="Q40" s="235"/>
      <c r="R40" s="26" t="s">
        <v>1372</v>
      </c>
      <c r="AA40" s="26" t="s">
        <v>1373</v>
      </c>
    </row>
    <row r="41" spans="1:27" ht="15.75" customHeight="1" x14ac:dyDescent="0.25">
      <c r="A41" s="26" t="s">
        <v>1374</v>
      </c>
      <c r="C41" s="235" t="s">
        <v>1355</v>
      </c>
      <c r="D41" s="235"/>
      <c r="E41" s="26" t="s">
        <v>283</v>
      </c>
      <c r="F41" s="26" t="s">
        <v>258</v>
      </c>
      <c r="G41" s="26" t="s">
        <v>258</v>
      </c>
      <c r="H41" s="26" t="s">
        <v>259</v>
      </c>
      <c r="I41" s="26" t="s">
        <v>256</v>
      </c>
      <c r="J41" s="26" t="s">
        <v>1375</v>
      </c>
      <c r="K41" s="235" t="s">
        <v>1061</v>
      </c>
      <c r="L41" s="235"/>
      <c r="M41" s="235"/>
      <c r="N41" s="26" t="s">
        <v>1360</v>
      </c>
      <c r="O41" s="26" t="s">
        <v>1361</v>
      </c>
      <c r="P41" s="235" t="s">
        <v>226</v>
      </c>
      <c r="Q41" s="235"/>
      <c r="R41" s="26" t="s">
        <v>261</v>
      </c>
      <c r="AA41" s="26" t="s">
        <v>1373</v>
      </c>
    </row>
    <row r="42" spans="1:27" ht="15.75" customHeight="1" x14ac:dyDescent="0.25">
      <c r="A42" s="26" t="s">
        <v>1376</v>
      </c>
      <c r="C42" s="236" t="s">
        <v>1377</v>
      </c>
      <c r="D42" s="235"/>
      <c r="E42" s="26" t="s">
        <v>1378</v>
      </c>
      <c r="F42" s="26" t="s">
        <v>260</v>
      </c>
      <c r="G42" s="26" t="s">
        <v>1379</v>
      </c>
      <c r="H42" s="26" t="s">
        <v>1380</v>
      </c>
      <c r="I42" s="26" t="s">
        <v>1381</v>
      </c>
      <c r="J42" s="26" t="s">
        <v>260</v>
      </c>
      <c r="K42" s="235" t="s">
        <v>1382</v>
      </c>
      <c r="L42" s="235"/>
      <c r="M42" s="235"/>
      <c r="N42" s="26" t="s">
        <v>1383</v>
      </c>
      <c r="O42" s="26" t="s">
        <v>1384</v>
      </c>
      <c r="P42" s="235" t="s">
        <v>1362</v>
      </c>
      <c r="Q42" s="235"/>
      <c r="R42" s="26" t="s">
        <v>1385</v>
      </c>
      <c r="AA42" s="77" t="s">
        <v>1386</v>
      </c>
    </row>
    <row r="43" spans="1:27" ht="15.75" customHeight="1" x14ac:dyDescent="0.25">
      <c r="A43" s="26" t="s">
        <v>1387</v>
      </c>
      <c r="C43" s="235" t="s">
        <v>1355</v>
      </c>
      <c r="D43" s="235"/>
      <c r="E43" s="26" t="s">
        <v>1356</v>
      </c>
      <c r="F43" s="26" t="s">
        <v>283</v>
      </c>
      <c r="G43" s="26" t="s">
        <v>316</v>
      </c>
      <c r="H43" s="26" t="s">
        <v>395</v>
      </c>
      <c r="I43" s="26" t="s">
        <v>395</v>
      </c>
      <c r="J43" s="26" t="s">
        <v>260</v>
      </c>
      <c r="K43" s="235" t="s">
        <v>1061</v>
      </c>
      <c r="L43" s="235"/>
      <c r="M43" s="235"/>
      <c r="N43" s="26" t="s">
        <v>1388</v>
      </c>
      <c r="O43" s="26" t="s">
        <v>1099</v>
      </c>
      <c r="P43" s="235" t="s">
        <v>226</v>
      </c>
      <c r="Q43" s="235"/>
      <c r="R43" s="26" t="s">
        <v>1373</v>
      </c>
      <c r="AA43" s="26" t="s">
        <v>1373</v>
      </c>
    </row>
    <row r="44" spans="1:27" ht="15.75" customHeight="1" x14ac:dyDescent="0.25">
      <c r="A44" s="26" t="s">
        <v>1389</v>
      </c>
      <c r="C44" s="255" t="s">
        <v>1390</v>
      </c>
      <c r="D44" s="255"/>
      <c r="E44" s="26" t="s">
        <v>1391</v>
      </c>
      <c r="F44" s="26" t="s">
        <v>1357</v>
      </c>
      <c r="G44" s="27" t="s">
        <v>1357</v>
      </c>
      <c r="H44" s="27" t="s">
        <v>1366</v>
      </c>
      <c r="I44" s="27" t="s">
        <v>1366</v>
      </c>
      <c r="J44" s="26" t="s">
        <v>260</v>
      </c>
      <c r="K44" s="235" t="s">
        <v>1359</v>
      </c>
      <c r="L44" s="235"/>
      <c r="M44" s="235"/>
      <c r="N44" s="26" t="s">
        <v>1383</v>
      </c>
      <c r="O44" s="26" t="s">
        <v>1384</v>
      </c>
      <c r="P44" s="235" t="s">
        <v>1362</v>
      </c>
      <c r="Q44" s="235"/>
      <c r="R44" s="26" t="s">
        <v>1373</v>
      </c>
      <c r="AA44" s="26" t="s">
        <v>1373</v>
      </c>
    </row>
    <row r="45" spans="1:27" ht="15.75" customHeight="1" x14ac:dyDescent="0.25">
      <c r="A45" s="26" t="s">
        <v>1392</v>
      </c>
      <c r="C45" s="255" t="s">
        <v>1393</v>
      </c>
      <c r="D45" s="255"/>
      <c r="G45" s="209" t="s">
        <v>1394</v>
      </c>
      <c r="H45" s="209" t="s">
        <v>1395</v>
      </c>
      <c r="I45" s="209" t="s">
        <v>1394</v>
      </c>
      <c r="J45" s="26" t="s">
        <v>260</v>
      </c>
      <c r="K45" s="235" t="s">
        <v>1061</v>
      </c>
      <c r="L45" s="235"/>
      <c r="M45" s="235"/>
      <c r="N45" s="26" t="s">
        <v>1360</v>
      </c>
      <c r="O45" s="26" t="s">
        <v>1361</v>
      </c>
      <c r="P45" s="235" t="s">
        <v>226</v>
      </c>
      <c r="Q45" s="235"/>
      <c r="R45" s="26" t="s">
        <v>1363</v>
      </c>
      <c r="AA45" s="26" t="s">
        <v>1373</v>
      </c>
    </row>
    <row r="46" spans="1:27" ht="15.75" customHeight="1" x14ac:dyDescent="0.25">
      <c r="A46" s="26" t="s">
        <v>1396</v>
      </c>
      <c r="C46" s="235" t="s">
        <v>1355</v>
      </c>
      <c r="D46" s="235"/>
      <c r="G46" s="26" t="s">
        <v>1357</v>
      </c>
      <c r="H46" s="26" t="s">
        <v>1358</v>
      </c>
      <c r="I46" s="26" t="s">
        <v>1366</v>
      </c>
      <c r="AA46" s="26" t="s">
        <v>1373</v>
      </c>
    </row>
    <row r="48" spans="1:27" ht="15.75" customHeight="1" x14ac:dyDescent="0.25">
      <c r="A48" s="26" t="s">
        <v>1397</v>
      </c>
      <c r="C48" s="235" t="s">
        <v>1393</v>
      </c>
      <c r="D48" s="235"/>
      <c r="E48" s="26" t="s">
        <v>1378</v>
      </c>
      <c r="F48" s="26" t="s">
        <v>260</v>
      </c>
      <c r="G48" s="26" t="s">
        <v>260</v>
      </c>
      <c r="H48" s="26" t="s">
        <v>259</v>
      </c>
      <c r="I48" s="26" t="s">
        <v>256</v>
      </c>
      <c r="J48" s="26" t="s">
        <v>260</v>
      </c>
      <c r="K48" s="235" t="s">
        <v>1061</v>
      </c>
      <c r="L48" s="235"/>
      <c r="M48" s="235"/>
      <c r="N48" s="26" t="s">
        <v>1360</v>
      </c>
      <c r="O48" s="26" t="s">
        <v>1361</v>
      </c>
      <c r="P48" s="235" t="s">
        <v>226</v>
      </c>
      <c r="Q48" s="235"/>
      <c r="R48" s="26" t="s">
        <v>1398</v>
      </c>
      <c r="AA48" s="26" t="s">
        <v>1364</v>
      </c>
    </row>
    <row r="49" spans="1:27" ht="15.75" customHeight="1" x14ac:dyDescent="0.25">
      <c r="A49" s="26" t="s">
        <v>1399</v>
      </c>
      <c r="C49" s="235" t="s">
        <v>1393</v>
      </c>
      <c r="D49" s="235"/>
      <c r="E49" s="133" t="s">
        <v>1400</v>
      </c>
      <c r="F49" s="26" t="s">
        <v>258</v>
      </c>
      <c r="G49" s="26" t="s">
        <v>258</v>
      </c>
      <c r="H49" s="26" t="s">
        <v>259</v>
      </c>
      <c r="I49" s="26" t="s">
        <v>256</v>
      </c>
      <c r="J49" s="26" t="s">
        <v>260</v>
      </c>
      <c r="K49" s="235" t="s">
        <v>1099</v>
      </c>
      <c r="L49" s="235"/>
      <c r="M49" s="235"/>
      <c r="N49" s="26" t="s">
        <v>1099</v>
      </c>
      <c r="O49" s="26" t="s">
        <v>1099</v>
      </c>
      <c r="P49" s="235" t="s">
        <v>1099</v>
      </c>
      <c r="Q49" s="235"/>
      <c r="R49" s="26" t="s">
        <v>1099</v>
      </c>
      <c r="AA49" s="26" t="s">
        <v>1373</v>
      </c>
    </row>
  </sheetData>
  <mergeCells count="37">
    <mergeCell ref="K42:M42"/>
    <mergeCell ref="K45:M45"/>
    <mergeCell ref="P45:Q45"/>
    <mergeCell ref="C38:D38"/>
    <mergeCell ref="P38:Q38"/>
    <mergeCell ref="P42:Q42"/>
    <mergeCell ref="K43:M43"/>
    <mergeCell ref="K44:M44"/>
    <mergeCell ref="K38:M38"/>
    <mergeCell ref="P43:Q43"/>
    <mergeCell ref="P44:Q44"/>
    <mergeCell ref="C42:D42"/>
    <mergeCell ref="C43:D43"/>
    <mergeCell ref="C44:D44"/>
    <mergeCell ref="C45:D45"/>
    <mergeCell ref="C49:D49"/>
    <mergeCell ref="P48:Q48"/>
    <mergeCell ref="P39:Q39"/>
    <mergeCell ref="P40:Q40"/>
    <mergeCell ref="P41:Q41"/>
    <mergeCell ref="P49:Q49"/>
    <mergeCell ref="C46:D46"/>
    <mergeCell ref="C48:D48"/>
    <mergeCell ref="C39:D39"/>
    <mergeCell ref="C40:D40"/>
    <mergeCell ref="C41:D41"/>
    <mergeCell ref="K48:M48"/>
    <mergeCell ref="K39:M39"/>
    <mergeCell ref="K40:M40"/>
    <mergeCell ref="K41:M41"/>
    <mergeCell ref="K49:M49"/>
    <mergeCell ref="AJ31:AK31"/>
    <mergeCell ref="B3:D3"/>
    <mergeCell ref="B4:D4"/>
    <mergeCell ref="B5:D5"/>
    <mergeCell ref="F4:P5"/>
    <mergeCell ref="F3:O3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71F18-3C36-4145-8C64-F4DC77334E70}">
  <dimension ref="A1:AH39"/>
  <sheetViews>
    <sheetView workbookViewId="0">
      <selection activeCell="U20" sqref="U20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895</v>
      </c>
      <c r="I1" s="25" t="s">
        <v>1120</v>
      </c>
    </row>
    <row r="3" spans="1:34" ht="18" x14ac:dyDescent="0.25">
      <c r="A3" s="25" t="s">
        <v>119</v>
      </c>
      <c r="B3" s="215">
        <v>85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1401</v>
      </c>
      <c r="C4" s="215"/>
      <c r="D4" s="215"/>
      <c r="F4" s="216" t="s">
        <v>1402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899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28" t="s">
        <v>378</v>
      </c>
      <c r="C8" s="28" t="s">
        <v>942</v>
      </c>
      <c r="D8" s="28" t="s">
        <v>942</v>
      </c>
      <c r="E8" s="28"/>
      <c r="F8" s="28"/>
      <c r="G8" s="28" t="s">
        <v>379</v>
      </c>
      <c r="H8" s="28" t="s">
        <v>379</v>
      </c>
      <c r="I8" s="28" t="s">
        <v>379</v>
      </c>
      <c r="J8" s="28"/>
      <c r="K8" s="28" t="s">
        <v>379</v>
      </c>
      <c r="L8" s="28" t="s">
        <v>379</v>
      </c>
      <c r="M8" s="28" t="s">
        <v>379</v>
      </c>
      <c r="N8" s="28"/>
      <c r="O8" s="28"/>
      <c r="P8" s="28" t="s">
        <v>366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8" t="s">
        <v>1403</v>
      </c>
      <c r="AB8" s="28"/>
      <c r="AC8" s="28"/>
      <c r="AD8" s="28"/>
      <c r="AE8" s="28"/>
      <c r="AF8" s="28"/>
      <c r="AG8" s="28"/>
      <c r="AH8" s="28" t="s">
        <v>556</v>
      </c>
    </row>
    <row r="9" spans="1:34" x14ac:dyDescent="0.25">
      <c r="A9" s="26" t="s">
        <v>165</v>
      </c>
      <c r="B9" s="28" t="s">
        <v>379</v>
      </c>
      <c r="C9" s="28" t="s">
        <v>614</v>
      </c>
      <c r="D9" s="28" t="s">
        <v>614</v>
      </c>
      <c r="E9" s="29"/>
      <c r="F9" s="29"/>
      <c r="G9" s="28" t="s">
        <v>379</v>
      </c>
      <c r="H9" s="28" t="s">
        <v>379</v>
      </c>
      <c r="I9" s="28" t="s">
        <v>379</v>
      </c>
      <c r="J9" s="29"/>
      <c r="K9" s="28" t="s">
        <v>379</v>
      </c>
      <c r="L9" s="28" t="s">
        <v>379</v>
      </c>
      <c r="M9" s="28" t="s">
        <v>379</v>
      </c>
      <c r="N9" s="29"/>
      <c r="O9" s="29"/>
      <c r="P9" s="29" t="s">
        <v>1042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 t="s">
        <v>1403</v>
      </c>
      <c r="AB9" s="29"/>
      <c r="AC9" s="29"/>
      <c r="AD9" s="29"/>
      <c r="AE9" s="29"/>
      <c r="AF9" s="29"/>
      <c r="AG9" s="29"/>
      <c r="AH9" s="28" t="s">
        <v>322</v>
      </c>
    </row>
    <row r="10" spans="1:34" x14ac:dyDescent="0.25">
      <c r="A10" s="131" t="s">
        <v>168</v>
      </c>
      <c r="B10" s="157">
        <v>70</v>
      </c>
      <c r="C10" s="157">
        <v>151</v>
      </c>
      <c r="D10" s="157">
        <v>151</v>
      </c>
      <c r="E10" s="157"/>
      <c r="F10" s="157"/>
      <c r="G10" s="157">
        <v>70</v>
      </c>
      <c r="H10" s="157">
        <v>70</v>
      </c>
      <c r="I10" s="157">
        <v>70</v>
      </c>
      <c r="J10" s="157"/>
      <c r="K10" s="157">
        <v>70</v>
      </c>
      <c r="L10" s="157">
        <v>70</v>
      </c>
      <c r="M10" s="157">
        <v>70</v>
      </c>
      <c r="N10" s="157"/>
      <c r="O10" s="157"/>
      <c r="P10" s="157">
        <v>191</v>
      </c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>
        <v>229</v>
      </c>
      <c r="AB10" s="157"/>
      <c r="AC10" s="157"/>
      <c r="AD10" s="157"/>
      <c r="AE10" s="157"/>
      <c r="AF10" s="157"/>
      <c r="AG10" s="157"/>
      <c r="AH10" s="157">
        <v>98</v>
      </c>
    </row>
    <row r="11" spans="1:34" x14ac:dyDescent="0.25">
      <c r="A11" s="26" t="s">
        <v>169</v>
      </c>
      <c r="B11" s="29" t="s">
        <v>170</v>
      </c>
      <c r="D11" s="28" t="s">
        <v>266</v>
      </c>
      <c r="E11" s="28"/>
      <c r="F11" s="28"/>
      <c r="G11" s="29" t="s">
        <v>170</v>
      </c>
      <c r="H11" s="29" t="s">
        <v>170</v>
      </c>
      <c r="I11" s="29" t="s">
        <v>170</v>
      </c>
      <c r="J11" s="28"/>
      <c r="K11" s="29" t="s">
        <v>170</v>
      </c>
      <c r="L11" s="29" t="s">
        <v>170</v>
      </c>
      <c r="M11" s="29" t="s">
        <v>170</v>
      </c>
      <c r="N11" s="28"/>
      <c r="O11" s="28"/>
      <c r="P11" s="28" t="s">
        <v>173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9" t="s">
        <v>170</v>
      </c>
      <c r="AB11" s="28"/>
      <c r="AC11" s="29"/>
      <c r="AD11" s="28"/>
      <c r="AE11" s="29"/>
      <c r="AF11" s="28"/>
      <c r="AG11" s="28"/>
      <c r="AH11" s="28" t="s">
        <v>170</v>
      </c>
    </row>
    <row r="12" spans="1:34" x14ac:dyDescent="0.25">
      <c r="A12" s="26" t="s">
        <v>171</v>
      </c>
      <c r="B12" s="29" t="s">
        <v>170</v>
      </c>
      <c r="C12" s="28" t="s">
        <v>266</v>
      </c>
      <c r="D12" s="28" t="s">
        <v>266</v>
      </c>
      <c r="E12" s="28"/>
      <c r="F12" s="28"/>
      <c r="G12" s="29" t="s">
        <v>170</v>
      </c>
      <c r="H12" s="29" t="s">
        <v>170</v>
      </c>
      <c r="I12" s="29" t="s">
        <v>170</v>
      </c>
      <c r="J12" s="28"/>
      <c r="K12" s="29" t="s">
        <v>170</v>
      </c>
      <c r="L12" s="29" t="s">
        <v>170</v>
      </c>
      <c r="M12" s="29" t="s">
        <v>170</v>
      </c>
      <c r="N12" s="28"/>
      <c r="O12" s="28"/>
      <c r="P12" s="28" t="s">
        <v>170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9" t="s">
        <v>170</v>
      </c>
      <c r="AB12" s="28"/>
      <c r="AC12" s="28"/>
      <c r="AD12" s="28"/>
      <c r="AE12" s="28"/>
      <c r="AF12" s="28"/>
      <c r="AG12" s="28"/>
      <c r="AH12" s="28" t="s">
        <v>170</v>
      </c>
    </row>
    <row r="13" spans="1:34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/>
      <c r="F13" s="28"/>
      <c r="G13" s="28" t="s">
        <v>173</v>
      </c>
      <c r="H13" s="28" t="s">
        <v>173</v>
      </c>
      <c r="I13" s="28" t="s">
        <v>173</v>
      </c>
      <c r="J13" s="28"/>
      <c r="K13" s="28" t="s">
        <v>173</v>
      </c>
      <c r="L13" s="28" t="s">
        <v>173</v>
      </c>
      <c r="M13" s="28" t="s">
        <v>173</v>
      </c>
      <c r="N13" s="28"/>
      <c r="O13" s="28"/>
      <c r="P13" s="28" t="s">
        <v>173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173</v>
      </c>
      <c r="AB13" s="28"/>
      <c r="AC13" s="28"/>
      <c r="AD13" s="28"/>
      <c r="AE13" s="28"/>
      <c r="AF13" s="28"/>
      <c r="AG13" s="28"/>
      <c r="AH13" s="28" t="s">
        <v>173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/>
      <c r="F14" s="28"/>
      <c r="G14" s="28" t="s">
        <v>173</v>
      </c>
      <c r="H14" s="28" t="s">
        <v>173</v>
      </c>
      <c r="I14" s="28" t="s">
        <v>173</v>
      </c>
      <c r="J14" s="28"/>
      <c r="K14" s="28" t="s">
        <v>173</v>
      </c>
      <c r="L14" s="28" t="s">
        <v>173</v>
      </c>
      <c r="M14" s="28" t="s">
        <v>173</v>
      </c>
      <c r="N14" s="28"/>
      <c r="O14" s="28"/>
      <c r="P14" s="28" t="s">
        <v>173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173</v>
      </c>
      <c r="AB14" s="28"/>
      <c r="AC14" s="28"/>
      <c r="AD14" s="28"/>
      <c r="AE14" s="28"/>
      <c r="AF14" s="28"/>
      <c r="AG14" s="28"/>
      <c r="AH14" s="28" t="s">
        <v>173</v>
      </c>
    </row>
    <row r="15" spans="1:34" x14ac:dyDescent="0.25">
      <c r="A15" s="26" t="s">
        <v>175</v>
      </c>
      <c r="B15" s="28" t="s">
        <v>160</v>
      </c>
      <c r="C15" s="28" t="s">
        <v>199</v>
      </c>
      <c r="D15" s="28" t="s">
        <v>199</v>
      </c>
      <c r="E15" s="28"/>
      <c r="F15" s="28"/>
      <c r="G15" s="28" t="s">
        <v>160</v>
      </c>
      <c r="H15" s="28" t="s">
        <v>160</v>
      </c>
      <c r="I15" s="28" t="s">
        <v>160</v>
      </c>
      <c r="J15" s="28"/>
      <c r="K15" s="28" t="s">
        <v>160</v>
      </c>
      <c r="L15" s="28" t="s">
        <v>160</v>
      </c>
      <c r="M15" s="28" t="s">
        <v>160</v>
      </c>
      <c r="N15" s="28"/>
      <c r="O15" s="28"/>
      <c r="P15" s="28" t="s">
        <v>198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160</v>
      </c>
      <c r="AB15" s="28"/>
      <c r="AC15" s="28"/>
      <c r="AD15" s="28"/>
      <c r="AE15" s="28"/>
      <c r="AF15" s="28"/>
      <c r="AG15" s="28"/>
      <c r="AH15" s="28" t="s">
        <v>199</v>
      </c>
    </row>
    <row r="16" spans="1:34" x14ac:dyDescent="0.25">
      <c r="A16" s="26" t="s">
        <v>176</v>
      </c>
      <c r="B16" s="30">
        <v>3</v>
      </c>
      <c r="C16" s="30">
        <v>-2</v>
      </c>
      <c r="D16" s="30">
        <v>-2</v>
      </c>
      <c r="E16" s="30"/>
      <c r="F16" s="30"/>
      <c r="G16" s="30">
        <v>3</v>
      </c>
      <c r="H16" s="30">
        <v>3</v>
      </c>
      <c r="I16" s="30">
        <v>3</v>
      </c>
      <c r="J16" s="30"/>
      <c r="K16" s="30">
        <v>3</v>
      </c>
      <c r="L16" s="30">
        <v>3</v>
      </c>
      <c r="M16" s="30">
        <v>3</v>
      </c>
      <c r="N16" s="30"/>
      <c r="O16" s="30"/>
      <c r="P16" s="30">
        <v>0.75</v>
      </c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v>3</v>
      </c>
      <c r="AB16" s="30"/>
      <c r="AC16" s="30"/>
      <c r="AD16" s="30"/>
      <c r="AE16" s="30"/>
      <c r="AF16" s="30"/>
      <c r="AG16" s="30"/>
      <c r="AH16" s="30">
        <v>-2</v>
      </c>
    </row>
    <row r="17" spans="1:34" x14ac:dyDescent="0.25">
      <c r="A17" s="26" t="s">
        <v>177</v>
      </c>
      <c r="B17" s="28" t="s">
        <v>365</v>
      </c>
      <c r="C17" s="28" t="s">
        <v>537</v>
      </c>
      <c r="D17" s="28" t="s">
        <v>537</v>
      </c>
      <c r="E17" s="28"/>
      <c r="F17" s="28"/>
      <c r="G17" s="28" t="s">
        <v>365</v>
      </c>
      <c r="H17" s="28" t="s">
        <v>365</v>
      </c>
      <c r="I17" s="28" t="s">
        <v>365</v>
      </c>
      <c r="J17" s="28"/>
      <c r="K17" s="28" t="s">
        <v>365</v>
      </c>
      <c r="L17" s="28" t="s">
        <v>365</v>
      </c>
      <c r="M17" s="28" t="s">
        <v>365</v>
      </c>
      <c r="N17" s="28"/>
      <c r="O17" s="28"/>
      <c r="P17" s="28" t="s">
        <v>1043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1404</v>
      </c>
      <c r="AB17" s="28"/>
      <c r="AC17" s="28"/>
      <c r="AD17" s="28"/>
      <c r="AE17" s="28"/>
      <c r="AF17" s="28"/>
      <c r="AG17" s="28"/>
      <c r="AH17" s="28" t="s">
        <v>334</v>
      </c>
    </row>
    <row r="18" spans="1:34" x14ac:dyDescent="0.25">
      <c r="A18" s="26" t="s">
        <v>182</v>
      </c>
      <c r="B18" s="30">
        <v>1.5</v>
      </c>
      <c r="C18" s="30">
        <f>AVERAGE(1/3,0)</f>
        <v>0.16666666666666666</v>
      </c>
      <c r="D18" s="30">
        <f>AVERAGE(1/3,0)</f>
        <v>0.16666666666666666</v>
      </c>
      <c r="E18" s="30"/>
      <c r="F18" s="30"/>
      <c r="G18" s="30">
        <v>1.5</v>
      </c>
      <c r="H18" s="30">
        <v>1.5</v>
      </c>
      <c r="I18" s="30">
        <v>1.5</v>
      </c>
      <c r="J18" s="30"/>
      <c r="K18" s="30">
        <v>1.5</v>
      </c>
      <c r="L18" s="30">
        <v>1.5</v>
      </c>
      <c r="M18" s="30">
        <v>1.5</v>
      </c>
      <c r="N18" s="30"/>
      <c r="O18" s="30"/>
      <c r="P18" s="30">
        <v>0.75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f>1.5*5/4</f>
        <v>1.875</v>
      </c>
      <c r="AB18" s="30"/>
      <c r="AC18" s="30"/>
      <c r="AD18" s="30"/>
      <c r="AE18" s="30"/>
      <c r="AF18" s="30"/>
      <c r="AG18" s="30"/>
      <c r="AH18" s="30">
        <f>1/3</f>
        <v>0.33333333333333331</v>
      </c>
    </row>
    <row r="20" spans="1:34" x14ac:dyDescent="0.25">
      <c r="A20" s="26" t="s">
        <v>159</v>
      </c>
      <c r="B20" s="28" t="s">
        <v>1126</v>
      </c>
      <c r="C20" s="28" t="s">
        <v>379</v>
      </c>
      <c r="D20" s="28" t="s">
        <v>379</v>
      </c>
      <c r="E20" s="28"/>
      <c r="F20" s="28"/>
      <c r="G20" s="28" t="s">
        <v>556</v>
      </c>
      <c r="H20" s="28" t="s">
        <v>556</v>
      </c>
      <c r="I20" s="28" t="s">
        <v>556</v>
      </c>
      <c r="J20" s="28"/>
      <c r="K20" s="28" t="s">
        <v>556</v>
      </c>
      <c r="L20" s="28" t="s">
        <v>556</v>
      </c>
      <c r="M20" s="28" t="s">
        <v>556</v>
      </c>
      <c r="N20" s="28"/>
      <c r="O20" s="28"/>
      <c r="P20" s="28" t="s">
        <v>1156</v>
      </c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 t="s">
        <v>556</v>
      </c>
      <c r="AB20" s="28"/>
      <c r="AC20" s="28"/>
      <c r="AD20" s="28"/>
      <c r="AE20" s="28"/>
      <c r="AF20" s="28"/>
      <c r="AG20" s="28"/>
      <c r="AH20" s="28" t="s">
        <v>379</v>
      </c>
    </row>
    <row r="21" spans="1:34" x14ac:dyDescent="0.25">
      <c r="A21" s="26" t="s">
        <v>165</v>
      </c>
      <c r="B21" s="28" t="s">
        <v>322</v>
      </c>
      <c r="C21" s="28" t="s">
        <v>379</v>
      </c>
      <c r="D21" s="28" t="s">
        <v>379</v>
      </c>
      <c r="E21" s="29"/>
      <c r="F21" s="29"/>
      <c r="G21" s="28" t="s">
        <v>322</v>
      </c>
      <c r="H21" s="28" t="s">
        <v>322</v>
      </c>
      <c r="I21" s="28" t="s">
        <v>322</v>
      </c>
      <c r="J21" s="29"/>
      <c r="K21" s="28" t="s">
        <v>614</v>
      </c>
      <c r="L21" s="28" t="s">
        <v>614</v>
      </c>
      <c r="M21" s="28" t="s">
        <v>614</v>
      </c>
      <c r="N21" s="29"/>
      <c r="O21" s="29"/>
      <c r="P21" s="28" t="s">
        <v>324</v>
      </c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8" t="s">
        <v>322</v>
      </c>
      <c r="AB21" s="29"/>
      <c r="AC21" s="29"/>
      <c r="AD21" s="29"/>
      <c r="AE21" s="29"/>
      <c r="AF21" s="29"/>
      <c r="AG21" s="29"/>
      <c r="AH21" s="28" t="s">
        <v>379</v>
      </c>
    </row>
    <row r="22" spans="1:34" x14ac:dyDescent="0.25">
      <c r="A22" s="131" t="s">
        <v>168</v>
      </c>
      <c r="B22" s="157">
        <v>98</v>
      </c>
      <c r="C22" s="157">
        <v>70</v>
      </c>
      <c r="D22" s="157">
        <v>70</v>
      </c>
      <c r="E22" s="157"/>
      <c r="F22" s="157"/>
      <c r="G22" s="157">
        <v>98</v>
      </c>
      <c r="H22" s="157">
        <v>98</v>
      </c>
      <c r="I22" s="157">
        <v>98</v>
      </c>
      <c r="J22" s="157"/>
      <c r="K22" s="157">
        <v>151</v>
      </c>
      <c r="L22" s="157">
        <v>151</v>
      </c>
      <c r="M22" s="157">
        <v>151</v>
      </c>
      <c r="N22" s="157"/>
      <c r="O22" s="157"/>
      <c r="P22" s="157">
        <v>57</v>
      </c>
      <c r="Q22" s="157"/>
      <c r="R22" s="157"/>
      <c r="S22" s="157"/>
      <c r="T22" s="157"/>
      <c r="U22" s="157"/>
      <c r="V22" s="157"/>
      <c r="W22" s="157"/>
      <c r="X22" s="157"/>
      <c r="Y22" s="157"/>
      <c r="Z22" s="157"/>
      <c r="AA22" s="157">
        <v>98</v>
      </c>
      <c r="AB22" s="157"/>
      <c r="AC22" s="157"/>
      <c r="AD22" s="157"/>
      <c r="AE22" s="157"/>
      <c r="AF22" s="157"/>
      <c r="AG22" s="157"/>
      <c r="AH22" s="157">
        <v>70</v>
      </c>
    </row>
    <row r="23" spans="1:34" x14ac:dyDescent="0.25">
      <c r="A23" s="26" t="s">
        <v>169</v>
      </c>
      <c r="B23" s="28" t="s">
        <v>170</v>
      </c>
      <c r="C23" s="29" t="s">
        <v>170</v>
      </c>
      <c r="D23" s="29" t="s">
        <v>170</v>
      </c>
      <c r="E23" s="28"/>
      <c r="F23" s="28"/>
      <c r="G23" s="28" t="s">
        <v>170</v>
      </c>
      <c r="H23" s="28" t="s">
        <v>170</v>
      </c>
      <c r="I23" s="28" t="s">
        <v>170</v>
      </c>
      <c r="J23" s="28"/>
      <c r="K23" s="28" t="s">
        <v>266</v>
      </c>
      <c r="L23" s="28" t="s">
        <v>266</v>
      </c>
      <c r="M23" s="28" t="s">
        <v>266</v>
      </c>
      <c r="N23" s="28"/>
      <c r="O23" s="28"/>
      <c r="P23" s="28" t="s">
        <v>170</v>
      </c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 t="s">
        <v>170</v>
      </c>
      <c r="AB23" s="28"/>
      <c r="AC23" s="29"/>
      <c r="AD23" s="28"/>
      <c r="AE23" s="29"/>
      <c r="AF23" s="28"/>
      <c r="AG23" s="28"/>
      <c r="AH23" s="29" t="s">
        <v>170</v>
      </c>
    </row>
    <row r="24" spans="1:34" x14ac:dyDescent="0.25">
      <c r="A24" s="26" t="s">
        <v>171</v>
      </c>
      <c r="B24" s="28" t="s">
        <v>170</v>
      </c>
      <c r="C24" s="29" t="s">
        <v>170</v>
      </c>
      <c r="D24" s="29" t="s">
        <v>170</v>
      </c>
      <c r="E24" s="28"/>
      <c r="F24" s="28"/>
      <c r="G24" s="28" t="s">
        <v>170</v>
      </c>
      <c r="H24" s="28" t="s">
        <v>170</v>
      </c>
      <c r="I24" s="28" t="s">
        <v>170</v>
      </c>
      <c r="J24" s="28"/>
      <c r="K24" s="28" t="s">
        <v>266</v>
      </c>
      <c r="L24" s="28" t="s">
        <v>266</v>
      </c>
      <c r="M24" s="28" t="s">
        <v>266</v>
      </c>
      <c r="N24" s="28"/>
      <c r="O24" s="28"/>
      <c r="P24" s="28" t="s">
        <v>170</v>
      </c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 t="s">
        <v>170</v>
      </c>
      <c r="AB24" s="28"/>
      <c r="AC24" s="28"/>
      <c r="AD24" s="28"/>
      <c r="AE24" s="28"/>
      <c r="AF24" s="28"/>
      <c r="AG24" s="28"/>
      <c r="AH24" s="29" t="s">
        <v>170</v>
      </c>
    </row>
    <row r="25" spans="1:34" x14ac:dyDescent="0.25">
      <c r="A25" s="26" t="s">
        <v>172</v>
      </c>
      <c r="B25" s="28" t="s">
        <v>173</v>
      </c>
      <c r="C25" s="28" t="s">
        <v>173</v>
      </c>
      <c r="D25" s="28" t="s">
        <v>173</v>
      </c>
      <c r="E25" s="28"/>
      <c r="F25" s="28"/>
      <c r="G25" s="28" t="s">
        <v>173</v>
      </c>
      <c r="H25" s="28" t="s">
        <v>173</v>
      </c>
      <c r="I25" s="28" t="s">
        <v>173</v>
      </c>
      <c r="J25" s="28"/>
      <c r="K25" s="28" t="s">
        <v>173</v>
      </c>
      <c r="L25" s="28" t="s">
        <v>173</v>
      </c>
      <c r="M25" s="28" t="s">
        <v>173</v>
      </c>
      <c r="N25" s="28"/>
      <c r="O25" s="28"/>
      <c r="P25" s="28" t="s">
        <v>170</v>
      </c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 t="s">
        <v>173</v>
      </c>
      <c r="AB25" s="28"/>
      <c r="AC25" s="28"/>
      <c r="AD25" s="28"/>
      <c r="AE25" s="28"/>
      <c r="AF25" s="28"/>
      <c r="AG25" s="28"/>
      <c r="AH25" s="28" t="s">
        <v>173</v>
      </c>
    </row>
    <row r="26" spans="1:34" x14ac:dyDescent="0.25">
      <c r="A26" s="26" t="s">
        <v>174</v>
      </c>
      <c r="B26" s="28" t="s">
        <v>173</v>
      </c>
      <c r="C26" s="28" t="s">
        <v>173</v>
      </c>
      <c r="D26" s="28" t="s">
        <v>173</v>
      </c>
      <c r="E26" s="28"/>
      <c r="F26" s="28"/>
      <c r="G26" s="28" t="s">
        <v>173</v>
      </c>
      <c r="H26" s="28" t="s">
        <v>173</v>
      </c>
      <c r="I26" s="28" t="s">
        <v>173</v>
      </c>
      <c r="J26" s="28"/>
      <c r="K26" s="28" t="s">
        <v>173</v>
      </c>
      <c r="L26" s="28" t="s">
        <v>173</v>
      </c>
      <c r="M26" s="28" t="s">
        <v>173</v>
      </c>
      <c r="N26" s="28"/>
      <c r="O26" s="28"/>
      <c r="P26" s="28" t="s">
        <v>173</v>
      </c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 t="s">
        <v>173</v>
      </c>
      <c r="AB26" s="28"/>
      <c r="AC26" s="28"/>
      <c r="AD26" s="28"/>
      <c r="AE26" s="28"/>
      <c r="AF26" s="28"/>
      <c r="AG26" s="28"/>
      <c r="AH26" s="28" t="s">
        <v>173</v>
      </c>
    </row>
    <row r="27" spans="1:34" x14ac:dyDescent="0.25">
      <c r="A27" s="26" t="s">
        <v>175</v>
      </c>
      <c r="B27" s="28" t="s">
        <v>199</v>
      </c>
      <c r="C27" s="28" t="s">
        <v>160</v>
      </c>
      <c r="D27" s="28" t="s">
        <v>160</v>
      </c>
      <c r="E27" s="28"/>
      <c r="F27" s="28"/>
      <c r="G27" s="28" t="s">
        <v>199</v>
      </c>
      <c r="H27" s="28" t="s">
        <v>199</v>
      </c>
      <c r="I27" s="28" t="s">
        <v>199</v>
      </c>
      <c r="J27" s="28"/>
      <c r="K27" s="28" t="s">
        <v>199</v>
      </c>
      <c r="L27" s="28" t="s">
        <v>199</v>
      </c>
      <c r="M27" s="28" t="s">
        <v>199</v>
      </c>
      <c r="N27" s="28"/>
      <c r="O27" s="28"/>
      <c r="P27" s="28" t="s">
        <v>199</v>
      </c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 t="s">
        <v>199</v>
      </c>
      <c r="AB27" s="28"/>
      <c r="AC27" s="28"/>
      <c r="AD27" s="28"/>
      <c r="AE27" s="28"/>
      <c r="AF27" s="28"/>
      <c r="AG27" s="28"/>
      <c r="AH27" s="28" t="s">
        <v>160</v>
      </c>
    </row>
    <row r="28" spans="1:34" x14ac:dyDescent="0.25">
      <c r="A28" s="26" t="s">
        <v>176</v>
      </c>
      <c r="B28" s="30">
        <v>-2</v>
      </c>
      <c r="C28" s="30">
        <v>3</v>
      </c>
      <c r="D28" s="30">
        <v>3</v>
      </c>
      <c r="E28" s="30"/>
      <c r="F28" s="30"/>
      <c r="G28" s="30">
        <v>-2</v>
      </c>
      <c r="H28" s="30">
        <v>-2</v>
      </c>
      <c r="I28" s="30">
        <v>-2</v>
      </c>
      <c r="J28" s="30"/>
      <c r="K28" s="30">
        <v>-2</v>
      </c>
      <c r="L28" s="30">
        <v>-2</v>
      </c>
      <c r="M28" s="30">
        <v>-2</v>
      </c>
      <c r="N28" s="30"/>
      <c r="O28" s="30"/>
      <c r="P28" s="30">
        <v>-0.5</v>
      </c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>
        <v>-2</v>
      </c>
      <c r="AB28" s="30"/>
      <c r="AC28" s="30"/>
      <c r="AD28" s="30"/>
      <c r="AE28" s="30"/>
      <c r="AF28" s="30"/>
      <c r="AG28" s="30"/>
      <c r="AH28" s="30">
        <v>3</v>
      </c>
    </row>
    <row r="29" spans="1:34" x14ac:dyDescent="0.25">
      <c r="A29" s="26" t="s">
        <v>177</v>
      </c>
      <c r="B29" s="28" t="s">
        <v>334</v>
      </c>
      <c r="C29" s="28" t="s">
        <v>365</v>
      </c>
      <c r="D29" s="28" t="s">
        <v>365</v>
      </c>
      <c r="E29" s="28"/>
      <c r="F29" s="28"/>
      <c r="G29" s="28" t="s">
        <v>334</v>
      </c>
      <c r="H29" s="28" t="s">
        <v>334</v>
      </c>
      <c r="I29" s="28" t="s">
        <v>334</v>
      </c>
      <c r="J29" s="28"/>
      <c r="K29" s="28" t="s">
        <v>537</v>
      </c>
      <c r="L29" s="28" t="s">
        <v>537</v>
      </c>
      <c r="M29" s="28" t="s">
        <v>537</v>
      </c>
      <c r="N29" s="28"/>
      <c r="O29" s="28"/>
      <c r="P29" s="28" t="s">
        <v>181</v>
      </c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 t="s">
        <v>334</v>
      </c>
      <c r="AB29" s="28"/>
      <c r="AC29" s="28"/>
      <c r="AD29" s="28"/>
      <c r="AE29" s="28"/>
      <c r="AF29" s="28"/>
      <c r="AG29" s="28"/>
      <c r="AH29" s="28" t="s">
        <v>365</v>
      </c>
    </row>
    <row r="30" spans="1:34" x14ac:dyDescent="0.25">
      <c r="A30" s="26" t="s">
        <v>182</v>
      </c>
      <c r="B30" s="30">
        <f>1/3</f>
        <v>0.33333333333333331</v>
      </c>
      <c r="C30" s="30">
        <v>1.5</v>
      </c>
      <c r="D30" s="30">
        <v>1.5</v>
      </c>
      <c r="E30" s="30"/>
      <c r="F30" s="30"/>
      <c r="G30" s="30">
        <f>1/3</f>
        <v>0.33333333333333331</v>
      </c>
      <c r="H30" s="30">
        <f t="shared" ref="H30:I30" si="0">1/3</f>
        <v>0.33333333333333331</v>
      </c>
      <c r="I30" s="30">
        <f t="shared" si="0"/>
        <v>0.33333333333333331</v>
      </c>
      <c r="J30" s="30"/>
      <c r="K30" s="30">
        <f>AVERAGE(1/3,0)</f>
        <v>0.16666666666666666</v>
      </c>
      <c r="L30" s="30">
        <f>AVERAGE(1/3,0)</f>
        <v>0.16666666666666666</v>
      </c>
      <c r="M30" s="30">
        <f>AVERAGE(1/3,0)</f>
        <v>0.16666666666666666</v>
      </c>
      <c r="N30" s="30"/>
      <c r="O30" s="30"/>
      <c r="P30" s="30">
        <v>2</v>
      </c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>
        <f>1/3</f>
        <v>0.33333333333333331</v>
      </c>
      <c r="AB30" s="30"/>
      <c r="AC30" s="30"/>
      <c r="AD30" s="30"/>
      <c r="AE30" s="30"/>
      <c r="AF30" s="30"/>
      <c r="AG30" s="30"/>
      <c r="AH30" s="30">
        <v>1.5</v>
      </c>
    </row>
    <row r="32" spans="1:34" x14ac:dyDescent="0.25">
      <c r="A32" s="31" t="s">
        <v>183</v>
      </c>
    </row>
    <row r="33" spans="1:21" x14ac:dyDescent="0.25">
      <c r="A33" s="26" t="s">
        <v>1405</v>
      </c>
      <c r="B33" s="56"/>
    </row>
    <row r="39" spans="1:21" x14ac:dyDescent="0.25">
      <c r="N39" s="174"/>
      <c r="O39" s="174"/>
      <c r="P39" s="174"/>
      <c r="Q39" s="174"/>
      <c r="R39" s="174"/>
      <c r="S39" s="174"/>
      <c r="T39" s="174"/>
      <c r="U39" s="174"/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3F166-0714-4486-B33A-3715212098B9}">
  <dimension ref="A1:AK34"/>
  <sheetViews>
    <sheetView topLeftCell="N5" workbookViewId="0">
      <selection activeCell="AH23" sqref="AH23"/>
    </sheetView>
  </sheetViews>
  <sheetFormatPr defaultColWidth="9.140625" defaultRowHeight="15" x14ac:dyDescent="0.25"/>
  <cols>
    <col min="1" max="1" width="23.28515625" style="26" bestFit="1" customWidth="1"/>
    <col min="2" max="50" width="5.7109375" style="26" customWidth="1"/>
    <col min="51" max="16384" width="9.140625" style="26"/>
  </cols>
  <sheetData>
    <row r="1" spans="1:37" x14ac:dyDescent="0.25">
      <c r="A1" s="25" t="s">
        <v>116</v>
      </c>
      <c r="D1" s="25" t="s">
        <v>895</v>
      </c>
      <c r="I1" s="25" t="s">
        <v>1120</v>
      </c>
    </row>
    <row r="3" spans="1:37" ht="18" x14ac:dyDescent="0.25">
      <c r="A3" s="25" t="s">
        <v>119</v>
      </c>
      <c r="B3" s="215">
        <v>86</v>
      </c>
      <c r="C3" s="215"/>
      <c r="D3" s="215"/>
      <c r="E3" s="25"/>
      <c r="F3" s="234" t="s">
        <v>120</v>
      </c>
      <c r="G3" s="234"/>
      <c r="H3" s="234"/>
      <c r="I3" s="234"/>
      <c r="J3" s="234"/>
      <c r="K3" s="234"/>
      <c r="L3" s="234"/>
      <c r="M3" s="234"/>
      <c r="N3" s="234"/>
      <c r="O3" s="234"/>
    </row>
    <row r="4" spans="1:37" ht="18" x14ac:dyDescent="0.25">
      <c r="A4" s="25" t="s">
        <v>121</v>
      </c>
      <c r="B4" s="215" t="s">
        <v>1406</v>
      </c>
      <c r="C4" s="215"/>
      <c r="D4" s="215"/>
      <c r="F4" s="216" t="s">
        <v>1407</v>
      </c>
      <c r="G4" s="217"/>
      <c r="H4" s="217"/>
      <c r="I4" s="217"/>
      <c r="J4" s="217"/>
      <c r="K4" s="217"/>
      <c r="L4" s="217"/>
      <c r="M4" s="217"/>
      <c r="N4" s="217"/>
      <c r="O4" s="217"/>
      <c r="P4" s="218"/>
    </row>
    <row r="5" spans="1:37" ht="18" x14ac:dyDescent="0.25">
      <c r="A5" s="25" t="s">
        <v>124</v>
      </c>
      <c r="B5" s="215" t="s">
        <v>899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0"/>
      <c r="P5" s="221"/>
    </row>
    <row r="7" spans="1:37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76" t="s">
        <v>157</v>
      </c>
      <c r="AH7" s="76" t="s">
        <v>158</v>
      </c>
      <c r="AJ7" s="67" t="s">
        <v>140</v>
      </c>
      <c r="AK7" s="42" t="s">
        <v>141</v>
      </c>
    </row>
    <row r="8" spans="1:37" x14ac:dyDescent="0.25">
      <c r="A8" s="26" t="s">
        <v>159</v>
      </c>
      <c r="B8" s="28" t="s">
        <v>365</v>
      </c>
      <c r="C8" s="83" t="s">
        <v>1408</v>
      </c>
      <c r="D8" s="83" t="s">
        <v>341</v>
      </c>
      <c r="E8" s="28"/>
      <c r="F8" s="28"/>
      <c r="G8" s="28" t="s">
        <v>1409</v>
      </c>
      <c r="H8" s="28" t="s">
        <v>1409</v>
      </c>
      <c r="I8" s="28" t="s">
        <v>1409</v>
      </c>
      <c r="J8" s="28"/>
      <c r="K8" s="28" t="s">
        <v>1410</v>
      </c>
      <c r="L8" s="28" t="s">
        <v>1410</v>
      </c>
      <c r="M8" s="28" t="s">
        <v>1410</v>
      </c>
      <c r="N8" s="28" t="s">
        <v>1408</v>
      </c>
      <c r="O8" s="28" t="s">
        <v>1408</v>
      </c>
      <c r="P8" s="28" t="s">
        <v>1411</v>
      </c>
      <c r="Q8" s="28" t="s">
        <v>1411</v>
      </c>
      <c r="R8" s="28"/>
      <c r="S8" s="28"/>
      <c r="T8" s="28"/>
      <c r="U8" s="28"/>
      <c r="V8" s="28"/>
      <c r="W8" s="28"/>
      <c r="X8" s="28"/>
      <c r="Y8" s="28"/>
      <c r="Z8" s="28"/>
      <c r="AA8" s="28" t="s">
        <v>1411</v>
      </c>
      <c r="AB8" s="28"/>
      <c r="AC8" s="28"/>
      <c r="AD8" s="28"/>
      <c r="AE8" s="28"/>
      <c r="AF8" s="28"/>
      <c r="AG8" s="28" t="s">
        <v>1412</v>
      </c>
      <c r="AH8" s="80" t="s">
        <v>341</v>
      </c>
      <c r="AJ8" s="28" t="s">
        <v>366</v>
      </c>
      <c r="AK8" s="28" t="s">
        <v>366</v>
      </c>
    </row>
    <row r="9" spans="1:37" ht="15.75" customHeight="1" x14ac:dyDescent="0.25">
      <c r="A9" s="26" t="s">
        <v>165</v>
      </c>
      <c r="B9" s="28" t="s">
        <v>366</v>
      </c>
      <c r="C9" s="103" t="s">
        <v>1413</v>
      </c>
      <c r="D9" s="29" t="s">
        <v>1042</v>
      </c>
      <c r="E9" s="29"/>
      <c r="F9" s="29"/>
      <c r="G9" s="103" t="s">
        <v>1413</v>
      </c>
      <c r="H9" s="103" t="s">
        <v>1413</v>
      </c>
      <c r="I9" s="103" t="s">
        <v>1413</v>
      </c>
      <c r="J9" s="29"/>
      <c r="K9" s="103" t="s">
        <v>1414</v>
      </c>
      <c r="L9" s="103" t="s">
        <v>1414</v>
      </c>
      <c r="M9" s="103" t="s">
        <v>1414</v>
      </c>
      <c r="N9" s="103" t="s">
        <v>1413</v>
      </c>
      <c r="O9" s="103" t="s">
        <v>1413</v>
      </c>
      <c r="P9" s="103" t="s">
        <v>1414</v>
      </c>
      <c r="Q9" s="103" t="s">
        <v>1414</v>
      </c>
      <c r="R9" s="29"/>
      <c r="S9" s="29"/>
      <c r="T9" s="29"/>
      <c r="U9" s="29"/>
      <c r="V9" s="28" t="s">
        <v>1415</v>
      </c>
      <c r="W9" s="28" t="s">
        <v>1415</v>
      </c>
      <c r="X9" s="29"/>
      <c r="Y9" s="29"/>
      <c r="Z9" s="29"/>
      <c r="AA9" s="210" t="s">
        <v>1416</v>
      </c>
      <c r="AB9" s="29"/>
      <c r="AC9" s="29"/>
      <c r="AD9" s="29"/>
      <c r="AE9" s="29"/>
      <c r="AF9" s="29"/>
      <c r="AG9" s="28" t="s">
        <v>1417</v>
      </c>
      <c r="AH9" s="80" t="s">
        <v>341</v>
      </c>
      <c r="AJ9" s="29" t="s">
        <v>1042</v>
      </c>
      <c r="AK9" s="29" t="s">
        <v>1042</v>
      </c>
    </row>
    <row r="10" spans="1:37" x14ac:dyDescent="0.25">
      <c r="A10" s="131" t="s">
        <v>168</v>
      </c>
      <c r="B10" s="157">
        <v>73</v>
      </c>
      <c r="C10" s="157">
        <v>266</v>
      </c>
      <c r="D10" s="157">
        <v>191</v>
      </c>
      <c r="E10" s="157"/>
      <c r="F10" s="157"/>
      <c r="G10" s="157">
        <v>266</v>
      </c>
      <c r="H10" s="157">
        <v>266</v>
      </c>
      <c r="I10" s="157">
        <v>266</v>
      </c>
      <c r="J10" s="157"/>
      <c r="K10" s="157">
        <v>265</v>
      </c>
      <c r="L10" s="157">
        <v>265</v>
      </c>
      <c r="M10" s="157">
        <v>265</v>
      </c>
      <c r="N10" s="157">
        <v>266</v>
      </c>
      <c r="O10" s="157">
        <v>266</v>
      </c>
      <c r="P10" s="157">
        <v>265</v>
      </c>
      <c r="Q10" s="157">
        <v>265</v>
      </c>
      <c r="R10" s="157"/>
      <c r="S10" s="157"/>
      <c r="T10" s="157"/>
      <c r="U10" s="157"/>
      <c r="V10" s="157">
        <v>74</v>
      </c>
      <c r="W10" s="157">
        <v>74</v>
      </c>
      <c r="X10" s="157"/>
      <c r="Y10" s="157"/>
      <c r="Z10" s="157"/>
      <c r="AA10" s="157">
        <v>267</v>
      </c>
      <c r="AB10" s="157"/>
      <c r="AC10" s="157"/>
      <c r="AD10" s="157"/>
      <c r="AE10" s="157"/>
      <c r="AF10" s="157"/>
      <c r="AG10" s="157">
        <v>76</v>
      </c>
      <c r="AH10" s="198"/>
      <c r="AJ10" s="157">
        <v>191</v>
      </c>
      <c r="AK10" s="157">
        <v>191</v>
      </c>
    </row>
    <row r="11" spans="1:37" x14ac:dyDescent="0.25">
      <c r="A11" s="26" t="s">
        <v>169</v>
      </c>
      <c r="B11" s="28" t="s">
        <v>170</v>
      </c>
      <c r="C11" s="28" t="s">
        <v>170</v>
      </c>
      <c r="D11" s="28" t="s">
        <v>173</v>
      </c>
      <c r="E11" s="28"/>
      <c r="F11" s="28"/>
      <c r="G11" s="28" t="s">
        <v>170</v>
      </c>
      <c r="H11" s="28" t="s">
        <v>170</v>
      </c>
      <c r="I11" s="28" t="s">
        <v>170</v>
      </c>
      <c r="J11" s="28"/>
      <c r="K11" s="28" t="s">
        <v>170</v>
      </c>
      <c r="L11" s="28" t="s">
        <v>170</v>
      </c>
      <c r="M11" s="28" t="s">
        <v>170</v>
      </c>
      <c r="N11" s="28" t="s">
        <v>170</v>
      </c>
      <c r="O11" s="28" t="s">
        <v>170</v>
      </c>
      <c r="P11" s="28" t="s">
        <v>170</v>
      </c>
      <c r="Q11" s="28" t="s">
        <v>170</v>
      </c>
      <c r="R11" s="28"/>
      <c r="S11" s="28"/>
      <c r="T11" s="28"/>
      <c r="U11" s="28"/>
      <c r="V11" s="28" t="s">
        <v>170</v>
      </c>
      <c r="W11" s="28" t="s">
        <v>170</v>
      </c>
      <c r="X11" s="28"/>
      <c r="Y11" s="28"/>
      <c r="Z11" s="28"/>
      <c r="AA11" s="28" t="s">
        <v>170</v>
      </c>
      <c r="AB11" s="28"/>
      <c r="AC11" s="29"/>
      <c r="AD11" s="28"/>
      <c r="AE11" s="29"/>
      <c r="AF11" s="28"/>
      <c r="AG11" s="28" t="s">
        <v>170</v>
      </c>
      <c r="AH11" s="80" t="s">
        <v>173</v>
      </c>
      <c r="AJ11" s="28" t="s">
        <v>173</v>
      </c>
      <c r="AK11" s="28" t="s">
        <v>173</v>
      </c>
    </row>
    <row r="12" spans="1:37" x14ac:dyDescent="0.25">
      <c r="A12" s="26" t="s">
        <v>171</v>
      </c>
      <c r="B12" s="28" t="s">
        <v>170</v>
      </c>
      <c r="C12" s="28" t="s">
        <v>170</v>
      </c>
      <c r="D12" s="28" t="s">
        <v>170</v>
      </c>
      <c r="E12" s="28"/>
      <c r="F12" s="28"/>
      <c r="G12" s="28" t="s">
        <v>170</v>
      </c>
      <c r="H12" s="28" t="s">
        <v>170</v>
      </c>
      <c r="I12" s="28" t="s">
        <v>170</v>
      </c>
      <c r="J12" s="28"/>
      <c r="K12" s="28" t="s">
        <v>170</v>
      </c>
      <c r="L12" s="28" t="s">
        <v>170</v>
      </c>
      <c r="M12" s="28" t="s">
        <v>170</v>
      </c>
      <c r="N12" s="28" t="s">
        <v>170</v>
      </c>
      <c r="O12" s="28" t="s">
        <v>170</v>
      </c>
      <c r="P12" s="28" t="s">
        <v>170</v>
      </c>
      <c r="Q12" s="28" t="s">
        <v>170</v>
      </c>
      <c r="R12" s="28"/>
      <c r="S12" s="28"/>
      <c r="T12" s="28"/>
      <c r="U12" s="28"/>
      <c r="V12" s="28" t="s">
        <v>170</v>
      </c>
      <c r="W12" s="28" t="s">
        <v>170</v>
      </c>
      <c r="X12" s="28"/>
      <c r="Y12" s="28"/>
      <c r="Z12" s="28"/>
      <c r="AA12" s="28" t="s">
        <v>170</v>
      </c>
      <c r="AB12" s="28"/>
      <c r="AC12" s="28"/>
      <c r="AD12" s="28"/>
      <c r="AE12" s="28"/>
      <c r="AF12" s="28"/>
      <c r="AG12" s="28" t="s">
        <v>170</v>
      </c>
      <c r="AH12" s="80" t="s">
        <v>173</v>
      </c>
      <c r="AJ12" s="28" t="s">
        <v>170</v>
      </c>
      <c r="AK12" s="28" t="s">
        <v>170</v>
      </c>
    </row>
    <row r="13" spans="1:37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/>
      <c r="F13" s="28"/>
      <c r="G13" s="28" t="s">
        <v>173</v>
      </c>
      <c r="H13" s="28" t="s">
        <v>173</v>
      </c>
      <c r="I13" s="28" t="s">
        <v>173</v>
      </c>
      <c r="J13" s="28"/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/>
      <c r="S13" s="28"/>
      <c r="T13" s="28"/>
      <c r="U13" s="28"/>
      <c r="V13" s="28" t="s">
        <v>173</v>
      </c>
      <c r="W13" s="28" t="s">
        <v>173</v>
      </c>
      <c r="X13" s="28"/>
      <c r="Y13" s="28"/>
      <c r="Z13" s="28"/>
      <c r="AA13" s="28" t="s">
        <v>173</v>
      </c>
      <c r="AB13" s="28"/>
      <c r="AC13" s="28"/>
      <c r="AD13" s="28"/>
      <c r="AE13" s="28"/>
      <c r="AF13" s="28"/>
      <c r="AG13" s="28" t="s">
        <v>173</v>
      </c>
      <c r="AH13" s="80" t="s">
        <v>173</v>
      </c>
      <c r="AJ13" s="28" t="s">
        <v>173</v>
      </c>
      <c r="AK13" s="28" t="s">
        <v>173</v>
      </c>
    </row>
    <row r="14" spans="1:37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/>
      <c r="F14" s="28"/>
      <c r="G14" s="28" t="s">
        <v>173</v>
      </c>
      <c r="H14" s="28" t="s">
        <v>173</v>
      </c>
      <c r="I14" s="28" t="s">
        <v>173</v>
      </c>
      <c r="J14" s="28"/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/>
      <c r="S14" s="28"/>
      <c r="T14" s="28"/>
      <c r="U14" s="28"/>
      <c r="V14" s="28" t="s">
        <v>173</v>
      </c>
      <c r="W14" s="28" t="s">
        <v>173</v>
      </c>
      <c r="X14" s="28"/>
      <c r="Y14" s="28"/>
      <c r="Z14" s="28"/>
      <c r="AA14" s="28" t="s">
        <v>173</v>
      </c>
      <c r="AB14" s="28"/>
      <c r="AC14" s="28"/>
      <c r="AD14" s="28"/>
      <c r="AE14" s="28"/>
      <c r="AF14" s="28"/>
      <c r="AG14" s="28" t="s">
        <v>173</v>
      </c>
      <c r="AH14" s="80" t="s">
        <v>173</v>
      </c>
      <c r="AJ14" s="28" t="s">
        <v>173</v>
      </c>
      <c r="AK14" s="28" t="s">
        <v>173</v>
      </c>
    </row>
    <row r="15" spans="1:37" x14ac:dyDescent="0.25">
      <c r="A15" s="26" t="s">
        <v>175</v>
      </c>
      <c r="B15" s="28" t="s">
        <v>198</v>
      </c>
      <c r="C15" s="28" t="s">
        <v>1418</v>
      </c>
      <c r="D15" s="28" t="s">
        <v>198</v>
      </c>
      <c r="E15" s="28"/>
      <c r="F15" s="28"/>
      <c r="G15" s="28" t="s">
        <v>1418</v>
      </c>
      <c r="H15" s="28" t="s">
        <v>1418</v>
      </c>
      <c r="I15" s="28" t="s">
        <v>1418</v>
      </c>
      <c r="J15" s="28"/>
      <c r="K15" s="28" t="s">
        <v>199</v>
      </c>
      <c r="L15" s="28" t="s">
        <v>199</v>
      </c>
      <c r="M15" s="28" t="s">
        <v>199</v>
      </c>
      <c r="N15" s="28" t="s">
        <v>1418</v>
      </c>
      <c r="O15" s="28" t="s">
        <v>1418</v>
      </c>
      <c r="P15" s="28" t="s">
        <v>199</v>
      </c>
      <c r="Q15" s="28" t="s">
        <v>199</v>
      </c>
      <c r="R15" s="28"/>
      <c r="S15" s="28"/>
      <c r="T15" s="28"/>
      <c r="U15" s="28"/>
      <c r="V15" s="28" t="s">
        <v>199</v>
      </c>
      <c r="W15" s="28" t="s">
        <v>199</v>
      </c>
      <c r="X15" s="28"/>
      <c r="Y15" s="28"/>
      <c r="Z15" s="28"/>
      <c r="AA15" s="28" t="s">
        <v>1418</v>
      </c>
      <c r="AB15" s="28"/>
      <c r="AC15" s="28"/>
      <c r="AD15" s="28"/>
      <c r="AE15" s="28"/>
      <c r="AF15" s="28"/>
      <c r="AG15" s="28" t="s">
        <v>199</v>
      </c>
      <c r="AH15" s="80" t="s">
        <v>199</v>
      </c>
      <c r="AJ15" s="28" t="s">
        <v>198</v>
      </c>
      <c r="AK15" s="28" t="s">
        <v>198</v>
      </c>
    </row>
    <row r="16" spans="1:37" x14ac:dyDescent="0.25">
      <c r="A16" s="26" t="s">
        <v>176</v>
      </c>
      <c r="B16" s="30">
        <v>0.75</v>
      </c>
      <c r="C16" s="30">
        <f>AVERAGE(1.5,0)</f>
        <v>0.75</v>
      </c>
      <c r="D16" s="30">
        <v>0.75</v>
      </c>
      <c r="E16" s="30"/>
      <c r="F16" s="30"/>
      <c r="G16" s="30">
        <f t="shared" ref="G16:I16" si="0">AVERAGE(1.5,0)</f>
        <v>0.75</v>
      </c>
      <c r="H16" s="30">
        <f t="shared" si="0"/>
        <v>0.75</v>
      </c>
      <c r="I16" s="30">
        <f t="shared" si="0"/>
        <v>0.75</v>
      </c>
      <c r="J16" s="30"/>
      <c r="K16" s="30">
        <v>-1</v>
      </c>
      <c r="L16" s="30">
        <v>-1</v>
      </c>
      <c r="M16" s="30">
        <v>-1</v>
      </c>
      <c r="N16" s="30">
        <f t="shared" ref="N16:O16" si="1">AVERAGE(1.5,0)</f>
        <v>0.75</v>
      </c>
      <c r="O16" s="30">
        <f t="shared" si="1"/>
        <v>0.75</v>
      </c>
      <c r="P16" s="30">
        <v>-1</v>
      </c>
      <c r="Q16" s="30">
        <v>-1</v>
      </c>
      <c r="R16" s="30"/>
      <c r="S16" s="30"/>
      <c r="T16" s="30"/>
      <c r="U16" s="30"/>
      <c r="V16" s="30">
        <v>0</v>
      </c>
      <c r="W16" s="30">
        <v>0</v>
      </c>
      <c r="X16" s="30"/>
      <c r="Y16" s="30"/>
      <c r="Z16" s="30"/>
      <c r="AA16" s="30">
        <f t="shared" ref="AA16" si="2">AVERAGE(1.5,0)</f>
        <v>0.75</v>
      </c>
      <c r="AB16" s="30"/>
      <c r="AC16" s="30"/>
      <c r="AD16" s="30"/>
      <c r="AE16" s="30"/>
      <c r="AF16" s="30"/>
      <c r="AG16" s="30">
        <v>-2</v>
      </c>
      <c r="AH16" s="82">
        <v>-1</v>
      </c>
      <c r="AJ16" s="30">
        <v>0.75</v>
      </c>
      <c r="AK16" s="30">
        <v>0.75</v>
      </c>
    </row>
    <row r="17" spans="1:37" x14ac:dyDescent="0.25">
      <c r="A17" s="26" t="s">
        <v>177</v>
      </c>
      <c r="B17" s="28" t="s">
        <v>365</v>
      </c>
      <c r="C17" s="28" t="s">
        <v>365</v>
      </c>
      <c r="D17" s="28" t="s">
        <v>1043</v>
      </c>
      <c r="E17" s="28"/>
      <c r="F17" s="28"/>
      <c r="G17" s="28" t="s">
        <v>365</v>
      </c>
      <c r="H17" s="28" t="s">
        <v>365</v>
      </c>
      <c r="I17" s="28" t="s">
        <v>365</v>
      </c>
      <c r="J17" s="28"/>
      <c r="K17" s="28" t="s">
        <v>365</v>
      </c>
      <c r="L17" s="28" t="s">
        <v>365</v>
      </c>
      <c r="M17" s="28" t="s">
        <v>365</v>
      </c>
      <c r="N17" s="28" t="s">
        <v>365</v>
      </c>
      <c r="O17" s="28" t="s">
        <v>365</v>
      </c>
      <c r="P17" s="28" t="s">
        <v>365</v>
      </c>
      <c r="Q17" s="28" t="s">
        <v>365</v>
      </c>
      <c r="R17" s="28"/>
      <c r="S17" s="28"/>
      <c r="T17" s="28"/>
      <c r="U17" s="28"/>
      <c r="V17" s="28" t="s">
        <v>365</v>
      </c>
      <c r="W17" s="28" t="s">
        <v>365</v>
      </c>
      <c r="X17" s="28"/>
      <c r="Y17" s="28"/>
      <c r="Z17" s="28"/>
      <c r="AA17" s="28" t="s">
        <v>1404</v>
      </c>
      <c r="AB17" s="28"/>
      <c r="AC17" s="28"/>
      <c r="AD17" s="28"/>
      <c r="AE17" s="28"/>
      <c r="AF17" s="28"/>
      <c r="AG17" s="28" t="s">
        <v>365</v>
      </c>
      <c r="AH17" s="80" t="s">
        <v>341</v>
      </c>
      <c r="AJ17" s="28" t="s">
        <v>1043</v>
      </c>
      <c r="AK17" s="28" t="s">
        <v>1043</v>
      </c>
    </row>
    <row r="18" spans="1:37" x14ac:dyDescent="0.25">
      <c r="A18" s="26" t="s">
        <v>182</v>
      </c>
      <c r="B18" s="30">
        <v>1.5</v>
      </c>
      <c r="C18" s="30">
        <v>1.5</v>
      </c>
      <c r="D18" s="30">
        <v>0.75</v>
      </c>
      <c r="E18" s="30"/>
      <c r="F18" s="30"/>
      <c r="G18" s="30">
        <v>1.5</v>
      </c>
      <c r="H18" s="30">
        <v>1.5</v>
      </c>
      <c r="I18" s="30">
        <v>1.5</v>
      </c>
      <c r="J18" s="30"/>
      <c r="K18" s="30">
        <v>1.5</v>
      </c>
      <c r="L18" s="30">
        <v>1.5</v>
      </c>
      <c r="M18" s="30">
        <v>1.5</v>
      </c>
      <c r="N18" s="30">
        <v>1.5</v>
      </c>
      <c r="O18" s="30">
        <v>1.5</v>
      </c>
      <c r="P18" s="30">
        <v>1.5</v>
      </c>
      <c r="Q18" s="30">
        <v>1.5</v>
      </c>
      <c r="R18" s="30"/>
      <c r="S18" s="30"/>
      <c r="T18" s="30"/>
      <c r="U18" s="30"/>
      <c r="V18" s="30">
        <v>1.5</v>
      </c>
      <c r="W18" s="30">
        <v>1.5</v>
      </c>
      <c r="X18" s="30"/>
      <c r="Y18" s="30"/>
      <c r="Z18" s="30"/>
      <c r="AA18" s="30">
        <f>1.5*5/4</f>
        <v>1.875</v>
      </c>
      <c r="AB18" s="30"/>
      <c r="AC18" s="30"/>
      <c r="AD18" s="30"/>
      <c r="AE18" s="30"/>
      <c r="AF18" s="30"/>
      <c r="AG18" s="30">
        <v>1.5</v>
      </c>
      <c r="AH18" s="82">
        <v>0</v>
      </c>
      <c r="AJ18" s="30">
        <v>0.75</v>
      </c>
      <c r="AK18" s="30">
        <v>0.75</v>
      </c>
    </row>
    <row r="20" spans="1:37" x14ac:dyDescent="0.25">
      <c r="A20" s="26" t="s">
        <v>159</v>
      </c>
      <c r="B20" s="28" t="s">
        <v>1126</v>
      </c>
      <c r="C20" s="80" t="s">
        <v>341</v>
      </c>
      <c r="D20" s="28" t="s">
        <v>1408</v>
      </c>
      <c r="E20" s="28"/>
      <c r="F20" s="28"/>
      <c r="G20" s="80" t="s">
        <v>341</v>
      </c>
      <c r="H20" s="80" t="s">
        <v>341</v>
      </c>
      <c r="I20" s="80" t="s">
        <v>341</v>
      </c>
      <c r="J20" s="28"/>
      <c r="K20" s="80" t="s">
        <v>341</v>
      </c>
      <c r="L20" s="80" t="s">
        <v>341</v>
      </c>
      <c r="M20" s="80" t="s">
        <v>341</v>
      </c>
      <c r="N20" s="80" t="s">
        <v>341</v>
      </c>
      <c r="O20" s="80" t="s">
        <v>341</v>
      </c>
      <c r="P20" s="80" t="s">
        <v>341</v>
      </c>
      <c r="Q20" s="80" t="s">
        <v>341</v>
      </c>
      <c r="R20" s="28"/>
      <c r="S20" s="28"/>
      <c r="T20" s="28"/>
      <c r="U20" s="28"/>
      <c r="V20" s="28"/>
      <c r="W20" s="28"/>
      <c r="X20" s="28"/>
      <c r="Y20" s="28"/>
      <c r="Z20" s="28"/>
      <c r="AA20" s="80" t="s">
        <v>341</v>
      </c>
      <c r="AB20" s="28"/>
      <c r="AC20" s="28"/>
      <c r="AD20" s="28"/>
      <c r="AE20" s="28"/>
      <c r="AF20" s="28"/>
      <c r="AG20" s="80" t="s">
        <v>341</v>
      </c>
      <c r="AH20" s="28" t="s">
        <v>942</v>
      </c>
      <c r="AJ20" s="28" t="s">
        <v>1156</v>
      </c>
      <c r="AK20" s="28" t="s">
        <v>1156</v>
      </c>
    </row>
    <row r="21" spans="1:37" ht="15.75" customHeight="1" x14ac:dyDescent="0.25">
      <c r="A21" s="26" t="s">
        <v>165</v>
      </c>
      <c r="B21" s="28" t="s">
        <v>322</v>
      </c>
      <c r="C21" s="80" t="s">
        <v>341</v>
      </c>
      <c r="D21" s="29" t="s">
        <v>1419</v>
      </c>
      <c r="E21" s="29"/>
      <c r="F21" s="29"/>
      <c r="G21" s="80" t="s">
        <v>341</v>
      </c>
      <c r="H21" s="80" t="s">
        <v>341</v>
      </c>
      <c r="I21" s="80" t="s">
        <v>341</v>
      </c>
      <c r="J21" s="29"/>
      <c r="K21" s="80" t="s">
        <v>341</v>
      </c>
      <c r="L21" s="80" t="s">
        <v>341</v>
      </c>
      <c r="M21" s="80" t="s">
        <v>341</v>
      </c>
      <c r="N21" s="80" t="s">
        <v>341</v>
      </c>
      <c r="O21" s="80" t="s">
        <v>341</v>
      </c>
      <c r="P21" s="80" t="s">
        <v>341</v>
      </c>
      <c r="Q21" s="80" t="s">
        <v>341</v>
      </c>
      <c r="R21" s="29"/>
      <c r="S21" s="29"/>
      <c r="T21" s="29"/>
      <c r="U21" s="29"/>
      <c r="V21" s="29"/>
      <c r="W21" s="29"/>
      <c r="X21" s="29"/>
      <c r="Y21" s="29"/>
      <c r="Z21" s="29"/>
      <c r="AA21" s="80" t="s">
        <v>341</v>
      </c>
      <c r="AB21" s="29"/>
      <c r="AC21" s="29"/>
      <c r="AD21" s="29"/>
      <c r="AE21" s="29"/>
      <c r="AF21" s="29"/>
      <c r="AG21" s="80" t="s">
        <v>341</v>
      </c>
      <c r="AH21" s="28" t="s">
        <v>614</v>
      </c>
      <c r="AJ21" s="28" t="s">
        <v>324</v>
      </c>
      <c r="AK21" s="28" t="s">
        <v>324</v>
      </c>
    </row>
    <row r="22" spans="1:37" x14ac:dyDescent="0.25">
      <c r="A22" s="131" t="s">
        <v>168</v>
      </c>
      <c r="B22" s="157">
        <v>98</v>
      </c>
      <c r="C22" s="198"/>
      <c r="D22" s="157">
        <v>264</v>
      </c>
      <c r="E22" s="157"/>
      <c r="F22" s="157"/>
      <c r="G22" s="198"/>
      <c r="H22" s="198"/>
      <c r="I22" s="198"/>
      <c r="J22" s="157"/>
      <c r="K22" s="198"/>
      <c r="L22" s="198"/>
      <c r="M22" s="198"/>
      <c r="N22" s="198"/>
      <c r="O22" s="198"/>
      <c r="P22" s="198"/>
      <c r="Q22" s="198"/>
      <c r="R22" s="157"/>
      <c r="S22" s="157"/>
      <c r="T22" s="157"/>
      <c r="U22" s="157"/>
      <c r="V22" s="157"/>
      <c r="W22" s="157"/>
      <c r="X22" s="157"/>
      <c r="Y22" s="157"/>
      <c r="Z22" s="157"/>
      <c r="AA22" s="198"/>
      <c r="AB22" s="157"/>
      <c r="AC22" s="157"/>
      <c r="AD22" s="157"/>
      <c r="AE22" s="157"/>
      <c r="AF22" s="157"/>
      <c r="AG22" s="198"/>
      <c r="AH22" s="157">
        <v>151</v>
      </c>
      <c r="AJ22" s="157">
        <v>57</v>
      </c>
      <c r="AK22" s="157">
        <v>57</v>
      </c>
    </row>
    <row r="23" spans="1:37" x14ac:dyDescent="0.25">
      <c r="A23" s="26" t="s">
        <v>169</v>
      </c>
      <c r="B23" s="28" t="s">
        <v>170</v>
      </c>
      <c r="C23" s="80" t="s">
        <v>173</v>
      </c>
      <c r="D23" s="28" t="s">
        <v>170</v>
      </c>
      <c r="E23" s="28"/>
      <c r="F23" s="28"/>
      <c r="G23" s="80" t="s">
        <v>173</v>
      </c>
      <c r="H23" s="80" t="s">
        <v>173</v>
      </c>
      <c r="I23" s="80" t="s">
        <v>173</v>
      </c>
      <c r="J23" s="28"/>
      <c r="K23" s="80" t="s">
        <v>173</v>
      </c>
      <c r="L23" s="80" t="s">
        <v>173</v>
      </c>
      <c r="M23" s="80" t="s">
        <v>173</v>
      </c>
      <c r="N23" s="80" t="s">
        <v>173</v>
      </c>
      <c r="O23" s="80" t="s">
        <v>173</v>
      </c>
      <c r="P23" s="80" t="s">
        <v>173</v>
      </c>
      <c r="Q23" s="80" t="s">
        <v>173</v>
      </c>
      <c r="R23" s="28"/>
      <c r="S23" s="28"/>
      <c r="T23" s="28"/>
      <c r="U23" s="28"/>
      <c r="V23" s="28"/>
      <c r="W23" s="28"/>
      <c r="X23" s="28"/>
      <c r="Y23" s="28"/>
      <c r="Z23" s="28"/>
      <c r="AA23" s="80" t="s">
        <v>173</v>
      </c>
      <c r="AB23" s="28"/>
      <c r="AC23" s="29"/>
      <c r="AD23" s="28"/>
      <c r="AE23" s="29"/>
      <c r="AF23" s="28"/>
      <c r="AG23" s="80" t="s">
        <v>173</v>
      </c>
      <c r="AH23" s="28" t="s">
        <v>266</v>
      </c>
      <c r="AJ23" s="28" t="s">
        <v>170</v>
      </c>
      <c r="AK23" s="28" t="s">
        <v>170</v>
      </c>
    </row>
    <row r="24" spans="1:37" x14ac:dyDescent="0.25">
      <c r="A24" s="26" t="s">
        <v>171</v>
      </c>
      <c r="B24" s="28" t="s">
        <v>170</v>
      </c>
      <c r="C24" s="80" t="s">
        <v>173</v>
      </c>
      <c r="D24" s="28" t="s">
        <v>170</v>
      </c>
      <c r="E24" s="28"/>
      <c r="F24" s="28"/>
      <c r="G24" s="80" t="s">
        <v>173</v>
      </c>
      <c r="H24" s="80" t="s">
        <v>173</v>
      </c>
      <c r="I24" s="80" t="s">
        <v>173</v>
      </c>
      <c r="J24" s="28"/>
      <c r="K24" s="80" t="s">
        <v>173</v>
      </c>
      <c r="L24" s="80" t="s">
        <v>173</v>
      </c>
      <c r="M24" s="80" t="s">
        <v>173</v>
      </c>
      <c r="N24" s="80" t="s">
        <v>173</v>
      </c>
      <c r="O24" s="80" t="s">
        <v>173</v>
      </c>
      <c r="P24" s="80" t="s">
        <v>173</v>
      </c>
      <c r="Q24" s="80" t="s">
        <v>173</v>
      </c>
      <c r="R24" s="28"/>
      <c r="S24" s="28"/>
      <c r="T24" s="28"/>
      <c r="U24" s="28"/>
      <c r="V24" s="28"/>
      <c r="W24" s="28"/>
      <c r="X24" s="28"/>
      <c r="Y24" s="28"/>
      <c r="Z24" s="28"/>
      <c r="AA24" s="80" t="s">
        <v>173</v>
      </c>
      <c r="AB24" s="28"/>
      <c r="AC24" s="28"/>
      <c r="AD24" s="28"/>
      <c r="AE24" s="28"/>
      <c r="AF24" s="28"/>
      <c r="AG24" s="80" t="s">
        <v>173</v>
      </c>
      <c r="AH24" s="28" t="s">
        <v>266</v>
      </c>
      <c r="AJ24" s="28" t="s">
        <v>170</v>
      </c>
      <c r="AK24" s="28" t="s">
        <v>170</v>
      </c>
    </row>
    <row r="25" spans="1:37" x14ac:dyDescent="0.25">
      <c r="A25" s="26" t="s">
        <v>172</v>
      </c>
      <c r="B25" s="28" t="s">
        <v>173</v>
      </c>
      <c r="C25" s="80" t="s">
        <v>173</v>
      </c>
      <c r="D25" s="28" t="s">
        <v>173</v>
      </c>
      <c r="E25" s="28"/>
      <c r="F25" s="28"/>
      <c r="G25" s="80" t="s">
        <v>173</v>
      </c>
      <c r="H25" s="80" t="s">
        <v>173</v>
      </c>
      <c r="I25" s="80" t="s">
        <v>173</v>
      </c>
      <c r="J25" s="28"/>
      <c r="K25" s="80" t="s">
        <v>173</v>
      </c>
      <c r="L25" s="80" t="s">
        <v>173</v>
      </c>
      <c r="M25" s="80" t="s">
        <v>173</v>
      </c>
      <c r="N25" s="80" t="s">
        <v>173</v>
      </c>
      <c r="O25" s="80" t="s">
        <v>173</v>
      </c>
      <c r="P25" s="80" t="s">
        <v>173</v>
      </c>
      <c r="Q25" s="80" t="s">
        <v>173</v>
      </c>
      <c r="R25" s="28"/>
      <c r="S25" s="28"/>
      <c r="T25" s="28"/>
      <c r="U25" s="28"/>
      <c r="V25" s="28"/>
      <c r="W25" s="28"/>
      <c r="X25" s="28"/>
      <c r="Y25" s="28"/>
      <c r="Z25" s="28"/>
      <c r="AA25" s="80" t="s">
        <v>173</v>
      </c>
      <c r="AB25" s="28"/>
      <c r="AC25" s="28"/>
      <c r="AD25" s="28"/>
      <c r="AE25" s="28"/>
      <c r="AF25" s="28"/>
      <c r="AG25" s="80" t="s">
        <v>173</v>
      </c>
      <c r="AH25" s="28" t="s">
        <v>173</v>
      </c>
      <c r="AJ25" s="28" t="s">
        <v>170</v>
      </c>
      <c r="AK25" s="28" t="s">
        <v>170</v>
      </c>
    </row>
    <row r="26" spans="1:37" x14ac:dyDescent="0.25">
      <c r="A26" s="26" t="s">
        <v>174</v>
      </c>
      <c r="B26" s="28" t="s">
        <v>173</v>
      </c>
      <c r="C26" s="80" t="s">
        <v>173</v>
      </c>
      <c r="D26" s="28" t="s">
        <v>173</v>
      </c>
      <c r="E26" s="28"/>
      <c r="F26" s="28"/>
      <c r="G26" s="80" t="s">
        <v>173</v>
      </c>
      <c r="H26" s="80" t="s">
        <v>173</v>
      </c>
      <c r="I26" s="80" t="s">
        <v>173</v>
      </c>
      <c r="J26" s="28"/>
      <c r="K26" s="80" t="s">
        <v>173</v>
      </c>
      <c r="L26" s="80" t="s">
        <v>173</v>
      </c>
      <c r="M26" s="80" t="s">
        <v>173</v>
      </c>
      <c r="N26" s="80" t="s">
        <v>173</v>
      </c>
      <c r="O26" s="80" t="s">
        <v>173</v>
      </c>
      <c r="P26" s="80" t="s">
        <v>173</v>
      </c>
      <c r="Q26" s="80" t="s">
        <v>173</v>
      </c>
      <c r="R26" s="28"/>
      <c r="S26" s="28"/>
      <c r="T26" s="28"/>
      <c r="U26" s="28"/>
      <c r="V26" s="28"/>
      <c r="W26" s="28"/>
      <c r="X26" s="28"/>
      <c r="Y26" s="28"/>
      <c r="Z26" s="28"/>
      <c r="AA26" s="80" t="s">
        <v>173</v>
      </c>
      <c r="AB26" s="28"/>
      <c r="AC26" s="28"/>
      <c r="AD26" s="28"/>
      <c r="AE26" s="28"/>
      <c r="AF26" s="28"/>
      <c r="AG26" s="80" t="s">
        <v>173</v>
      </c>
      <c r="AH26" s="28" t="s">
        <v>173</v>
      </c>
      <c r="AJ26" s="28" t="s">
        <v>173</v>
      </c>
      <c r="AK26" s="28" t="s">
        <v>173</v>
      </c>
    </row>
    <row r="27" spans="1:37" x14ac:dyDescent="0.25">
      <c r="A27" s="26" t="s">
        <v>175</v>
      </c>
      <c r="B27" s="28" t="s">
        <v>199</v>
      </c>
      <c r="C27" s="80" t="s">
        <v>199</v>
      </c>
      <c r="D27" s="28" t="s">
        <v>199</v>
      </c>
      <c r="E27" s="28"/>
      <c r="F27" s="28"/>
      <c r="G27" s="80" t="s">
        <v>199</v>
      </c>
      <c r="H27" s="80" t="s">
        <v>199</v>
      </c>
      <c r="I27" s="80" t="s">
        <v>199</v>
      </c>
      <c r="J27" s="28"/>
      <c r="K27" s="80" t="s">
        <v>199</v>
      </c>
      <c r="L27" s="80" t="s">
        <v>199</v>
      </c>
      <c r="M27" s="80" t="s">
        <v>199</v>
      </c>
      <c r="N27" s="80" t="s">
        <v>199</v>
      </c>
      <c r="O27" s="80" t="s">
        <v>199</v>
      </c>
      <c r="P27" s="80" t="s">
        <v>199</v>
      </c>
      <c r="Q27" s="80" t="s">
        <v>199</v>
      </c>
      <c r="R27" s="28"/>
      <c r="S27" s="28"/>
      <c r="T27" s="28"/>
      <c r="U27" s="28"/>
      <c r="V27" s="28"/>
      <c r="W27" s="28"/>
      <c r="X27" s="28"/>
      <c r="Y27" s="28"/>
      <c r="Z27" s="28"/>
      <c r="AA27" s="80" t="s">
        <v>199</v>
      </c>
      <c r="AB27" s="28"/>
      <c r="AC27" s="28"/>
      <c r="AD27" s="28"/>
      <c r="AE27" s="28"/>
      <c r="AF27" s="28"/>
      <c r="AG27" s="80" t="s">
        <v>199</v>
      </c>
      <c r="AH27" s="28" t="s">
        <v>199</v>
      </c>
      <c r="AJ27" s="28" t="s">
        <v>199</v>
      </c>
      <c r="AK27" s="28" t="s">
        <v>199</v>
      </c>
    </row>
    <row r="28" spans="1:37" x14ac:dyDescent="0.25">
      <c r="A28" s="26" t="s">
        <v>176</v>
      </c>
      <c r="B28" s="30">
        <v>-2</v>
      </c>
      <c r="C28" s="82">
        <v>-2</v>
      </c>
      <c r="D28" s="30">
        <v>-2</v>
      </c>
      <c r="E28" s="30"/>
      <c r="F28" s="30"/>
      <c r="G28" s="82">
        <v>-2</v>
      </c>
      <c r="H28" s="82">
        <v>-2</v>
      </c>
      <c r="I28" s="82">
        <v>-2</v>
      </c>
      <c r="J28" s="30"/>
      <c r="K28" s="82">
        <v>-2</v>
      </c>
      <c r="L28" s="82">
        <v>-2</v>
      </c>
      <c r="M28" s="82">
        <v>-2</v>
      </c>
      <c r="N28" s="82">
        <v>-2</v>
      </c>
      <c r="O28" s="82">
        <v>-2</v>
      </c>
      <c r="P28" s="82">
        <v>-2</v>
      </c>
      <c r="Q28" s="82">
        <v>-2</v>
      </c>
      <c r="R28" s="30"/>
      <c r="S28" s="30"/>
      <c r="T28" s="30"/>
      <c r="U28" s="30"/>
      <c r="V28" s="30"/>
      <c r="W28" s="30"/>
      <c r="X28" s="30"/>
      <c r="Y28" s="30"/>
      <c r="Z28" s="30"/>
      <c r="AA28" s="82">
        <v>-2</v>
      </c>
      <c r="AB28" s="30"/>
      <c r="AC28" s="30"/>
      <c r="AD28" s="30"/>
      <c r="AE28" s="30"/>
      <c r="AF28" s="30"/>
      <c r="AG28" s="82">
        <v>-2</v>
      </c>
      <c r="AH28" s="30">
        <v>-2</v>
      </c>
      <c r="AJ28" s="30">
        <v>-0.5</v>
      </c>
      <c r="AK28" s="30">
        <v>-0.5</v>
      </c>
    </row>
    <row r="29" spans="1:37" x14ac:dyDescent="0.25">
      <c r="A29" s="26" t="s">
        <v>177</v>
      </c>
      <c r="B29" s="28" t="s">
        <v>334</v>
      </c>
      <c r="C29" s="80" t="s">
        <v>341</v>
      </c>
      <c r="D29" s="28" t="s">
        <v>1420</v>
      </c>
      <c r="E29" s="28"/>
      <c r="F29" s="28"/>
      <c r="G29" s="80" t="s">
        <v>341</v>
      </c>
      <c r="H29" s="80" t="s">
        <v>341</v>
      </c>
      <c r="I29" s="80" t="s">
        <v>341</v>
      </c>
      <c r="J29" s="28"/>
      <c r="K29" s="80" t="s">
        <v>341</v>
      </c>
      <c r="L29" s="80" t="s">
        <v>341</v>
      </c>
      <c r="M29" s="80" t="s">
        <v>341</v>
      </c>
      <c r="N29" s="80" t="s">
        <v>341</v>
      </c>
      <c r="O29" s="80" t="s">
        <v>341</v>
      </c>
      <c r="P29" s="80" t="s">
        <v>341</v>
      </c>
      <c r="Q29" s="80" t="s">
        <v>341</v>
      </c>
      <c r="R29" s="28"/>
      <c r="S29" s="28"/>
      <c r="T29" s="28"/>
      <c r="U29" s="28"/>
      <c r="V29" s="28"/>
      <c r="W29" s="28"/>
      <c r="X29" s="28"/>
      <c r="Y29" s="28"/>
      <c r="Z29" s="28"/>
      <c r="AA29" s="80" t="s">
        <v>341</v>
      </c>
      <c r="AB29" s="28"/>
      <c r="AC29" s="28"/>
      <c r="AD29" s="28"/>
      <c r="AE29" s="28"/>
      <c r="AF29" s="28"/>
      <c r="AG29" s="80" t="s">
        <v>341</v>
      </c>
      <c r="AH29" s="28" t="s">
        <v>537</v>
      </c>
      <c r="AJ29" s="28" t="s">
        <v>181</v>
      </c>
      <c r="AK29" s="28" t="s">
        <v>181</v>
      </c>
    </row>
    <row r="30" spans="1:37" x14ac:dyDescent="0.25">
      <c r="A30" s="26" t="s">
        <v>182</v>
      </c>
      <c r="B30" s="30">
        <f>1/3</f>
        <v>0.33333333333333331</v>
      </c>
      <c r="C30" s="82">
        <v>0</v>
      </c>
      <c r="D30" s="30">
        <f>AVERAGE(1.5,1/3)</f>
        <v>0.91666666666666663</v>
      </c>
      <c r="E30" s="30"/>
      <c r="F30" s="30"/>
      <c r="G30" s="82">
        <v>0</v>
      </c>
      <c r="H30" s="82">
        <v>0</v>
      </c>
      <c r="I30" s="82">
        <v>0</v>
      </c>
      <c r="J30" s="30"/>
      <c r="K30" s="82">
        <v>0</v>
      </c>
      <c r="L30" s="82">
        <v>0</v>
      </c>
      <c r="M30" s="82">
        <v>0</v>
      </c>
      <c r="N30" s="82">
        <v>0</v>
      </c>
      <c r="O30" s="82">
        <v>0</v>
      </c>
      <c r="P30" s="82">
        <v>0</v>
      </c>
      <c r="Q30" s="82">
        <v>0</v>
      </c>
      <c r="R30" s="30"/>
      <c r="S30" s="30"/>
      <c r="T30" s="30"/>
      <c r="U30" s="30"/>
      <c r="V30" s="30"/>
      <c r="W30" s="30"/>
      <c r="X30" s="30"/>
      <c r="Y30" s="30"/>
      <c r="Z30" s="30"/>
      <c r="AA30" s="82">
        <v>0</v>
      </c>
      <c r="AB30" s="30"/>
      <c r="AC30" s="30"/>
      <c r="AD30" s="30"/>
      <c r="AE30" s="30"/>
      <c r="AF30" s="30"/>
      <c r="AG30" s="82">
        <v>0</v>
      </c>
      <c r="AH30" s="30">
        <f>AVERAGE(1/3,0)</f>
        <v>0.16666666666666666</v>
      </c>
      <c r="AJ30" s="30">
        <v>2</v>
      </c>
      <c r="AK30" s="30">
        <v>2</v>
      </c>
    </row>
    <row r="31" spans="1:37" ht="15.75" customHeight="1" x14ac:dyDescent="0.25">
      <c r="P31" s="78" t="s">
        <v>1421</v>
      </c>
      <c r="AJ31" s="78" t="s">
        <v>1422</v>
      </c>
    </row>
    <row r="32" spans="1:37" x14ac:dyDescent="0.25">
      <c r="A32" s="31" t="s">
        <v>183</v>
      </c>
    </row>
    <row r="33" spans="1:2" x14ac:dyDescent="0.25">
      <c r="A33" s="26" t="s">
        <v>1423</v>
      </c>
      <c r="B33" s="56" t="s">
        <v>1424</v>
      </c>
    </row>
    <row r="34" spans="1:2" x14ac:dyDescent="0.25">
      <c r="A34" s="79" t="s">
        <v>1425</v>
      </c>
    </row>
  </sheetData>
  <mergeCells count="5">
    <mergeCell ref="B3:D3"/>
    <mergeCell ref="B4:D4"/>
    <mergeCell ref="B5:D5"/>
    <mergeCell ref="F4:P5"/>
    <mergeCell ref="F3:O3"/>
  </mergeCells>
  <hyperlinks>
    <hyperlink ref="A34" r:id="rId1" xr:uid="{3594E9E6-25EB-46DA-A790-8EFCC42299E8}"/>
  </hyperlink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4826D-21F9-4B8E-BDCE-5C5DBA231A76}">
  <dimension ref="A1:AH33"/>
  <sheetViews>
    <sheetView workbookViewId="0">
      <selection activeCell="Q21" sqref="Q21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895</v>
      </c>
      <c r="I1" s="25" t="s">
        <v>1120</v>
      </c>
    </row>
    <row r="3" spans="1:34" ht="18" x14ac:dyDescent="0.25">
      <c r="A3" s="25" t="s">
        <v>119</v>
      </c>
      <c r="B3" s="215">
        <v>87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1426</v>
      </c>
      <c r="C4" s="215"/>
      <c r="D4" s="215"/>
      <c r="F4" s="216" t="s">
        <v>1427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899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28" t="s">
        <v>447</v>
      </c>
      <c r="C8" s="28" t="s">
        <v>556</v>
      </c>
      <c r="D8" s="28" t="s">
        <v>556</v>
      </c>
      <c r="E8" s="28" t="s">
        <v>556</v>
      </c>
      <c r="F8" s="28"/>
      <c r="G8" s="80" t="s">
        <v>341</v>
      </c>
      <c r="H8" s="80" t="s">
        <v>341</v>
      </c>
      <c r="I8" s="80" t="s">
        <v>341</v>
      </c>
      <c r="J8" s="28"/>
      <c r="K8" s="80" t="s">
        <v>341</v>
      </c>
      <c r="L8" s="80" t="s">
        <v>341</v>
      </c>
      <c r="M8" s="80" t="s">
        <v>341</v>
      </c>
      <c r="N8" s="28"/>
      <c r="O8" s="28"/>
      <c r="P8" s="80" t="s">
        <v>341</v>
      </c>
      <c r="Q8" s="80" t="s">
        <v>341</v>
      </c>
      <c r="R8" s="28"/>
      <c r="S8" s="28"/>
      <c r="T8" s="28"/>
      <c r="U8" s="28"/>
      <c r="V8" s="28"/>
      <c r="W8" s="28"/>
      <c r="X8" s="28"/>
      <c r="Y8" s="28"/>
      <c r="Z8" s="28"/>
      <c r="AA8" s="80" t="s">
        <v>341</v>
      </c>
      <c r="AB8" s="28" t="s">
        <v>448</v>
      </c>
      <c r="AC8" s="28" t="s">
        <v>448</v>
      </c>
      <c r="AD8" s="28" t="s">
        <v>448</v>
      </c>
      <c r="AE8" s="28" t="s">
        <v>448</v>
      </c>
      <c r="AF8" s="28"/>
      <c r="AG8" s="28"/>
      <c r="AH8" s="28" t="s">
        <v>448</v>
      </c>
    </row>
    <row r="9" spans="1:34" x14ac:dyDescent="0.25">
      <c r="A9" s="26" t="s">
        <v>165</v>
      </c>
      <c r="B9" s="28" t="s">
        <v>561</v>
      </c>
      <c r="C9" s="28" t="s">
        <v>322</v>
      </c>
      <c r="D9" s="28" t="s">
        <v>322</v>
      </c>
      <c r="E9" s="28" t="s">
        <v>322</v>
      </c>
      <c r="F9" s="28"/>
      <c r="G9" s="80" t="s">
        <v>341</v>
      </c>
      <c r="H9" s="80" t="s">
        <v>341</v>
      </c>
      <c r="I9" s="80" t="s">
        <v>341</v>
      </c>
      <c r="J9" s="29"/>
      <c r="K9" s="80" t="s">
        <v>341</v>
      </c>
      <c r="L9" s="80" t="s">
        <v>341</v>
      </c>
      <c r="M9" s="80" t="s">
        <v>341</v>
      </c>
      <c r="N9" s="29"/>
      <c r="O9" s="29"/>
      <c r="P9" s="80" t="s">
        <v>341</v>
      </c>
      <c r="Q9" s="80" t="s">
        <v>341</v>
      </c>
      <c r="R9" s="29"/>
      <c r="S9" s="29"/>
      <c r="T9" s="29"/>
      <c r="U9" s="29"/>
      <c r="V9" s="29"/>
      <c r="W9" s="29"/>
      <c r="X9" s="29"/>
      <c r="Y9" s="29"/>
      <c r="Z9" s="29"/>
      <c r="AA9" s="80" t="s">
        <v>341</v>
      </c>
      <c r="AB9" s="28" t="s">
        <v>561</v>
      </c>
      <c r="AC9" s="28" t="s">
        <v>561</v>
      </c>
      <c r="AD9" s="28" t="s">
        <v>561</v>
      </c>
      <c r="AE9" s="28" t="s">
        <v>561</v>
      </c>
      <c r="AF9" s="29"/>
      <c r="AG9" s="29"/>
      <c r="AH9" s="83" t="s">
        <v>457</v>
      </c>
    </row>
    <row r="10" spans="1:34" x14ac:dyDescent="0.25">
      <c r="A10" s="131" t="s">
        <v>168</v>
      </c>
      <c r="B10" s="157">
        <v>83</v>
      </c>
      <c r="C10" s="157">
        <v>98</v>
      </c>
      <c r="D10" s="157">
        <v>98</v>
      </c>
      <c r="E10" s="157">
        <v>98</v>
      </c>
      <c r="F10" s="157"/>
      <c r="G10" s="198"/>
      <c r="H10" s="198"/>
      <c r="I10" s="198"/>
      <c r="J10" s="157"/>
      <c r="K10" s="198"/>
      <c r="L10" s="198"/>
      <c r="M10" s="198"/>
      <c r="N10" s="157"/>
      <c r="O10" s="157"/>
      <c r="P10" s="198"/>
      <c r="Q10" s="198"/>
      <c r="R10" s="157"/>
      <c r="S10" s="157"/>
      <c r="T10" s="157"/>
      <c r="U10" s="157"/>
      <c r="V10" s="157"/>
      <c r="W10" s="157"/>
      <c r="X10" s="157"/>
      <c r="Y10" s="157"/>
      <c r="Z10" s="157"/>
      <c r="AA10" s="198"/>
      <c r="AB10" s="157">
        <v>83</v>
      </c>
      <c r="AC10" s="157">
        <v>83</v>
      </c>
      <c r="AD10" s="157">
        <v>83</v>
      </c>
      <c r="AE10" s="157">
        <v>83</v>
      </c>
      <c r="AF10" s="157"/>
      <c r="AG10" s="157"/>
      <c r="AH10" s="157">
        <v>82</v>
      </c>
    </row>
    <row r="11" spans="1:34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28"/>
      <c r="G11" s="80" t="s">
        <v>173</v>
      </c>
      <c r="H11" s="80" t="s">
        <v>173</v>
      </c>
      <c r="I11" s="80" t="s">
        <v>173</v>
      </c>
      <c r="J11" s="28"/>
      <c r="K11" s="80" t="s">
        <v>173</v>
      </c>
      <c r="L11" s="80" t="s">
        <v>173</v>
      </c>
      <c r="M11" s="80" t="s">
        <v>173</v>
      </c>
      <c r="N11" s="28"/>
      <c r="O11" s="28"/>
      <c r="P11" s="80" t="s">
        <v>173</v>
      </c>
      <c r="Q11" s="80" t="s">
        <v>173</v>
      </c>
      <c r="R11" s="28"/>
      <c r="S11" s="28"/>
      <c r="T11" s="28"/>
      <c r="U11" s="28"/>
      <c r="V11" s="28"/>
      <c r="W11" s="28"/>
      <c r="X11" s="28"/>
      <c r="Y11" s="28"/>
      <c r="Z11" s="28"/>
      <c r="AA11" s="80" t="s">
        <v>173</v>
      </c>
      <c r="AB11" s="28" t="s">
        <v>170</v>
      </c>
      <c r="AC11" s="28" t="s">
        <v>170</v>
      </c>
      <c r="AD11" s="28" t="s">
        <v>170</v>
      </c>
      <c r="AE11" s="28" t="s">
        <v>170</v>
      </c>
      <c r="AF11" s="28"/>
      <c r="AG11" s="28"/>
      <c r="AH11" s="83" t="s">
        <v>170</v>
      </c>
    </row>
    <row r="12" spans="1:34" x14ac:dyDescent="0.25">
      <c r="A12" s="26" t="s">
        <v>171</v>
      </c>
      <c r="B12" s="28" t="s">
        <v>170</v>
      </c>
      <c r="C12" s="28" t="s">
        <v>170</v>
      </c>
      <c r="D12" s="28" t="s">
        <v>170</v>
      </c>
      <c r="E12" s="28" t="s">
        <v>170</v>
      </c>
      <c r="F12" s="28"/>
      <c r="G12" s="80" t="s">
        <v>173</v>
      </c>
      <c r="H12" s="80" t="s">
        <v>173</v>
      </c>
      <c r="I12" s="80" t="s">
        <v>173</v>
      </c>
      <c r="J12" s="28"/>
      <c r="K12" s="80" t="s">
        <v>173</v>
      </c>
      <c r="L12" s="80" t="s">
        <v>173</v>
      </c>
      <c r="M12" s="80" t="s">
        <v>173</v>
      </c>
      <c r="N12" s="28"/>
      <c r="O12" s="28"/>
      <c r="P12" s="80" t="s">
        <v>173</v>
      </c>
      <c r="Q12" s="80" t="s">
        <v>173</v>
      </c>
      <c r="R12" s="28"/>
      <c r="S12" s="28"/>
      <c r="T12" s="28"/>
      <c r="U12" s="28"/>
      <c r="V12" s="28"/>
      <c r="W12" s="28"/>
      <c r="X12" s="28"/>
      <c r="Y12" s="28"/>
      <c r="Z12" s="28"/>
      <c r="AA12" s="80" t="s">
        <v>173</v>
      </c>
      <c r="AB12" s="28" t="s">
        <v>170</v>
      </c>
      <c r="AC12" s="28" t="s">
        <v>170</v>
      </c>
      <c r="AD12" s="28" t="s">
        <v>170</v>
      </c>
      <c r="AE12" s="28" t="s">
        <v>170</v>
      </c>
      <c r="AF12" s="28"/>
      <c r="AG12" s="28"/>
      <c r="AH12" s="83" t="s">
        <v>170</v>
      </c>
    </row>
    <row r="13" spans="1:34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9"/>
      <c r="G13" s="80" t="s">
        <v>173</v>
      </c>
      <c r="H13" s="80" t="s">
        <v>173</v>
      </c>
      <c r="I13" s="80" t="s">
        <v>173</v>
      </c>
      <c r="J13" s="28"/>
      <c r="K13" s="80" t="s">
        <v>173</v>
      </c>
      <c r="L13" s="80" t="s">
        <v>173</v>
      </c>
      <c r="M13" s="80" t="s">
        <v>173</v>
      </c>
      <c r="N13" s="28"/>
      <c r="O13" s="28"/>
      <c r="P13" s="80" t="s">
        <v>173</v>
      </c>
      <c r="Q13" s="80" t="s">
        <v>173</v>
      </c>
      <c r="R13" s="28"/>
      <c r="S13" s="28"/>
      <c r="T13" s="28"/>
      <c r="U13" s="28"/>
      <c r="V13" s="28"/>
      <c r="W13" s="28"/>
      <c r="X13" s="28"/>
      <c r="Y13" s="28"/>
      <c r="Z13" s="28"/>
      <c r="AA13" s="80" t="s">
        <v>173</v>
      </c>
      <c r="AB13" s="28" t="s">
        <v>173</v>
      </c>
      <c r="AC13" s="28" t="s">
        <v>173</v>
      </c>
      <c r="AD13" s="28" t="s">
        <v>173</v>
      </c>
      <c r="AE13" s="28" t="s">
        <v>173</v>
      </c>
      <c r="AF13" s="28"/>
      <c r="AG13" s="28"/>
      <c r="AH13" s="83" t="s">
        <v>173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/>
      <c r="G14" s="80" t="s">
        <v>173</v>
      </c>
      <c r="H14" s="80" t="s">
        <v>173</v>
      </c>
      <c r="I14" s="80" t="s">
        <v>173</v>
      </c>
      <c r="J14" s="28"/>
      <c r="K14" s="80" t="s">
        <v>173</v>
      </c>
      <c r="L14" s="80" t="s">
        <v>173</v>
      </c>
      <c r="M14" s="80" t="s">
        <v>173</v>
      </c>
      <c r="N14" s="28"/>
      <c r="O14" s="28"/>
      <c r="P14" s="80" t="s">
        <v>173</v>
      </c>
      <c r="Q14" s="80" t="s">
        <v>173</v>
      </c>
      <c r="R14" s="28"/>
      <c r="S14" s="28"/>
      <c r="T14" s="28"/>
      <c r="U14" s="28"/>
      <c r="V14" s="28"/>
      <c r="W14" s="28"/>
      <c r="X14" s="28"/>
      <c r="Y14" s="28"/>
      <c r="Z14" s="28"/>
      <c r="AA14" s="80" t="s">
        <v>173</v>
      </c>
      <c r="AB14" s="28" t="s">
        <v>173</v>
      </c>
      <c r="AC14" s="28" t="s">
        <v>173</v>
      </c>
      <c r="AD14" s="28" t="s">
        <v>173</v>
      </c>
      <c r="AE14" s="28" t="s">
        <v>173</v>
      </c>
      <c r="AF14" s="28"/>
      <c r="AG14" s="28"/>
      <c r="AH14" s="83" t="s">
        <v>173</v>
      </c>
    </row>
    <row r="15" spans="1:34" x14ac:dyDescent="0.25">
      <c r="A15" s="26" t="s">
        <v>175</v>
      </c>
      <c r="B15" s="28" t="s">
        <v>198</v>
      </c>
      <c r="C15" s="28" t="s">
        <v>199</v>
      </c>
      <c r="D15" s="28" t="s">
        <v>199</v>
      </c>
      <c r="E15" s="28" t="s">
        <v>199</v>
      </c>
      <c r="F15" s="28"/>
      <c r="G15" s="80" t="s">
        <v>199</v>
      </c>
      <c r="H15" s="80" t="s">
        <v>199</v>
      </c>
      <c r="I15" s="80" t="s">
        <v>199</v>
      </c>
      <c r="J15" s="28"/>
      <c r="K15" s="80" t="s">
        <v>199</v>
      </c>
      <c r="L15" s="80" t="s">
        <v>199</v>
      </c>
      <c r="M15" s="80" t="s">
        <v>199</v>
      </c>
      <c r="N15" s="28"/>
      <c r="O15" s="28"/>
      <c r="P15" s="80" t="s">
        <v>199</v>
      </c>
      <c r="Q15" s="80" t="s">
        <v>199</v>
      </c>
      <c r="R15" s="28"/>
      <c r="S15" s="28"/>
      <c r="T15" s="28"/>
      <c r="U15" s="28"/>
      <c r="V15" s="28"/>
      <c r="W15" s="28"/>
      <c r="X15" s="28"/>
      <c r="Y15" s="28"/>
      <c r="Z15" s="28"/>
      <c r="AA15" s="80" t="s">
        <v>198</v>
      </c>
      <c r="AB15" s="28" t="s">
        <v>198</v>
      </c>
      <c r="AC15" s="28" t="s">
        <v>198</v>
      </c>
      <c r="AD15" s="28" t="s">
        <v>198</v>
      </c>
      <c r="AE15" s="28" t="s">
        <v>198</v>
      </c>
      <c r="AF15" s="28"/>
      <c r="AG15" s="28"/>
      <c r="AH15" s="83" t="s">
        <v>198</v>
      </c>
    </row>
    <row r="16" spans="1:34" x14ac:dyDescent="0.25">
      <c r="A16" s="26" t="s">
        <v>176</v>
      </c>
      <c r="B16" s="30">
        <v>0.75</v>
      </c>
      <c r="C16" s="30">
        <v>-2</v>
      </c>
      <c r="D16" s="30">
        <v>-2</v>
      </c>
      <c r="E16" s="30">
        <v>-2</v>
      </c>
      <c r="F16" s="30"/>
      <c r="G16" s="82">
        <v>-2</v>
      </c>
      <c r="H16" s="82">
        <v>-2</v>
      </c>
      <c r="I16" s="82">
        <v>-2</v>
      </c>
      <c r="J16" s="30"/>
      <c r="K16" s="82">
        <v>-2</v>
      </c>
      <c r="L16" s="82">
        <v>-2</v>
      </c>
      <c r="M16" s="82">
        <v>-2</v>
      </c>
      <c r="N16" s="30"/>
      <c r="O16" s="30"/>
      <c r="P16" s="82">
        <v>-2</v>
      </c>
      <c r="Q16" s="82">
        <v>-2</v>
      </c>
      <c r="R16" s="30"/>
      <c r="S16" s="30"/>
      <c r="T16" s="30"/>
      <c r="U16" s="30"/>
      <c r="V16" s="30"/>
      <c r="W16" s="30"/>
      <c r="X16" s="30"/>
      <c r="Y16" s="30"/>
      <c r="Z16" s="30"/>
      <c r="AA16" s="82">
        <v>0.75</v>
      </c>
      <c r="AB16" s="30">
        <v>0.75</v>
      </c>
      <c r="AC16" s="30">
        <v>0.75</v>
      </c>
      <c r="AD16" s="30">
        <v>0.75</v>
      </c>
      <c r="AE16" s="30">
        <v>0.75</v>
      </c>
      <c r="AF16" s="30"/>
      <c r="AG16" s="30"/>
      <c r="AH16" s="88">
        <f>5/3</f>
        <v>1.6666666666666667</v>
      </c>
    </row>
    <row r="17" spans="1:34" x14ac:dyDescent="0.25">
      <c r="A17" s="26" t="s">
        <v>177</v>
      </c>
      <c r="B17" s="28" t="s">
        <v>462</v>
      </c>
      <c r="C17" s="28" t="s">
        <v>334</v>
      </c>
      <c r="D17" s="28" t="s">
        <v>334</v>
      </c>
      <c r="E17" s="28" t="s">
        <v>334</v>
      </c>
      <c r="F17" s="28"/>
      <c r="G17" s="81" t="s">
        <v>341</v>
      </c>
      <c r="H17" s="81" t="s">
        <v>341</v>
      </c>
      <c r="I17" s="81" t="s">
        <v>341</v>
      </c>
      <c r="J17" s="28"/>
      <c r="K17" s="81" t="s">
        <v>341</v>
      </c>
      <c r="L17" s="81" t="s">
        <v>341</v>
      </c>
      <c r="M17" s="81" t="s">
        <v>341</v>
      </c>
      <c r="N17" s="28"/>
      <c r="O17" s="28"/>
      <c r="P17" s="81" t="s">
        <v>341</v>
      </c>
      <c r="Q17" s="81" t="s">
        <v>341</v>
      </c>
      <c r="R17" s="28"/>
      <c r="S17" s="28"/>
      <c r="T17" s="28"/>
      <c r="U17" s="28"/>
      <c r="V17" s="28"/>
      <c r="W17" s="28"/>
      <c r="X17" s="28"/>
      <c r="Y17" s="28"/>
      <c r="Z17" s="28"/>
      <c r="AA17" s="80" t="s">
        <v>341</v>
      </c>
      <c r="AB17" s="28" t="s">
        <v>462</v>
      </c>
      <c r="AC17" s="28" t="s">
        <v>462</v>
      </c>
      <c r="AD17" s="28" t="s">
        <v>462</v>
      </c>
      <c r="AE17" s="28" t="s">
        <v>462</v>
      </c>
      <c r="AF17" s="28"/>
      <c r="AG17" s="28"/>
      <c r="AH17" s="83" t="s">
        <v>462</v>
      </c>
    </row>
    <row r="18" spans="1:34" x14ac:dyDescent="0.25">
      <c r="A18" s="26" t="s">
        <v>182</v>
      </c>
      <c r="B18" s="30">
        <v>1</v>
      </c>
      <c r="C18" s="30">
        <f t="shared" ref="C18:E18" si="0">1/3</f>
        <v>0.33333333333333331</v>
      </c>
      <c r="D18" s="30">
        <f t="shared" si="0"/>
        <v>0.33333333333333331</v>
      </c>
      <c r="E18" s="30">
        <f t="shared" si="0"/>
        <v>0.33333333333333331</v>
      </c>
      <c r="F18" s="30"/>
      <c r="G18" s="82">
        <v>0</v>
      </c>
      <c r="H18" s="82">
        <v>0</v>
      </c>
      <c r="I18" s="82">
        <v>0</v>
      </c>
      <c r="J18" s="30"/>
      <c r="K18" s="82">
        <v>0</v>
      </c>
      <c r="L18" s="82">
        <v>0</v>
      </c>
      <c r="M18" s="82">
        <v>0</v>
      </c>
      <c r="N18" s="30"/>
      <c r="O18" s="30"/>
      <c r="P18" s="82">
        <v>0</v>
      </c>
      <c r="Q18" s="82">
        <v>0</v>
      </c>
      <c r="R18" s="30"/>
      <c r="S18" s="30"/>
      <c r="T18" s="30"/>
      <c r="U18" s="30"/>
      <c r="V18" s="30"/>
      <c r="W18" s="30"/>
      <c r="X18" s="30"/>
      <c r="Y18" s="30"/>
      <c r="Z18" s="30"/>
      <c r="AA18" s="82">
        <v>0</v>
      </c>
      <c r="AB18" s="30">
        <v>1</v>
      </c>
      <c r="AC18" s="30">
        <v>1</v>
      </c>
      <c r="AD18" s="30">
        <v>1</v>
      </c>
      <c r="AE18" s="30">
        <v>1</v>
      </c>
      <c r="AF18" s="30"/>
      <c r="AG18" s="30"/>
      <c r="AH18" s="88">
        <v>1</v>
      </c>
    </row>
    <row r="20" spans="1:34" x14ac:dyDescent="0.25">
      <c r="A20" s="26" t="s">
        <v>159</v>
      </c>
      <c r="B20" s="28" t="s">
        <v>1126</v>
      </c>
      <c r="C20" s="28" t="s">
        <v>448</v>
      </c>
      <c r="D20" s="28" t="s">
        <v>448</v>
      </c>
      <c r="E20" s="28" t="s">
        <v>448</v>
      </c>
      <c r="F20" s="28"/>
      <c r="G20" s="28" t="s">
        <v>448</v>
      </c>
      <c r="H20" s="28" t="s">
        <v>448</v>
      </c>
      <c r="I20" s="28" t="s">
        <v>448</v>
      </c>
      <c r="J20" s="28"/>
      <c r="K20" s="28" t="s">
        <v>448</v>
      </c>
      <c r="L20" s="28" t="s">
        <v>448</v>
      </c>
      <c r="M20" s="28" t="s">
        <v>448</v>
      </c>
      <c r="N20" s="28"/>
      <c r="O20" s="28"/>
      <c r="P20" s="28" t="s">
        <v>448</v>
      </c>
      <c r="Q20" s="28" t="s">
        <v>448</v>
      </c>
      <c r="R20" s="28"/>
      <c r="S20" s="28"/>
      <c r="T20" s="28"/>
      <c r="U20" s="28"/>
      <c r="V20" s="28"/>
      <c r="W20" s="28"/>
      <c r="X20" s="28"/>
      <c r="Y20" s="28"/>
      <c r="Z20" s="28"/>
      <c r="AA20" s="28" t="s">
        <v>556</v>
      </c>
      <c r="AB20" s="80" t="s">
        <v>341</v>
      </c>
      <c r="AC20" s="80" t="s">
        <v>341</v>
      </c>
      <c r="AD20" s="80" t="s">
        <v>341</v>
      </c>
      <c r="AE20" s="80" t="s">
        <v>341</v>
      </c>
      <c r="AF20" s="28"/>
      <c r="AG20" s="28"/>
      <c r="AH20" s="80" t="s">
        <v>341</v>
      </c>
    </row>
    <row r="21" spans="1:34" x14ac:dyDescent="0.25">
      <c r="A21" s="26" t="s">
        <v>165</v>
      </c>
      <c r="B21" s="28" t="s">
        <v>322</v>
      </c>
      <c r="C21" s="28" t="s">
        <v>561</v>
      </c>
      <c r="D21" s="28" t="s">
        <v>561</v>
      </c>
      <c r="E21" s="28" t="s">
        <v>561</v>
      </c>
      <c r="F21" s="28"/>
      <c r="G21" s="28" t="s">
        <v>561</v>
      </c>
      <c r="H21" s="28" t="s">
        <v>561</v>
      </c>
      <c r="I21" s="28" t="s">
        <v>561</v>
      </c>
      <c r="J21" s="29"/>
      <c r="K21" s="28" t="s">
        <v>561</v>
      </c>
      <c r="L21" s="28" t="s">
        <v>561</v>
      </c>
      <c r="M21" s="28" t="s">
        <v>561</v>
      </c>
      <c r="N21" s="29"/>
      <c r="O21" s="29"/>
      <c r="P21" s="113" t="s">
        <v>453</v>
      </c>
      <c r="Q21" s="113" t="s">
        <v>453</v>
      </c>
      <c r="R21" s="29"/>
      <c r="S21" s="29"/>
      <c r="T21" s="29"/>
      <c r="U21" s="29"/>
      <c r="V21" s="29"/>
      <c r="W21" s="29"/>
      <c r="X21" s="29"/>
      <c r="Y21" s="29"/>
      <c r="Z21" s="29"/>
      <c r="AA21" s="28" t="s">
        <v>322</v>
      </c>
      <c r="AB21" s="80" t="s">
        <v>341</v>
      </c>
      <c r="AC21" s="80" t="s">
        <v>341</v>
      </c>
      <c r="AD21" s="80" t="s">
        <v>341</v>
      </c>
      <c r="AE21" s="80" t="s">
        <v>341</v>
      </c>
      <c r="AF21" s="29"/>
      <c r="AG21" s="29"/>
      <c r="AH21" s="80" t="s">
        <v>341</v>
      </c>
    </row>
    <row r="22" spans="1:34" x14ac:dyDescent="0.25">
      <c r="A22" s="131" t="s">
        <v>168</v>
      </c>
      <c r="B22" s="157">
        <v>98</v>
      </c>
      <c r="C22" s="157">
        <v>83</v>
      </c>
      <c r="D22" s="157">
        <v>83</v>
      </c>
      <c r="E22" s="157">
        <v>83</v>
      </c>
      <c r="F22" s="157"/>
      <c r="G22" s="157">
        <v>83</v>
      </c>
      <c r="H22" s="157">
        <v>83</v>
      </c>
      <c r="I22" s="157">
        <v>83</v>
      </c>
      <c r="J22" s="157"/>
      <c r="K22" s="157">
        <v>83</v>
      </c>
      <c r="L22" s="157">
        <v>83</v>
      </c>
      <c r="M22" s="157">
        <v>83</v>
      </c>
      <c r="N22" s="157"/>
      <c r="O22" s="157"/>
      <c r="P22" s="157">
        <v>142</v>
      </c>
      <c r="Q22" s="157">
        <v>142</v>
      </c>
      <c r="R22" s="157"/>
      <c r="S22" s="157"/>
      <c r="T22" s="157"/>
      <c r="U22" s="157"/>
      <c r="V22" s="157"/>
      <c r="W22" s="157"/>
      <c r="X22" s="157"/>
      <c r="Y22" s="157"/>
      <c r="Z22" s="157"/>
      <c r="AA22" s="157">
        <v>98</v>
      </c>
      <c r="AB22" s="198"/>
      <c r="AC22" s="198"/>
      <c r="AD22" s="198"/>
      <c r="AE22" s="198"/>
      <c r="AF22" s="157"/>
      <c r="AG22" s="157"/>
      <c r="AH22" s="198"/>
    </row>
    <row r="23" spans="1:34" x14ac:dyDescent="0.25">
      <c r="A23" s="26" t="s">
        <v>169</v>
      </c>
      <c r="B23" s="28" t="s">
        <v>170</v>
      </c>
      <c r="C23" s="28" t="s">
        <v>170</v>
      </c>
      <c r="D23" s="28" t="s">
        <v>170</v>
      </c>
      <c r="E23" s="28" t="s">
        <v>170</v>
      </c>
      <c r="F23" s="28"/>
      <c r="G23" s="28" t="s">
        <v>170</v>
      </c>
      <c r="H23" s="28" t="s">
        <v>170</v>
      </c>
      <c r="I23" s="28" t="s">
        <v>170</v>
      </c>
      <c r="J23" s="28"/>
      <c r="K23" s="28" t="s">
        <v>170</v>
      </c>
      <c r="L23" s="28" t="s">
        <v>170</v>
      </c>
      <c r="M23" s="28" t="s">
        <v>170</v>
      </c>
      <c r="N23" s="28"/>
      <c r="O23" s="28"/>
      <c r="P23" s="28" t="s">
        <v>170</v>
      </c>
      <c r="Q23" s="28" t="s">
        <v>170</v>
      </c>
      <c r="R23" s="28"/>
      <c r="S23" s="28"/>
      <c r="T23" s="28"/>
      <c r="U23" s="28"/>
      <c r="V23" s="28"/>
      <c r="W23" s="28"/>
      <c r="X23" s="28"/>
      <c r="Y23" s="28"/>
      <c r="Z23" s="28"/>
      <c r="AA23" s="28" t="s">
        <v>170</v>
      </c>
      <c r="AB23" s="80" t="s">
        <v>173</v>
      </c>
      <c r="AC23" s="80" t="s">
        <v>173</v>
      </c>
      <c r="AD23" s="80" t="s">
        <v>173</v>
      </c>
      <c r="AE23" s="80" t="s">
        <v>173</v>
      </c>
      <c r="AF23" s="28"/>
      <c r="AG23" s="28"/>
      <c r="AH23" s="80" t="s">
        <v>173</v>
      </c>
    </row>
    <row r="24" spans="1:34" x14ac:dyDescent="0.25">
      <c r="A24" s="26" t="s">
        <v>171</v>
      </c>
      <c r="B24" s="28" t="s">
        <v>170</v>
      </c>
      <c r="C24" s="28" t="s">
        <v>170</v>
      </c>
      <c r="D24" s="28" t="s">
        <v>170</v>
      </c>
      <c r="E24" s="28" t="s">
        <v>170</v>
      </c>
      <c r="F24" s="28"/>
      <c r="G24" s="28" t="s">
        <v>170</v>
      </c>
      <c r="H24" s="28" t="s">
        <v>170</v>
      </c>
      <c r="I24" s="28" t="s">
        <v>170</v>
      </c>
      <c r="J24" s="28"/>
      <c r="K24" s="28" t="s">
        <v>170</v>
      </c>
      <c r="L24" s="28" t="s">
        <v>170</v>
      </c>
      <c r="M24" s="28" t="s">
        <v>170</v>
      </c>
      <c r="N24" s="28"/>
      <c r="O24" s="28"/>
      <c r="P24" s="28" t="s">
        <v>170</v>
      </c>
      <c r="Q24" s="28" t="s">
        <v>170</v>
      </c>
      <c r="R24" s="28"/>
      <c r="S24" s="28"/>
      <c r="T24" s="28"/>
      <c r="U24" s="28"/>
      <c r="V24" s="28"/>
      <c r="W24" s="28"/>
      <c r="X24" s="28"/>
      <c r="Y24" s="28"/>
      <c r="Z24" s="28"/>
      <c r="AA24" s="28" t="s">
        <v>170</v>
      </c>
      <c r="AB24" s="80" t="s">
        <v>173</v>
      </c>
      <c r="AC24" s="80" t="s">
        <v>173</v>
      </c>
      <c r="AD24" s="80" t="s">
        <v>173</v>
      </c>
      <c r="AE24" s="80" t="s">
        <v>173</v>
      </c>
      <c r="AF24" s="28"/>
      <c r="AG24" s="28"/>
      <c r="AH24" s="80" t="s">
        <v>173</v>
      </c>
    </row>
    <row r="25" spans="1:34" x14ac:dyDescent="0.25">
      <c r="A25" s="26" t="s">
        <v>172</v>
      </c>
      <c r="B25" s="28" t="s">
        <v>173</v>
      </c>
      <c r="C25" s="28" t="s">
        <v>173</v>
      </c>
      <c r="D25" s="28" t="s">
        <v>173</v>
      </c>
      <c r="E25" s="28" t="s">
        <v>173</v>
      </c>
      <c r="F25" s="28"/>
      <c r="G25" s="28" t="s">
        <v>173</v>
      </c>
      <c r="H25" s="28" t="s">
        <v>173</v>
      </c>
      <c r="I25" s="28" t="s">
        <v>173</v>
      </c>
      <c r="J25" s="28"/>
      <c r="K25" s="28" t="s">
        <v>173</v>
      </c>
      <c r="L25" s="28" t="s">
        <v>173</v>
      </c>
      <c r="M25" s="28" t="s">
        <v>173</v>
      </c>
      <c r="N25" s="28"/>
      <c r="O25" s="28"/>
      <c r="P25" s="28" t="s">
        <v>173</v>
      </c>
      <c r="Q25" s="28" t="s">
        <v>173</v>
      </c>
      <c r="R25" s="28"/>
      <c r="S25" s="28"/>
      <c r="T25" s="28"/>
      <c r="U25" s="28"/>
      <c r="V25" s="28"/>
      <c r="W25" s="28"/>
      <c r="X25" s="28"/>
      <c r="Y25" s="28"/>
      <c r="Z25" s="28"/>
      <c r="AA25" s="28" t="s">
        <v>173</v>
      </c>
      <c r="AB25" s="80" t="s">
        <v>173</v>
      </c>
      <c r="AC25" s="80" t="s">
        <v>173</v>
      </c>
      <c r="AD25" s="80" t="s">
        <v>173</v>
      </c>
      <c r="AE25" s="80" t="s">
        <v>173</v>
      </c>
      <c r="AF25" s="28"/>
      <c r="AG25" s="28"/>
      <c r="AH25" s="80" t="s">
        <v>173</v>
      </c>
    </row>
    <row r="26" spans="1:34" x14ac:dyDescent="0.25">
      <c r="A26" s="26" t="s">
        <v>174</v>
      </c>
      <c r="B26" s="28" t="s">
        <v>173</v>
      </c>
      <c r="C26" s="28" t="s">
        <v>173</v>
      </c>
      <c r="D26" s="28" t="s">
        <v>173</v>
      </c>
      <c r="E26" s="28" t="s">
        <v>173</v>
      </c>
      <c r="F26" s="28"/>
      <c r="G26" s="28" t="s">
        <v>173</v>
      </c>
      <c r="H26" s="28" t="s">
        <v>173</v>
      </c>
      <c r="I26" s="28" t="s">
        <v>173</v>
      </c>
      <c r="J26" s="28"/>
      <c r="K26" s="28" t="s">
        <v>173</v>
      </c>
      <c r="L26" s="28" t="s">
        <v>173</v>
      </c>
      <c r="M26" s="28" t="s">
        <v>173</v>
      </c>
      <c r="N26" s="28"/>
      <c r="O26" s="28"/>
      <c r="P26" s="28" t="s">
        <v>173</v>
      </c>
      <c r="Q26" s="28" t="s">
        <v>173</v>
      </c>
      <c r="R26" s="28"/>
      <c r="S26" s="28"/>
      <c r="T26" s="28"/>
      <c r="U26" s="28"/>
      <c r="V26" s="28"/>
      <c r="W26" s="28"/>
      <c r="X26" s="28"/>
      <c r="Y26" s="28"/>
      <c r="Z26" s="28"/>
      <c r="AA26" s="28" t="s">
        <v>173</v>
      </c>
      <c r="AB26" s="80" t="s">
        <v>173</v>
      </c>
      <c r="AC26" s="80" t="s">
        <v>173</v>
      </c>
      <c r="AD26" s="80" t="s">
        <v>173</v>
      </c>
      <c r="AE26" s="80" t="s">
        <v>173</v>
      </c>
      <c r="AF26" s="28"/>
      <c r="AG26" s="28"/>
      <c r="AH26" s="80" t="s">
        <v>173</v>
      </c>
    </row>
    <row r="27" spans="1:34" x14ac:dyDescent="0.25">
      <c r="A27" s="26" t="s">
        <v>175</v>
      </c>
      <c r="B27" s="28" t="s">
        <v>199</v>
      </c>
      <c r="C27" s="28" t="s">
        <v>198</v>
      </c>
      <c r="D27" s="28" t="s">
        <v>198</v>
      </c>
      <c r="E27" s="28" t="s">
        <v>198</v>
      </c>
      <c r="F27" s="28"/>
      <c r="G27" s="28" t="s">
        <v>198</v>
      </c>
      <c r="H27" s="28" t="s">
        <v>198</v>
      </c>
      <c r="I27" s="28" t="s">
        <v>198</v>
      </c>
      <c r="J27" s="28"/>
      <c r="K27" s="28" t="s">
        <v>198</v>
      </c>
      <c r="L27" s="28" t="s">
        <v>198</v>
      </c>
      <c r="M27" s="28" t="s">
        <v>198</v>
      </c>
      <c r="N27" s="28"/>
      <c r="O27" s="28"/>
      <c r="P27" s="28" t="s">
        <v>461</v>
      </c>
      <c r="Q27" s="28" t="s">
        <v>461</v>
      </c>
      <c r="R27" s="28"/>
      <c r="S27" s="28"/>
      <c r="T27" s="28"/>
      <c r="U27" s="28"/>
      <c r="V27" s="28"/>
      <c r="W27" s="28"/>
      <c r="X27" s="28"/>
      <c r="Y27" s="28"/>
      <c r="Z27" s="28"/>
      <c r="AA27" s="28" t="s">
        <v>199</v>
      </c>
      <c r="AB27" s="80" t="s">
        <v>199</v>
      </c>
      <c r="AC27" s="80" t="s">
        <v>199</v>
      </c>
      <c r="AD27" s="80" t="s">
        <v>199</v>
      </c>
      <c r="AE27" s="80" t="s">
        <v>199</v>
      </c>
      <c r="AF27" s="28"/>
      <c r="AG27" s="28"/>
      <c r="AH27" s="80" t="s">
        <v>199</v>
      </c>
    </row>
    <row r="28" spans="1:34" x14ac:dyDescent="0.25">
      <c r="A28" s="26" t="s">
        <v>176</v>
      </c>
      <c r="B28" s="30">
        <v>-2</v>
      </c>
      <c r="C28" s="30">
        <v>0.75</v>
      </c>
      <c r="D28" s="30">
        <v>0.75</v>
      </c>
      <c r="E28" s="30">
        <v>0.75</v>
      </c>
      <c r="F28" s="30"/>
      <c r="G28" s="30">
        <v>0.75</v>
      </c>
      <c r="H28" s="30">
        <v>0.75</v>
      </c>
      <c r="I28" s="30">
        <v>0.75</v>
      </c>
      <c r="J28" s="30"/>
      <c r="K28" s="30">
        <v>0.75</v>
      </c>
      <c r="L28" s="30">
        <v>0.75</v>
      </c>
      <c r="M28" s="30">
        <v>0.75</v>
      </c>
      <c r="N28" s="30"/>
      <c r="O28" s="30"/>
      <c r="P28" s="30">
        <v>-4</v>
      </c>
      <c r="Q28" s="30">
        <v>-4</v>
      </c>
      <c r="R28" s="30"/>
      <c r="S28" s="30"/>
      <c r="T28" s="30"/>
      <c r="U28" s="30"/>
      <c r="V28" s="30"/>
      <c r="W28" s="30"/>
      <c r="X28" s="30"/>
      <c r="Y28" s="30"/>
      <c r="Z28" s="30"/>
      <c r="AA28" s="30">
        <v>-2</v>
      </c>
      <c r="AB28" s="82">
        <v>-2</v>
      </c>
      <c r="AC28" s="82">
        <v>-2</v>
      </c>
      <c r="AD28" s="82">
        <v>-2</v>
      </c>
      <c r="AE28" s="82">
        <v>-2</v>
      </c>
      <c r="AF28" s="30"/>
      <c r="AG28" s="30"/>
      <c r="AH28" s="82">
        <v>-2</v>
      </c>
    </row>
    <row r="29" spans="1:34" x14ac:dyDescent="0.25">
      <c r="A29" s="26" t="s">
        <v>177</v>
      </c>
      <c r="B29" s="28" t="s">
        <v>334</v>
      </c>
      <c r="C29" s="28" t="s">
        <v>462</v>
      </c>
      <c r="D29" s="28" t="s">
        <v>462</v>
      </c>
      <c r="E29" s="28" t="s">
        <v>462</v>
      </c>
      <c r="F29" s="28"/>
      <c r="G29" s="28" t="s">
        <v>462</v>
      </c>
      <c r="H29" s="28" t="s">
        <v>462</v>
      </c>
      <c r="I29" s="28" t="s">
        <v>462</v>
      </c>
      <c r="J29" s="28"/>
      <c r="K29" s="28" t="s">
        <v>462</v>
      </c>
      <c r="L29" s="28" t="s">
        <v>462</v>
      </c>
      <c r="M29" s="28" t="s">
        <v>462</v>
      </c>
      <c r="N29" s="28"/>
      <c r="O29" s="28"/>
      <c r="P29" s="113" t="s">
        <v>464</v>
      </c>
      <c r="Q29" s="113" t="s">
        <v>464</v>
      </c>
      <c r="R29" s="28"/>
      <c r="S29" s="28"/>
      <c r="T29" s="28"/>
      <c r="U29" s="28"/>
      <c r="V29" s="28"/>
      <c r="W29" s="28"/>
      <c r="X29" s="28"/>
      <c r="Y29" s="28"/>
      <c r="Z29" s="28"/>
      <c r="AA29" s="28" t="s">
        <v>334</v>
      </c>
      <c r="AB29" s="80" t="s">
        <v>341</v>
      </c>
      <c r="AC29" s="80" t="s">
        <v>341</v>
      </c>
      <c r="AD29" s="80" t="s">
        <v>341</v>
      </c>
      <c r="AE29" s="80" t="s">
        <v>341</v>
      </c>
      <c r="AF29" s="28"/>
      <c r="AG29" s="28"/>
      <c r="AH29" s="80" t="s">
        <v>341</v>
      </c>
    </row>
    <row r="30" spans="1:34" x14ac:dyDescent="0.25">
      <c r="A30" s="26" t="s">
        <v>182</v>
      </c>
      <c r="B30" s="30">
        <f>1/3</f>
        <v>0.33333333333333331</v>
      </c>
      <c r="C30" s="30">
        <v>1</v>
      </c>
      <c r="D30" s="30">
        <v>1</v>
      </c>
      <c r="E30" s="30">
        <v>1</v>
      </c>
      <c r="F30" s="30"/>
      <c r="G30" s="30">
        <v>1</v>
      </c>
      <c r="H30" s="30">
        <v>1</v>
      </c>
      <c r="I30" s="30">
        <v>1</v>
      </c>
      <c r="J30" s="30"/>
      <c r="K30" s="30">
        <v>1</v>
      </c>
      <c r="L30" s="30">
        <v>1</v>
      </c>
      <c r="M30" s="30">
        <v>1</v>
      </c>
      <c r="N30" s="30"/>
      <c r="O30" s="30"/>
      <c r="P30" s="30">
        <v>1.75</v>
      </c>
      <c r="Q30" s="30">
        <v>1.75</v>
      </c>
      <c r="R30" s="30"/>
      <c r="S30" s="30"/>
      <c r="T30" s="30"/>
      <c r="U30" s="30"/>
      <c r="V30" s="30"/>
      <c r="W30" s="30"/>
      <c r="X30" s="30"/>
      <c r="Y30" s="30"/>
      <c r="Z30" s="30"/>
      <c r="AA30" s="30">
        <f>1/3</f>
        <v>0.33333333333333331</v>
      </c>
      <c r="AB30" s="82">
        <v>0</v>
      </c>
      <c r="AC30" s="82">
        <v>0</v>
      </c>
      <c r="AD30" s="82">
        <v>0</v>
      </c>
      <c r="AE30" s="82">
        <v>0</v>
      </c>
      <c r="AF30" s="30"/>
      <c r="AG30" s="30"/>
      <c r="AH30" s="82">
        <v>0</v>
      </c>
    </row>
    <row r="32" spans="1:34" x14ac:dyDescent="0.25">
      <c r="A32" s="31" t="s">
        <v>183</v>
      </c>
    </row>
    <row r="33" spans="1:2" x14ac:dyDescent="0.25">
      <c r="A33" s="26" t="s">
        <v>1428</v>
      </c>
      <c r="B33" s="56" t="s">
        <v>1429</v>
      </c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16C23-103F-4EDD-A317-76202A9D364D}">
  <dimension ref="A1:AH33"/>
  <sheetViews>
    <sheetView topLeftCell="A5" workbookViewId="0">
      <selection activeCell="AH23" sqref="AH23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895</v>
      </c>
      <c r="I1" s="25" t="s">
        <v>1120</v>
      </c>
    </row>
    <row r="3" spans="1:34" ht="18" x14ac:dyDescent="0.25">
      <c r="A3" s="25" t="s">
        <v>119</v>
      </c>
      <c r="B3" s="215">
        <v>88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1430</v>
      </c>
      <c r="C4" s="215"/>
      <c r="D4" s="215"/>
      <c r="F4" s="216" t="s">
        <v>1431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1349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28" t="s">
        <v>462</v>
      </c>
      <c r="C8" s="28" t="s">
        <v>1432</v>
      </c>
      <c r="D8" s="28" t="s">
        <v>1432</v>
      </c>
      <c r="E8" s="28"/>
      <c r="F8" s="28"/>
      <c r="G8" s="29" t="s">
        <v>322</v>
      </c>
      <c r="H8" s="29" t="s">
        <v>322</v>
      </c>
      <c r="I8" s="29" t="s">
        <v>322</v>
      </c>
      <c r="J8" s="28"/>
      <c r="K8" s="28" t="s">
        <v>476</v>
      </c>
      <c r="L8" s="28" t="s">
        <v>476</v>
      </c>
      <c r="M8" s="28" t="s">
        <v>476</v>
      </c>
      <c r="N8" s="28"/>
      <c r="O8" s="28"/>
      <c r="P8" s="80" t="s">
        <v>341</v>
      </c>
      <c r="Q8" s="80" t="s">
        <v>341</v>
      </c>
      <c r="R8" s="28"/>
      <c r="S8" s="28"/>
      <c r="T8" s="28"/>
      <c r="U8" s="28"/>
      <c r="V8" s="28"/>
      <c r="W8" s="28"/>
      <c r="X8" s="28"/>
      <c r="Y8" s="28"/>
      <c r="Z8" s="28"/>
      <c r="AA8" s="28" t="s">
        <v>1433</v>
      </c>
      <c r="AB8" s="28"/>
      <c r="AC8" s="28" t="s">
        <v>1433</v>
      </c>
      <c r="AD8" s="28"/>
      <c r="AE8" s="28"/>
      <c r="AF8" s="28"/>
      <c r="AG8" s="28" t="s">
        <v>611</v>
      </c>
      <c r="AH8" s="80" t="s">
        <v>341</v>
      </c>
    </row>
    <row r="9" spans="1:34" x14ac:dyDescent="0.25">
      <c r="A9" s="26" t="s">
        <v>165</v>
      </c>
      <c r="B9" s="28" t="s">
        <v>484</v>
      </c>
      <c r="C9" s="111" t="s">
        <v>1434</v>
      </c>
      <c r="D9" s="111" t="s">
        <v>1434</v>
      </c>
      <c r="E9" s="28"/>
      <c r="F9" s="28"/>
      <c r="G9" s="29" t="s">
        <v>316</v>
      </c>
      <c r="H9" s="28" t="s">
        <v>395</v>
      </c>
      <c r="I9" s="28" t="s">
        <v>395</v>
      </c>
      <c r="J9" s="29"/>
      <c r="K9" s="111" t="s">
        <v>1434</v>
      </c>
      <c r="L9" s="111" t="s">
        <v>1434</v>
      </c>
      <c r="M9" s="28" t="s">
        <v>322</v>
      </c>
      <c r="N9" s="29"/>
      <c r="O9" s="29"/>
      <c r="P9" s="80" t="s">
        <v>341</v>
      </c>
      <c r="Q9" s="80" t="s">
        <v>341</v>
      </c>
      <c r="R9" s="29"/>
      <c r="S9" s="29"/>
      <c r="T9" s="29"/>
      <c r="U9" s="29"/>
      <c r="V9" s="29"/>
      <c r="W9" s="29"/>
      <c r="X9" s="29"/>
      <c r="Y9" s="29"/>
      <c r="Z9" s="29"/>
      <c r="AA9" s="114" t="s">
        <v>1435</v>
      </c>
      <c r="AB9" s="29"/>
      <c r="AC9" s="114" t="s">
        <v>1435</v>
      </c>
      <c r="AD9" s="29"/>
      <c r="AE9" s="29"/>
      <c r="AF9" s="29"/>
      <c r="AG9" s="29"/>
      <c r="AH9" s="80" t="s">
        <v>341</v>
      </c>
    </row>
    <row r="10" spans="1:34" x14ac:dyDescent="0.25">
      <c r="A10" s="131" t="s">
        <v>168</v>
      </c>
      <c r="B10" s="157">
        <v>139</v>
      </c>
      <c r="C10" s="157">
        <v>86</v>
      </c>
      <c r="D10" s="157">
        <v>86</v>
      </c>
      <c r="E10" s="157"/>
      <c r="F10" s="157"/>
      <c r="G10" s="157">
        <v>63</v>
      </c>
      <c r="H10" s="157">
        <v>68</v>
      </c>
      <c r="I10" s="157">
        <v>68</v>
      </c>
      <c r="J10" s="157"/>
      <c r="K10" s="157">
        <v>86</v>
      </c>
      <c r="L10" s="157">
        <v>86</v>
      </c>
      <c r="M10" s="157">
        <v>98</v>
      </c>
      <c r="N10" s="157"/>
      <c r="O10" s="157"/>
      <c r="P10" s="198"/>
      <c r="Q10" s="198"/>
      <c r="R10" s="157"/>
      <c r="S10" s="157"/>
      <c r="T10" s="157"/>
      <c r="U10" s="157"/>
      <c r="V10" s="157"/>
      <c r="W10" s="157"/>
      <c r="X10" s="157"/>
      <c r="Y10" s="157"/>
      <c r="Z10" s="157"/>
      <c r="AA10" s="157">
        <v>244</v>
      </c>
      <c r="AB10" s="157"/>
      <c r="AC10" s="157">
        <v>244</v>
      </c>
      <c r="AD10" s="157"/>
      <c r="AE10" s="157"/>
      <c r="AF10" s="157"/>
      <c r="AG10" s="157"/>
      <c r="AH10" s="198"/>
    </row>
    <row r="11" spans="1:34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/>
      <c r="F11" s="28"/>
      <c r="G11" s="29" t="s">
        <v>170</v>
      </c>
      <c r="H11" s="29" t="s">
        <v>170</v>
      </c>
      <c r="I11" s="29" t="s">
        <v>170</v>
      </c>
      <c r="J11" s="28"/>
      <c r="K11" s="28" t="s">
        <v>170</v>
      </c>
      <c r="L11" s="28" t="s">
        <v>170</v>
      </c>
      <c r="M11" s="28" t="s">
        <v>170</v>
      </c>
      <c r="N11" s="28"/>
      <c r="O11" s="28"/>
      <c r="P11" s="80" t="s">
        <v>173</v>
      </c>
      <c r="Q11" s="80" t="s">
        <v>173</v>
      </c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170</v>
      </c>
      <c r="AB11" s="28"/>
      <c r="AC11" s="28" t="s">
        <v>170</v>
      </c>
      <c r="AD11" s="28"/>
      <c r="AE11" s="29"/>
      <c r="AF11" s="28"/>
      <c r="AG11" s="28"/>
      <c r="AH11" s="80" t="s">
        <v>173</v>
      </c>
    </row>
    <row r="12" spans="1:34" x14ac:dyDescent="0.25">
      <c r="A12" s="26" t="s">
        <v>171</v>
      </c>
      <c r="B12" s="28" t="s">
        <v>170</v>
      </c>
      <c r="C12" s="28" t="s">
        <v>170</v>
      </c>
      <c r="D12" s="28" t="s">
        <v>170</v>
      </c>
      <c r="E12" s="28"/>
      <c r="F12" s="28"/>
      <c r="G12" s="28" t="s">
        <v>173</v>
      </c>
      <c r="H12" s="29" t="s">
        <v>170</v>
      </c>
      <c r="I12" s="29" t="s">
        <v>170</v>
      </c>
      <c r="J12" s="28"/>
      <c r="K12" s="28" t="s">
        <v>170</v>
      </c>
      <c r="L12" s="28" t="s">
        <v>170</v>
      </c>
      <c r="M12" s="28" t="s">
        <v>170</v>
      </c>
      <c r="N12" s="28"/>
      <c r="O12" s="28"/>
      <c r="P12" s="80" t="s">
        <v>173</v>
      </c>
      <c r="Q12" s="80" t="s">
        <v>173</v>
      </c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170</v>
      </c>
      <c r="AB12" s="28"/>
      <c r="AC12" s="28" t="s">
        <v>170</v>
      </c>
      <c r="AD12" s="28"/>
      <c r="AE12" s="28"/>
      <c r="AF12" s="28"/>
      <c r="AG12" s="28"/>
      <c r="AH12" s="80" t="s">
        <v>173</v>
      </c>
    </row>
    <row r="13" spans="1:34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9"/>
      <c r="F13" s="29"/>
      <c r="G13" s="28" t="s">
        <v>173</v>
      </c>
      <c r="H13" s="28" t="s">
        <v>173</v>
      </c>
      <c r="I13" s="28" t="s">
        <v>173</v>
      </c>
      <c r="J13" s="28"/>
      <c r="K13" s="28" t="s">
        <v>173</v>
      </c>
      <c r="L13" s="28" t="s">
        <v>173</v>
      </c>
      <c r="M13" s="28" t="s">
        <v>173</v>
      </c>
      <c r="N13" s="28"/>
      <c r="O13" s="28"/>
      <c r="P13" s="80" t="s">
        <v>173</v>
      </c>
      <c r="Q13" s="80" t="s">
        <v>173</v>
      </c>
      <c r="R13" s="28"/>
      <c r="S13" s="28"/>
      <c r="T13" s="28"/>
      <c r="U13" s="28"/>
      <c r="V13" s="28"/>
      <c r="W13" s="28"/>
      <c r="X13" s="28"/>
      <c r="Y13" s="28"/>
      <c r="Z13" s="28"/>
      <c r="AA13" s="29" t="s">
        <v>173</v>
      </c>
      <c r="AB13" s="28"/>
      <c r="AC13" s="29" t="s">
        <v>173</v>
      </c>
      <c r="AD13" s="28"/>
      <c r="AE13" s="28"/>
      <c r="AF13" s="28"/>
      <c r="AG13" s="28"/>
      <c r="AH13" s="80" t="s">
        <v>173</v>
      </c>
    </row>
    <row r="14" spans="1:34" x14ac:dyDescent="0.25">
      <c r="A14" s="26" t="s">
        <v>174</v>
      </c>
      <c r="B14" s="28" t="s">
        <v>170</v>
      </c>
      <c r="C14" s="28" t="s">
        <v>170</v>
      </c>
      <c r="D14" s="28" t="s">
        <v>170</v>
      </c>
      <c r="E14" s="28"/>
      <c r="F14" s="28"/>
      <c r="G14" s="28" t="s">
        <v>173</v>
      </c>
      <c r="H14" s="28" t="s">
        <v>173</v>
      </c>
      <c r="I14" s="28" t="s">
        <v>173</v>
      </c>
      <c r="J14" s="28"/>
      <c r="K14" s="28" t="s">
        <v>170</v>
      </c>
      <c r="L14" s="28" t="s">
        <v>170</v>
      </c>
      <c r="M14" s="28" t="s">
        <v>173</v>
      </c>
      <c r="N14" s="28"/>
      <c r="O14" s="28"/>
      <c r="P14" s="80" t="s">
        <v>173</v>
      </c>
      <c r="Q14" s="80" t="s">
        <v>173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170</v>
      </c>
      <c r="AB14" s="28"/>
      <c r="AC14" s="28" t="s">
        <v>170</v>
      </c>
      <c r="AD14" s="28"/>
      <c r="AE14" s="28"/>
      <c r="AF14" s="28"/>
      <c r="AG14" s="28"/>
      <c r="AH14" s="80" t="s">
        <v>173</v>
      </c>
    </row>
    <row r="15" spans="1:34" x14ac:dyDescent="0.25">
      <c r="A15" s="26" t="s">
        <v>175</v>
      </c>
      <c r="B15" s="28" t="s">
        <v>199</v>
      </c>
      <c r="C15" s="28" t="s">
        <v>199</v>
      </c>
      <c r="D15" s="28" t="s">
        <v>199</v>
      </c>
      <c r="E15" s="28"/>
      <c r="F15" s="28"/>
      <c r="G15" s="28" t="s">
        <v>267</v>
      </c>
      <c r="H15" s="28" t="s">
        <v>397</v>
      </c>
      <c r="I15" s="28" t="s">
        <v>397</v>
      </c>
      <c r="J15" s="28"/>
      <c r="K15" s="28" t="s">
        <v>199</v>
      </c>
      <c r="L15" s="28" t="s">
        <v>199</v>
      </c>
      <c r="M15" s="28" t="s">
        <v>199</v>
      </c>
      <c r="N15" s="28"/>
      <c r="O15" s="28"/>
      <c r="P15" s="80" t="s">
        <v>199</v>
      </c>
      <c r="Q15" s="80" t="s">
        <v>199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199</v>
      </c>
      <c r="AB15" s="28"/>
      <c r="AC15" s="28" t="s">
        <v>199</v>
      </c>
      <c r="AD15" s="28"/>
      <c r="AE15" s="28"/>
      <c r="AF15" s="28"/>
      <c r="AG15" s="28"/>
      <c r="AH15" s="80" t="s">
        <v>199</v>
      </c>
    </row>
    <row r="16" spans="1:34" x14ac:dyDescent="0.25">
      <c r="A16" s="26" t="s">
        <v>176</v>
      </c>
      <c r="B16" s="30">
        <f>-1/6</f>
        <v>-0.16666666666666666</v>
      </c>
      <c r="C16" s="30">
        <v>0</v>
      </c>
      <c r="D16" s="30">
        <v>0</v>
      </c>
      <c r="E16" s="30"/>
      <c r="F16" s="30"/>
      <c r="G16" s="30">
        <v>-3</v>
      </c>
      <c r="H16" s="30">
        <v>-6</v>
      </c>
      <c r="I16" s="30">
        <v>-6</v>
      </c>
      <c r="J16" s="30"/>
      <c r="K16" s="30">
        <v>0</v>
      </c>
      <c r="L16" s="30">
        <v>0</v>
      </c>
      <c r="M16" s="30">
        <v>-2</v>
      </c>
      <c r="N16" s="30"/>
      <c r="O16" s="30"/>
      <c r="P16" s="82">
        <v>-2</v>
      </c>
      <c r="Q16" s="82">
        <v>-2</v>
      </c>
      <c r="R16" s="30"/>
      <c r="S16" s="30"/>
      <c r="T16" s="30"/>
      <c r="U16" s="30"/>
      <c r="V16" s="30"/>
      <c r="W16" s="30"/>
      <c r="X16" s="30"/>
      <c r="Y16" s="30"/>
      <c r="Z16" s="30"/>
      <c r="AA16" s="30">
        <v>0</v>
      </c>
      <c r="AB16" s="30"/>
      <c r="AC16" s="30">
        <v>0</v>
      </c>
      <c r="AD16" s="30"/>
      <c r="AE16" s="30"/>
      <c r="AF16" s="30"/>
      <c r="AG16" s="30"/>
      <c r="AH16" s="82">
        <v>-2</v>
      </c>
    </row>
    <row r="17" spans="1:34" x14ac:dyDescent="0.25">
      <c r="A17" s="26" t="s">
        <v>177</v>
      </c>
      <c r="B17" s="28" t="s">
        <v>489</v>
      </c>
      <c r="C17" s="28" t="s">
        <v>489</v>
      </c>
      <c r="D17" s="28" t="s">
        <v>489</v>
      </c>
      <c r="E17" s="28"/>
      <c r="F17" s="28"/>
      <c r="G17" s="28" t="s">
        <v>181</v>
      </c>
      <c r="H17" s="28" t="s">
        <v>181</v>
      </c>
      <c r="I17" s="28" t="s">
        <v>181</v>
      </c>
      <c r="J17" s="28"/>
      <c r="K17" s="28" t="s">
        <v>489</v>
      </c>
      <c r="L17" s="28" t="s">
        <v>489</v>
      </c>
      <c r="M17" s="28" t="s">
        <v>334</v>
      </c>
      <c r="N17" s="28"/>
      <c r="O17" s="28"/>
      <c r="P17" s="80" t="s">
        <v>341</v>
      </c>
      <c r="Q17" s="80" t="s">
        <v>341</v>
      </c>
      <c r="R17" s="28"/>
      <c r="S17" s="28"/>
      <c r="T17" s="28"/>
      <c r="U17" s="28"/>
      <c r="V17" s="28"/>
      <c r="W17" s="28"/>
      <c r="X17" s="28"/>
      <c r="Y17" s="28"/>
      <c r="Z17" s="28"/>
      <c r="AA17" s="119" t="s">
        <v>1436</v>
      </c>
      <c r="AB17" s="28"/>
      <c r="AC17" s="119" t="s">
        <v>1436</v>
      </c>
      <c r="AD17" s="28"/>
      <c r="AE17" s="28"/>
      <c r="AF17" s="28"/>
      <c r="AG17" s="28"/>
      <c r="AH17" s="80" t="s">
        <v>341</v>
      </c>
    </row>
    <row r="18" spans="1:34" x14ac:dyDescent="0.25">
      <c r="A18" s="26" t="s">
        <v>182</v>
      </c>
      <c r="B18" s="30">
        <v>0.75</v>
      </c>
      <c r="C18" s="30">
        <v>0.75</v>
      </c>
      <c r="D18" s="30">
        <v>0.75</v>
      </c>
      <c r="E18" s="30"/>
      <c r="F18" s="30"/>
      <c r="G18" s="30">
        <v>2</v>
      </c>
      <c r="H18" s="30">
        <v>2</v>
      </c>
      <c r="I18" s="30">
        <v>2</v>
      </c>
      <c r="J18" s="30"/>
      <c r="K18" s="30">
        <v>0.75</v>
      </c>
      <c r="L18" s="30">
        <v>0.75</v>
      </c>
      <c r="M18" s="30">
        <f>1/3</f>
        <v>0.33333333333333331</v>
      </c>
      <c r="N18" s="30"/>
      <c r="O18" s="30"/>
      <c r="P18" s="82">
        <v>0</v>
      </c>
      <c r="Q18" s="82">
        <v>0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f>0.75*5/4</f>
        <v>0.9375</v>
      </c>
      <c r="AB18" s="30"/>
      <c r="AC18" s="30">
        <f>0.75*5/4</f>
        <v>0.9375</v>
      </c>
      <c r="AD18" s="30"/>
      <c r="AE18" s="30"/>
      <c r="AF18" s="30"/>
      <c r="AG18" s="30"/>
      <c r="AH18" s="82">
        <v>0</v>
      </c>
    </row>
    <row r="20" spans="1:34" x14ac:dyDescent="0.25">
      <c r="A20" s="26" t="s">
        <v>159</v>
      </c>
      <c r="B20" s="28" t="s">
        <v>1126</v>
      </c>
      <c r="C20" s="80" t="s">
        <v>341</v>
      </c>
      <c r="D20" s="80" t="s">
        <v>341</v>
      </c>
      <c r="E20" s="28"/>
      <c r="F20" s="28"/>
      <c r="G20" s="80" t="s">
        <v>341</v>
      </c>
      <c r="H20" s="80" t="s">
        <v>341</v>
      </c>
      <c r="I20" s="80" t="s">
        <v>341</v>
      </c>
      <c r="J20" s="28"/>
      <c r="K20" s="80" t="s">
        <v>341</v>
      </c>
      <c r="L20" s="80" t="s">
        <v>341</v>
      </c>
      <c r="M20" s="80" t="s">
        <v>341</v>
      </c>
      <c r="N20" s="28"/>
      <c r="O20" s="28"/>
      <c r="P20" s="28" t="s">
        <v>476</v>
      </c>
      <c r="Q20" s="28" t="s">
        <v>476</v>
      </c>
      <c r="R20" s="28"/>
      <c r="S20" s="28"/>
      <c r="T20" s="28"/>
      <c r="U20" s="28"/>
      <c r="V20" s="28"/>
      <c r="W20" s="28"/>
      <c r="X20" s="28"/>
      <c r="Y20" s="28"/>
      <c r="Z20" s="28"/>
      <c r="AA20" s="80" t="s">
        <v>341</v>
      </c>
      <c r="AB20" s="28"/>
      <c r="AC20" s="80" t="s">
        <v>341</v>
      </c>
      <c r="AD20" s="28"/>
      <c r="AE20" s="28"/>
      <c r="AF20" s="28"/>
      <c r="AG20" s="28"/>
      <c r="AH20" s="28" t="s">
        <v>942</v>
      </c>
    </row>
    <row r="21" spans="1:34" x14ac:dyDescent="0.25">
      <c r="A21" s="26" t="s">
        <v>165</v>
      </c>
      <c r="B21" s="28" t="s">
        <v>322</v>
      </c>
      <c r="C21" s="80" t="s">
        <v>341</v>
      </c>
      <c r="D21" s="80" t="s">
        <v>341</v>
      </c>
      <c r="E21" s="28"/>
      <c r="F21" s="28"/>
      <c r="G21" s="80" t="s">
        <v>341</v>
      </c>
      <c r="H21" s="80" t="s">
        <v>341</v>
      </c>
      <c r="I21" s="80" t="s">
        <v>341</v>
      </c>
      <c r="J21" s="29"/>
      <c r="K21" s="80" t="s">
        <v>341</v>
      </c>
      <c r="L21" s="80" t="s">
        <v>341</v>
      </c>
      <c r="M21" s="80" t="s">
        <v>341</v>
      </c>
      <c r="N21" s="29"/>
      <c r="O21" s="29"/>
      <c r="P21" s="28" t="s">
        <v>322</v>
      </c>
      <c r="Q21" s="28" t="s">
        <v>322</v>
      </c>
      <c r="R21" s="29"/>
      <c r="S21" s="29"/>
      <c r="T21" s="29"/>
      <c r="U21" s="29"/>
      <c r="V21" s="29"/>
      <c r="W21" s="29"/>
      <c r="X21" s="29"/>
      <c r="Y21" s="29"/>
      <c r="Z21" s="29"/>
      <c r="AA21" s="80" t="s">
        <v>341</v>
      </c>
      <c r="AB21" s="29"/>
      <c r="AC21" s="80" t="s">
        <v>341</v>
      </c>
      <c r="AD21" s="29"/>
      <c r="AE21" s="29"/>
      <c r="AF21" s="29"/>
      <c r="AG21" s="29"/>
      <c r="AH21" s="28" t="s">
        <v>614</v>
      </c>
    </row>
    <row r="22" spans="1:34" x14ac:dyDescent="0.25">
      <c r="A22" s="131" t="s">
        <v>168</v>
      </c>
      <c r="B22" s="157">
        <v>98</v>
      </c>
      <c r="C22" s="198"/>
      <c r="D22" s="198"/>
      <c r="E22" s="157"/>
      <c r="F22" s="157"/>
      <c r="G22" s="198"/>
      <c r="H22" s="198"/>
      <c r="I22" s="198"/>
      <c r="J22" s="157"/>
      <c r="K22" s="198"/>
      <c r="L22" s="198"/>
      <c r="M22" s="198"/>
      <c r="N22" s="157"/>
      <c r="O22" s="157"/>
      <c r="P22" s="157">
        <v>98</v>
      </c>
      <c r="Q22" s="157">
        <v>98</v>
      </c>
      <c r="R22" s="157"/>
      <c r="S22" s="157"/>
      <c r="T22" s="157"/>
      <c r="U22" s="157"/>
      <c r="V22" s="157"/>
      <c r="W22" s="157"/>
      <c r="X22" s="157"/>
      <c r="Y22" s="157"/>
      <c r="Z22" s="157"/>
      <c r="AA22" s="198"/>
      <c r="AB22" s="157"/>
      <c r="AC22" s="198"/>
      <c r="AD22" s="157"/>
      <c r="AE22" s="157"/>
      <c r="AF22" s="157"/>
      <c r="AG22" s="157"/>
      <c r="AH22" s="157">
        <v>151</v>
      </c>
    </row>
    <row r="23" spans="1:34" x14ac:dyDescent="0.25">
      <c r="A23" s="26" t="s">
        <v>169</v>
      </c>
      <c r="B23" s="28" t="s">
        <v>170</v>
      </c>
      <c r="C23" s="80" t="s">
        <v>173</v>
      </c>
      <c r="D23" s="80" t="s">
        <v>173</v>
      </c>
      <c r="E23" s="28"/>
      <c r="F23" s="28"/>
      <c r="G23" s="80" t="s">
        <v>173</v>
      </c>
      <c r="H23" s="80" t="s">
        <v>173</v>
      </c>
      <c r="I23" s="80" t="s">
        <v>173</v>
      </c>
      <c r="J23" s="28"/>
      <c r="K23" s="80" t="s">
        <v>173</v>
      </c>
      <c r="L23" s="80" t="s">
        <v>173</v>
      </c>
      <c r="M23" s="80" t="s">
        <v>173</v>
      </c>
      <c r="N23" s="28"/>
      <c r="O23" s="28"/>
      <c r="P23" s="28" t="s">
        <v>170</v>
      </c>
      <c r="Q23" s="28" t="s">
        <v>170</v>
      </c>
      <c r="R23" s="28"/>
      <c r="S23" s="28"/>
      <c r="T23" s="28"/>
      <c r="U23" s="28"/>
      <c r="V23" s="28"/>
      <c r="W23" s="28"/>
      <c r="X23" s="28"/>
      <c r="Y23" s="28"/>
      <c r="Z23" s="28"/>
      <c r="AA23" s="80" t="s">
        <v>173</v>
      </c>
      <c r="AB23" s="28"/>
      <c r="AC23" s="80" t="s">
        <v>173</v>
      </c>
      <c r="AD23" s="28"/>
      <c r="AE23" s="29"/>
      <c r="AF23" s="28"/>
      <c r="AG23" s="28"/>
      <c r="AH23" s="28" t="s">
        <v>266</v>
      </c>
    </row>
    <row r="24" spans="1:34" x14ac:dyDescent="0.25">
      <c r="A24" s="26" t="s">
        <v>171</v>
      </c>
      <c r="B24" s="28" t="s">
        <v>170</v>
      </c>
      <c r="C24" s="80" t="s">
        <v>173</v>
      </c>
      <c r="D24" s="80" t="s">
        <v>173</v>
      </c>
      <c r="E24" s="28"/>
      <c r="F24" s="28"/>
      <c r="G24" s="80" t="s">
        <v>173</v>
      </c>
      <c r="H24" s="80" t="s">
        <v>173</v>
      </c>
      <c r="I24" s="80" t="s">
        <v>173</v>
      </c>
      <c r="J24" s="28"/>
      <c r="K24" s="80" t="s">
        <v>173</v>
      </c>
      <c r="L24" s="80" t="s">
        <v>173</v>
      </c>
      <c r="M24" s="80" t="s">
        <v>173</v>
      </c>
      <c r="N24" s="28"/>
      <c r="O24" s="28"/>
      <c r="P24" s="28" t="s">
        <v>170</v>
      </c>
      <c r="Q24" s="28" t="s">
        <v>170</v>
      </c>
      <c r="R24" s="28"/>
      <c r="S24" s="28"/>
      <c r="T24" s="28"/>
      <c r="U24" s="28"/>
      <c r="V24" s="28"/>
      <c r="W24" s="28"/>
      <c r="X24" s="28"/>
      <c r="Y24" s="28"/>
      <c r="Z24" s="28"/>
      <c r="AA24" s="80" t="s">
        <v>173</v>
      </c>
      <c r="AB24" s="28"/>
      <c r="AC24" s="80" t="s">
        <v>173</v>
      </c>
      <c r="AD24" s="28"/>
      <c r="AE24" s="28"/>
      <c r="AF24" s="28"/>
      <c r="AG24" s="28"/>
      <c r="AH24" s="28" t="s">
        <v>266</v>
      </c>
    </row>
    <row r="25" spans="1:34" x14ac:dyDescent="0.25">
      <c r="A25" s="26" t="s">
        <v>172</v>
      </c>
      <c r="B25" s="28" t="s">
        <v>173</v>
      </c>
      <c r="C25" s="80" t="s">
        <v>173</v>
      </c>
      <c r="D25" s="80" t="s">
        <v>173</v>
      </c>
      <c r="E25" s="28"/>
      <c r="F25" s="28"/>
      <c r="G25" s="80" t="s">
        <v>173</v>
      </c>
      <c r="H25" s="80" t="s">
        <v>173</v>
      </c>
      <c r="I25" s="80" t="s">
        <v>173</v>
      </c>
      <c r="J25" s="28"/>
      <c r="K25" s="80" t="s">
        <v>173</v>
      </c>
      <c r="L25" s="80" t="s">
        <v>173</v>
      </c>
      <c r="M25" s="80" t="s">
        <v>173</v>
      </c>
      <c r="N25" s="28"/>
      <c r="O25" s="28"/>
      <c r="P25" s="28" t="s">
        <v>173</v>
      </c>
      <c r="Q25" s="28" t="s">
        <v>173</v>
      </c>
      <c r="R25" s="28"/>
      <c r="S25" s="28"/>
      <c r="T25" s="28"/>
      <c r="U25" s="28"/>
      <c r="V25" s="28"/>
      <c r="W25" s="28"/>
      <c r="X25" s="28"/>
      <c r="Y25" s="28"/>
      <c r="Z25" s="28"/>
      <c r="AA25" s="80" t="s">
        <v>173</v>
      </c>
      <c r="AB25" s="28"/>
      <c r="AC25" s="80" t="s">
        <v>173</v>
      </c>
      <c r="AD25" s="28"/>
      <c r="AE25" s="28"/>
      <c r="AF25" s="28"/>
      <c r="AG25" s="28"/>
      <c r="AH25" s="28" t="s">
        <v>173</v>
      </c>
    </row>
    <row r="26" spans="1:34" x14ac:dyDescent="0.25">
      <c r="A26" s="26" t="s">
        <v>174</v>
      </c>
      <c r="B26" s="28" t="s">
        <v>173</v>
      </c>
      <c r="C26" s="80" t="s">
        <v>173</v>
      </c>
      <c r="D26" s="80" t="s">
        <v>173</v>
      </c>
      <c r="E26" s="28"/>
      <c r="F26" s="28"/>
      <c r="G26" s="80" t="s">
        <v>173</v>
      </c>
      <c r="H26" s="80" t="s">
        <v>173</v>
      </c>
      <c r="I26" s="80" t="s">
        <v>173</v>
      </c>
      <c r="J26" s="28"/>
      <c r="K26" s="80" t="s">
        <v>173</v>
      </c>
      <c r="L26" s="80" t="s">
        <v>173</v>
      </c>
      <c r="M26" s="80" t="s">
        <v>173</v>
      </c>
      <c r="N26" s="28"/>
      <c r="O26" s="28"/>
      <c r="P26" s="28" t="s">
        <v>173</v>
      </c>
      <c r="Q26" s="28" t="s">
        <v>173</v>
      </c>
      <c r="R26" s="28"/>
      <c r="S26" s="28"/>
      <c r="T26" s="28"/>
      <c r="U26" s="28"/>
      <c r="V26" s="28"/>
      <c r="W26" s="28"/>
      <c r="X26" s="28"/>
      <c r="Y26" s="28"/>
      <c r="Z26" s="28"/>
      <c r="AA26" s="80" t="s">
        <v>173</v>
      </c>
      <c r="AB26" s="28"/>
      <c r="AC26" s="80" t="s">
        <v>173</v>
      </c>
      <c r="AD26" s="28"/>
      <c r="AE26" s="28"/>
      <c r="AF26" s="28"/>
      <c r="AG26" s="28"/>
      <c r="AH26" s="28" t="s">
        <v>173</v>
      </c>
    </row>
    <row r="27" spans="1:34" x14ac:dyDescent="0.25">
      <c r="A27" s="26" t="s">
        <v>175</v>
      </c>
      <c r="B27" s="28" t="s">
        <v>199</v>
      </c>
      <c r="C27" s="80" t="s">
        <v>199</v>
      </c>
      <c r="D27" s="80" t="s">
        <v>199</v>
      </c>
      <c r="E27" s="28"/>
      <c r="F27" s="28"/>
      <c r="G27" s="80" t="s">
        <v>199</v>
      </c>
      <c r="H27" s="80" t="s">
        <v>199</v>
      </c>
      <c r="I27" s="80" t="s">
        <v>199</v>
      </c>
      <c r="J27" s="28"/>
      <c r="K27" s="80" t="s">
        <v>199</v>
      </c>
      <c r="L27" s="80" t="s">
        <v>199</v>
      </c>
      <c r="M27" s="80" t="s">
        <v>199</v>
      </c>
      <c r="N27" s="28"/>
      <c r="O27" s="28"/>
      <c r="P27" s="28" t="s">
        <v>199</v>
      </c>
      <c r="Q27" s="28" t="s">
        <v>199</v>
      </c>
      <c r="R27" s="28"/>
      <c r="S27" s="28"/>
      <c r="T27" s="28"/>
      <c r="U27" s="28"/>
      <c r="V27" s="28"/>
      <c r="W27" s="28"/>
      <c r="X27" s="28"/>
      <c r="Y27" s="28"/>
      <c r="Z27" s="28"/>
      <c r="AA27" s="80" t="s">
        <v>199</v>
      </c>
      <c r="AB27" s="28"/>
      <c r="AC27" s="80" t="s">
        <v>199</v>
      </c>
      <c r="AD27" s="28"/>
      <c r="AE27" s="28"/>
      <c r="AF27" s="28"/>
      <c r="AG27" s="28"/>
      <c r="AH27" s="28" t="s">
        <v>199</v>
      </c>
    </row>
    <row r="28" spans="1:34" x14ac:dyDescent="0.25">
      <c r="A28" s="26" t="s">
        <v>176</v>
      </c>
      <c r="B28" s="30">
        <v>-2</v>
      </c>
      <c r="C28" s="82">
        <v>-2</v>
      </c>
      <c r="D28" s="82">
        <v>-2</v>
      </c>
      <c r="E28" s="30"/>
      <c r="F28" s="30"/>
      <c r="G28" s="82">
        <v>-2</v>
      </c>
      <c r="H28" s="82">
        <v>-2</v>
      </c>
      <c r="I28" s="82">
        <v>-2</v>
      </c>
      <c r="J28" s="30"/>
      <c r="K28" s="82">
        <v>-2</v>
      </c>
      <c r="L28" s="82">
        <v>-2</v>
      </c>
      <c r="M28" s="82">
        <v>-2</v>
      </c>
      <c r="N28" s="30"/>
      <c r="O28" s="30"/>
      <c r="P28" s="30">
        <v>-2</v>
      </c>
      <c r="Q28" s="30">
        <v>-2</v>
      </c>
      <c r="R28" s="30"/>
      <c r="S28" s="30"/>
      <c r="T28" s="30"/>
      <c r="U28" s="30"/>
      <c r="V28" s="30"/>
      <c r="W28" s="30"/>
      <c r="X28" s="30"/>
      <c r="Y28" s="30"/>
      <c r="Z28" s="30"/>
      <c r="AA28" s="82">
        <v>-2</v>
      </c>
      <c r="AB28" s="30"/>
      <c r="AC28" s="82">
        <v>-2</v>
      </c>
      <c r="AD28" s="30"/>
      <c r="AE28" s="30"/>
      <c r="AF28" s="30"/>
      <c r="AG28" s="30"/>
      <c r="AH28" s="102">
        <v>-2</v>
      </c>
    </row>
    <row r="29" spans="1:34" x14ac:dyDescent="0.25">
      <c r="A29" s="26" t="s">
        <v>177</v>
      </c>
      <c r="B29" s="28" t="s">
        <v>334</v>
      </c>
      <c r="C29" s="80" t="s">
        <v>341</v>
      </c>
      <c r="D29" s="80" t="s">
        <v>341</v>
      </c>
      <c r="E29" s="28"/>
      <c r="F29" s="28"/>
      <c r="G29" s="80" t="s">
        <v>341</v>
      </c>
      <c r="H29" s="80" t="s">
        <v>341</v>
      </c>
      <c r="I29" s="80" t="s">
        <v>341</v>
      </c>
      <c r="J29" s="28"/>
      <c r="K29" s="80" t="s">
        <v>341</v>
      </c>
      <c r="L29" s="80" t="s">
        <v>341</v>
      </c>
      <c r="M29" s="80" t="s">
        <v>341</v>
      </c>
      <c r="N29" s="28"/>
      <c r="O29" s="28"/>
      <c r="P29" s="28" t="s">
        <v>334</v>
      </c>
      <c r="Q29" s="28" t="s">
        <v>334</v>
      </c>
      <c r="R29" s="28"/>
      <c r="S29" s="28"/>
      <c r="T29" s="28"/>
      <c r="U29" s="28"/>
      <c r="V29" s="28"/>
      <c r="W29" s="28"/>
      <c r="X29" s="28"/>
      <c r="Y29" s="28"/>
      <c r="Z29" s="28"/>
      <c r="AA29" s="80" t="s">
        <v>341</v>
      </c>
      <c r="AB29" s="28"/>
      <c r="AC29" s="80" t="s">
        <v>341</v>
      </c>
      <c r="AD29" s="28"/>
      <c r="AE29" s="28"/>
      <c r="AF29" s="28"/>
      <c r="AG29" s="86"/>
      <c r="AH29" s="28" t="s">
        <v>537</v>
      </c>
    </row>
    <row r="30" spans="1:34" x14ac:dyDescent="0.25">
      <c r="A30" s="26" t="s">
        <v>182</v>
      </c>
      <c r="B30" s="30">
        <f>1/3</f>
        <v>0.33333333333333331</v>
      </c>
      <c r="C30" s="82">
        <v>0</v>
      </c>
      <c r="D30" s="82">
        <v>0</v>
      </c>
      <c r="E30" s="30"/>
      <c r="F30" s="30"/>
      <c r="G30" s="82">
        <v>0</v>
      </c>
      <c r="H30" s="82">
        <v>0</v>
      </c>
      <c r="I30" s="82">
        <v>0</v>
      </c>
      <c r="J30" s="30"/>
      <c r="K30" s="82">
        <v>0</v>
      </c>
      <c r="L30" s="82">
        <v>0</v>
      </c>
      <c r="M30" s="82">
        <v>0</v>
      </c>
      <c r="N30" s="30"/>
      <c r="O30" s="30"/>
      <c r="P30" s="30">
        <f>1/3</f>
        <v>0.33333333333333331</v>
      </c>
      <c r="Q30" s="30">
        <f>1/3</f>
        <v>0.33333333333333331</v>
      </c>
      <c r="R30" s="30"/>
      <c r="S30" s="30"/>
      <c r="T30" s="30"/>
      <c r="U30" s="30"/>
      <c r="V30" s="30"/>
      <c r="W30" s="30"/>
      <c r="X30" s="30"/>
      <c r="Y30" s="30"/>
      <c r="Z30" s="30"/>
      <c r="AA30" s="82">
        <v>0</v>
      </c>
      <c r="AB30" s="30"/>
      <c r="AC30" s="82">
        <v>0</v>
      </c>
      <c r="AD30" s="30"/>
      <c r="AE30" s="30"/>
      <c r="AF30" s="30"/>
      <c r="AG30" s="30"/>
      <c r="AH30" s="120">
        <f>AVERAGE(1/3,0)</f>
        <v>0.16666666666666666</v>
      </c>
    </row>
    <row r="32" spans="1:34" x14ac:dyDescent="0.25">
      <c r="A32" s="31" t="s">
        <v>183</v>
      </c>
    </row>
    <row r="33" spans="1:2" x14ac:dyDescent="0.25">
      <c r="A33" s="26" t="s">
        <v>1437</v>
      </c>
      <c r="B33" s="56"/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9500E-EE5D-4C13-B408-B37285C0DF46}">
  <dimension ref="A1:AH33"/>
  <sheetViews>
    <sheetView workbookViewId="0">
      <selection activeCell="AH20" sqref="AH20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895</v>
      </c>
      <c r="I1" s="25" t="s">
        <v>1120</v>
      </c>
    </row>
    <row r="3" spans="1:34" ht="18" x14ac:dyDescent="0.25">
      <c r="A3" s="25" t="s">
        <v>119</v>
      </c>
      <c r="B3" s="215">
        <v>89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1430</v>
      </c>
      <c r="C4" s="215"/>
      <c r="D4" s="215"/>
      <c r="F4" s="216" t="s">
        <v>1438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1439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28" t="s">
        <v>462</v>
      </c>
      <c r="C8" s="28" t="s">
        <v>1432</v>
      </c>
      <c r="D8" s="28" t="s">
        <v>1432</v>
      </c>
      <c r="E8" s="28"/>
      <c r="F8" s="28"/>
      <c r="G8" s="29" t="s">
        <v>322</v>
      </c>
      <c r="H8" s="29" t="s">
        <v>322</v>
      </c>
      <c r="I8" s="29" t="s">
        <v>322</v>
      </c>
      <c r="J8" s="28"/>
      <c r="K8" s="28" t="s">
        <v>476</v>
      </c>
      <c r="L8" s="28" t="s">
        <v>476</v>
      </c>
      <c r="M8" s="28" t="s">
        <v>476</v>
      </c>
      <c r="N8" s="28"/>
      <c r="O8" s="28"/>
      <c r="P8" s="80" t="s">
        <v>341</v>
      </c>
      <c r="Q8" s="80" t="s">
        <v>341</v>
      </c>
      <c r="R8" s="28"/>
      <c r="S8" s="28"/>
      <c r="T8" s="28"/>
      <c r="U8" s="28"/>
      <c r="V8" s="28"/>
      <c r="W8" s="28"/>
      <c r="X8" s="28"/>
      <c r="Y8" s="28"/>
      <c r="Z8" s="28"/>
      <c r="AA8" s="28" t="s">
        <v>1433</v>
      </c>
      <c r="AB8" s="28"/>
      <c r="AC8" s="28" t="s">
        <v>1433</v>
      </c>
      <c r="AD8" s="28"/>
      <c r="AE8" s="28"/>
      <c r="AF8" s="28"/>
      <c r="AG8" s="28" t="s">
        <v>611</v>
      </c>
      <c r="AH8" s="80" t="s">
        <v>341</v>
      </c>
    </row>
    <row r="9" spans="1:34" x14ac:dyDescent="0.25">
      <c r="A9" s="26" t="s">
        <v>165</v>
      </c>
      <c r="B9" s="28" t="s">
        <v>484</v>
      </c>
      <c r="C9" s="111" t="s">
        <v>1434</v>
      </c>
      <c r="D9" s="111" t="s">
        <v>1434</v>
      </c>
      <c r="E9" s="28"/>
      <c r="F9" s="28"/>
      <c r="G9" s="29" t="s">
        <v>316</v>
      </c>
      <c r="H9" s="28" t="s">
        <v>395</v>
      </c>
      <c r="I9" s="28" t="s">
        <v>395</v>
      </c>
      <c r="J9" s="29"/>
      <c r="K9" s="111" t="s">
        <v>1434</v>
      </c>
      <c r="L9" s="111" t="s">
        <v>1434</v>
      </c>
      <c r="M9" s="28" t="s">
        <v>322</v>
      </c>
      <c r="N9" s="29"/>
      <c r="O9" s="29"/>
      <c r="P9" s="80" t="s">
        <v>341</v>
      </c>
      <c r="Q9" s="80" t="s">
        <v>341</v>
      </c>
      <c r="R9" s="29"/>
      <c r="S9" s="29"/>
      <c r="T9" s="29"/>
      <c r="U9" s="29"/>
      <c r="V9" s="29"/>
      <c r="W9" s="29"/>
      <c r="X9" s="29"/>
      <c r="Y9" s="29"/>
      <c r="Z9" s="29"/>
      <c r="AA9" s="114" t="s">
        <v>1435</v>
      </c>
      <c r="AB9" s="29"/>
      <c r="AC9" s="114" t="s">
        <v>1435</v>
      </c>
      <c r="AD9" s="29"/>
      <c r="AE9" s="29"/>
      <c r="AF9" s="29"/>
      <c r="AG9" s="29"/>
      <c r="AH9" s="80" t="s">
        <v>341</v>
      </c>
    </row>
    <row r="10" spans="1:34" x14ac:dyDescent="0.25">
      <c r="A10" s="131" t="s">
        <v>168</v>
      </c>
      <c r="B10" s="157">
        <v>139</v>
      </c>
      <c r="C10" s="157">
        <v>86</v>
      </c>
      <c r="D10" s="157">
        <v>86</v>
      </c>
      <c r="E10" s="157"/>
      <c r="F10" s="157"/>
      <c r="G10" s="157">
        <v>63</v>
      </c>
      <c r="H10" s="157">
        <v>68</v>
      </c>
      <c r="I10" s="157">
        <v>68</v>
      </c>
      <c r="J10" s="157"/>
      <c r="K10" s="157">
        <v>86</v>
      </c>
      <c r="L10" s="157">
        <v>86</v>
      </c>
      <c r="M10" s="157">
        <v>98</v>
      </c>
      <c r="N10" s="157"/>
      <c r="O10" s="157"/>
      <c r="P10" s="198"/>
      <c r="Q10" s="198"/>
      <c r="R10" s="157"/>
      <c r="S10" s="157"/>
      <c r="T10" s="157"/>
      <c r="U10" s="157"/>
      <c r="V10" s="157"/>
      <c r="W10" s="157"/>
      <c r="X10" s="157"/>
      <c r="Y10" s="157"/>
      <c r="Z10" s="157"/>
      <c r="AA10" s="157">
        <v>244</v>
      </c>
      <c r="AB10" s="157"/>
      <c r="AC10" s="157">
        <v>244</v>
      </c>
      <c r="AD10" s="157"/>
      <c r="AE10" s="157"/>
      <c r="AF10" s="157"/>
      <c r="AG10" s="157"/>
      <c r="AH10" s="198"/>
    </row>
    <row r="11" spans="1:34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/>
      <c r="F11" s="28"/>
      <c r="G11" s="29" t="s">
        <v>170</v>
      </c>
      <c r="H11" s="29" t="s">
        <v>170</v>
      </c>
      <c r="I11" s="29" t="s">
        <v>170</v>
      </c>
      <c r="J11" s="28"/>
      <c r="K11" s="28" t="s">
        <v>170</v>
      </c>
      <c r="L11" s="28" t="s">
        <v>170</v>
      </c>
      <c r="M11" s="28" t="s">
        <v>170</v>
      </c>
      <c r="N11" s="28"/>
      <c r="O11" s="28"/>
      <c r="P11" s="80" t="s">
        <v>173</v>
      </c>
      <c r="Q11" s="80" t="s">
        <v>173</v>
      </c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170</v>
      </c>
      <c r="AB11" s="28"/>
      <c r="AC11" s="28" t="s">
        <v>170</v>
      </c>
      <c r="AD11" s="28"/>
      <c r="AE11" s="29"/>
      <c r="AF11" s="28"/>
      <c r="AG11" s="28"/>
      <c r="AH11" s="80" t="s">
        <v>173</v>
      </c>
    </row>
    <row r="12" spans="1:34" x14ac:dyDescent="0.25">
      <c r="A12" s="26" t="s">
        <v>171</v>
      </c>
      <c r="B12" s="28" t="s">
        <v>170</v>
      </c>
      <c r="C12" s="28" t="s">
        <v>170</v>
      </c>
      <c r="D12" s="28" t="s">
        <v>170</v>
      </c>
      <c r="E12" s="28"/>
      <c r="F12" s="28"/>
      <c r="G12" s="28" t="s">
        <v>173</v>
      </c>
      <c r="H12" s="29" t="s">
        <v>170</v>
      </c>
      <c r="I12" s="29" t="s">
        <v>170</v>
      </c>
      <c r="J12" s="28"/>
      <c r="K12" s="28" t="s">
        <v>170</v>
      </c>
      <c r="L12" s="28" t="s">
        <v>170</v>
      </c>
      <c r="M12" s="28" t="s">
        <v>170</v>
      </c>
      <c r="N12" s="28"/>
      <c r="O12" s="28"/>
      <c r="P12" s="80" t="s">
        <v>173</v>
      </c>
      <c r="Q12" s="80" t="s">
        <v>173</v>
      </c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170</v>
      </c>
      <c r="AB12" s="28"/>
      <c r="AC12" s="28" t="s">
        <v>170</v>
      </c>
      <c r="AD12" s="28"/>
      <c r="AE12" s="28"/>
      <c r="AF12" s="28"/>
      <c r="AG12" s="28"/>
      <c r="AH12" s="80" t="s">
        <v>173</v>
      </c>
    </row>
    <row r="13" spans="1:34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9"/>
      <c r="F13" s="29"/>
      <c r="G13" s="28" t="s">
        <v>173</v>
      </c>
      <c r="H13" s="28" t="s">
        <v>173</v>
      </c>
      <c r="I13" s="28" t="s">
        <v>173</v>
      </c>
      <c r="J13" s="28"/>
      <c r="K13" s="28" t="s">
        <v>173</v>
      </c>
      <c r="L13" s="28" t="s">
        <v>173</v>
      </c>
      <c r="M13" s="28" t="s">
        <v>173</v>
      </c>
      <c r="N13" s="28"/>
      <c r="O13" s="28"/>
      <c r="P13" s="80" t="s">
        <v>173</v>
      </c>
      <c r="Q13" s="80" t="s">
        <v>173</v>
      </c>
      <c r="R13" s="28"/>
      <c r="S13" s="28"/>
      <c r="T13" s="28"/>
      <c r="U13" s="28"/>
      <c r="V13" s="28"/>
      <c r="W13" s="28"/>
      <c r="X13" s="28"/>
      <c r="Y13" s="28"/>
      <c r="Z13" s="28"/>
      <c r="AA13" s="29" t="s">
        <v>173</v>
      </c>
      <c r="AB13" s="28"/>
      <c r="AC13" s="29" t="s">
        <v>173</v>
      </c>
      <c r="AD13" s="28"/>
      <c r="AE13" s="28"/>
      <c r="AF13" s="28"/>
      <c r="AG13" s="28"/>
      <c r="AH13" s="80" t="s">
        <v>173</v>
      </c>
    </row>
    <row r="14" spans="1:34" x14ac:dyDescent="0.25">
      <c r="A14" s="26" t="s">
        <v>174</v>
      </c>
      <c r="B14" s="28" t="s">
        <v>170</v>
      </c>
      <c r="C14" s="28" t="s">
        <v>170</v>
      </c>
      <c r="D14" s="28" t="s">
        <v>170</v>
      </c>
      <c r="E14" s="28"/>
      <c r="F14" s="28"/>
      <c r="G14" s="28" t="s">
        <v>173</v>
      </c>
      <c r="H14" s="28" t="s">
        <v>173</v>
      </c>
      <c r="I14" s="28" t="s">
        <v>173</v>
      </c>
      <c r="J14" s="28"/>
      <c r="K14" s="28" t="s">
        <v>170</v>
      </c>
      <c r="L14" s="28" t="s">
        <v>170</v>
      </c>
      <c r="M14" s="28" t="s">
        <v>173</v>
      </c>
      <c r="N14" s="28"/>
      <c r="O14" s="28"/>
      <c r="P14" s="80" t="s">
        <v>173</v>
      </c>
      <c r="Q14" s="80" t="s">
        <v>173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170</v>
      </c>
      <c r="AB14" s="28"/>
      <c r="AC14" s="28" t="s">
        <v>170</v>
      </c>
      <c r="AD14" s="28"/>
      <c r="AE14" s="28"/>
      <c r="AF14" s="28"/>
      <c r="AG14" s="28"/>
      <c r="AH14" s="80" t="s">
        <v>173</v>
      </c>
    </row>
    <row r="15" spans="1:34" x14ac:dyDescent="0.25">
      <c r="A15" s="26" t="s">
        <v>175</v>
      </c>
      <c r="B15" s="28" t="s">
        <v>199</v>
      </c>
      <c r="C15" s="28" t="s">
        <v>199</v>
      </c>
      <c r="D15" s="28" t="s">
        <v>199</v>
      </c>
      <c r="E15" s="28"/>
      <c r="F15" s="28"/>
      <c r="G15" s="28" t="s">
        <v>267</v>
      </c>
      <c r="H15" s="28" t="s">
        <v>397</v>
      </c>
      <c r="I15" s="28" t="s">
        <v>397</v>
      </c>
      <c r="J15" s="28"/>
      <c r="K15" s="28" t="s">
        <v>199</v>
      </c>
      <c r="L15" s="28" t="s">
        <v>199</v>
      </c>
      <c r="M15" s="28" t="s">
        <v>199</v>
      </c>
      <c r="N15" s="28"/>
      <c r="O15" s="28"/>
      <c r="P15" s="80" t="s">
        <v>199</v>
      </c>
      <c r="Q15" s="80" t="s">
        <v>199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199</v>
      </c>
      <c r="AB15" s="28"/>
      <c r="AC15" s="28" t="s">
        <v>199</v>
      </c>
      <c r="AD15" s="28"/>
      <c r="AE15" s="28"/>
      <c r="AF15" s="28"/>
      <c r="AG15" s="28"/>
      <c r="AH15" s="80" t="s">
        <v>199</v>
      </c>
    </row>
    <row r="16" spans="1:34" x14ac:dyDescent="0.25">
      <c r="A16" s="26" t="s">
        <v>176</v>
      </c>
      <c r="B16" s="30">
        <f>-1/6</f>
        <v>-0.16666666666666666</v>
      </c>
      <c r="C16" s="30">
        <v>0</v>
      </c>
      <c r="D16" s="30">
        <v>0</v>
      </c>
      <c r="E16" s="30"/>
      <c r="F16" s="30"/>
      <c r="G16" s="30">
        <v>-3</v>
      </c>
      <c r="H16" s="30">
        <v>-6</v>
      </c>
      <c r="I16" s="30">
        <v>-6</v>
      </c>
      <c r="J16" s="30"/>
      <c r="K16" s="30">
        <v>0</v>
      </c>
      <c r="L16" s="30">
        <v>0</v>
      </c>
      <c r="M16" s="30">
        <v>-2</v>
      </c>
      <c r="N16" s="30"/>
      <c r="O16" s="30"/>
      <c r="P16" s="82">
        <v>-2</v>
      </c>
      <c r="Q16" s="82">
        <v>-2</v>
      </c>
      <c r="R16" s="30"/>
      <c r="S16" s="30"/>
      <c r="T16" s="30"/>
      <c r="U16" s="30"/>
      <c r="V16" s="30"/>
      <c r="W16" s="30"/>
      <c r="X16" s="30"/>
      <c r="Y16" s="30"/>
      <c r="Z16" s="30"/>
      <c r="AA16" s="30">
        <v>0</v>
      </c>
      <c r="AB16" s="30"/>
      <c r="AC16" s="30">
        <v>0</v>
      </c>
      <c r="AD16" s="30"/>
      <c r="AE16" s="30"/>
      <c r="AF16" s="30"/>
      <c r="AG16" s="30"/>
      <c r="AH16" s="82">
        <v>-2</v>
      </c>
    </row>
    <row r="17" spans="1:34" x14ac:dyDescent="0.25">
      <c r="A17" s="26" t="s">
        <v>177</v>
      </c>
      <c r="B17" s="28" t="s">
        <v>489</v>
      </c>
      <c r="C17" s="28" t="s">
        <v>489</v>
      </c>
      <c r="D17" s="28" t="s">
        <v>489</v>
      </c>
      <c r="E17" s="28"/>
      <c r="F17" s="28"/>
      <c r="G17" s="28" t="s">
        <v>181</v>
      </c>
      <c r="H17" s="28" t="s">
        <v>181</v>
      </c>
      <c r="I17" s="28" t="s">
        <v>181</v>
      </c>
      <c r="J17" s="28"/>
      <c r="K17" s="28" t="s">
        <v>489</v>
      </c>
      <c r="L17" s="28" t="s">
        <v>489</v>
      </c>
      <c r="M17" s="28" t="s">
        <v>334</v>
      </c>
      <c r="N17" s="28"/>
      <c r="O17" s="28"/>
      <c r="P17" s="80" t="s">
        <v>341</v>
      </c>
      <c r="Q17" s="80" t="s">
        <v>341</v>
      </c>
      <c r="R17" s="28"/>
      <c r="S17" s="28"/>
      <c r="T17" s="28"/>
      <c r="U17" s="28"/>
      <c r="V17" s="28"/>
      <c r="W17" s="28"/>
      <c r="X17" s="28"/>
      <c r="Y17" s="28"/>
      <c r="Z17" s="28"/>
      <c r="AA17" s="119" t="s">
        <v>1436</v>
      </c>
      <c r="AB17" s="28"/>
      <c r="AC17" s="119" t="s">
        <v>1436</v>
      </c>
      <c r="AD17" s="28"/>
      <c r="AE17" s="28"/>
      <c r="AF17" s="28"/>
      <c r="AG17" s="28"/>
      <c r="AH17" s="80" t="s">
        <v>341</v>
      </c>
    </row>
    <row r="18" spans="1:34" x14ac:dyDescent="0.25">
      <c r="A18" s="26" t="s">
        <v>182</v>
      </c>
      <c r="B18" s="30">
        <v>0.75</v>
      </c>
      <c r="C18" s="30">
        <v>0.75</v>
      </c>
      <c r="D18" s="30">
        <v>0.75</v>
      </c>
      <c r="E18" s="30"/>
      <c r="F18" s="30"/>
      <c r="G18" s="30">
        <v>2</v>
      </c>
      <c r="H18" s="30">
        <v>2</v>
      </c>
      <c r="I18" s="30">
        <v>2</v>
      </c>
      <c r="J18" s="30"/>
      <c r="K18" s="30">
        <v>0.75</v>
      </c>
      <c r="L18" s="30">
        <v>0.75</v>
      </c>
      <c r="M18" s="30">
        <f>1/3</f>
        <v>0.33333333333333331</v>
      </c>
      <c r="N18" s="30"/>
      <c r="O18" s="30"/>
      <c r="P18" s="82">
        <v>0</v>
      </c>
      <c r="Q18" s="82">
        <v>0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f>0.75*5/4</f>
        <v>0.9375</v>
      </c>
      <c r="AB18" s="30"/>
      <c r="AC18" s="30">
        <f>0.75*5/4</f>
        <v>0.9375</v>
      </c>
      <c r="AD18" s="30"/>
      <c r="AE18" s="30"/>
      <c r="AF18" s="30"/>
      <c r="AG18" s="30"/>
      <c r="AH18" s="82">
        <v>0</v>
      </c>
    </row>
    <row r="20" spans="1:34" x14ac:dyDescent="0.25">
      <c r="A20" s="26" t="s">
        <v>159</v>
      </c>
      <c r="B20" s="28" t="s">
        <v>1126</v>
      </c>
      <c r="C20" s="80" t="s">
        <v>341</v>
      </c>
      <c r="D20" s="80" t="s">
        <v>341</v>
      </c>
      <c r="E20" s="28"/>
      <c r="F20" s="28"/>
      <c r="G20" s="80" t="s">
        <v>341</v>
      </c>
      <c r="H20" s="80" t="s">
        <v>341</v>
      </c>
      <c r="I20" s="80" t="s">
        <v>341</v>
      </c>
      <c r="J20" s="28"/>
      <c r="K20" s="80" t="s">
        <v>341</v>
      </c>
      <c r="L20" s="80" t="s">
        <v>341</v>
      </c>
      <c r="M20" s="80" t="s">
        <v>341</v>
      </c>
      <c r="N20" s="28"/>
      <c r="O20" s="28"/>
      <c r="P20" s="28" t="s">
        <v>476</v>
      </c>
      <c r="Q20" s="28" t="s">
        <v>476</v>
      </c>
      <c r="R20" s="28"/>
      <c r="S20" s="28"/>
      <c r="T20" s="28"/>
      <c r="U20" s="28"/>
      <c r="V20" s="28"/>
      <c r="W20" s="28"/>
      <c r="X20" s="28"/>
      <c r="Y20" s="28"/>
      <c r="Z20" s="28"/>
      <c r="AA20" s="80" t="s">
        <v>341</v>
      </c>
      <c r="AB20" s="28"/>
      <c r="AC20" s="80" t="s">
        <v>341</v>
      </c>
      <c r="AD20" s="28"/>
      <c r="AE20" s="28"/>
      <c r="AF20" s="28"/>
      <c r="AG20" s="28"/>
      <c r="AH20" s="28" t="s">
        <v>556</v>
      </c>
    </row>
    <row r="21" spans="1:34" x14ac:dyDescent="0.25">
      <c r="A21" s="26" t="s">
        <v>165</v>
      </c>
      <c r="B21" s="28" t="s">
        <v>322</v>
      </c>
      <c r="C21" s="80" t="s">
        <v>341</v>
      </c>
      <c r="D21" s="80" t="s">
        <v>341</v>
      </c>
      <c r="E21" s="28"/>
      <c r="F21" s="28"/>
      <c r="G21" s="80" t="s">
        <v>341</v>
      </c>
      <c r="H21" s="80" t="s">
        <v>341</v>
      </c>
      <c r="I21" s="80" t="s">
        <v>341</v>
      </c>
      <c r="J21" s="29"/>
      <c r="K21" s="80" t="s">
        <v>341</v>
      </c>
      <c r="L21" s="80" t="s">
        <v>341</v>
      </c>
      <c r="M21" s="80" t="s">
        <v>341</v>
      </c>
      <c r="N21" s="29"/>
      <c r="O21" s="29"/>
      <c r="P21" s="28" t="s">
        <v>322</v>
      </c>
      <c r="Q21" s="28" t="s">
        <v>322</v>
      </c>
      <c r="R21" s="29"/>
      <c r="S21" s="29"/>
      <c r="T21" s="29"/>
      <c r="U21" s="29"/>
      <c r="V21" s="29"/>
      <c r="W21" s="29"/>
      <c r="X21" s="29"/>
      <c r="Y21" s="29"/>
      <c r="Z21" s="29"/>
      <c r="AA21" s="80" t="s">
        <v>341</v>
      </c>
      <c r="AB21" s="29"/>
      <c r="AC21" s="80" t="s">
        <v>341</v>
      </c>
      <c r="AD21" s="29"/>
      <c r="AE21" s="29"/>
      <c r="AF21" s="29"/>
      <c r="AG21" s="29"/>
      <c r="AH21" s="28" t="s">
        <v>322</v>
      </c>
    </row>
    <row r="22" spans="1:34" x14ac:dyDescent="0.25">
      <c r="A22" s="131" t="s">
        <v>168</v>
      </c>
      <c r="B22" s="157">
        <v>98</v>
      </c>
      <c r="C22" s="198"/>
      <c r="D22" s="198"/>
      <c r="E22" s="157"/>
      <c r="F22" s="157"/>
      <c r="G22" s="198"/>
      <c r="H22" s="198"/>
      <c r="I22" s="198"/>
      <c r="J22" s="157"/>
      <c r="K22" s="198"/>
      <c r="L22" s="198"/>
      <c r="M22" s="198"/>
      <c r="N22" s="157"/>
      <c r="O22" s="157"/>
      <c r="P22" s="157">
        <v>98</v>
      </c>
      <c r="Q22" s="157">
        <v>98</v>
      </c>
      <c r="R22" s="157"/>
      <c r="S22" s="157"/>
      <c r="T22" s="157"/>
      <c r="U22" s="157"/>
      <c r="V22" s="157"/>
      <c r="W22" s="157"/>
      <c r="X22" s="157"/>
      <c r="Y22" s="157"/>
      <c r="Z22" s="157"/>
      <c r="AA22" s="198"/>
      <c r="AB22" s="157"/>
      <c r="AC22" s="198"/>
      <c r="AD22" s="157"/>
      <c r="AE22" s="157"/>
      <c r="AF22" s="157"/>
      <c r="AG22" s="157"/>
      <c r="AH22" s="157">
        <v>98</v>
      </c>
    </row>
    <row r="23" spans="1:34" x14ac:dyDescent="0.25">
      <c r="A23" s="26" t="s">
        <v>169</v>
      </c>
      <c r="B23" s="28" t="s">
        <v>170</v>
      </c>
      <c r="C23" s="80" t="s">
        <v>173</v>
      </c>
      <c r="D23" s="80" t="s">
        <v>173</v>
      </c>
      <c r="E23" s="28"/>
      <c r="F23" s="28"/>
      <c r="G23" s="80" t="s">
        <v>173</v>
      </c>
      <c r="H23" s="80" t="s">
        <v>173</v>
      </c>
      <c r="I23" s="80" t="s">
        <v>173</v>
      </c>
      <c r="J23" s="28"/>
      <c r="K23" s="80" t="s">
        <v>173</v>
      </c>
      <c r="L23" s="80" t="s">
        <v>173</v>
      </c>
      <c r="M23" s="80" t="s">
        <v>173</v>
      </c>
      <c r="N23" s="28"/>
      <c r="O23" s="28"/>
      <c r="P23" s="28" t="s">
        <v>170</v>
      </c>
      <c r="Q23" s="28" t="s">
        <v>170</v>
      </c>
      <c r="R23" s="28"/>
      <c r="S23" s="28"/>
      <c r="T23" s="28"/>
      <c r="U23" s="28"/>
      <c r="V23" s="28"/>
      <c r="W23" s="28"/>
      <c r="X23" s="28"/>
      <c r="Y23" s="28"/>
      <c r="Z23" s="28"/>
      <c r="AA23" s="80" t="s">
        <v>173</v>
      </c>
      <c r="AB23" s="28"/>
      <c r="AC23" s="80" t="s">
        <v>173</v>
      </c>
      <c r="AD23" s="28"/>
      <c r="AE23" s="29"/>
      <c r="AF23" s="28"/>
      <c r="AG23" s="28"/>
      <c r="AH23" s="28" t="s">
        <v>170</v>
      </c>
    </row>
    <row r="24" spans="1:34" x14ac:dyDescent="0.25">
      <c r="A24" s="26" t="s">
        <v>171</v>
      </c>
      <c r="B24" s="28" t="s">
        <v>170</v>
      </c>
      <c r="C24" s="80" t="s">
        <v>173</v>
      </c>
      <c r="D24" s="80" t="s">
        <v>173</v>
      </c>
      <c r="E24" s="28"/>
      <c r="F24" s="28"/>
      <c r="G24" s="80" t="s">
        <v>173</v>
      </c>
      <c r="H24" s="80" t="s">
        <v>173</v>
      </c>
      <c r="I24" s="80" t="s">
        <v>173</v>
      </c>
      <c r="J24" s="28"/>
      <c r="K24" s="80" t="s">
        <v>173</v>
      </c>
      <c r="L24" s="80" t="s">
        <v>173</v>
      </c>
      <c r="M24" s="80" t="s">
        <v>173</v>
      </c>
      <c r="N24" s="28"/>
      <c r="O24" s="28"/>
      <c r="P24" s="28" t="s">
        <v>170</v>
      </c>
      <c r="Q24" s="28" t="s">
        <v>170</v>
      </c>
      <c r="R24" s="28"/>
      <c r="S24" s="28"/>
      <c r="T24" s="28"/>
      <c r="U24" s="28"/>
      <c r="V24" s="28"/>
      <c r="W24" s="28"/>
      <c r="X24" s="28"/>
      <c r="Y24" s="28"/>
      <c r="Z24" s="28"/>
      <c r="AA24" s="80" t="s">
        <v>173</v>
      </c>
      <c r="AB24" s="28"/>
      <c r="AC24" s="80" t="s">
        <v>173</v>
      </c>
      <c r="AD24" s="28"/>
      <c r="AE24" s="28"/>
      <c r="AF24" s="28"/>
      <c r="AG24" s="28"/>
      <c r="AH24" s="28" t="s">
        <v>170</v>
      </c>
    </row>
    <row r="25" spans="1:34" x14ac:dyDescent="0.25">
      <c r="A25" s="26" t="s">
        <v>172</v>
      </c>
      <c r="B25" s="28" t="s">
        <v>173</v>
      </c>
      <c r="C25" s="80" t="s">
        <v>173</v>
      </c>
      <c r="D25" s="80" t="s">
        <v>173</v>
      </c>
      <c r="E25" s="28"/>
      <c r="F25" s="28"/>
      <c r="G25" s="80" t="s">
        <v>173</v>
      </c>
      <c r="H25" s="80" t="s">
        <v>173</v>
      </c>
      <c r="I25" s="80" t="s">
        <v>173</v>
      </c>
      <c r="J25" s="28"/>
      <c r="K25" s="80" t="s">
        <v>173</v>
      </c>
      <c r="L25" s="80" t="s">
        <v>173</v>
      </c>
      <c r="M25" s="80" t="s">
        <v>173</v>
      </c>
      <c r="N25" s="28"/>
      <c r="O25" s="28"/>
      <c r="P25" s="28" t="s">
        <v>173</v>
      </c>
      <c r="Q25" s="28" t="s">
        <v>173</v>
      </c>
      <c r="R25" s="28"/>
      <c r="S25" s="28"/>
      <c r="T25" s="28"/>
      <c r="U25" s="28"/>
      <c r="V25" s="28"/>
      <c r="W25" s="28"/>
      <c r="X25" s="28"/>
      <c r="Y25" s="28"/>
      <c r="Z25" s="28"/>
      <c r="AA25" s="80" t="s">
        <v>173</v>
      </c>
      <c r="AB25" s="28"/>
      <c r="AC25" s="80" t="s">
        <v>173</v>
      </c>
      <c r="AD25" s="28"/>
      <c r="AE25" s="28"/>
      <c r="AF25" s="28"/>
      <c r="AG25" s="28"/>
      <c r="AH25" s="28" t="s">
        <v>173</v>
      </c>
    </row>
    <row r="26" spans="1:34" x14ac:dyDescent="0.25">
      <c r="A26" s="26" t="s">
        <v>174</v>
      </c>
      <c r="B26" s="28" t="s">
        <v>173</v>
      </c>
      <c r="C26" s="80" t="s">
        <v>173</v>
      </c>
      <c r="D26" s="80" t="s">
        <v>173</v>
      </c>
      <c r="E26" s="28"/>
      <c r="F26" s="28"/>
      <c r="G26" s="80" t="s">
        <v>173</v>
      </c>
      <c r="H26" s="80" t="s">
        <v>173</v>
      </c>
      <c r="I26" s="80" t="s">
        <v>173</v>
      </c>
      <c r="J26" s="28"/>
      <c r="K26" s="80" t="s">
        <v>173</v>
      </c>
      <c r="L26" s="80" t="s">
        <v>173</v>
      </c>
      <c r="M26" s="80" t="s">
        <v>173</v>
      </c>
      <c r="N26" s="28"/>
      <c r="O26" s="28"/>
      <c r="P26" s="28" t="s">
        <v>173</v>
      </c>
      <c r="Q26" s="28" t="s">
        <v>173</v>
      </c>
      <c r="R26" s="28"/>
      <c r="S26" s="28"/>
      <c r="T26" s="28"/>
      <c r="U26" s="28"/>
      <c r="V26" s="28"/>
      <c r="W26" s="28"/>
      <c r="X26" s="28"/>
      <c r="Y26" s="28"/>
      <c r="Z26" s="28"/>
      <c r="AA26" s="80" t="s">
        <v>173</v>
      </c>
      <c r="AB26" s="28"/>
      <c r="AC26" s="80" t="s">
        <v>173</v>
      </c>
      <c r="AD26" s="28"/>
      <c r="AE26" s="28"/>
      <c r="AF26" s="28"/>
      <c r="AG26" s="28"/>
      <c r="AH26" s="28" t="s">
        <v>173</v>
      </c>
    </row>
    <row r="27" spans="1:34" x14ac:dyDescent="0.25">
      <c r="A27" s="26" t="s">
        <v>175</v>
      </c>
      <c r="B27" s="28" t="s">
        <v>199</v>
      </c>
      <c r="C27" s="80" t="s">
        <v>199</v>
      </c>
      <c r="D27" s="80" t="s">
        <v>199</v>
      </c>
      <c r="E27" s="28"/>
      <c r="F27" s="28"/>
      <c r="G27" s="80" t="s">
        <v>199</v>
      </c>
      <c r="H27" s="80" t="s">
        <v>199</v>
      </c>
      <c r="I27" s="80" t="s">
        <v>199</v>
      </c>
      <c r="J27" s="28"/>
      <c r="K27" s="80" t="s">
        <v>199</v>
      </c>
      <c r="L27" s="80" t="s">
        <v>199</v>
      </c>
      <c r="M27" s="80" t="s">
        <v>199</v>
      </c>
      <c r="N27" s="28"/>
      <c r="O27" s="28"/>
      <c r="P27" s="28" t="s">
        <v>199</v>
      </c>
      <c r="Q27" s="28" t="s">
        <v>199</v>
      </c>
      <c r="R27" s="28"/>
      <c r="S27" s="28"/>
      <c r="T27" s="28"/>
      <c r="U27" s="28"/>
      <c r="V27" s="28"/>
      <c r="W27" s="28"/>
      <c r="X27" s="28"/>
      <c r="Y27" s="28"/>
      <c r="Z27" s="28"/>
      <c r="AA27" s="80" t="s">
        <v>199</v>
      </c>
      <c r="AB27" s="28"/>
      <c r="AC27" s="80" t="s">
        <v>199</v>
      </c>
      <c r="AD27" s="28"/>
      <c r="AE27" s="28"/>
      <c r="AF27" s="28"/>
      <c r="AG27" s="28"/>
      <c r="AH27" s="28" t="s">
        <v>199</v>
      </c>
    </row>
    <row r="28" spans="1:34" x14ac:dyDescent="0.25">
      <c r="A28" s="26" t="s">
        <v>176</v>
      </c>
      <c r="B28" s="30">
        <v>-2</v>
      </c>
      <c r="C28" s="82">
        <v>-2</v>
      </c>
      <c r="D28" s="82">
        <v>-2</v>
      </c>
      <c r="E28" s="30"/>
      <c r="F28" s="30"/>
      <c r="G28" s="82">
        <v>-2</v>
      </c>
      <c r="H28" s="82">
        <v>-2</v>
      </c>
      <c r="I28" s="82">
        <v>-2</v>
      </c>
      <c r="J28" s="30"/>
      <c r="K28" s="82">
        <v>-2</v>
      </c>
      <c r="L28" s="82">
        <v>-2</v>
      </c>
      <c r="M28" s="82">
        <v>-2</v>
      </c>
      <c r="N28" s="30"/>
      <c r="O28" s="30"/>
      <c r="P28" s="30">
        <v>-2</v>
      </c>
      <c r="Q28" s="30">
        <v>-2</v>
      </c>
      <c r="R28" s="30"/>
      <c r="S28" s="30"/>
      <c r="T28" s="30"/>
      <c r="U28" s="30"/>
      <c r="V28" s="30"/>
      <c r="W28" s="30"/>
      <c r="X28" s="30"/>
      <c r="Y28" s="30"/>
      <c r="Z28" s="30"/>
      <c r="AA28" s="82">
        <v>-2</v>
      </c>
      <c r="AB28" s="30"/>
      <c r="AC28" s="82">
        <v>-2</v>
      </c>
      <c r="AD28" s="30"/>
      <c r="AE28" s="30"/>
      <c r="AF28" s="30"/>
      <c r="AG28" s="30"/>
      <c r="AH28" s="30">
        <v>-2</v>
      </c>
    </row>
    <row r="29" spans="1:34" x14ac:dyDescent="0.25">
      <c r="A29" s="26" t="s">
        <v>177</v>
      </c>
      <c r="B29" s="28" t="s">
        <v>334</v>
      </c>
      <c r="C29" s="80" t="s">
        <v>341</v>
      </c>
      <c r="D29" s="80" t="s">
        <v>341</v>
      </c>
      <c r="E29" s="28"/>
      <c r="F29" s="28"/>
      <c r="G29" s="80" t="s">
        <v>341</v>
      </c>
      <c r="H29" s="80" t="s">
        <v>341</v>
      </c>
      <c r="I29" s="80" t="s">
        <v>341</v>
      </c>
      <c r="J29" s="28"/>
      <c r="K29" s="80" t="s">
        <v>341</v>
      </c>
      <c r="L29" s="80" t="s">
        <v>341</v>
      </c>
      <c r="M29" s="80" t="s">
        <v>341</v>
      </c>
      <c r="N29" s="28"/>
      <c r="O29" s="28"/>
      <c r="P29" s="28" t="s">
        <v>334</v>
      </c>
      <c r="Q29" s="28" t="s">
        <v>334</v>
      </c>
      <c r="R29" s="28"/>
      <c r="S29" s="28"/>
      <c r="T29" s="28"/>
      <c r="U29" s="28"/>
      <c r="V29" s="28"/>
      <c r="W29" s="28"/>
      <c r="X29" s="28"/>
      <c r="Y29" s="28"/>
      <c r="Z29" s="28"/>
      <c r="AA29" s="80" t="s">
        <v>341</v>
      </c>
      <c r="AB29" s="28"/>
      <c r="AC29" s="80" t="s">
        <v>341</v>
      </c>
      <c r="AD29" s="28"/>
      <c r="AE29" s="28"/>
      <c r="AF29" s="28"/>
      <c r="AG29" s="28"/>
      <c r="AH29" s="28" t="s">
        <v>334</v>
      </c>
    </row>
    <row r="30" spans="1:34" x14ac:dyDescent="0.25">
      <c r="A30" s="26" t="s">
        <v>182</v>
      </c>
      <c r="B30" s="30">
        <f>1/3</f>
        <v>0.33333333333333331</v>
      </c>
      <c r="C30" s="82">
        <v>0</v>
      </c>
      <c r="D30" s="82">
        <v>0</v>
      </c>
      <c r="E30" s="30"/>
      <c r="F30" s="30"/>
      <c r="G30" s="82">
        <v>0</v>
      </c>
      <c r="H30" s="82">
        <v>0</v>
      </c>
      <c r="I30" s="82">
        <v>0</v>
      </c>
      <c r="J30" s="30"/>
      <c r="K30" s="82">
        <v>0</v>
      </c>
      <c r="L30" s="82">
        <v>0</v>
      </c>
      <c r="M30" s="82">
        <v>0</v>
      </c>
      <c r="N30" s="30"/>
      <c r="O30" s="30"/>
      <c r="P30" s="30">
        <f>1/3</f>
        <v>0.33333333333333331</v>
      </c>
      <c r="Q30" s="30">
        <f>1/3</f>
        <v>0.33333333333333331</v>
      </c>
      <c r="R30" s="30"/>
      <c r="S30" s="30"/>
      <c r="T30" s="30"/>
      <c r="U30" s="30"/>
      <c r="V30" s="30"/>
      <c r="W30" s="30"/>
      <c r="X30" s="30"/>
      <c r="Y30" s="30"/>
      <c r="Z30" s="30"/>
      <c r="AA30" s="82">
        <v>0</v>
      </c>
      <c r="AB30" s="30"/>
      <c r="AC30" s="82">
        <v>0</v>
      </c>
      <c r="AD30" s="30"/>
      <c r="AE30" s="30"/>
      <c r="AF30" s="30"/>
      <c r="AG30" s="30"/>
      <c r="AH30" s="30">
        <f>1/3</f>
        <v>0.33333333333333331</v>
      </c>
    </row>
    <row r="32" spans="1:34" x14ac:dyDescent="0.25">
      <c r="A32" s="31" t="s">
        <v>183</v>
      </c>
    </row>
    <row r="33" spans="1:2" x14ac:dyDescent="0.25">
      <c r="A33" s="26" t="s">
        <v>1440</v>
      </c>
      <c r="B33" s="56"/>
    </row>
  </sheetData>
  <mergeCells count="5">
    <mergeCell ref="B3:D3"/>
    <mergeCell ref="B4:D4"/>
    <mergeCell ref="B5:D5"/>
    <mergeCell ref="F3:O3"/>
    <mergeCell ref="F4:O5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2ED13-2D05-47E1-92DE-B8DF445824F2}">
  <dimension ref="A1:AH21"/>
  <sheetViews>
    <sheetView workbookViewId="0">
      <selection activeCell="P22" sqref="P22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895</v>
      </c>
      <c r="I1" s="25" t="s">
        <v>1441</v>
      </c>
    </row>
    <row r="3" spans="1:34" ht="18" x14ac:dyDescent="0.25">
      <c r="A3" s="25" t="s">
        <v>119</v>
      </c>
      <c r="B3" s="215">
        <v>90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1442</v>
      </c>
      <c r="C4" s="215"/>
      <c r="D4" s="215"/>
      <c r="F4" s="216" t="s">
        <v>1443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899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28" t="s">
        <v>1125</v>
      </c>
      <c r="C8" s="28" t="s">
        <v>552</v>
      </c>
      <c r="D8" s="28" t="s">
        <v>552</v>
      </c>
      <c r="E8" s="28" t="s">
        <v>552</v>
      </c>
      <c r="F8" s="28" t="s">
        <v>552</v>
      </c>
      <c r="G8" s="28" t="s">
        <v>552</v>
      </c>
      <c r="H8" s="28" t="s">
        <v>552</v>
      </c>
      <c r="I8" s="28" t="s">
        <v>552</v>
      </c>
      <c r="J8" s="28" t="s">
        <v>552</v>
      </c>
      <c r="K8" s="28" t="s">
        <v>552</v>
      </c>
      <c r="L8" s="28" t="s">
        <v>552</v>
      </c>
      <c r="M8" s="28" t="s">
        <v>552</v>
      </c>
      <c r="N8" s="28" t="s">
        <v>552</v>
      </c>
      <c r="O8" s="28" t="s">
        <v>552</v>
      </c>
      <c r="P8" s="28" t="s">
        <v>552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8" t="s">
        <v>1123</v>
      </c>
      <c r="AB8" s="28" t="s">
        <v>1123</v>
      </c>
      <c r="AC8" s="28" t="s">
        <v>1123</v>
      </c>
      <c r="AD8" s="28" t="s">
        <v>1123</v>
      </c>
      <c r="AE8" s="28" t="s">
        <v>1123</v>
      </c>
      <c r="AF8" s="28"/>
      <c r="AG8" s="28"/>
      <c r="AH8" s="28" t="s">
        <v>552</v>
      </c>
    </row>
    <row r="9" spans="1:34" x14ac:dyDescent="0.25">
      <c r="A9" s="26" t="s">
        <v>165</v>
      </c>
      <c r="B9" s="28" t="s">
        <v>1123</v>
      </c>
      <c r="C9" s="28" t="s">
        <v>552</v>
      </c>
      <c r="D9" s="28" t="s">
        <v>552</v>
      </c>
      <c r="E9" s="28" t="s">
        <v>552</v>
      </c>
      <c r="F9" s="28" t="s">
        <v>552</v>
      </c>
      <c r="G9" s="28" t="s">
        <v>552</v>
      </c>
      <c r="H9" s="28" t="s">
        <v>552</v>
      </c>
      <c r="I9" s="28" t="s">
        <v>552</v>
      </c>
      <c r="J9" s="28" t="s">
        <v>552</v>
      </c>
      <c r="K9" s="28" t="s">
        <v>552</v>
      </c>
      <c r="L9" s="28" t="s">
        <v>552</v>
      </c>
      <c r="M9" s="28" t="s">
        <v>552</v>
      </c>
      <c r="N9" s="28" t="s">
        <v>552</v>
      </c>
      <c r="O9" s="28" t="s">
        <v>552</v>
      </c>
      <c r="P9" s="28" t="s">
        <v>552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8" t="s">
        <v>1123</v>
      </c>
      <c r="AB9" s="28" t="s">
        <v>1123</v>
      </c>
      <c r="AC9" s="28" t="s">
        <v>1123</v>
      </c>
      <c r="AD9" s="28" t="s">
        <v>1123</v>
      </c>
      <c r="AE9" s="28" t="s">
        <v>1123</v>
      </c>
      <c r="AF9" s="29"/>
      <c r="AG9" s="29"/>
      <c r="AH9" s="28" t="s">
        <v>552</v>
      </c>
    </row>
    <row r="10" spans="1:34" x14ac:dyDescent="0.25">
      <c r="A10" s="131" t="s">
        <v>168</v>
      </c>
      <c r="B10" s="157">
        <v>195</v>
      </c>
      <c r="C10" s="157">
        <v>1</v>
      </c>
      <c r="D10" s="157">
        <v>1</v>
      </c>
      <c r="E10" s="157">
        <v>1</v>
      </c>
      <c r="F10" s="157">
        <v>1</v>
      </c>
      <c r="G10" s="157">
        <v>1</v>
      </c>
      <c r="H10" s="157">
        <v>1</v>
      </c>
      <c r="I10" s="157">
        <v>1</v>
      </c>
      <c r="J10" s="157">
        <v>1</v>
      </c>
      <c r="K10" s="157">
        <v>1</v>
      </c>
      <c r="L10" s="157">
        <v>1</v>
      </c>
      <c r="M10" s="157">
        <v>1</v>
      </c>
      <c r="N10" s="157">
        <v>1</v>
      </c>
      <c r="O10" s="157">
        <v>1</v>
      </c>
      <c r="P10" s="157">
        <v>1</v>
      </c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>
        <v>195</v>
      </c>
      <c r="AB10" s="157">
        <v>195</v>
      </c>
      <c r="AC10" s="157">
        <v>195</v>
      </c>
      <c r="AD10" s="157">
        <v>195</v>
      </c>
      <c r="AE10" s="157">
        <v>195</v>
      </c>
      <c r="AF10" s="157"/>
      <c r="AG10" s="157"/>
      <c r="AH10" s="157">
        <v>1</v>
      </c>
    </row>
    <row r="11" spans="1:34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28" t="s">
        <v>170</v>
      </c>
      <c r="O11" s="28" t="s">
        <v>170</v>
      </c>
      <c r="P11" s="28" t="s">
        <v>170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170</v>
      </c>
      <c r="AB11" s="28" t="s">
        <v>170</v>
      </c>
      <c r="AC11" s="28" t="s">
        <v>170</v>
      </c>
      <c r="AD11" s="28" t="s">
        <v>170</v>
      </c>
      <c r="AE11" s="28" t="s">
        <v>170</v>
      </c>
      <c r="AF11" s="28"/>
      <c r="AG11" s="28"/>
      <c r="AH11" s="28" t="s">
        <v>170</v>
      </c>
    </row>
    <row r="12" spans="1:34" x14ac:dyDescent="0.25">
      <c r="A12" s="26" t="s">
        <v>171</v>
      </c>
      <c r="B12" s="28" t="s">
        <v>173</v>
      </c>
      <c r="C12" s="28" t="s">
        <v>173</v>
      </c>
      <c r="D12" s="28" t="s">
        <v>173</v>
      </c>
      <c r="E12" s="28" t="s">
        <v>173</v>
      </c>
      <c r="F12" s="28" t="s">
        <v>173</v>
      </c>
      <c r="G12" s="28" t="s">
        <v>173</v>
      </c>
      <c r="H12" s="28" t="s">
        <v>173</v>
      </c>
      <c r="I12" s="28" t="s">
        <v>173</v>
      </c>
      <c r="J12" s="28" t="s">
        <v>173</v>
      </c>
      <c r="K12" s="28" t="s">
        <v>173</v>
      </c>
      <c r="L12" s="28" t="s">
        <v>173</v>
      </c>
      <c r="M12" s="28" t="s">
        <v>173</v>
      </c>
      <c r="N12" s="28" t="s">
        <v>173</v>
      </c>
      <c r="O12" s="28" t="s">
        <v>173</v>
      </c>
      <c r="P12" s="28" t="s">
        <v>173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173</v>
      </c>
      <c r="AB12" s="28" t="s">
        <v>173</v>
      </c>
      <c r="AC12" s="28" t="s">
        <v>173</v>
      </c>
      <c r="AD12" s="28" t="s">
        <v>173</v>
      </c>
      <c r="AE12" s="28" t="s">
        <v>173</v>
      </c>
      <c r="AF12" s="28"/>
      <c r="AG12" s="28"/>
      <c r="AH12" s="28" t="s">
        <v>173</v>
      </c>
    </row>
    <row r="13" spans="1:34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173</v>
      </c>
      <c r="AB13" s="28" t="s">
        <v>173</v>
      </c>
      <c r="AC13" s="28" t="s">
        <v>173</v>
      </c>
      <c r="AD13" s="28" t="s">
        <v>173</v>
      </c>
      <c r="AE13" s="28" t="s">
        <v>173</v>
      </c>
      <c r="AF13" s="28"/>
      <c r="AG13" s="28"/>
      <c r="AH13" s="28" t="s">
        <v>173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173</v>
      </c>
      <c r="AB14" s="28" t="s">
        <v>173</v>
      </c>
      <c r="AC14" s="28" t="s">
        <v>173</v>
      </c>
      <c r="AD14" s="28" t="s">
        <v>173</v>
      </c>
      <c r="AE14" s="28" t="s">
        <v>173</v>
      </c>
      <c r="AF14" s="28"/>
      <c r="AG14" s="28"/>
      <c r="AH14" s="28" t="s">
        <v>173</v>
      </c>
    </row>
    <row r="15" spans="1:34" x14ac:dyDescent="0.25">
      <c r="A15" s="26" t="s">
        <v>175</v>
      </c>
      <c r="B15" s="28" t="s">
        <v>160</v>
      </c>
      <c r="C15" s="28" t="s">
        <v>160</v>
      </c>
      <c r="D15" s="28" t="s">
        <v>160</v>
      </c>
      <c r="E15" s="28" t="s">
        <v>160</v>
      </c>
      <c r="F15" s="28" t="s">
        <v>160</v>
      </c>
      <c r="G15" s="28" t="s">
        <v>160</v>
      </c>
      <c r="H15" s="28" t="s">
        <v>160</v>
      </c>
      <c r="I15" s="28" t="s">
        <v>160</v>
      </c>
      <c r="J15" s="28" t="s">
        <v>160</v>
      </c>
      <c r="K15" s="28" t="s">
        <v>160</v>
      </c>
      <c r="L15" s="28" t="s">
        <v>160</v>
      </c>
      <c r="M15" s="28" t="s">
        <v>160</v>
      </c>
      <c r="N15" s="28" t="s">
        <v>160</v>
      </c>
      <c r="O15" s="28" t="s">
        <v>160</v>
      </c>
      <c r="P15" s="28" t="s">
        <v>160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160</v>
      </c>
      <c r="AB15" s="28" t="s">
        <v>160</v>
      </c>
      <c r="AC15" s="28" t="s">
        <v>160</v>
      </c>
      <c r="AD15" s="28" t="s">
        <v>160</v>
      </c>
      <c r="AE15" s="28" t="s">
        <v>160</v>
      </c>
      <c r="AF15" s="28"/>
      <c r="AG15" s="28"/>
      <c r="AH15" s="28" t="s">
        <v>160</v>
      </c>
    </row>
    <row r="16" spans="1:34" x14ac:dyDescent="0.25">
      <c r="A16" s="26" t="s">
        <v>176</v>
      </c>
      <c r="B16" s="30">
        <v>3</v>
      </c>
      <c r="C16" s="30">
        <v>3</v>
      </c>
      <c r="D16" s="30">
        <v>3</v>
      </c>
      <c r="E16" s="30">
        <v>3</v>
      </c>
      <c r="F16" s="30">
        <v>3</v>
      </c>
      <c r="G16" s="30">
        <v>3</v>
      </c>
      <c r="H16" s="30">
        <v>3</v>
      </c>
      <c r="I16" s="30">
        <v>3</v>
      </c>
      <c r="J16" s="30">
        <v>3</v>
      </c>
      <c r="K16" s="30">
        <v>3</v>
      </c>
      <c r="L16" s="30">
        <v>3</v>
      </c>
      <c r="M16" s="30">
        <v>3</v>
      </c>
      <c r="N16" s="30">
        <v>3</v>
      </c>
      <c r="O16" s="30">
        <v>3</v>
      </c>
      <c r="P16" s="30">
        <v>3</v>
      </c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v>3</v>
      </c>
      <c r="AB16" s="30">
        <v>3</v>
      </c>
      <c r="AC16" s="30">
        <v>3</v>
      </c>
      <c r="AD16" s="30">
        <v>3</v>
      </c>
      <c r="AE16" s="30">
        <v>3</v>
      </c>
      <c r="AF16" s="30"/>
      <c r="AG16" s="30"/>
      <c r="AH16" s="30">
        <v>3</v>
      </c>
    </row>
    <row r="17" spans="1:34" x14ac:dyDescent="0.25">
      <c r="A17" s="26" t="s">
        <v>177</v>
      </c>
      <c r="B17" s="28" t="s">
        <v>1125</v>
      </c>
      <c r="C17" s="28" t="s">
        <v>178</v>
      </c>
      <c r="D17" s="28" t="s">
        <v>178</v>
      </c>
      <c r="E17" s="28" t="s">
        <v>178</v>
      </c>
      <c r="F17" s="28" t="s">
        <v>178</v>
      </c>
      <c r="G17" s="28" t="s">
        <v>178</v>
      </c>
      <c r="H17" s="28" t="s">
        <v>178</v>
      </c>
      <c r="I17" s="28" t="s">
        <v>178</v>
      </c>
      <c r="J17" s="28" t="s">
        <v>178</v>
      </c>
      <c r="K17" s="28" t="s">
        <v>178</v>
      </c>
      <c r="L17" s="28" t="s">
        <v>178</v>
      </c>
      <c r="M17" s="28" t="s">
        <v>178</v>
      </c>
      <c r="N17" s="28" t="s">
        <v>178</v>
      </c>
      <c r="O17" s="28" t="s">
        <v>178</v>
      </c>
      <c r="P17" s="28" t="s">
        <v>178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1125</v>
      </c>
      <c r="AB17" s="28" t="s">
        <v>1125</v>
      </c>
      <c r="AC17" s="28" t="s">
        <v>1125</v>
      </c>
      <c r="AD17" s="28" t="s">
        <v>1125</v>
      </c>
      <c r="AE17" s="28" t="s">
        <v>1125</v>
      </c>
      <c r="AF17" s="28"/>
      <c r="AG17" s="28"/>
      <c r="AH17" s="28" t="s">
        <v>178</v>
      </c>
    </row>
    <row r="18" spans="1:34" x14ac:dyDescent="0.25">
      <c r="A18" s="26" t="s">
        <v>182</v>
      </c>
      <c r="B18" s="30">
        <v>5</v>
      </c>
      <c r="C18" s="30">
        <v>4</v>
      </c>
      <c r="D18" s="30">
        <v>4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v>5</v>
      </c>
      <c r="AB18" s="30">
        <v>5</v>
      </c>
      <c r="AC18" s="30">
        <v>5</v>
      </c>
      <c r="AD18" s="30">
        <v>5</v>
      </c>
      <c r="AE18" s="30">
        <v>5</v>
      </c>
      <c r="AF18" s="30"/>
      <c r="AG18" s="30"/>
      <c r="AH18" s="30">
        <v>4</v>
      </c>
    </row>
    <row r="20" spans="1:34" x14ac:dyDescent="0.25">
      <c r="A20" s="31" t="s">
        <v>183</v>
      </c>
    </row>
    <row r="21" spans="1:34" x14ac:dyDescent="0.25">
      <c r="A21" s="26" t="s">
        <v>1444</v>
      </c>
      <c r="B21" s="56" t="s">
        <v>1445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3585C-1ED7-4A97-88D4-4BBCAB7A3A92}">
  <dimension ref="A1:AH21"/>
  <sheetViews>
    <sheetView workbookViewId="0">
      <selection activeCell="B7" sqref="B7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895</v>
      </c>
      <c r="I1" s="25" t="s">
        <v>1441</v>
      </c>
    </row>
    <row r="3" spans="1:34" ht="18" x14ac:dyDescent="0.25">
      <c r="A3" s="25" t="s">
        <v>119</v>
      </c>
      <c r="B3" s="215">
        <v>91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1446</v>
      </c>
      <c r="C4" s="215"/>
      <c r="D4" s="215"/>
      <c r="F4" s="216" t="s">
        <v>1447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899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28" t="s">
        <v>1448</v>
      </c>
      <c r="C8" s="29" t="s">
        <v>161</v>
      </c>
      <c r="D8" s="29" t="s">
        <v>161</v>
      </c>
      <c r="E8" s="29" t="s">
        <v>161</v>
      </c>
      <c r="F8" s="29" t="s">
        <v>161</v>
      </c>
      <c r="G8" s="29" t="s">
        <v>161</v>
      </c>
      <c r="H8" s="29" t="s">
        <v>161</v>
      </c>
      <c r="I8" s="29" t="s">
        <v>161</v>
      </c>
      <c r="J8" s="28" t="s">
        <v>161</v>
      </c>
      <c r="K8" s="29" t="s">
        <v>161</v>
      </c>
      <c r="L8" s="29" t="s">
        <v>161</v>
      </c>
      <c r="M8" s="29" t="s">
        <v>161</v>
      </c>
      <c r="N8" s="28"/>
      <c r="O8" s="28"/>
      <c r="P8" s="29" t="s">
        <v>161</v>
      </c>
      <c r="Q8" s="29" t="s">
        <v>161</v>
      </c>
      <c r="R8" s="28"/>
      <c r="S8" s="28"/>
      <c r="T8" s="28"/>
      <c r="U8" s="28"/>
      <c r="V8" s="28"/>
      <c r="W8" s="28"/>
      <c r="X8" s="28"/>
      <c r="Y8" s="28"/>
      <c r="Z8" s="28"/>
      <c r="AA8" s="28" t="s">
        <v>1449</v>
      </c>
      <c r="AB8" s="28"/>
      <c r="AC8" s="28"/>
      <c r="AD8" s="28"/>
      <c r="AE8" s="28"/>
      <c r="AF8" s="28"/>
      <c r="AG8" s="28"/>
      <c r="AH8" s="29" t="s">
        <v>161</v>
      </c>
    </row>
    <row r="9" spans="1:34" x14ac:dyDescent="0.25">
      <c r="A9" s="26" t="s">
        <v>165</v>
      </c>
      <c r="B9" s="28" t="s">
        <v>1150</v>
      </c>
      <c r="C9" s="28" t="s">
        <v>900</v>
      </c>
      <c r="D9" s="28" t="s">
        <v>161</v>
      </c>
      <c r="E9" s="28" t="s">
        <v>901</v>
      </c>
      <c r="F9" s="28" t="s">
        <v>901</v>
      </c>
      <c r="G9" s="28" t="s">
        <v>901</v>
      </c>
      <c r="H9" s="28" t="s">
        <v>901</v>
      </c>
      <c r="I9" s="28" t="s">
        <v>901</v>
      </c>
      <c r="J9" s="28" t="s">
        <v>901</v>
      </c>
      <c r="K9" s="28" t="s">
        <v>902</v>
      </c>
      <c r="L9" s="29" t="s">
        <v>903</v>
      </c>
      <c r="M9" s="28" t="s">
        <v>904</v>
      </c>
      <c r="N9" s="29"/>
      <c r="O9" s="29"/>
      <c r="P9" s="28" t="s">
        <v>161</v>
      </c>
      <c r="Q9" s="28" t="s">
        <v>161</v>
      </c>
      <c r="R9" s="29"/>
      <c r="S9" s="29"/>
      <c r="T9" s="29"/>
      <c r="U9" s="29"/>
      <c r="V9" s="29"/>
      <c r="W9" s="29"/>
      <c r="X9" s="29"/>
      <c r="Y9" s="29"/>
      <c r="Z9" s="29"/>
      <c r="AA9" s="103" t="s">
        <v>1450</v>
      </c>
      <c r="AB9" s="29"/>
      <c r="AC9" s="29"/>
      <c r="AD9" s="29"/>
      <c r="AE9" s="29"/>
      <c r="AF9" s="29"/>
      <c r="AG9" s="29"/>
      <c r="AH9" s="28" t="s">
        <v>161</v>
      </c>
    </row>
    <row r="10" spans="1:34" x14ac:dyDescent="0.25">
      <c r="A10" s="131" t="s">
        <v>168</v>
      </c>
      <c r="B10" s="157">
        <v>196</v>
      </c>
      <c r="C10" s="157">
        <v>41</v>
      </c>
      <c r="D10" s="157">
        <v>2</v>
      </c>
      <c r="E10" s="157">
        <v>91</v>
      </c>
      <c r="F10" s="157">
        <v>91</v>
      </c>
      <c r="G10" s="157">
        <v>91</v>
      </c>
      <c r="H10" s="157">
        <v>91</v>
      </c>
      <c r="I10" s="157">
        <v>91</v>
      </c>
      <c r="J10" s="157">
        <v>91</v>
      </c>
      <c r="K10" s="157">
        <v>166</v>
      </c>
      <c r="L10" s="157">
        <v>164</v>
      </c>
      <c r="M10" s="157">
        <v>165</v>
      </c>
      <c r="N10" s="157"/>
      <c r="O10" s="157"/>
      <c r="P10" s="157">
        <v>2</v>
      </c>
      <c r="Q10" s="157">
        <v>2</v>
      </c>
      <c r="R10" s="157"/>
      <c r="S10" s="157"/>
      <c r="T10" s="157"/>
      <c r="U10" s="157"/>
      <c r="V10" s="157"/>
      <c r="W10" s="157"/>
      <c r="X10" s="157"/>
      <c r="Y10" s="157"/>
      <c r="Z10" s="157"/>
      <c r="AA10" s="157">
        <v>268</v>
      </c>
      <c r="AB10" s="157"/>
      <c r="AC10" s="157"/>
      <c r="AD10" s="157"/>
      <c r="AE10" s="157"/>
      <c r="AF10" s="157"/>
      <c r="AG10" s="157"/>
      <c r="AH10" s="157">
        <v>2</v>
      </c>
    </row>
    <row r="11" spans="1:34" x14ac:dyDescent="0.25">
      <c r="A11" s="26" t="s">
        <v>169</v>
      </c>
      <c r="B11" s="28" t="s">
        <v>170</v>
      </c>
      <c r="C11" s="29" t="s">
        <v>170</v>
      </c>
      <c r="D11" s="29" t="s">
        <v>170</v>
      </c>
      <c r="E11" s="29" t="s">
        <v>170</v>
      </c>
      <c r="F11" s="29" t="s">
        <v>170</v>
      </c>
      <c r="G11" s="29" t="s">
        <v>170</v>
      </c>
      <c r="H11" s="29" t="s">
        <v>170</v>
      </c>
      <c r="I11" s="29" t="s">
        <v>170</v>
      </c>
      <c r="J11" s="29" t="s">
        <v>170</v>
      </c>
      <c r="K11" s="29" t="s">
        <v>170</v>
      </c>
      <c r="L11" s="29" t="s">
        <v>170</v>
      </c>
      <c r="M11" s="29" t="s">
        <v>170</v>
      </c>
      <c r="N11" s="28"/>
      <c r="O11" s="28"/>
      <c r="P11" s="29" t="s">
        <v>170</v>
      </c>
      <c r="Q11" s="29" t="s">
        <v>170</v>
      </c>
      <c r="R11" s="28"/>
      <c r="S11" s="28"/>
      <c r="T11" s="28"/>
      <c r="U11" s="28"/>
      <c r="V11" s="28"/>
      <c r="W11" s="28"/>
      <c r="X11" s="28"/>
      <c r="Y11" s="28"/>
      <c r="Z11" s="28"/>
      <c r="AA11" s="29" t="s">
        <v>170</v>
      </c>
      <c r="AB11" s="28"/>
      <c r="AC11" s="29"/>
      <c r="AD11" s="28"/>
      <c r="AE11" s="29"/>
      <c r="AF11" s="28"/>
      <c r="AG11" s="28"/>
      <c r="AH11" s="29" t="s">
        <v>170</v>
      </c>
    </row>
    <row r="12" spans="1:34" x14ac:dyDescent="0.25">
      <c r="A12" s="26" t="s">
        <v>171</v>
      </c>
      <c r="B12" s="28" t="s">
        <v>170</v>
      </c>
      <c r="C12" s="29" t="s">
        <v>170</v>
      </c>
      <c r="D12" s="29" t="s">
        <v>170</v>
      </c>
      <c r="E12" s="29" t="s">
        <v>170</v>
      </c>
      <c r="F12" s="29" t="s">
        <v>170</v>
      </c>
      <c r="G12" s="29" t="s">
        <v>170</v>
      </c>
      <c r="H12" s="29" t="s">
        <v>170</v>
      </c>
      <c r="I12" s="29" t="s">
        <v>170</v>
      </c>
      <c r="J12" s="29" t="s">
        <v>170</v>
      </c>
      <c r="K12" s="29" t="s">
        <v>170</v>
      </c>
      <c r="L12" s="29" t="s">
        <v>170</v>
      </c>
      <c r="M12" s="29" t="s">
        <v>170</v>
      </c>
      <c r="N12" s="28"/>
      <c r="O12" s="28"/>
      <c r="P12" s="29" t="s">
        <v>170</v>
      </c>
      <c r="Q12" s="29" t="s">
        <v>170</v>
      </c>
      <c r="R12" s="28"/>
      <c r="S12" s="28"/>
      <c r="T12" s="28"/>
      <c r="U12" s="28"/>
      <c r="V12" s="28"/>
      <c r="W12" s="28"/>
      <c r="X12" s="28"/>
      <c r="Y12" s="28"/>
      <c r="Z12" s="28"/>
      <c r="AA12" s="29" t="s">
        <v>170</v>
      </c>
      <c r="AB12" s="28"/>
      <c r="AC12" s="28"/>
      <c r="AD12" s="28"/>
      <c r="AE12" s="28"/>
      <c r="AF12" s="28"/>
      <c r="AG12" s="28"/>
      <c r="AH12" s="29" t="s">
        <v>170</v>
      </c>
    </row>
    <row r="13" spans="1:34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/>
      <c r="O13" s="28"/>
      <c r="P13" s="28" t="s">
        <v>173</v>
      </c>
      <c r="Q13" s="28" t="s">
        <v>173</v>
      </c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173</v>
      </c>
      <c r="AB13" s="28"/>
      <c r="AC13" s="28"/>
      <c r="AD13" s="28"/>
      <c r="AE13" s="28"/>
      <c r="AF13" s="28"/>
      <c r="AG13" s="28"/>
      <c r="AH13" s="28" t="s">
        <v>173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/>
      <c r="O14" s="28"/>
      <c r="P14" s="28" t="s">
        <v>173</v>
      </c>
      <c r="Q14" s="28" t="s">
        <v>173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173</v>
      </c>
      <c r="AB14" s="28"/>
      <c r="AC14" s="28"/>
      <c r="AD14" s="28"/>
      <c r="AE14" s="28"/>
      <c r="AF14" s="28"/>
      <c r="AG14" s="28"/>
      <c r="AH14" s="28" t="s">
        <v>173</v>
      </c>
    </row>
    <row r="15" spans="1:34" x14ac:dyDescent="0.25">
      <c r="A15" s="26" t="s">
        <v>175</v>
      </c>
      <c r="B15" s="28" t="s">
        <v>160</v>
      </c>
      <c r="C15" s="28" t="s">
        <v>160</v>
      </c>
      <c r="D15" s="28" t="s">
        <v>160</v>
      </c>
      <c r="E15" s="28" t="s">
        <v>160</v>
      </c>
      <c r="F15" s="28" t="s">
        <v>160</v>
      </c>
      <c r="G15" s="28" t="s">
        <v>160</v>
      </c>
      <c r="H15" s="28" t="s">
        <v>160</v>
      </c>
      <c r="I15" s="28" t="s">
        <v>160</v>
      </c>
      <c r="J15" s="28" t="s">
        <v>160</v>
      </c>
      <c r="K15" s="28" t="s">
        <v>160</v>
      </c>
      <c r="L15" s="28" t="s">
        <v>160</v>
      </c>
      <c r="M15" s="28" t="s">
        <v>160</v>
      </c>
      <c r="N15" s="28"/>
      <c r="O15" s="28"/>
      <c r="P15" s="28" t="s">
        <v>160</v>
      </c>
      <c r="Q15" s="28" t="s">
        <v>160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160</v>
      </c>
      <c r="AB15" s="28"/>
      <c r="AC15" s="28"/>
      <c r="AD15" s="28"/>
      <c r="AE15" s="28"/>
      <c r="AF15" s="28"/>
      <c r="AG15" s="28"/>
      <c r="AH15" s="28" t="s">
        <v>160</v>
      </c>
    </row>
    <row r="16" spans="1:34" x14ac:dyDescent="0.25">
      <c r="A16" s="26" t="s">
        <v>176</v>
      </c>
      <c r="B16" s="30">
        <v>3</v>
      </c>
      <c r="C16" s="30">
        <v>3</v>
      </c>
      <c r="D16" s="30">
        <v>3</v>
      </c>
      <c r="E16" s="30">
        <v>3</v>
      </c>
      <c r="F16" s="30">
        <v>3</v>
      </c>
      <c r="G16" s="30">
        <v>3</v>
      </c>
      <c r="H16" s="30">
        <v>3</v>
      </c>
      <c r="I16" s="30">
        <v>3</v>
      </c>
      <c r="J16" s="30">
        <v>3</v>
      </c>
      <c r="K16" s="30">
        <v>3</v>
      </c>
      <c r="L16" s="30">
        <v>3</v>
      </c>
      <c r="M16" s="30">
        <v>3</v>
      </c>
      <c r="N16" s="30"/>
      <c r="O16" s="30"/>
      <c r="P16" s="30">
        <v>3</v>
      </c>
      <c r="Q16" s="30">
        <v>3</v>
      </c>
      <c r="R16" s="30"/>
      <c r="S16" s="30"/>
      <c r="T16" s="30"/>
      <c r="U16" s="30"/>
      <c r="V16" s="30"/>
      <c r="W16" s="30"/>
      <c r="X16" s="30"/>
      <c r="Y16" s="30"/>
      <c r="Z16" s="30"/>
      <c r="AA16" s="30">
        <v>3</v>
      </c>
      <c r="AB16" s="30"/>
      <c r="AC16" s="30"/>
      <c r="AD16" s="30"/>
      <c r="AE16" s="30"/>
      <c r="AF16" s="30"/>
      <c r="AG16" s="30"/>
      <c r="AH16" s="30">
        <v>3</v>
      </c>
    </row>
    <row r="17" spans="1:34" x14ac:dyDescent="0.25">
      <c r="A17" s="26" t="s">
        <v>177</v>
      </c>
      <c r="B17" s="28" t="s">
        <v>1125</v>
      </c>
      <c r="C17" s="28" t="s">
        <v>181</v>
      </c>
      <c r="D17" s="28" t="s">
        <v>178</v>
      </c>
      <c r="E17" s="28" t="s">
        <v>334</v>
      </c>
      <c r="F17" s="28" t="s">
        <v>334</v>
      </c>
      <c r="G17" s="28" t="s">
        <v>334</v>
      </c>
      <c r="H17" s="28" t="s">
        <v>334</v>
      </c>
      <c r="I17" s="28" t="s">
        <v>334</v>
      </c>
      <c r="J17" s="28" t="s">
        <v>334</v>
      </c>
      <c r="K17" s="28" t="s">
        <v>905</v>
      </c>
      <c r="L17" s="28" t="s">
        <v>357</v>
      </c>
      <c r="M17" s="28" t="s">
        <v>180</v>
      </c>
      <c r="N17" s="28"/>
      <c r="O17" s="28"/>
      <c r="P17" s="28" t="s">
        <v>178</v>
      </c>
      <c r="Q17" s="28" t="s">
        <v>178</v>
      </c>
      <c r="R17" s="28"/>
      <c r="S17" s="28"/>
      <c r="T17" s="28"/>
      <c r="U17" s="28"/>
      <c r="V17" s="28"/>
      <c r="W17" s="28"/>
      <c r="X17" s="28"/>
      <c r="Y17" s="28"/>
      <c r="Z17" s="28"/>
      <c r="AA17" s="103" t="s">
        <v>1451</v>
      </c>
      <c r="AB17" s="28"/>
      <c r="AC17" s="28"/>
      <c r="AD17" s="28"/>
      <c r="AE17" s="28"/>
      <c r="AF17" s="28"/>
      <c r="AG17" s="28"/>
      <c r="AH17" s="28" t="s">
        <v>178</v>
      </c>
    </row>
    <row r="18" spans="1:34" x14ac:dyDescent="0.25">
      <c r="A18" s="26" t="s">
        <v>182</v>
      </c>
      <c r="B18" s="30">
        <v>5</v>
      </c>
      <c r="C18" s="30">
        <v>2</v>
      </c>
      <c r="D18" s="30">
        <v>4</v>
      </c>
      <c r="E18" s="30">
        <v>0.5</v>
      </c>
      <c r="F18" s="30">
        <v>0.5</v>
      </c>
      <c r="G18" s="30">
        <v>0.5</v>
      </c>
      <c r="H18" s="30">
        <v>0.5</v>
      </c>
      <c r="I18" s="30">
        <v>0.5</v>
      </c>
      <c r="J18" s="30">
        <v>0.5</v>
      </c>
      <c r="K18" s="30">
        <f>AVERAGE(2,0.5)</f>
        <v>1.25</v>
      </c>
      <c r="L18" s="30">
        <f>AVERAGE(4,0.5)</f>
        <v>2.25</v>
      </c>
      <c r="M18" s="30">
        <f>AVERAGE(4,2)</f>
        <v>3</v>
      </c>
      <c r="N18" s="30"/>
      <c r="O18" s="30"/>
      <c r="P18" s="30">
        <v>4</v>
      </c>
      <c r="Q18" s="30">
        <v>4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f>AVERAGE(5,5,4)</f>
        <v>4.666666666666667</v>
      </c>
      <c r="AB18" s="30"/>
      <c r="AC18" s="30"/>
      <c r="AD18" s="30"/>
      <c r="AE18" s="30"/>
      <c r="AF18" s="30"/>
      <c r="AG18" s="30"/>
      <c r="AH18" s="30">
        <v>4</v>
      </c>
    </row>
    <row r="20" spans="1:34" x14ac:dyDescent="0.25">
      <c r="A20" s="31" t="s">
        <v>183</v>
      </c>
    </row>
    <row r="21" spans="1:34" x14ac:dyDescent="0.25">
      <c r="A21" s="26" t="s">
        <v>1452</v>
      </c>
      <c r="B21" s="56" t="s">
        <v>1445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96CC0-9210-4677-B488-EB174CFE8D38}">
  <dimension ref="A1:AK22"/>
  <sheetViews>
    <sheetView topLeftCell="W1" workbookViewId="0">
      <selection activeCell="AJ9" sqref="AJ9"/>
    </sheetView>
  </sheetViews>
  <sheetFormatPr defaultColWidth="9.140625" defaultRowHeight="15" x14ac:dyDescent="0.25"/>
  <cols>
    <col min="1" max="1" width="23.28515625" style="26" bestFit="1" customWidth="1"/>
    <col min="2" max="50" width="5.7109375" style="26" customWidth="1"/>
    <col min="51" max="16384" width="9.140625" style="26"/>
  </cols>
  <sheetData>
    <row r="1" spans="1:37" x14ac:dyDescent="0.25">
      <c r="A1" s="25" t="s">
        <v>116</v>
      </c>
      <c r="D1" s="25" t="s">
        <v>895</v>
      </c>
      <c r="I1" s="25" t="s">
        <v>1441</v>
      </c>
    </row>
    <row r="3" spans="1:37" ht="18" x14ac:dyDescent="0.25">
      <c r="A3" s="25" t="s">
        <v>119</v>
      </c>
      <c r="B3" s="215">
        <v>92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7" ht="18" x14ac:dyDescent="0.25">
      <c r="A4" s="25" t="s">
        <v>121</v>
      </c>
      <c r="B4" s="215" t="s">
        <v>1453</v>
      </c>
      <c r="C4" s="215"/>
      <c r="D4" s="215"/>
      <c r="F4" s="216" t="s">
        <v>1454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7" ht="18" x14ac:dyDescent="0.25">
      <c r="A5" s="25" t="s">
        <v>124</v>
      </c>
      <c r="B5" s="215" t="s">
        <v>899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7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  <c r="AJ7" s="32" t="s">
        <v>128</v>
      </c>
      <c r="AK7" s="53" t="s">
        <v>158</v>
      </c>
    </row>
    <row r="8" spans="1:37" x14ac:dyDescent="0.25">
      <c r="A8" s="26" t="s">
        <v>159</v>
      </c>
      <c r="B8" s="29" t="s">
        <v>1455</v>
      </c>
      <c r="C8" s="28" t="s">
        <v>192</v>
      </c>
      <c r="D8" s="28" t="s">
        <v>192</v>
      </c>
      <c r="E8" s="28" t="s">
        <v>192</v>
      </c>
      <c r="F8" s="28" t="s">
        <v>192</v>
      </c>
      <c r="G8" s="28" t="s">
        <v>192</v>
      </c>
      <c r="H8" s="28" t="s">
        <v>192</v>
      </c>
      <c r="I8" s="28" t="s">
        <v>192</v>
      </c>
      <c r="J8" s="28" t="s">
        <v>192</v>
      </c>
      <c r="K8" s="28" t="s">
        <v>192</v>
      </c>
      <c r="L8" s="28" t="s">
        <v>192</v>
      </c>
      <c r="M8" s="28" t="s">
        <v>192</v>
      </c>
      <c r="N8" s="28" t="s">
        <v>192</v>
      </c>
      <c r="O8" s="28" t="s">
        <v>192</v>
      </c>
      <c r="P8" s="28" t="s">
        <v>192</v>
      </c>
      <c r="Q8" s="28" t="s">
        <v>192</v>
      </c>
      <c r="R8" s="28"/>
      <c r="S8" s="28"/>
      <c r="T8" s="28"/>
      <c r="U8" s="28"/>
      <c r="V8" s="28"/>
      <c r="W8" s="28"/>
      <c r="X8" s="28"/>
      <c r="Y8" s="28"/>
      <c r="Z8" s="28"/>
      <c r="AA8" s="29" t="s">
        <v>1456</v>
      </c>
      <c r="AB8" s="28"/>
      <c r="AC8" s="28"/>
      <c r="AD8" s="28"/>
      <c r="AE8" s="28"/>
      <c r="AF8" s="28"/>
      <c r="AG8" s="28"/>
      <c r="AH8" s="29" t="s">
        <v>192</v>
      </c>
      <c r="AJ8" s="29" t="s">
        <v>192</v>
      </c>
      <c r="AK8" s="28" t="s">
        <v>194</v>
      </c>
    </row>
    <row r="9" spans="1:37" x14ac:dyDescent="0.25">
      <c r="A9" s="26" t="s">
        <v>165</v>
      </c>
      <c r="B9" s="29" t="s">
        <v>1457</v>
      </c>
      <c r="C9" s="28" t="s">
        <v>195</v>
      </c>
      <c r="D9" s="28" t="s">
        <v>195</v>
      </c>
      <c r="E9" s="28" t="s">
        <v>195</v>
      </c>
      <c r="F9" s="28" t="s">
        <v>195</v>
      </c>
      <c r="G9" s="28" t="s">
        <v>195</v>
      </c>
      <c r="H9" s="28" t="s">
        <v>195</v>
      </c>
      <c r="I9" s="28" t="s">
        <v>195</v>
      </c>
      <c r="J9" s="28" t="s">
        <v>195</v>
      </c>
      <c r="K9" s="28" t="s">
        <v>195</v>
      </c>
      <c r="L9" s="28" t="s">
        <v>195</v>
      </c>
      <c r="M9" s="28" t="s">
        <v>195</v>
      </c>
      <c r="N9" s="28" t="s">
        <v>195</v>
      </c>
      <c r="O9" s="28" t="s">
        <v>195</v>
      </c>
      <c r="P9" s="28" t="s">
        <v>195</v>
      </c>
      <c r="Q9" s="28" t="s">
        <v>195</v>
      </c>
      <c r="R9" s="29"/>
      <c r="S9" s="29"/>
      <c r="T9" s="29"/>
      <c r="U9" s="29"/>
      <c r="V9" s="29"/>
      <c r="W9" s="29"/>
      <c r="X9" s="29"/>
      <c r="Y9" s="29"/>
      <c r="Z9" s="29"/>
      <c r="AA9" s="29" t="s">
        <v>1457</v>
      </c>
      <c r="AB9" s="29"/>
      <c r="AC9" s="29"/>
      <c r="AD9" s="29"/>
      <c r="AE9" s="29"/>
      <c r="AF9" s="29"/>
      <c r="AG9" s="29"/>
      <c r="AH9" s="29" t="s">
        <v>195</v>
      </c>
      <c r="AJ9" s="28" t="s">
        <v>197</v>
      </c>
      <c r="AK9" s="28" t="s">
        <v>1458</v>
      </c>
    </row>
    <row r="10" spans="1:37" x14ac:dyDescent="0.25">
      <c r="A10" s="131" t="s">
        <v>168</v>
      </c>
      <c r="B10" s="157">
        <v>197</v>
      </c>
      <c r="C10" s="157">
        <v>5</v>
      </c>
      <c r="D10" s="157">
        <v>5</v>
      </c>
      <c r="E10" s="157">
        <v>5</v>
      </c>
      <c r="F10" s="157">
        <v>5</v>
      </c>
      <c r="G10" s="157">
        <v>5</v>
      </c>
      <c r="H10" s="157">
        <v>5</v>
      </c>
      <c r="I10" s="157">
        <v>5</v>
      </c>
      <c r="J10" s="157">
        <v>5</v>
      </c>
      <c r="K10" s="157">
        <v>5</v>
      </c>
      <c r="L10" s="157">
        <v>5</v>
      </c>
      <c r="M10" s="157">
        <v>5</v>
      </c>
      <c r="N10" s="157">
        <v>5</v>
      </c>
      <c r="O10" s="157">
        <v>5</v>
      </c>
      <c r="P10" s="157">
        <v>5</v>
      </c>
      <c r="Q10" s="157">
        <v>5</v>
      </c>
      <c r="R10" s="157"/>
      <c r="S10" s="157"/>
      <c r="T10" s="157"/>
      <c r="U10" s="157"/>
      <c r="V10" s="157"/>
      <c r="W10" s="157"/>
      <c r="X10" s="157"/>
      <c r="Y10" s="157"/>
      <c r="Z10" s="157"/>
      <c r="AA10" s="157">
        <v>197</v>
      </c>
      <c r="AB10" s="157"/>
      <c r="AC10" s="157"/>
      <c r="AD10" s="157"/>
      <c r="AE10" s="157"/>
      <c r="AF10" s="157"/>
      <c r="AG10" s="157"/>
      <c r="AH10" s="157">
        <v>5</v>
      </c>
      <c r="AJ10" s="26">
        <v>34</v>
      </c>
      <c r="AK10" s="26">
        <v>28</v>
      </c>
    </row>
    <row r="11" spans="1:37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28" t="s">
        <v>170</v>
      </c>
      <c r="O11" s="28" t="s">
        <v>170</v>
      </c>
      <c r="P11" s="28" t="s">
        <v>170</v>
      </c>
      <c r="Q11" s="28" t="s">
        <v>170</v>
      </c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170</v>
      </c>
      <c r="AB11" s="28"/>
      <c r="AC11" s="29"/>
      <c r="AD11" s="28"/>
      <c r="AE11" s="29"/>
      <c r="AF11" s="28"/>
      <c r="AG11" s="28"/>
      <c r="AH11" s="28" t="s">
        <v>170</v>
      </c>
      <c r="AJ11" s="29" t="s">
        <v>170</v>
      </c>
      <c r="AK11" s="28" t="s">
        <v>170</v>
      </c>
    </row>
    <row r="12" spans="1:37" x14ac:dyDescent="0.25">
      <c r="A12" s="26" t="s">
        <v>171</v>
      </c>
      <c r="B12" s="28" t="s">
        <v>173</v>
      </c>
      <c r="C12" s="28" t="s">
        <v>173</v>
      </c>
      <c r="D12" s="28" t="s">
        <v>173</v>
      </c>
      <c r="E12" s="28" t="s">
        <v>173</v>
      </c>
      <c r="F12" s="28" t="s">
        <v>173</v>
      </c>
      <c r="G12" s="28" t="s">
        <v>173</v>
      </c>
      <c r="H12" s="28" t="s">
        <v>173</v>
      </c>
      <c r="I12" s="28" t="s">
        <v>173</v>
      </c>
      <c r="J12" s="28" t="s">
        <v>173</v>
      </c>
      <c r="K12" s="28" t="s">
        <v>173</v>
      </c>
      <c r="L12" s="28" t="s">
        <v>173</v>
      </c>
      <c r="M12" s="28" t="s">
        <v>173</v>
      </c>
      <c r="N12" s="28" t="s">
        <v>173</v>
      </c>
      <c r="O12" s="28" t="s">
        <v>173</v>
      </c>
      <c r="P12" s="28" t="s">
        <v>173</v>
      </c>
      <c r="Q12" s="28" t="s">
        <v>173</v>
      </c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173</v>
      </c>
      <c r="AB12" s="28"/>
      <c r="AC12" s="28"/>
      <c r="AD12" s="28"/>
      <c r="AE12" s="28"/>
      <c r="AF12" s="28"/>
      <c r="AG12" s="28"/>
      <c r="AH12" s="28" t="s">
        <v>173</v>
      </c>
      <c r="AJ12" s="28" t="s">
        <v>173</v>
      </c>
      <c r="AK12" s="28" t="s">
        <v>173</v>
      </c>
    </row>
    <row r="13" spans="1:37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173</v>
      </c>
      <c r="AB13" s="28"/>
      <c r="AC13" s="28"/>
      <c r="AD13" s="28"/>
      <c r="AE13" s="28"/>
      <c r="AF13" s="28"/>
      <c r="AG13" s="28"/>
      <c r="AH13" s="28" t="s">
        <v>173</v>
      </c>
      <c r="AJ13" s="28" t="s">
        <v>170</v>
      </c>
      <c r="AK13" s="28" t="s">
        <v>170</v>
      </c>
    </row>
    <row r="14" spans="1:37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173</v>
      </c>
      <c r="AB14" s="28"/>
      <c r="AC14" s="28"/>
      <c r="AD14" s="28"/>
      <c r="AE14" s="28"/>
      <c r="AF14" s="28"/>
      <c r="AG14" s="28"/>
      <c r="AH14" s="28" t="s">
        <v>173</v>
      </c>
      <c r="AJ14" s="28" t="s">
        <v>173</v>
      </c>
      <c r="AK14" s="28" t="s">
        <v>173</v>
      </c>
    </row>
    <row r="15" spans="1:37" x14ac:dyDescent="0.25">
      <c r="A15" s="26" t="s">
        <v>175</v>
      </c>
      <c r="B15" s="28" t="s">
        <v>198</v>
      </c>
      <c r="C15" s="28" t="s">
        <v>198</v>
      </c>
      <c r="D15" s="28" t="s">
        <v>198</v>
      </c>
      <c r="E15" s="28" t="s">
        <v>198</v>
      </c>
      <c r="F15" s="28" t="s">
        <v>198</v>
      </c>
      <c r="G15" s="28" t="s">
        <v>198</v>
      </c>
      <c r="H15" s="28" t="s">
        <v>198</v>
      </c>
      <c r="I15" s="28" t="s">
        <v>198</v>
      </c>
      <c r="J15" s="28" t="s">
        <v>198</v>
      </c>
      <c r="K15" s="28" t="s">
        <v>198</v>
      </c>
      <c r="L15" s="28" t="s">
        <v>198</v>
      </c>
      <c r="M15" s="28" t="s">
        <v>198</v>
      </c>
      <c r="N15" s="28" t="s">
        <v>198</v>
      </c>
      <c r="O15" s="28" t="s">
        <v>198</v>
      </c>
      <c r="P15" s="28" t="s">
        <v>198</v>
      </c>
      <c r="Q15" s="28" t="s">
        <v>198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198</v>
      </c>
      <c r="AB15" s="28"/>
      <c r="AC15" s="28"/>
      <c r="AD15" s="28"/>
      <c r="AE15" s="28"/>
      <c r="AF15" s="28"/>
      <c r="AG15" s="28"/>
      <c r="AH15" s="28" t="s">
        <v>198</v>
      </c>
      <c r="AJ15" s="28" t="s">
        <v>199</v>
      </c>
      <c r="AK15" s="28" t="s">
        <v>198</v>
      </c>
    </row>
    <row r="16" spans="1:37" x14ac:dyDescent="0.25">
      <c r="A16" s="26" t="s">
        <v>176</v>
      </c>
      <c r="B16" s="30">
        <f t="shared" ref="B16:Q16" si="0">5/3</f>
        <v>1.6666666666666667</v>
      </c>
      <c r="C16" s="30">
        <f t="shared" si="0"/>
        <v>1.6666666666666667</v>
      </c>
      <c r="D16" s="30">
        <f t="shared" si="0"/>
        <v>1.6666666666666667</v>
      </c>
      <c r="E16" s="30">
        <f t="shared" si="0"/>
        <v>1.6666666666666667</v>
      </c>
      <c r="F16" s="30">
        <f t="shared" si="0"/>
        <v>1.6666666666666667</v>
      </c>
      <c r="G16" s="30">
        <f t="shared" si="0"/>
        <v>1.6666666666666667</v>
      </c>
      <c r="H16" s="30">
        <f t="shared" si="0"/>
        <v>1.6666666666666667</v>
      </c>
      <c r="I16" s="30">
        <f t="shared" si="0"/>
        <v>1.6666666666666667</v>
      </c>
      <c r="J16" s="30">
        <f t="shared" si="0"/>
        <v>1.6666666666666667</v>
      </c>
      <c r="K16" s="30">
        <f t="shared" si="0"/>
        <v>1.6666666666666667</v>
      </c>
      <c r="L16" s="30">
        <f t="shared" si="0"/>
        <v>1.6666666666666667</v>
      </c>
      <c r="M16" s="30">
        <f t="shared" si="0"/>
        <v>1.6666666666666667</v>
      </c>
      <c r="N16" s="30">
        <f t="shared" si="0"/>
        <v>1.6666666666666667</v>
      </c>
      <c r="O16" s="30">
        <f t="shared" si="0"/>
        <v>1.6666666666666667</v>
      </c>
      <c r="P16" s="30">
        <f t="shared" si="0"/>
        <v>1.6666666666666667</v>
      </c>
      <c r="Q16" s="30">
        <f t="shared" si="0"/>
        <v>1.6666666666666667</v>
      </c>
      <c r="R16" s="30"/>
      <c r="S16" s="30"/>
      <c r="T16" s="30"/>
      <c r="U16" s="30"/>
      <c r="V16" s="30"/>
      <c r="W16" s="30"/>
      <c r="X16" s="30"/>
      <c r="Y16" s="30"/>
      <c r="Z16" s="30"/>
      <c r="AA16" s="30">
        <f>5/3</f>
        <v>1.6666666666666667</v>
      </c>
      <c r="AB16" s="30"/>
      <c r="AC16" s="30"/>
      <c r="AD16" s="30"/>
      <c r="AE16" s="30"/>
      <c r="AF16" s="30"/>
      <c r="AG16" s="30"/>
      <c r="AH16" s="30">
        <f>5/3</f>
        <v>1.6666666666666667</v>
      </c>
      <c r="AJ16" s="30">
        <v>-0.5</v>
      </c>
      <c r="AK16" s="30">
        <v>1</v>
      </c>
    </row>
    <row r="17" spans="1:37" x14ac:dyDescent="0.25">
      <c r="A17" s="26" t="s">
        <v>177</v>
      </c>
      <c r="B17" s="28" t="s">
        <v>1125</v>
      </c>
      <c r="C17" s="28" t="s">
        <v>178</v>
      </c>
      <c r="D17" s="28" t="s">
        <v>178</v>
      </c>
      <c r="E17" s="28" t="s">
        <v>178</v>
      </c>
      <c r="F17" s="28" t="s">
        <v>178</v>
      </c>
      <c r="G17" s="28" t="s">
        <v>178</v>
      </c>
      <c r="H17" s="28" t="s">
        <v>178</v>
      </c>
      <c r="I17" s="28" t="s">
        <v>178</v>
      </c>
      <c r="J17" s="28" t="s">
        <v>178</v>
      </c>
      <c r="K17" s="28" t="s">
        <v>178</v>
      </c>
      <c r="L17" s="28" t="s">
        <v>178</v>
      </c>
      <c r="M17" s="28" t="s">
        <v>178</v>
      </c>
      <c r="N17" s="28" t="s">
        <v>178</v>
      </c>
      <c r="O17" s="28" t="s">
        <v>178</v>
      </c>
      <c r="P17" s="28" t="s">
        <v>178</v>
      </c>
      <c r="Q17" s="28" t="s">
        <v>178</v>
      </c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1125</v>
      </c>
      <c r="AB17" s="28"/>
      <c r="AC17" s="28"/>
      <c r="AD17" s="28"/>
      <c r="AE17" s="28"/>
      <c r="AF17" s="28"/>
      <c r="AG17" s="28"/>
      <c r="AH17" s="28" t="s">
        <v>178</v>
      </c>
      <c r="AJ17" s="28" t="s">
        <v>200</v>
      </c>
      <c r="AK17" s="28" t="s">
        <v>200</v>
      </c>
    </row>
    <row r="18" spans="1:37" x14ac:dyDescent="0.25">
      <c r="A18" s="26" t="s">
        <v>182</v>
      </c>
      <c r="B18" s="30">
        <v>5</v>
      </c>
      <c r="C18" s="30">
        <v>4</v>
      </c>
      <c r="D18" s="30">
        <v>4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v>5</v>
      </c>
      <c r="AB18" s="30"/>
      <c r="AC18" s="30"/>
      <c r="AD18" s="30"/>
      <c r="AE18" s="30"/>
      <c r="AF18" s="30"/>
      <c r="AG18" s="30"/>
      <c r="AH18" s="30">
        <v>4</v>
      </c>
      <c r="AJ18" s="30">
        <v>3</v>
      </c>
      <c r="AK18" s="30">
        <v>3</v>
      </c>
    </row>
    <row r="19" spans="1:37" x14ac:dyDescent="0.25">
      <c r="D19" s="78" t="s">
        <v>1459</v>
      </c>
      <c r="AJ19" s="223" t="s">
        <v>1460</v>
      </c>
      <c r="AK19" s="223"/>
    </row>
    <row r="20" spans="1:37" x14ac:dyDescent="0.25">
      <c r="A20" s="31" t="s">
        <v>183</v>
      </c>
    </row>
    <row r="21" spans="1:37" x14ac:dyDescent="0.25">
      <c r="A21" s="1" t="s">
        <v>1461</v>
      </c>
      <c r="B21" s="56" t="s">
        <v>1445</v>
      </c>
    </row>
    <row r="22" spans="1:37" x14ac:dyDescent="0.25">
      <c r="A22" s="26" t="s">
        <v>1462</v>
      </c>
    </row>
  </sheetData>
  <mergeCells count="6">
    <mergeCell ref="AJ19:AK19"/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A8B3-D712-4DA0-8D1D-B2CFAAACBBED}">
  <dimension ref="A1:AH21"/>
  <sheetViews>
    <sheetView workbookViewId="0">
      <selection activeCell="Q8" sqref="Q8:Q18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895</v>
      </c>
      <c r="I1" s="25" t="s">
        <v>1441</v>
      </c>
    </row>
    <row r="3" spans="1:34" ht="18" x14ac:dyDescent="0.25">
      <c r="A3" s="25" t="s">
        <v>119</v>
      </c>
      <c r="B3" s="215">
        <v>93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1463</v>
      </c>
      <c r="C4" s="215"/>
      <c r="D4" s="215"/>
      <c r="F4" s="216" t="s">
        <v>1464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899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86" t="s">
        <v>1465</v>
      </c>
      <c r="C8" s="28" t="s">
        <v>220</v>
      </c>
      <c r="D8" s="28" t="s">
        <v>220</v>
      </c>
      <c r="E8" s="28" t="s">
        <v>220</v>
      </c>
      <c r="F8" s="28" t="s">
        <v>220</v>
      </c>
      <c r="G8" s="28" t="s">
        <v>220</v>
      </c>
      <c r="H8" s="28" t="s">
        <v>220</v>
      </c>
      <c r="I8" s="28" t="s">
        <v>220</v>
      </c>
      <c r="J8" s="28" t="s">
        <v>220</v>
      </c>
      <c r="K8" s="28" t="s">
        <v>220</v>
      </c>
      <c r="L8" s="28" t="s">
        <v>220</v>
      </c>
      <c r="M8" s="28" t="s">
        <v>220</v>
      </c>
      <c r="N8" s="28"/>
      <c r="O8" s="28"/>
      <c r="P8" s="29" t="s">
        <v>220</v>
      </c>
      <c r="Q8" s="29" t="s">
        <v>220</v>
      </c>
      <c r="R8" s="28"/>
      <c r="S8" s="28"/>
      <c r="T8" s="28"/>
      <c r="U8" s="28"/>
      <c r="V8" s="28"/>
      <c r="W8" s="28"/>
      <c r="X8" s="28"/>
      <c r="Y8" s="28"/>
      <c r="Z8" s="28"/>
      <c r="AA8" s="29" t="s">
        <v>1466</v>
      </c>
      <c r="AB8" s="28"/>
      <c r="AC8" s="28"/>
      <c r="AD8" s="28"/>
      <c r="AE8" s="28"/>
      <c r="AF8" s="28"/>
      <c r="AG8" s="28"/>
      <c r="AH8" s="29" t="s">
        <v>220</v>
      </c>
    </row>
    <row r="9" spans="1:34" x14ac:dyDescent="0.25">
      <c r="A9" s="26" t="s">
        <v>165</v>
      </c>
      <c r="B9" s="29" t="s">
        <v>1467</v>
      </c>
      <c r="C9" s="28" t="s">
        <v>918</v>
      </c>
      <c r="D9" s="28" t="s">
        <v>223</v>
      </c>
      <c r="E9" s="28" t="s">
        <v>919</v>
      </c>
      <c r="F9" s="28" t="s">
        <v>919</v>
      </c>
      <c r="G9" s="28" t="s">
        <v>919</v>
      </c>
      <c r="H9" s="28" t="s">
        <v>919</v>
      </c>
      <c r="I9" s="28" t="s">
        <v>919</v>
      </c>
      <c r="J9" s="28" t="s">
        <v>920</v>
      </c>
      <c r="K9" s="28" t="s">
        <v>920</v>
      </c>
      <c r="L9" s="28" t="s">
        <v>921</v>
      </c>
      <c r="M9" s="28" t="s">
        <v>922</v>
      </c>
      <c r="N9" s="29"/>
      <c r="O9" s="29"/>
      <c r="P9" s="29" t="s">
        <v>223</v>
      </c>
      <c r="Q9" s="29" t="s">
        <v>223</v>
      </c>
      <c r="R9" s="29"/>
      <c r="S9" s="29"/>
      <c r="T9" s="29"/>
      <c r="U9" s="29"/>
      <c r="V9" s="29"/>
      <c r="W9" s="29"/>
      <c r="X9" s="29"/>
      <c r="Y9" s="29"/>
      <c r="Z9" s="29"/>
      <c r="AA9" s="29" t="s">
        <v>1467</v>
      </c>
      <c r="AB9" s="29"/>
      <c r="AC9" s="29"/>
      <c r="AD9" s="29"/>
      <c r="AE9" s="29"/>
      <c r="AF9" s="29"/>
      <c r="AG9" s="29"/>
      <c r="AH9" s="29" t="s">
        <v>223</v>
      </c>
    </row>
    <row r="10" spans="1:34" x14ac:dyDescent="0.25">
      <c r="A10" s="131" t="s">
        <v>168</v>
      </c>
      <c r="B10" s="157">
        <v>198</v>
      </c>
      <c r="C10" s="157">
        <v>45</v>
      </c>
      <c r="D10" s="157">
        <v>6</v>
      </c>
      <c r="E10" s="157">
        <v>92</v>
      </c>
      <c r="F10" s="157">
        <v>92</v>
      </c>
      <c r="G10" s="157">
        <v>92</v>
      </c>
      <c r="H10" s="157">
        <v>92</v>
      </c>
      <c r="I10" s="157">
        <v>92</v>
      </c>
      <c r="J10" s="157">
        <v>170</v>
      </c>
      <c r="K10" s="157">
        <v>170</v>
      </c>
      <c r="L10" s="157">
        <v>168</v>
      </c>
      <c r="M10" s="157">
        <v>169</v>
      </c>
      <c r="N10" s="157"/>
      <c r="O10" s="157"/>
      <c r="P10" s="157">
        <v>6</v>
      </c>
      <c r="Q10" s="157">
        <v>6</v>
      </c>
      <c r="R10" s="157"/>
      <c r="S10" s="157"/>
      <c r="T10" s="157"/>
      <c r="U10" s="157"/>
      <c r="V10" s="157"/>
      <c r="W10" s="157"/>
      <c r="X10" s="157"/>
      <c r="Y10" s="157"/>
      <c r="Z10" s="157"/>
      <c r="AA10" s="157">
        <v>198</v>
      </c>
      <c r="AB10" s="157"/>
      <c r="AC10" s="157"/>
      <c r="AD10" s="157"/>
      <c r="AE10" s="157"/>
      <c r="AF10" s="157"/>
      <c r="AG10" s="157"/>
      <c r="AH10" s="157">
        <v>6</v>
      </c>
    </row>
    <row r="11" spans="1:34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28"/>
      <c r="O11" s="28"/>
      <c r="P11" s="28" t="s">
        <v>170</v>
      </c>
      <c r="Q11" s="28" t="s">
        <v>170</v>
      </c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170</v>
      </c>
      <c r="AB11" s="28"/>
      <c r="AC11" s="29"/>
      <c r="AD11" s="28"/>
      <c r="AE11" s="29"/>
      <c r="AF11" s="28"/>
      <c r="AG11" s="28"/>
      <c r="AH11" s="28" t="s">
        <v>170</v>
      </c>
    </row>
    <row r="12" spans="1:34" x14ac:dyDescent="0.25">
      <c r="A12" s="26" t="s">
        <v>171</v>
      </c>
      <c r="B12" s="28" t="s">
        <v>170</v>
      </c>
      <c r="C12" s="28" t="s">
        <v>170</v>
      </c>
      <c r="D12" s="28" t="s">
        <v>170</v>
      </c>
      <c r="E12" s="28" t="s">
        <v>170</v>
      </c>
      <c r="F12" s="28" t="s">
        <v>170</v>
      </c>
      <c r="G12" s="28" t="s">
        <v>170</v>
      </c>
      <c r="H12" s="28" t="s">
        <v>170</v>
      </c>
      <c r="I12" s="28" t="s">
        <v>170</v>
      </c>
      <c r="J12" s="28" t="s">
        <v>170</v>
      </c>
      <c r="K12" s="28" t="s">
        <v>170</v>
      </c>
      <c r="L12" s="28" t="s">
        <v>170</v>
      </c>
      <c r="M12" s="28" t="s">
        <v>170</v>
      </c>
      <c r="N12" s="28"/>
      <c r="O12" s="28"/>
      <c r="P12" s="28" t="s">
        <v>170</v>
      </c>
      <c r="Q12" s="28" t="s">
        <v>170</v>
      </c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170</v>
      </c>
      <c r="AB12" s="28"/>
      <c r="AC12" s="28"/>
      <c r="AD12" s="28"/>
      <c r="AE12" s="28"/>
      <c r="AF12" s="28"/>
      <c r="AG12" s="28"/>
      <c r="AH12" s="28" t="s">
        <v>170</v>
      </c>
    </row>
    <row r="13" spans="1:34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/>
      <c r="O13" s="28"/>
      <c r="P13" s="28" t="s">
        <v>173</v>
      </c>
      <c r="Q13" s="28" t="s">
        <v>173</v>
      </c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173</v>
      </c>
      <c r="AB13" s="28"/>
      <c r="AC13" s="28"/>
      <c r="AD13" s="28"/>
      <c r="AE13" s="28"/>
      <c r="AF13" s="28"/>
      <c r="AG13" s="28"/>
      <c r="AH13" s="28" t="s">
        <v>173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/>
      <c r="O14" s="28"/>
      <c r="P14" s="28" t="s">
        <v>173</v>
      </c>
      <c r="Q14" s="28" t="s">
        <v>173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173</v>
      </c>
      <c r="AB14" s="28"/>
      <c r="AC14" s="28"/>
      <c r="AD14" s="28"/>
      <c r="AE14" s="28"/>
      <c r="AF14" s="28"/>
      <c r="AG14" s="28"/>
      <c r="AH14" s="28" t="s">
        <v>173</v>
      </c>
    </row>
    <row r="15" spans="1:34" x14ac:dyDescent="0.25">
      <c r="A15" s="26" t="s">
        <v>175</v>
      </c>
      <c r="B15" s="28" t="s">
        <v>198</v>
      </c>
      <c r="C15" s="28" t="s">
        <v>198</v>
      </c>
      <c r="D15" s="28" t="s">
        <v>198</v>
      </c>
      <c r="E15" s="28" t="s">
        <v>198</v>
      </c>
      <c r="F15" s="28" t="s">
        <v>198</v>
      </c>
      <c r="G15" s="28" t="s">
        <v>198</v>
      </c>
      <c r="H15" s="28" t="s">
        <v>198</v>
      </c>
      <c r="I15" s="28" t="s">
        <v>198</v>
      </c>
      <c r="J15" s="28" t="s">
        <v>198</v>
      </c>
      <c r="K15" s="28" t="s">
        <v>198</v>
      </c>
      <c r="L15" s="28" t="s">
        <v>198</v>
      </c>
      <c r="M15" s="28" t="s">
        <v>198</v>
      </c>
      <c r="N15" s="28"/>
      <c r="O15" s="28"/>
      <c r="P15" s="28" t="s">
        <v>198</v>
      </c>
      <c r="Q15" s="28" t="s">
        <v>198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198</v>
      </c>
      <c r="AB15" s="28"/>
      <c r="AC15" s="28"/>
      <c r="AD15" s="28"/>
      <c r="AE15" s="28"/>
      <c r="AF15" s="28"/>
      <c r="AG15" s="28"/>
      <c r="AH15" s="28" t="s">
        <v>198</v>
      </c>
    </row>
    <row r="16" spans="1:34" x14ac:dyDescent="0.25">
      <c r="A16" s="26" t="s">
        <v>176</v>
      </c>
      <c r="B16" s="30">
        <f>5/3</f>
        <v>1.6666666666666667</v>
      </c>
      <c r="C16" s="30">
        <v>2</v>
      </c>
      <c r="D16" s="30">
        <f>5/3</f>
        <v>1.6666666666666667</v>
      </c>
      <c r="E16" s="30">
        <f t="shared" ref="E16:F16" si="0">11/6</f>
        <v>1.8333333333333333</v>
      </c>
      <c r="F16" s="30">
        <f t="shared" si="0"/>
        <v>1.8333333333333333</v>
      </c>
      <c r="G16" s="30">
        <f>11/6</f>
        <v>1.8333333333333333</v>
      </c>
      <c r="H16" s="30">
        <f t="shared" ref="H16:I16" si="1">11/6</f>
        <v>1.8333333333333333</v>
      </c>
      <c r="I16" s="30">
        <f t="shared" si="1"/>
        <v>1.8333333333333333</v>
      </c>
      <c r="J16" s="30">
        <f>AVERAGE(2,11/6)</f>
        <v>1.9166666666666665</v>
      </c>
      <c r="K16" s="30">
        <f>AVERAGE(2,11/6)</f>
        <v>1.9166666666666665</v>
      </c>
      <c r="L16" s="30">
        <f>AVERAGE(5/3,11/6)</f>
        <v>1.75</v>
      </c>
      <c r="M16" s="30">
        <f>AVERAGE(5/3,2)</f>
        <v>1.8333333333333335</v>
      </c>
      <c r="N16" s="30"/>
      <c r="O16" s="30"/>
      <c r="P16" s="30">
        <f>5/3</f>
        <v>1.6666666666666667</v>
      </c>
      <c r="Q16" s="30">
        <f>5/3</f>
        <v>1.6666666666666667</v>
      </c>
      <c r="R16" s="30"/>
      <c r="S16" s="30"/>
      <c r="T16" s="30"/>
      <c r="U16" s="30"/>
      <c r="V16" s="30"/>
      <c r="W16" s="30"/>
      <c r="X16" s="30"/>
      <c r="Y16" s="30"/>
      <c r="Z16" s="30"/>
      <c r="AA16" s="30">
        <f>5/3</f>
        <v>1.6666666666666667</v>
      </c>
      <c r="AB16" s="30"/>
      <c r="AC16" s="30"/>
      <c r="AD16" s="30"/>
      <c r="AE16" s="30"/>
      <c r="AF16" s="30"/>
      <c r="AG16" s="30"/>
      <c r="AH16" s="30">
        <f>5/3</f>
        <v>1.6666666666666667</v>
      </c>
    </row>
    <row r="17" spans="1:34" x14ac:dyDescent="0.25">
      <c r="A17" s="26" t="s">
        <v>177</v>
      </c>
      <c r="B17" s="28" t="s">
        <v>1125</v>
      </c>
      <c r="C17" s="28" t="s">
        <v>181</v>
      </c>
      <c r="D17" s="28" t="s">
        <v>178</v>
      </c>
      <c r="E17" s="28" t="s">
        <v>334</v>
      </c>
      <c r="F17" s="28" t="s">
        <v>334</v>
      </c>
      <c r="G17" s="28" t="s">
        <v>334</v>
      </c>
      <c r="H17" s="28" t="s">
        <v>334</v>
      </c>
      <c r="I17" s="28" t="s">
        <v>334</v>
      </c>
      <c r="J17" s="28" t="s">
        <v>905</v>
      </c>
      <c r="K17" s="28" t="s">
        <v>905</v>
      </c>
      <c r="L17" s="28" t="s">
        <v>357</v>
      </c>
      <c r="M17" s="28" t="s">
        <v>180</v>
      </c>
      <c r="N17" s="28"/>
      <c r="O17" s="28"/>
      <c r="P17" s="28" t="s">
        <v>178</v>
      </c>
      <c r="Q17" s="28" t="s">
        <v>178</v>
      </c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1125</v>
      </c>
      <c r="AB17" s="28"/>
      <c r="AC17" s="28"/>
      <c r="AD17" s="28"/>
      <c r="AE17" s="28"/>
      <c r="AF17" s="28"/>
      <c r="AG17" s="28"/>
      <c r="AH17" s="28" t="s">
        <v>178</v>
      </c>
    </row>
    <row r="18" spans="1:34" x14ac:dyDescent="0.25">
      <c r="A18" s="26" t="s">
        <v>182</v>
      </c>
      <c r="B18" s="30">
        <v>5</v>
      </c>
      <c r="C18" s="30">
        <v>2</v>
      </c>
      <c r="D18" s="30">
        <v>4</v>
      </c>
      <c r="E18" s="30">
        <v>0.5</v>
      </c>
      <c r="F18" s="30">
        <v>0.5</v>
      </c>
      <c r="G18" s="30">
        <v>0.5</v>
      </c>
      <c r="H18" s="30">
        <v>0.5</v>
      </c>
      <c r="I18" s="30">
        <v>0.5</v>
      </c>
      <c r="J18" s="30">
        <f>AVERAGE(2,0.5)</f>
        <v>1.25</v>
      </c>
      <c r="K18" s="30">
        <f>AVERAGE(2,0.5)</f>
        <v>1.25</v>
      </c>
      <c r="L18" s="30">
        <f>AVERAGE(4,0.5)</f>
        <v>2.25</v>
      </c>
      <c r="M18" s="30">
        <f>AVERAGE(4,2)</f>
        <v>3</v>
      </c>
      <c r="N18" s="30"/>
      <c r="O18" s="30"/>
      <c r="P18" s="30">
        <v>4</v>
      </c>
      <c r="Q18" s="30">
        <v>4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v>5</v>
      </c>
      <c r="AB18" s="30"/>
      <c r="AC18" s="30"/>
      <c r="AD18" s="30"/>
      <c r="AE18" s="30"/>
      <c r="AF18" s="30"/>
      <c r="AG18" s="30"/>
      <c r="AH18" s="30">
        <v>4</v>
      </c>
    </row>
    <row r="20" spans="1:34" x14ac:dyDescent="0.25">
      <c r="A20" s="31" t="s">
        <v>183</v>
      </c>
    </row>
    <row r="21" spans="1:34" x14ac:dyDescent="0.25">
      <c r="A21" s="26" t="s">
        <v>1468</v>
      </c>
      <c r="B21" s="56" t="s">
        <v>1445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7F0D5-E0D4-40B8-9E23-A519AA81068C}">
  <dimension ref="A1:AH21"/>
  <sheetViews>
    <sheetView workbookViewId="0">
      <selection activeCell="B7" sqref="B7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895</v>
      </c>
      <c r="I1" s="25" t="s">
        <v>1441</v>
      </c>
    </row>
    <row r="3" spans="1:34" ht="18" x14ac:dyDescent="0.25">
      <c r="A3" s="25" t="s">
        <v>119</v>
      </c>
      <c r="B3" s="215">
        <v>94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1469</v>
      </c>
      <c r="C4" s="215"/>
      <c r="D4" s="215"/>
      <c r="F4" s="216" t="s">
        <v>1470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969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91" t="s">
        <v>1471</v>
      </c>
      <c r="C8" s="28" t="s">
        <v>248</v>
      </c>
      <c r="D8" s="28" t="s">
        <v>248</v>
      </c>
      <c r="E8" s="28" t="s">
        <v>248</v>
      </c>
      <c r="F8" s="28" t="s">
        <v>248</v>
      </c>
      <c r="G8" s="28" t="s">
        <v>248</v>
      </c>
      <c r="H8" s="28" t="s">
        <v>248</v>
      </c>
      <c r="I8" s="28" t="s">
        <v>248</v>
      </c>
      <c r="J8" s="28" t="s">
        <v>248</v>
      </c>
      <c r="K8" s="28" t="s">
        <v>248</v>
      </c>
      <c r="L8" s="28" t="s">
        <v>248</v>
      </c>
      <c r="M8" s="28" t="s">
        <v>248</v>
      </c>
      <c r="N8" s="28" t="s">
        <v>248</v>
      </c>
      <c r="O8" s="28" t="s">
        <v>248</v>
      </c>
      <c r="P8" s="28" t="s">
        <v>248</v>
      </c>
      <c r="Q8" s="28" t="s">
        <v>248</v>
      </c>
      <c r="R8" s="28"/>
      <c r="S8" s="28"/>
      <c r="T8" s="28"/>
      <c r="U8" s="28"/>
      <c r="V8" s="28"/>
      <c r="W8" s="28"/>
      <c r="X8" s="28"/>
      <c r="Y8" s="28"/>
      <c r="Z8" s="28"/>
      <c r="AA8" s="28" t="s">
        <v>1472</v>
      </c>
      <c r="AB8" s="28"/>
      <c r="AC8" s="28"/>
      <c r="AD8" s="28"/>
      <c r="AE8" s="28"/>
      <c r="AF8" s="28"/>
      <c r="AG8" s="28"/>
      <c r="AH8" s="28" t="s">
        <v>248</v>
      </c>
    </row>
    <row r="9" spans="1:34" x14ac:dyDescent="0.25">
      <c r="A9" s="26" t="s">
        <v>165</v>
      </c>
      <c r="B9" s="91" t="s">
        <v>1473</v>
      </c>
      <c r="C9" s="28" t="s">
        <v>254</v>
      </c>
      <c r="D9" s="28" t="s">
        <v>254</v>
      </c>
      <c r="E9" s="28" t="s">
        <v>254</v>
      </c>
      <c r="F9" s="28" t="s">
        <v>254</v>
      </c>
      <c r="G9" s="28" t="s">
        <v>254</v>
      </c>
      <c r="H9" s="28" t="s">
        <v>254</v>
      </c>
      <c r="I9" s="28" t="s">
        <v>254</v>
      </c>
      <c r="J9" s="28" t="s">
        <v>254</v>
      </c>
      <c r="K9" s="28" t="s">
        <v>254</v>
      </c>
      <c r="L9" s="28" t="s">
        <v>254</v>
      </c>
      <c r="M9" s="28" t="s">
        <v>254</v>
      </c>
      <c r="N9" s="28" t="s">
        <v>254</v>
      </c>
      <c r="O9" s="28" t="s">
        <v>254</v>
      </c>
      <c r="P9" s="28" t="s">
        <v>254</v>
      </c>
      <c r="Q9" s="28" t="s">
        <v>254</v>
      </c>
      <c r="R9" s="29"/>
      <c r="S9" s="29"/>
      <c r="T9" s="29"/>
      <c r="U9" s="29"/>
      <c r="V9" s="29"/>
      <c r="W9" s="29"/>
      <c r="X9" s="29"/>
      <c r="Y9" s="29"/>
      <c r="Z9" s="29"/>
      <c r="AA9" s="28" t="s">
        <v>1473</v>
      </c>
      <c r="AB9" s="29"/>
      <c r="AC9" s="29"/>
      <c r="AD9" s="29"/>
      <c r="AE9" s="29"/>
      <c r="AF9" s="29"/>
      <c r="AG9" s="29"/>
      <c r="AH9" s="28" t="s">
        <v>254</v>
      </c>
    </row>
    <row r="10" spans="1:34" x14ac:dyDescent="0.25">
      <c r="A10" s="131" t="s">
        <v>168</v>
      </c>
      <c r="B10" s="157">
        <v>206</v>
      </c>
      <c r="C10" s="157">
        <v>19</v>
      </c>
      <c r="D10" s="157">
        <v>19</v>
      </c>
      <c r="E10" s="157">
        <v>19</v>
      </c>
      <c r="F10" s="157">
        <v>19</v>
      </c>
      <c r="G10" s="157">
        <v>19</v>
      </c>
      <c r="H10" s="157">
        <v>19</v>
      </c>
      <c r="I10" s="157">
        <v>19</v>
      </c>
      <c r="J10" s="157">
        <v>19</v>
      </c>
      <c r="K10" s="157">
        <v>19</v>
      </c>
      <c r="L10" s="157">
        <v>19</v>
      </c>
      <c r="M10" s="157">
        <v>19</v>
      </c>
      <c r="N10" s="157">
        <v>19</v>
      </c>
      <c r="O10" s="157">
        <v>19</v>
      </c>
      <c r="P10" s="157">
        <v>19</v>
      </c>
      <c r="Q10" s="157">
        <v>19</v>
      </c>
      <c r="R10" s="157"/>
      <c r="S10" s="157"/>
      <c r="T10" s="157"/>
      <c r="U10" s="157"/>
      <c r="V10" s="157"/>
      <c r="W10" s="157"/>
      <c r="X10" s="157"/>
      <c r="Y10" s="157"/>
      <c r="Z10" s="157"/>
      <c r="AA10" s="157">
        <v>206</v>
      </c>
      <c r="AB10" s="157"/>
      <c r="AC10" s="157"/>
      <c r="AD10" s="157"/>
      <c r="AE10" s="157"/>
      <c r="AF10" s="157"/>
      <c r="AG10" s="157"/>
      <c r="AH10" s="157">
        <v>19</v>
      </c>
    </row>
    <row r="11" spans="1:34" x14ac:dyDescent="0.25">
      <c r="A11" s="26" t="s">
        <v>169</v>
      </c>
      <c r="B11" s="86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28" t="s">
        <v>170</v>
      </c>
      <c r="O11" s="28" t="s">
        <v>170</v>
      </c>
      <c r="P11" s="28" t="s">
        <v>170</v>
      </c>
      <c r="Q11" s="28" t="s">
        <v>170</v>
      </c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170</v>
      </c>
      <c r="AB11" s="28"/>
      <c r="AC11" s="29"/>
      <c r="AD11" s="28"/>
      <c r="AE11" s="29"/>
      <c r="AF11" s="28"/>
      <c r="AG11" s="28"/>
      <c r="AH11" s="28" t="s">
        <v>170</v>
      </c>
    </row>
    <row r="12" spans="1:34" x14ac:dyDescent="0.25">
      <c r="A12" s="26" t="s">
        <v>171</v>
      </c>
      <c r="B12" s="86" t="s">
        <v>173</v>
      </c>
      <c r="C12" s="28" t="s">
        <v>173</v>
      </c>
      <c r="D12" s="28" t="s">
        <v>173</v>
      </c>
      <c r="E12" s="28" t="s">
        <v>173</v>
      </c>
      <c r="F12" s="28" t="s">
        <v>173</v>
      </c>
      <c r="G12" s="28" t="s">
        <v>173</v>
      </c>
      <c r="H12" s="28" t="s">
        <v>173</v>
      </c>
      <c r="I12" s="28" t="s">
        <v>173</v>
      </c>
      <c r="J12" s="28" t="s">
        <v>173</v>
      </c>
      <c r="K12" s="28" t="s">
        <v>173</v>
      </c>
      <c r="L12" s="28" t="s">
        <v>173</v>
      </c>
      <c r="M12" s="28" t="s">
        <v>173</v>
      </c>
      <c r="N12" s="28" t="s">
        <v>173</v>
      </c>
      <c r="O12" s="28" t="s">
        <v>173</v>
      </c>
      <c r="P12" s="28" t="s">
        <v>173</v>
      </c>
      <c r="Q12" s="28" t="s">
        <v>173</v>
      </c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173</v>
      </c>
      <c r="AB12" s="28"/>
      <c r="AC12" s="28"/>
      <c r="AD12" s="28"/>
      <c r="AE12" s="28"/>
      <c r="AF12" s="28"/>
      <c r="AG12" s="28"/>
      <c r="AH12" s="28" t="s">
        <v>173</v>
      </c>
    </row>
    <row r="13" spans="1:34" x14ac:dyDescent="0.25">
      <c r="A13" s="26" t="s">
        <v>172</v>
      </c>
      <c r="B13" s="86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173</v>
      </c>
      <c r="AB13" s="28"/>
      <c r="AC13" s="28"/>
      <c r="AD13" s="28"/>
      <c r="AE13" s="28"/>
      <c r="AF13" s="28"/>
      <c r="AG13" s="28"/>
      <c r="AH13" s="28" t="s">
        <v>173</v>
      </c>
    </row>
    <row r="14" spans="1:34" x14ac:dyDescent="0.25">
      <c r="A14" s="26" t="s">
        <v>174</v>
      </c>
      <c r="B14" s="86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173</v>
      </c>
      <c r="AB14" s="28"/>
      <c r="AC14" s="28"/>
      <c r="AD14" s="28"/>
      <c r="AE14" s="28"/>
      <c r="AF14" s="28"/>
      <c r="AG14" s="28"/>
      <c r="AH14" s="28" t="s">
        <v>173</v>
      </c>
    </row>
    <row r="15" spans="1:34" x14ac:dyDescent="0.25">
      <c r="A15" s="26" t="s">
        <v>175</v>
      </c>
      <c r="B15" s="86" t="s">
        <v>267</v>
      </c>
      <c r="C15" s="28" t="s">
        <v>267</v>
      </c>
      <c r="D15" s="28" t="s">
        <v>267</v>
      </c>
      <c r="E15" s="28" t="s">
        <v>267</v>
      </c>
      <c r="F15" s="28" t="s">
        <v>267</v>
      </c>
      <c r="G15" s="28" t="s">
        <v>267</v>
      </c>
      <c r="H15" s="28" t="s">
        <v>267</v>
      </c>
      <c r="I15" s="28" t="s">
        <v>267</v>
      </c>
      <c r="J15" s="28" t="s">
        <v>267</v>
      </c>
      <c r="K15" s="28" t="s">
        <v>267</v>
      </c>
      <c r="L15" s="28" t="s">
        <v>267</v>
      </c>
      <c r="M15" s="28" t="s">
        <v>267</v>
      </c>
      <c r="N15" s="28" t="s">
        <v>267</v>
      </c>
      <c r="O15" s="28" t="s">
        <v>267</v>
      </c>
      <c r="P15" s="28" t="s">
        <v>267</v>
      </c>
      <c r="Q15" s="28" t="s">
        <v>267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267</v>
      </c>
      <c r="AB15" s="28"/>
      <c r="AC15" s="28"/>
      <c r="AD15" s="28"/>
      <c r="AE15" s="28"/>
      <c r="AF15" s="28"/>
      <c r="AG15" s="28"/>
      <c r="AH15" s="28" t="s">
        <v>267</v>
      </c>
    </row>
    <row r="16" spans="1:34" x14ac:dyDescent="0.25">
      <c r="A16" s="26" t="s">
        <v>176</v>
      </c>
      <c r="B16" s="92">
        <v>-3</v>
      </c>
      <c r="C16" s="30">
        <v>-3</v>
      </c>
      <c r="D16" s="30">
        <v>-3</v>
      </c>
      <c r="E16" s="30">
        <v>-3</v>
      </c>
      <c r="F16" s="30">
        <v>-3</v>
      </c>
      <c r="G16" s="30">
        <v>-3</v>
      </c>
      <c r="H16" s="30">
        <v>-3</v>
      </c>
      <c r="I16" s="30">
        <v>-3</v>
      </c>
      <c r="J16" s="30">
        <v>-3</v>
      </c>
      <c r="K16" s="30">
        <v>-3</v>
      </c>
      <c r="L16" s="30">
        <v>-3</v>
      </c>
      <c r="M16" s="30">
        <v>-3</v>
      </c>
      <c r="N16" s="30">
        <v>-3</v>
      </c>
      <c r="O16" s="30">
        <v>-3</v>
      </c>
      <c r="P16" s="30">
        <v>-3</v>
      </c>
      <c r="Q16" s="30">
        <v>-3</v>
      </c>
      <c r="R16" s="30"/>
      <c r="S16" s="30"/>
      <c r="T16" s="30"/>
      <c r="U16" s="30"/>
      <c r="V16" s="30"/>
      <c r="W16" s="30"/>
      <c r="X16" s="30"/>
      <c r="Y16" s="30"/>
      <c r="Z16" s="30"/>
      <c r="AA16" s="30">
        <v>-3</v>
      </c>
      <c r="AB16" s="30"/>
      <c r="AC16" s="30"/>
      <c r="AD16" s="30"/>
      <c r="AE16" s="30"/>
      <c r="AF16" s="30"/>
      <c r="AG16" s="30"/>
      <c r="AH16" s="30">
        <v>-3</v>
      </c>
    </row>
    <row r="17" spans="1:34" x14ac:dyDescent="0.25">
      <c r="A17" s="26" t="s">
        <v>177</v>
      </c>
      <c r="B17" s="86" t="s">
        <v>1125</v>
      </c>
      <c r="C17" s="28" t="s">
        <v>178</v>
      </c>
      <c r="D17" s="28" t="s">
        <v>178</v>
      </c>
      <c r="E17" s="28" t="s">
        <v>178</v>
      </c>
      <c r="F17" s="28" t="s">
        <v>178</v>
      </c>
      <c r="G17" s="28" t="s">
        <v>178</v>
      </c>
      <c r="H17" s="28" t="s">
        <v>178</v>
      </c>
      <c r="I17" s="28" t="s">
        <v>178</v>
      </c>
      <c r="J17" s="28" t="s">
        <v>178</v>
      </c>
      <c r="K17" s="28" t="s">
        <v>178</v>
      </c>
      <c r="L17" s="28" t="s">
        <v>178</v>
      </c>
      <c r="M17" s="28" t="s">
        <v>178</v>
      </c>
      <c r="N17" s="28" t="s">
        <v>178</v>
      </c>
      <c r="O17" s="28" t="s">
        <v>178</v>
      </c>
      <c r="P17" s="28" t="s">
        <v>178</v>
      </c>
      <c r="Q17" s="28" t="s">
        <v>178</v>
      </c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1125</v>
      </c>
      <c r="AB17" s="28"/>
      <c r="AC17" s="28"/>
      <c r="AD17" s="28"/>
      <c r="AE17" s="28"/>
      <c r="AF17" s="28"/>
      <c r="AG17" s="28"/>
      <c r="AH17" s="28" t="s">
        <v>178</v>
      </c>
    </row>
    <row r="18" spans="1:34" x14ac:dyDescent="0.25">
      <c r="A18" s="26" t="s">
        <v>182</v>
      </c>
      <c r="B18" s="92">
        <v>5</v>
      </c>
      <c r="C18" s="30">
        <v>4</v>
      </c>
      <c r="D18" s="30">
        <v>4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>
        <v>4</v>
      </c>
      <c r="O18" s="30">
        <v>4</v>
      </c>
      <c r="P18" s="30">
        <v>4</v>
      </c>
      <c r="Q18" s="30">
        <v>4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v>5</v>
      </c>
      <c r="AB18" s="30"/>
      <c r="AC18" s="30"/>
      <c r="AD18" s="30"/>
      <c r="AE18" s="30"/>
      <c r="AF18" s="30"/>
      <c r="AG18" s="30"/>
      <c r="AH18" s="30">
        <v>4</v>
      </c>
    </row>
    <row r="20" spans="1:34" x14ac:dyDescent="0.25">
      <c r="A20" s="31" t="s">
        <v>183</v>
      </c>
    </row>
    <row r="21" spans="1:34" x14ac:dyDescent="0.25">
      <c r="A21" s="26" t="s">
        <v>1474</v>
      </c>
      <c r="B21" s="56" t="s">
        <v>1445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69341-1E85-4671-A4E6-C8232616DAC7}">
  <dimension ref="A1:AH21"/>
  <sheetViews>
    <sheetView workbookViewId="0">
      <selection activeCell="B7" sqref="B7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895</v>
      </c>
      <c r="I1" s="25" t="s">
        <v>1441</v>
      </c>
    </row>
    <row r="3" spans="1:34" ht="18" x14ac:dyDescent="0.25">
      <c r="A3" s="25" t="s">
        <v>119</v>
      </c>
      <c r="B3" s="215">
        <v>95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1469</v>
      </c>
      <c r="C4" s="215"/>
      <c r="D4" s="215"/>
      <c r="F4" s="216" t="s">
        <v>1475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986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29" t="s">
        <v>1471</v>
      </c>
      <c r="C8" s="28" t="s">
        <v>248</v>
      </c>
      <c r="D8" s="28" t="s">
        <v>248</v>
      </c>
      <c r="E8" s="28" t="s">
        <v>248</v>
      </c>
      <c r="F8" s="28" t="s">
        <v>248</v>
      </c>
      <c r="G8" s="28" t="s">
        <v>248</v>
      </c>
      <c r="H8" s="28" t="s">
        <v>248</v>
      </c>
      <c r="I8" s="28" t="s">
        <v>248</v>
      </c>
      <c r="J8" s="28" t="s">
        <v>248</v>
      </c>
      <c r="K8" s="28" t="s">
        <v>248</v>
      </c>
      <c r="L8" s="28" t="s">
        <v>248</v>
      </c>
      <c r="M8" s="28" t="s">
        <v>248</v>
      </c>
      <c r="N8" s="28"/>
      <c r="O8" s="28" t="s">
        <v>248</v>
      </c>
      <c r="P8" s="28" t="s">
        <v>252</v>
      </c>
      <c r="Q8" s="28" t="s">
        <v>252</v>
      </c>
      <c r="R8" s="28"/>
      <c r="S8" s="28"/>
      <c r="T8" s="28"/>
      <c r="U8" s="28"/>
      <c r="V8" s="28"/>
      <c r="W8" s="28"/>
      <c r="X8" s="28"/>
      <c r="Y8" s="28"/>
      <c r="Z8" s="28"/>
      <c r="AA8" s="28" t="s">
        <v>1472</v>
      </c>
      <c r="AB8" s="28"/>
      <c r="AC8" s="28"/>
      <c r="AD8" s="28"/>
      <c r="AE8" s="28"/>
      <c r="AF8" s="28"/>
      <c r="AG8" s="28"/>
      <c r="AH8" s="28" t="s">
        <v>248</v>
      </c>
    </row>
    <row r="9" spans="1:34" ht="15.75" customHeight="1" x14ac:dyDescent="0.25">
      <c r="A9" s="26" t="s">
        <v>165</v>
      </c>
      <c r="B9" s="29" t="s">
        <v>1473</v>
      </c>
      <c r="C9" s="28" t="s">
        <v>254</v>
      </c>
      <c r="D9" s="28" t="s">
        <v>254</v>
      </c>
      <c r="E9" s="28" t="s">
        <v>254</v>
      </c>
      <c r="F9" s="28" t="s">
        <v>254</v>
      </c>
      <c r="G9" s="28" t="s">
        <v>254</v>
      </c>
      <c r="H9" s="28" t="s">
        <v>254</v>
      </c>
      <c r="I9" s="28" t="s">
        <v>254</v>
      </c>
      <c r="J9" s="28" t="s">
        <v>254</v>
      </c>
      <c r="K9" s="28" t="s">
        <v>254</v>
      </c>
      <c r="L9" s="28" t="s">
        <v>254</v>
      </c>
      <c r="M9" s="28" t="s">
        <v>285</v>
      </c>
      <c r="N9" s="29"/>
      <c r="O9" s="28" t="s">
        <v>254</v>
      </c>
      <c r="P9" s="28" t="s">
        <v>283</v>
      </c>
      <c r="Q9" s="28" t="s">
        <v>283</v>
      </c>
      <c r="R9" s="29"/>
      <c r="S9" s="29"/>
      <c r="T9" s="29"/>
      <c r="U9" s="29"/>
      <c r="V9" s="29"/>
      <c r="W9" s="29"/>
      <c r="X9" s="29"/>
      <c r="Y9" s="29"/>
      <c r="Z9" s="29"/>
      <c r="AA9" s="28" t="s">
        <v>1473</v>
      </c>
      <c r="AB9" s="29"/>
      <c r="AC9" s="29"/>
      <c r="AD9" s="29"/>
      <c r="AE9" s="29"/>
      <c r="AF9" s="29"/>
      <c r="AG9" s="29"/>
      <c r="AH9" s="28" t="s">
        <v>254</v>
      </c>
    </row>
    <row r="10" spans="1:34" x14ac:dyDescent="0.25">
      <c r="A10" s="131" t="s">
        <v>168</v>
      </c>
      <c r="B10" s="157">
        <v>206</v>
      </c>
      <c r="C10" s="157">
        <v>19</v>
      </c>
      <c r="D10" s="157">
        <v>19</v>
      </c>
      <c r="E10" s="157">
        <v>19</v>
      </c>
      <c r="F10" s="157">
        <v>19</v>
      </c>
      <c r="G10" s="157">
        <v>19</v>
      </c>
      <c r="H10" s="157">
        <v>19</v>
      </c>
      <c r="I10" s="157">
        <v>19</v>
      </c>
      <c r="J10" s="157">
        <v>19</v>
      </c>
      <c r="K10" s="157">
        <v>19</v>
      </c>
      <c r="L10" s="157">
        <v>19</v>
      </c>
      <c r="M10" s="157">
        <v>150</v>
      </c>
      <c r="N10" s="157"/>
      <c r="O10" s="157">
        <v>19</v>
      </c>
      <c r="P10" s="157">
        <v>56</v>
      </c>
      <c r="Q10" s="157">
        <v>56</v>
      </c>
      <c r="R10" s="157"/>
      <c r="S10" s="157"/>
      <c r="T10" s="157"/>
      <c r="U10" s="157"/>
      <c r="V10" s="157"/>
      <c r="W10" s="157"/>
      <c r="X10" s="157"/>
      <c r="Y10" s="157"/>
      <c r="Z10" s="157"/>
      <c r="AA10" s="157">
        <v>206</v>
      </c>
      <c r="AB10" s="157"/>
      <c r="AC10" s="157"/>
      <c r="AD10" s="157"/>
      <c r="AE10" s="157"/>
      <c r="AF10" s="157"/>
      <c r="AG10" s="157"/>
      <c r="AH10" s="157">
        <v>19</v>
      </c>
    </row>
    <row r="11" spans="1:34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28"/>
      <c r="O11" s="28" t="s">
        <v>170</v>
      </c>
      <c r="P11" s="28" t="s">
        <v>170</v>
      </c>
      <c r="Q11" s="28" t="s">
        <v>170</v>
      </c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170</v>
      </c>
      <c r="AB11" s="28"/>
      <c r="AC11" s="29"/>
      <c r="AD11" s="28"/>
      <c r="AE11" s="29"/>
      <c r="AF11" s="28"/>
      <c r="AG11" s="28"/>
      <c r="AH11" s="28" t="s">
        <v>170</v>
      </c>
    </row>
    <row r="12" spans="1:34" x14ac:dyDescent="0.25">
      <c r="A12" s="26" t="s">
        <v>171</v>
      </c>
      <c r="B12" s="28" t="s">
        <v>173</v>
      </c>
      <c r="C12" s="28" t="s">
        <v>173</v>
      </c>
      <c r="D12" s="28" t="s">
        <v>173</v>
      </c>
      <c r="E12" s="28" t="s">
        <v>173</v>
      </c>
      <c r="F12" s="28" t="s">
        <v>173</v>
      </c>
      <c r="G12" s="28" t="s">
        <v>173</v>
      </c>
      <c r="H12" s="28" t="s">
        <v>173</v>
      </c>
      <c r="I12" s="28" t="s">
        <v>173</v>
      </c>
      <c r="J12" s="28" t="s">
        <v>173</v>
      </c>
      <c r="K12" s="28" t="s">
        <v>173</v>
      </c>
      <c r="L12" s="28" t="s">
        <v>173</v>
      </c>
      <c r="M12" s="28" t="s">
        <v>173</v>
      </c>
      <c r="N12" s="28"/>
      <c r="O12" s="28" t="s">
        <v>173</v>
      </c>
      <c r="P12" s="28" t="s">
        <v>173</v>
      </c>
      <c r="Q12" s="28" t="s">
        <v>173</v>
      </c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173</v>
      </c>
      <c r="AB12" s="28"/>
      <c r="AC12" s="28"/>
      <c r="AD12" s="28"/>
      <c r="AE12" s="28"/>
      <c r="AF12" s="28"/>
      <c r="AG12" s="28"/>
      <c r="AH12" s="28" t="s">
        <v>173</v>
      </c>
    </row>
    <row r="13" spans="1:34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/>
      <c r="O13" s="28" t="s">
        <v>173</v>
      </c>
      <c r="P13" s="28" t="s">
        <v>170</v>
      </c>
      <c r="Q13" s="28" t="s">
        <v>170</v>
      </c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173</v>
      </c>
      <c r="AB13" s="28"/>
      <c r="AC13" s="28"/>
      <c r="AD13" s="28"/>
      <c r="AE13" s="28"/>
      <c r="AF13" s="28"/>
      <c r="AG13" s="28"/>
      <c r="AH13" s="28" t="s">
        <v>173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/>
      <c r="O14" s="28" t="s">
        <v>173</v>
      </c>
      <c r="P14" s="28" t="s">
        <v>173</v>
      </c>
      <c r="Q14" s="28" t="s">
        <v>173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173</v>
      </c>
      <c r="AB14" s="28"/>
      <c r="AC14" s="28"/>
      <c r="AD14" s="28"/>
      <c r="AE14" s="28"/>
      <c r="AF14" s="28"/>
      <c r="AG14" s="28"/>
      <c r="AH14" s="28" t="s">
        <v>173</v>
      </c>
    </row>
    <row r="15" spans="1:34" x14ac:dyDescent="0.25">
      <c r="A15" s="26" t="s">
        <v>175</v>
      </c>
      <c r="B15" s="28" t="s">
        <v>267</v>
      </c>
      <c r="C15" s="28" t="s">
        <v>267</v>
      </c>
      <c r="D15" s="28" t="s">
        <v>267</v>
      </c>
      <c r="E15" s="28" t="s">
        <v>267</v>
      </c>
      <c r="F15" s="28" t="s">
        <v>267</v>
      </c>
      <c r="G15" s="28" t="s">
        <v>267</v>
      </c>
      <c r="H15" s="28" t="s">
        <v>267</v>
      </c>
      <c r="I15" s="28" t="s">
        <v>267</v>
      </c>
      <c r="J15" s="28" t="s">
        <v>267</v>
      </c>
      <c r="K15" s="28" t="s">
        <v>267</v>
      </c>
      <c r="L15" s="28" t="s">
        <v>267</v>
      </c>
      <c r="M15" s="28" t="s">
        <v>290</v>
      </c>
      <c r="N15" s="28"/>
      <c r="O15" s="28" t="s">
        <v>267</v>
      </c>
      <c r="P15" s="28" t="s">
        <v>199</v>
      </c>
      <c r="Q15" s="28" t="s">
        <v>199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267</v>
      </c>
      <c r="AB15" s="28"/>
      <c r="AC15" s="28"/>
      <c r="AD15" s="28"/>
      <c r="AE15" s="28"/>
      <c r="AF15" s="28"/>
      <c r="AG15" s="28"/>
      <c r="AH15" s="28" t="s">
        <v>267</v>
      </c>
    </row>
    <row r="16" spans="1:34" x14ac:dyDescent="0.25">
      <c r="A16" s="26" t="s">
        <v>176</v>
      </c>
      <c r="B16" s="30">
        <v>-3</v>
      </c>
      <c r="C16" s="30">
        <v>-3</v>
      </c>
      <c r="D16" s="30">
        <v>-3</v>
      </c>
      <c r="E16" s="30">
        <v>-3</v>
      </c>
      <c r="F16" s="30">
        <v>-3</v>
      </c>
      <c r="G16" s="30">
        <v>-3</v>
      </c>
      <c r="H16" s="30">
        <v>-3</v>
      </c>
      <c r="I16" s="30">
        <v>-3</v>
      </c>
      <c r="J16" s="30">
        <v>-3</v>
      </c>
      <c r="K16" s="30">
        <v>-3</v>
      </c>
      <c r="L16" s="30">
        <v>-3</v>
      </c>
      <c r="M16" s="30">
        <f>AVERAGE(-3,-2)</f>
        <v>-2.5</v>
      </c>
      <c r="N16" s="30"/>
      <c r="O16" s="30">
        <v>-3</v>
      </c>
      <c r="P16" s="30">
        <v>-0.5</v>
      </c>
      <c r="Q16" s="30">
        <v>-0.5</v>
      </c>
      <c r="R16" s="30"/>
      <c r="S16" s="30"/>
      <c r="T16" s="30"/>
      <c r="U16" s="30"/>
      <c r="V16" s="30"/>
      <c r="W16" s="30"/>
      <c r="X16" s="30"/>
      <c r="Y16" s="30"/>
      <c r="Z16" s="30"/>
      <c r="AA16" s="30">
        <v>-3</v>
      </c>
      <c r="AB16" s="30"/>
      <c r="AC16" s="30"/>
      <c r="AD16" s="30"/>
      <c r="AE16" s="30"/>
      <c r="AF16" s="30"/>
      <c r="AG16" s="30"/>
      <c r="AH16" s="30">
        <v>-3</v>
      </c>
    </row>
    <row r="17" spans="1:34" x14ac:dyDescent="0.25">
      <c r="A17" s="26" t="s">
        <v>177</v>
      </c>
      <c r="B17" s="28" t="s">
        <v>1125</v>
      </c>
      <c r="C17" s="28" t="s">
        <v>178</v>
      </c>
      <c r="D17" s="28" t="s">
        <v>178</v>
      </c>
      <c r="E17" s="28" t="s">
        <v>178</v>
      </c>
      <c r="F17" s="28" t="s">
        <v>178</v>
      </c>
      <c r="G17" s="28" t="s">
        <v>178</v>
      </c>
      <c r="H17" s="28" t="s">
        <v>178</v>
      </c>
      <c r="I17" s="28" t="s">
        <v>178</v>
      </c>
      <c r="J17" s="28" t="s">
        <v>178</v>
      </c>
      <c r="K17" s="28" t="s">
        <v>178</v>
      </c>
      <c r="L17" s="28" t="s">
        <v>178</v>
      </c>
      <c r="M17" s="28" t="s">
        <v>178</v>
      </c>
      <c r="N17" s="28"/>
      <c r="O17" s="28" t="s">
        <v>178</v>
      </c>
      <c r="P17" s="29" t="s">
        <v>181</v>
      </c>
      <c r="Q17" s="29" t="s">
        <v>181</v>
      </c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1125</v>
      </c>
      <c r="AB17" s="28"/>
      <c r="AC17" s="28"/>
      <c r="AD17" s="28"/>
      <c r="AE17" s="28"/>
      <c r="AF17" s="28"/>
      <c r="AG17" s="28"/>
      <c r="AH17" s="28" t="s">
        <v>178</v>
      </c>
    </row>
    <row r="18" spans="1:34" x14ac:dyDescent="0.25">
      <c r="A18" s="26" t="s">
        <v>182</v>
      </c>
      <c r="B18" s="30">
        <v>5</v>
      </c>
      <c r="C18" s="30">
        <v>4</v>
      </c>
      <c r="D18" s="30">
        <v>4</v>
      </c>
      <c r="E18" s="30">
        <v>4</v>
      </c>
      <c r="F18" s="30">
        <v>4</v>
      </c>
      <c r="G18" s="30">
        <v>4</v>
      </c>
      <c r="H18" s="30">
        <v>4</v>
      </c>
      <c r="I18" s="30">
        <v>4</v>
      </c>
      <c r="J18" s="30">
        <v>4</v>
      </c>
      <c r="K18" s="30">
        <v>4</v>
      </c>
      <c r="L18" s="30">
        <v>4</v>
      </c>
      <c r="M18" s="30">
        <v>4</v>
      </c>
      <c r="N18" s="30"/>
      <c r="O18" s="30">
        <v>4</v>
      </c>
      <c r="P18" s="30">
        <v>2</v>
      </c>
      <c r="Q18" s="30">
        <v>2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v>5</v>
      </c>
      <c r="AB18" s="30"/>
      <c r="AC18" s="30"/>
      <c r="AD18" s="30"/>
      <c r="AE18" s="30"/>
      <c r="AF18" s="30"/>
      <c r="AG18" s="30"/>
      <c r="AH18" s="30">
        <v>4</v>
      </c>
    </row>
    <row r="20" spans="1:34" x14ac:dyDescent="0.25">
      <c r="A20" s="31" t="s">
        <v>183</v>
      </c>
    </row>
    <row r="21" spans="1:34" x14ac:dyDescent="0.25">
      <c r="A21" s="26" t="s">
        <v>1476</v>
      </c>
      <c r="B21" s="56" t="s">
        <v>1445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E0F80-19C0-4C1A-B7A4-09A1473792BD}">
  <dimension ref="A1:AH21"/>
  <sheetViews>
    <sheetView topLeftCell="N1" workbookViewId="0">
      <selection activeCell="AH9" sqref="AH9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895</v>
      </c>
      <c r="I1" s="25" t="s">
        <v>1441</v>
      </c>
    </row>
    <row r="3" spans="1:34" ht="18" x14ac:dyDescent="0.25">
      <c r="A3" s="25" t="s">
        <v>119</v>
      </c>
      <c r="B3" s="215">
        <v>96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1469</v>
      </c>
      <c r="C4" s="215"/>
      <c r="D4" s="215"/>
      <c r="F4" s="216" t="s">
        <v>1477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917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29" t="s">
        <v>1471</v>
      </c>
      <c r="C8" s="28" t="s">
        <v>248</v>
      </c>
      <c r="D8" s="28" t="s">
        <v>248</v>
      </c>
      <c r="E8" s="29"/>
      <c r="F8" s="29"/>
      <c r="G8" s="28" t="s">
        <v>1270</v>
      </c>
      <c r="H8" s="28" t="s">
        <v>1270</v>
      </c>
      <c r="I8" s="28" t="s">
        <v>1270</v>
      </c>
      <c r="J8" s="28"/>
      <c r="K8" s="122" t="s">
        <v>1478</v>
      </c>
      <c r="L8" s="122" t="s">
        <v>1478</v>
      </c>
      <c r="M8" s="122" t="s">
        <v>1478</v>
      </c>
      <c r="N8" s="28"/>
      <c r="O8" s="28"/>
      <c r="P8" s="29" t="s">
        <v>1479</v>
      </c>
      <c r="Q8" s="29" t="s">
        <v>1479</v>
      </c>
      <c r="R8" s="28"/>
      <c r="S8" s="28"/>
      <c r="T8" s="28"/>
      <c r="U8" s="28"/>
      <c r="V8" s="28"/>
      <c r="W8" s="28"/>
      <c r="X8" s="28"/>
      <c r="Y8" s="28"/>
      <c r="Z8" s="28"/>
      <c r="AA8" s="28" t="s">
        <v>1472</v>
      </c>
      <c r="AB8" s="28"/>
      <c r="AC8" s="28"/>
      <c r="AD8" s="28"/>
      <c r="AE8" s="28"/>
      <c r="AF8" s="28"/>
      <c r="AG8" s="86" t="s">
        <v>193</v>
      </c>
      <c r="AH8" s="28" t="s">
        <v>248</v>
      </c>
    </row>
    <row r="9" spans="1:34" x14ac:dyDescent="0.25">
      <c r="A9" s="26" t="s">
        <v>165</v>
      </c>
      <c r="B9" s="29" t="s">
        <v>1473</v>
      </c>
      <c r="C9" s="113" t="s">
        <v>255</v>
      </c>
      <c r="D9" s="113" t="s">
        <v>256</v>
      </c>
      <c r="E9" s="28" t="s">
        <v>257</v>
      </c>
      <c r="F9" s="28" t="s">
        <v>258</v>
      </c>
      <c r="G9" s="29" t="s">
        <v>258</v>
      </c>
      <c r="H9" s="29" t="s">
        <v>259</v>
      </c>
      <c r="I9" s="29" t="s">
        <v>256</v>
      </c>
      <c r="J9" s="29" t="s">
        <v>258</v>
      </c>
      <c r="K9" s="121" t="s">
        <v>1480</v>
      </c>
      <c r="L9" s="121" t="s">
        <v>1480</v>
      </c>
      <c r="M9" s="121" t="s">
        <v>1480</v>
      </c>
      <c r="N9" s="29"/>
      <c r="O9" s="29"/>
      <c r="P9" s="28" t="s">
        <v>261</v>
      </c>
      <c r="Q9" s="28" t="s">
        <v>261</v>
      </c>
      <c r="R9" s="29"/>
      <c r="S9" s="29"/>
      <c r="T9" s="29"/>
      <c r="U9" s="29"/>
      <c r="V9" s="29"/>
      <c r="W9" s="29"/>
      <c r="X9" s="29"/>
      <c r="Y9" s="29"/>
      <c r="Z9" s="29"/>
      <c r="AA9" s="28" t="s">
        <v>1274</v>
      </c>
      <c r="AB9" s="29"/>
      <c r="AC9" s="29"/>
      <c r="AD9" s="29"/>
      <c r="AE9" s="29"/>
      <c r="AF9" s="29"/>
      <c r="AG9" s="91" t="s">
        <v>196</v>
      </c>
      <c r="AH9" s="28" t="s">
        <v>197</v>
      </c>
    </row>
    <row r="10" spans="1:34" x14ac:dyDescent="0.25">
      <c r="A10" s="131" t="s">
        <v>168</v>
      </c>
      <c r="B10" s="157">
        <v>206</v>
      </c>
      <c r="C10" s="157">
        <v>120</v>
      </c>
      <c r="D10" s="157">
        <v>50</v>
      </c>
      <c r="E10" s="157">
        <v>102</v>
      </c>
      <c r="F10" s="157">
        <v>44</v>
      </c>
      <c r="G10" s="157">
        <v>44</v>
      </c>
      <c r="H10" s="157">
        <v>46</v>
      </c>
      <c r="I10" s="157">
        <v>50</v>
      </c>
      <c r="J10" s="157">
        <v>44</v>
      </c>
      <c r="K10" s="157">
        <v>269</v>
      </c>
      <c r="L10" s="157">
        <v>269</v>
      </c>
      <c r="M10" s="157">
        <v>269</v>
      </c>
      <c r="N10" s="157"/>
      <c r="O10" s="157"/>
      <c r="P10" s="157">
        <v>48</v>
      </c>
      <c r="Q10" s="157">
        <v>48</v>
      </c>
      <c r="R10" s="157"/>
      <c r="S10" s="157"/>
      <c r="T10" s="157"/>
      <c r="U10" s="157"/>
      <c r="V10" s="157"/>
      <c r="W10" s="157"/>
      <c r="X10" s="157"/>
      <c r="Y10" s="157"/>
      <c r="Z10" s="157"/>
      <c r="AA10" s="157">
        <v>186</v>
      </c>
      <c r="AB10" s="157"/>
      <c r="AC10" s="157"/>
      <c r="AD10" s="157"/>
      <c r="AE10" s="157"/>
      <c r="AF10" s="157"/>
      <c r="AG10" s="157">
        <v>26</v>
      </c>
      <c r="AH10" s="157">
        <v>34</v>
      </c>
    </row>
    <row r="11" spans="1:34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28"/>
      <c r="O11" s="28"/>
      <c r="P11" s="28" t="s">
        <v>170</v>
      </c>
      <c r="Q11" s="28" t="s">
        <v>170</v>
      </c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170</v>
      </c>
      <c r="AB11" s="28"/>
      <c r="AC11" s="29"/>
      <c r="AD11" s="28"/>
      <c r="AE11" s="29"/>
      <c r="AF11" s="28"/>
      <c r="AG11" s="28" t="s">
        <v>170</v>
      </c>
      <c r="AH11" s="28" t="s">
        <v>170</v>
      </c>
    </row>
    <row r="12" spans="1:34" x14ac:dyDescent="0.25">
      <c r="A12" s="26" t="s">
        <v>171</v>
      </c>
      <c r="B12" s="28" t="s">
        <v>173</v>
      </c>
      <c r="C12" s="28" t="s">
        <v>173</v>
      </c>
      <c r="D12" s="28" t="s">
        <v>173</v>
      </c>
      <c r="E12" s="28" t="s">
        <v>173</v>
      </c>
      <c r="F12" s="28" t="s">
        <v>173</v>
      </c>
      <c r="G12" s="28" t="s">
        <v>173</v>
      </c>
      <c r="H12" s="28" t="s">
        <v>173</v>
      </c>
      <c r="I12" s="28" t="s">
        <v>173</v>
      </c>
      <c r="J12" s="28" t="s">
        <v>173</v>
      </c>
      <c r="K12" s="28" t="s">
        <v>287</v>
      </c>
      <c r="L12" s="28" t="s">
        <v>287</v>
      </c>
      <c r="M12" s="28" t="s">
        <v>287</v>
      </c>
      <c r="N12" s="28"/>
      <c r="O12" s="28"/>
      <c r="P12" s="28" t="s">
        <v>173</v>
      </c>
      <c r="Q12" s="28" t="s">
        <v>173</v>
      </c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173</v>
      </c>
      <c r="AB12" s="28"/>
      <c r="AC12" s="28"/>
      <c r="AD12" s="28"/>
      <c r="AE12" s="28"/>
      <c r="AF12" s="28"/>
      <c r="AG12" s="28" t="s">
        <v>173</v>
      </c>
      <c r="AH12" s="28" t="s">
        <v>173</v>
      </c>
    </row>
    <row r="13" spans="1:34" x14ac:dyDescent="0.25">
      <c r="A13" s="26" t="s">
        <v>172</v>
      </c>
      <c r="B13" s="28" t="s">
        <v>173</v>
      </c>
      <c r="C13" s="28" t="s">
        <v>170</v>
      </c>
      <c r="D13" s="28" t="s">
        <v>170</v>
      </c>
      <c r="E13" s="130" t="s">
        <v>266</v>
      </c>
      <c r="F13" s="28" t="s">
        <v>173</v>
      </c>
      <c r="G13" s="28" t="s">
        <v>173</v>
      </c>
      <c r="H13" s="28" t="s">
        <v>170</v>
      </c>
      <c r="I13" s="28" t="s">
        <v>170</v>
      </c>
      <c r="J13" s="28" t="s">
        <v>173</v>
      </c>
      <c r="K13" s="28" t="s">
        <v>170</v>
      </c>
      <c r="L13" s="28" t="s">
        <v>170</v>
      </c>
      <c r="M13" s="28" t="s">
        <v>170</v>
      </c>
      <c r="N13" s="28"/>
      <c r="O13" s="28"/>
      <c r="P13" s="28" t="s">
        <v>170</v>
      </c>
      <c r="Q13" s="28" t="s">
        <v>170</v>
      </c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170</v>
      </c>
      <c r="AB13" s="28"/>
      <c r="AC13" s="28"/>
      <c r="AD13" s="28"/>
      <c r="AE13" s="28"/>
      <c r="AF13" s="28"/>
      <c r="AG13" s="28" t="s">
        <v>170</v>
      </c>
      <c r="AH13" s="28" t="s">
        <v>170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/>
      <c r="O14" s="28"/>
      <c r="P14" s="28" t="s">
        <v>173</v>
      </c>
      <c r="Q14" s="28" t="s">
        <v>173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173</v>
      </c>
      <c r="AB14" s="28"/>
      <c r="AC14" s="28"/>
      <c r="AD14" s="28"/>
      <c r="AE14" s="28"/>
      <c r="AF14" s="28"/>
      <c r="AG14" s="28" t="s">
        <v>173</v>
      </c>
      <c r="AH14" s="28" t="s">
        <v>173</v>
      </c>
    </row>
    <row r="15" spans="1:34" x14ac:dyDescent="0.25">
      <c r="A15" s="26" t="s">
        <v>175</v>
      </c>
      <c r="B15" s="28" t="s">
        <v>267</v>
      </c>
      <c r="C15" s="28" t="s">
        <v>198</v>
      </c>
      <c r="D15" s="28" t="s">
        <v>198</v>
      </c>
      <c r="E15" s="28" t="s">
        <v>198</v>
      </c>
      <c r="F15" s="28" t="s">
        <v>198</v>
      </c>
      <c r="G15" s="28" t="s">
        <v>198</v>
      </c>
      <c r="H15" s="28" t="s">
        <v>198</v>
      </c>
      <c r="I15" s="28" t="s">
        <v>198</v>
      </c>
      <c r="J15" s="28" t="s">
        <v>198</v>
      </c>
      <c r="K15" s="28" t="s">
        <v>198</v>
      </c>
      <c r="L15" s="28" t="s">
        <v>198</v>
      </c>
      <c r="M15" s="28" t="s">
        <v>198</v>
      </c>
      <c r="N15" s="28"/>
      <c r="O15" s="28"/>
      <c r="P15" s="28" t="s">
        <v>198</v>
      </c>
      <c r="Q15" s="28" t="s">
        <v>198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199</v>
      </c>
      <c r="AB15" s="28"/>
      <c r="AC15" s="28"/>
      <c r="AD15" s="28"/>
      <c r="AE15" s="28"/>
      <c r="AF15" s="28"/>
      <c r="AG15" s="28" t="s">
        <v>198</v>
      </c>
      <c r="AH15" s="28" t="s">
        <v>199</v>
      </c>
    </row>
    <row r="16" spans="1:34" x14ac:dyDescent="0.25">
      <c r="A16" s="26" t="s">
        <v>176</v>
      </c>
      <c r="B16" s="30">
        <v>-3</v>
      </c>
      <c r="C16" s="30">
        <f>13/12</f>
        <v>1.0833333333333333</v>
      </c>
      <c r="D16" s="30">
        <v>1</v>
      </c>
      <c r="E16" s="30">
        <f>AVERAGE(2,2,1)</f>
        <v>1.6666666666666667</v>
      </c>
      <c r="F16" s="30">
        <v>2</v>
      </c>
      <c r="G16" s="30">
        <v>2</v>
      </c>
      <c r="H16" s="30">
        <f>5/3</f>
        <v>1.6666666666666667</v>
      </c>
      <c r="I16" s="30">
        <v>1</v>
      </c>
      <c r="J16" s="30">
        <v>2</v>
      </c>
      <c r="K16" s="30">
        <v>0.5</v>
      </c>
      <c r="L16" s="30">
        <v>0.5</v>
      </c>
      <c r="M16" s="30">
        <v>0.5</v>
      </c>
      <c r="N16" s="30"/>
      <c r="O16" s="30"/>
      <c r="P16" s="30">
        <f>4/3</f>
        <v>1.3333333333333333</v>
      </c>
      <c r="Q16" s="30">
        <f>4/3</f>
        <v>1.3333333333333333</v>
      </c>
      <c r="R16" s="30"/>
      <c r="S16" s="30"/>
      <c r="T16" s="30"/>
      <c r="U16" s="30"/>
      <c r="V16" s="30"/>
      <c r="W16" s="30"/>
      <c r="X16" s="30"/>
      <c r="Y16" s="30"/>
      <c r="Z16" s="30"/>
      <c r="AA16" s="30">
        <v>-0.5</v>
      </c>
      <c r="AB16" s="30"/>
      <c r="AC16" s="30"/>
      <c r="AD16" s="30"/>
      <c r="AE16" s="30"/>
      <c r="AF16" s="30"/>
      <c r="AG16" s="30">
        <f>4/3</f>
        <v>1.3333333333333333</v>
      </c>
      <c r="AH16" s="30">
        <v>-0.5</v>
      </c>
    </row>
    <row r="17" spans="1:34" x14ac:dyDescent="0.25">
      <c r="A17" s="26" t="s">
        <v>177</v>
      </c>
      <c r="B17" s="28" t="s">
        <v>1125</v>
      </c>
      <c r="C17" s="28" t="s">
        <v>181</v>
      </c>
      <c r="D17" s="28" t="s">
        <v>181</v>
      </c>
      <c r="E17" s="28" t="s">
        <v>181</v>
      </c>
      <c r="F17" s="28" t="s">
        <v>181</v>
      </c>
      <c r="G17" s="28" t="s">
        <v>181</v>
      </c>
      <c r="H17" s="28" t="s">
        <v>181</v>
      </c>
      <c r="I17" s="28" t="s">
        <v>181</v>
      </c>
      <c r="J17" s="28" t="s">
        <v>181</v>
      </c>
      <c r="K17" s="113" t="s">
        <v>1481</v>
      </c>
      <c r="L17" s="113" t="s">
        <v>1481</v>
      </c>
      <c r="M17" s="113" t="s">
        <v>1481</v>
      </c>
      <c r="N17" s="28"/>
      <c r="O17" s="28"/>
      <c r="P17" s="28" t="s">
        <v>181</v>
      </c>
      <c r="Q17" s="28" t="s">
        <v>181</v>
      </c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1012</v>
      </c>
      <c r="AB17" s="28"/>
      <c r="AC17" s="28"/>
      <c r="AD17" s="28"/>
      <c r="AE17" s="28"/>
      <c r="AF17" s="28"/>
      <c r="AG17" s="28" t="s">
        <v>200</v>
      </c>
      <c r="AH17" s="28" t="s">
        <v>200</v>
      </c>
    </row>
    <row r="18" spans="1:34" x14ac:dyDescent="0.25">
      <c r="A18" s="26" t="s">
        <v>182</v>
      </c>
      <c r="B18" s="30">
        <v>5</v>
      </c>
      <c r="C18" s="30">
        <v>2</v>
      </c>
      <c r="D18" s="30">
        <v>2</v>
      </c>
      <c r="E18" s="30">
        <v>2</v>
      </c>
      <c r="F18" s="30">
        <v>2</v>
      </c>
      <c r="G18" s="30">
        <v>2</v>
      </c>
      <c r="H18" s="30">
        <v>2</v>
      </c>
      <c r="I18" s="30">
        <v>2</v>
      </c>
      <c r="J18" s="30">
        <v>2</v>
      </c>
      <c r="K18" s="30">
        <f>AVERAGE(2,2,2,3)</f>
        <v>2.25</v>
      </c>
      <c r="L18" s="30">
        <f t="shared" ref="L18:M18" si="0">AVERAGE(2,2,2,3)</f>
        <v>2.25</v>
      </c>
      <c r="M18" s="30">
        <f t="shared" si="0"/>
        <v>2.25</v>
      </c>
      <c r="N18" s="30"/>
      <c r="O18" s="30"/>
      <c r="P18" s="30">
        <v>2</v>
      </c>
      <c r="Q18" s="30">
        <v>2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v>3.75</v>
      </c>
      <c r="AB18" s="30"/>
      <c r="AC18" s="30"/>
      <c r="AD18" s="30"/>
      <c r="AE18" s="30"/>
      <c r="AF18" s="30"/>
      <c r="AG18" s="30">
        <v>3</v>
      </c>
      <c r="AH18" s="30">
        <v>3</v>
      </c>
    </row>
    <row r="20" spans="1:34" x14ac:dyDescent="0.25">
      <c r="A20" s="31" t="s">
        <v>183</v>
      </c>
    </row>
    <row r="21" spans="1:34" x14ac:dyDescent="0.25">
      <c r="A21" s="26" t="s">
        <v>1482</v>
      </c>
      <c r="B21" s="56" t="s">
        <v>1483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254D5-BCF0-4AC5-B035-959B24224757}">
  <dimension ref="A1:AH21"/>
  <sheetViews>
    <sheetView workbookViewId="0">
      <selection activeCell="B7" sqref="B7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895</v>
      </c>
      <c r="I1" s="25" t="s">
        <v>1441</v>
      </c>
    </row>
    <row r="3" spans="1:34" ht="18" x14ac:dyDescent="0.25">
      <c r="A3" s="25" t="s">
        <v>119</v>
      </c>
      <c r="B3" s="215">
        <v>97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1484</v>
      </c>
      <c r="C4" s="215"/>
      <c r="D4" s="215"/>
      <c r="F4" s="216" t="s">
        <v>1485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899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28" t="s">
        <v>1486</v>
      </c>
      <c r="C8" s="29" t="s">
        <v>302</v>
      </c>
      <c r="D8" s="29" t="s">
        <v>302</v>
      </c>
      <c r="E8" s="29" t="s">
        <v>302</v>
      </c>
      <c r="F8" s="29" t="s">
        <v>302</v>
      </c>
      <c r="G8" s="29" t="s">
        <v>302</v>
      </c>
      <c r="H8" s="29" t="s">
        <v>302</v>
      </c>
      <c r="I8" s="29" t="s">
        <v>302</v>
      </c>
      <c r="J8" s="28"/>
      <c r="K8" s="28" t="s">
        <v>302</v>
      </c>
      <c r="L8" s="28" t="s">
        <v>302</v>
      </c>
      <c r="M8" s="28" t="s">
        <v>302</v>
      </c>
      <c r="N8" s="28"/>
      <c r="O8" s="28"/>
      <c r="P8" s="28" t="s">
        <v>302</v>
      </c>
      <c r="Q8" s="28" t="s">
        <v>302</v>
      </c>
      <c r="R8" s="28"/>
      <c r="S8" s="28"/>
      <c r="T8" s="28"/>
      <c r="U8" s="28"/>
      <c r="V8" s="28"/>
      <c r="W8" s="28"/>
      <c r="X8" s="28"/>
      <c r="Y8" s="28"/>
      <c r="Z8" s="28"/>
      <c r="AA8" s="28" t="s">
        <v>1487</v>
      </c>
      <c r="AB8" s="28"/>
      <c r="AC8" s="28"/>
      <c r="AD8" s="28"/>
      <c r="AE8" s="28"/>
      <c r="AF8" s="28"/>
      <c r="AG8" s="28"/>
      <c r="AH8" s="28" t="s">
        <v>302</v>
      </c>
    </row>
    <row r="9" spans="1:34" x14ac:dyDescent="0.25">
      <c r="A9" s="26" t="s">
        <v>165</v>
      </c>
      <c r="B9" s="28" t="s">
        <v>1488</v>
      </c>
      <c r="C9" s="28" t="s">
        <v>324</v>
      </c>
      <c r="D9" s="28" t="s">
        <v>324</v>
      </c>
      <c r="E9" s="29"/>
      <c r="F9" s="29"/>
      <c r="G9" s="28" t="s">
        <v>316</v>
      </c>
      <c r="H9" s="28" t="s">
        <v>395</v>
      </c>
      <c r="I9" s="28" t="s">
        <v>395</v>
      </c>
      <c r="J9" s="29"/>
      <c r="K9" s="28" t="s">
        <v>324</v>
      </c>
      <c r="L9" s="28" t="s">
        <v>227</v>
      </c>
      <c r="M9" s="28" t="s">
        <v>324</v>
      </c>
      <c r="N9" s="29"/>
      <c r="O9" s="29"/>
      <c r="P9" s="28" t="s">
        <v>324</v>
      </c>
      <c r="Q9" s="28" t="s">
        <v>324</v>
      </c>
      <c r="R9" s="29"/>
      <c r="S9" s="29"/>
      <c r="T9" s="29"/>
      <c r="U9" s="29"/>
      <c r="V9" s="29"/>
      <c r="W9" s="29"/>
      <c r="X9" s="29"/>
      <c r="Y9" s="29"/>
      <c r="Z9" s="29"/>
      <c r="AA9" s="103" t="s">
        <v>1009</v>
      </c>
      <c r="AB9" s="29"/>
      <c r="AC9" s="29"/>
      <c r="AD9" s="29"/>
      <c r="AE9" s="29"/>
      <c r="AF9" s="29"/>
      <c r="AG9" s="29"/>
      <c r="AH9" s="28" t="s">
        <v>227</v>
      </c>
    </row>
    <row r="10" spans="1:34" x14ac:dyDescent="0.25">
      <c r="A10" s="131" t="s">
        <v>168</v>
      </c>
      <c r="B10" s="157">
        <v>207</v>
      </c>
      <c r="C10" s="157">
        <v>57</v>
      </c>
      <c r="D10" s="157">
        <v>57</v>
      </c>
      <c r="E10" s="157"/>
      <c r="F10" s="157"/>
      <c r="G10" s="157">
        <v>63</v>
      </c>
      <c r="H10" s="157">
        <v>68</v>
      </c>
      <c r="I10" s="157">
        <v>68</v>
      </c>
      <c r="J10" s="157"/>
      <c r="K10" s="157">
        <v>57</v>
      </c>
      <c r="L10" s="157">
        <v>35</v>
      </c>
      <c r="M10" s="157">
        <v>57</v>
      </c>
      <c r="N10" s="157"/>
      <c r="O10" s="157"/>
      <c r="P10" s="157">
        <v>57</v>
      </c>
      <c r="Q10" s="157">
        <v>57</v>
      </c>
      <c r="R10" s="157"/>
      <c r="S10" s="157"/>
      <c r="T10" s="157"/>
      <c r="U10" s="157"/>
      <c r="V10" s="157"/>
      <c r="W10" s="157"/>
      <c r="X10" s="157"/>
      <c r="Y10" s="157"/>
      <c r="Z10" s="157"/>
      <c r="AA10" s="157">
        <v>187</v>
      </c>
      <c r="AB10" s="157"/>
      <c r="AC10" s="157"/>
      <c r="AD10" s="157"/>
      <c r="AE10" s="157"/>
      <c r="AF10" s="157"/>
      <c r="AG10" s="157"/>
      <c r="AH10" s="157">
        <v>35</v>
      </c>
    </row>
    <row r="11" spans="1:34" x14ac:dyDescent="0.25">
      <c r="A11" s="26" t="s">
        <v>169</v>
      </c>
      <c r="B11" s="29" t="s">
        <v>170</v>
      </c>
      <c r="C11" s="28" t="s">
        <v>170</v>
      </c>
      <c r="D11" s="28" t="s">
        <v>170</v>
      </c>
      <c r="E11" s="28"/>
      <c r="F11" s="28"/>
      <c r="G11" s="28" t="s">
        <v>170</v>
      </c>
      <c r="H11" s="29" t="s">
        <v>170</v>
      </c>
      <c r="I11" s="29" t="s">
        <v>170</v>
      </c>
      <c r="J11" s="28"/>
      <c r="K11" s="28" t="s">
        <v>170</v>
      </c>
      <c r="L11" s="28" t="s">
        <v>170</v>
      </c>
      <c r="M11" s="28" t="s">
        <v>170</v>
      </c>
      <c r="N11" s="28"/>
      <c r="O11" s="28"/>
      <c r="P11" s="28" t="s">
        <v>170</v>
      </c>
      <c r="Q11" s="28" t="s">
        <v>170</v>
      </c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170</v>
      </c>
      <c r="AB11" s="28"/>
      <c r="AC11" s="29"/>
      <c r="AD11" s="28"/>
      <c r="AE11" s="29"/>
      <c r="AF11" s="28"/>
      <c r="AG11" s="28"/>
      <c r="AH11" s="28" t="s">
        <v>170</v>
      </c>
    </row>
    <row r="12" spans="1:34" x14ac:dyDescent="0.25">
      <c r="A12" s="26" t="s">
        <v>171</v>
      </c>
      <c r="B12" s="29" t="s">
        <v>170</v>
      </c>
      <c r="C12" s="28" t="s">
        <v>170</v>
      </c>
      <c r="D12" s="28" t="s">
        <v>170</v>
      </c>
      <c r="E12" s="28"/>
      <c r="F12" s="28"/>
      <c r="G12" s="28" t="s">
        <v>173</v>
      </c>
      <c r="H12" s="29" t="s">
        <v>170</v>
      </c>
      <c r="I12" s="29" t="s">
        <v>170</v>
      </c>
      <c r="J12" s="28"/>
      <c r="K12" s="28" t="s">
        <v>170</v>
      </c>
      <c r="L12" s="28" t="s">
        <v>170</v>
      </c>
      <c r="M12" s="28" t="s">
        <v>170</v>
      </c>
      <c r="N12" s="28"/>
      <c r="O12" s="28"/>
      <c r="P12" s="28" t="s">
        <v>170</v>
      </c>
      <c r="Q12" s="28" t="s">
        <v>170</v>
      </c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170</v>
      </c>
      <c r="AB12" s="28"/>
      <c r="AC12" s="28"/>
      <c r="AD12" s="28"/>
      <c r="AE12" s="28"/>
      <c r="AF12" s="28"/>
      <c r="AG12" s="28"/>
      <c r="AH12" s="28" t="s">
        <v>170</v>
      </c>
    </row>
    <row r="13" spans="1:34" x14ac:dyDescent="0.25">
      <c r="A13" s="26" t="s">
        <v>172</v>
      </c>
      <c r="B13" s="28" t="s">
        <v>173</v>
      </c>
      <c r="C13" s="28" t="s">
        <v>170</v>
      </c>
      <c r="D13" s="28" t="s">
        <v>170</v>
      </c>
      <c r="E13" s="28"/>
      <c r="F13" s="28"/>
      <c r="G13" s="28" t="s">
        <v>173</v>
      </c>
      <c r="H13" s="28" t="s">
        <v>173</v>
      </c>
      <c r="I13" s="28" t="s">
        <v>173</v>
      </c>
      <c r="J13" s="28"/>
      <c r="K13" s="28" t="s">
        <v>170</v>
      </c>
      <c r="L13" s="28" t="s">
        <v>170</v>
      </c>
      <c r="M13" s="28" t="s">
        <v>170</v>
      </c>
      <c r="N13" s="28"/>
      <c r="O13" s="28"/>
      <c r="P13" s="28" t="s">
        <v>170</v>
      </c>
      <c r="Q13" s="28" t="s">
        <v>170</v>
      </c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170</v>
      </c>
      <c r="AB13" s="28"/>
      <c r="AC13" s="28"/>
      <c r="AD13" s="28"/>
      <c r="AE13" s="28"/>
      <c r="AF13" s="28"/>
      <c r="AG13" s="28"/>
      <c r="AH13" s="28" t="s">
        <v>170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/>
      <c r="F14" s="28"/>
      <c r="G14" s="28" t="s">
        <v>173</v>
      </c>
      <c r="H14" s="28" t="s">
        <v>173</v>
      </c>
      <c r="I14" s="28" t="s">
        <v>173</v>
      </c>
      <c r="J14" s="28"/>
      <c r="K14" s="28" t="s">
        <v>173</v>
      </c>
      <c r="L14" s="28" t="s">
        <v>173</v>
      </c>
      <c r="M14" s="28" t="s">
        <v>173</v>
      </c>
      <c r="N14" s="28"/>
      <c r="O14" s="28"/>
      <c r="P14" s="28" t="s">
        <v>173</v>
      </c>
      <c r="Q14" s="28" t="s">
        <v>173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173</v>
      </c>
      <c r="AB14" s="28"/>
      <c r="AC14" s="28"/>
      <c r="AD14" s="28"/>
      <c r="AE14" s="28"/>
      <c r="AF14" s="28"/>
      <c r="AG14" s="28"/>
      <c r="AH14" s="28" t="s">
        <v>173</v>
      </c>
    </row>
    <row r="15" spans="1:34" x14ac:dyDescent="0.25">
      <c r="A15" s="26" t="s">
        <v>175</v>
      </c>
      <c r="B15" s="28" t="s">
        <v>267</v>
      </c>
      <c r="C15" s="28" t="s">
        <v>199</v>
      </c>
      <c r="D15" s="28" t="s">
        <v>199</v>
      </c>
      <c r="E15" s="28"/>
      <c r="F15" s="28"/>
      <c r="G15" s="28" t="s">
        <v>267</v>
      </c>
      <c r="H15" s="28" t="s">
        <v>397</v>
      </c>
      <c r="I15" s="28" t="s">
        <v>397</v>
      </c>
      <c r="J15" s="28"/>
      <c r="K15" s="28" t="s">
        <v>199</v>
      </c>
      <c r="L15" s="28" t="s">
        <v>199</v>
      </c>
      <c r="M15" s="28" t="s">
        <v>199</v>
      </c>
      <c r="N15" s="28"/>
      <c r="O15" s="28"/>
      <c r="P15" s="28" t="s">
        <v>199</v>
      </c>
      <c r="Q15" s="28" t="s">
        <v>199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199</v>
      </c>
      <c r="AB15" s="28"/>
      <c r="AC15" s="28"/>
      <c r="AD15" s="28"/>
      <c r="AE15" s="28"/>
      <c r="AF15" s="28"/>
      <c r="AG15" s="28"/>
      <c r="AH15" s="28" t="s">
        <v>199</v>
      </c>
    </row>
    <row r="16" spans="1:34" x14ac:dyDescent="0.25">
      <c r="A16" s="26" t="s">
        <v>176</v>
      </c>
      <c r="B16" s="30">
        <v>-3</v>
      </c>
      <c r="C16" s="30">
        <v>-0.5</v>
      </c>
      <c r="D16" s="30">
        <v>-0.5</v>
      </c>
      <c r="E16" s="30"/>
      <c r="F16" s="30"/>
      <c r="G16" s="30">
        <v>-3</v>
      </c>
      <c r="H16" s="30">
        <v>-6</v>
      </c>
      <c r="I16" s="30">
        <v>-6</v>
      </c>
      <c r="J16" s="30"/>
      <c r="K16" s="30">
        <v>-0.5</v>
      </c>
      <c r="L16" s="30">
        <v>-0.5</v>
      </c>
      <c r="M16" s="30">
        <v>-0.5</v>
      </c>
      <c r="N16" s="30"/>
      <c r="O16" s="30"/>
      <c r="P16" s="30">
        <v>-0.5</v>
      </c>
      <c r="Q16" s="30">
        <v>-0.5</v>
      </c>
      <c r="R16" s="30"/>
      <c r="S16" s="30"/>
      <c r="T16" s="30"/>
      <c r="U16" s="30"/>
      <c r="V16" s="30"/>
      <c r="W16" s="30"/>
      <c r="X16" s="30"/>
      <c r="Y16" s="30"/>
      <c r="Z16" s="30"/>
      <c r="AA16" s="30">
        <v>-0.5</v>
      </c>
      <c r="AB16" s="30"/>
      <c r="AC16" s="30"/>
      <c r="AD16" s="30"/>
      <c r="AE16" s="30"/>
      <c r="AF16" s="30"/>
      <c r="AG16" s="30"/>
      <c r="AH16" s="30">
        <v>-0.5</v>
      </c>
    </row>
    <row r="17" spans="1:34" x14ac:dyDescent="0.25">
      <c r="A17" s="26" t="s">
        <v>177</v>
      </c>
      <c r="B17" s="28" t="s">
        <v>1125</v>
      </c>
      <c r="C17" s="28" t="s">
        <v>181</v>
      </c>
      <c r="D17" s="28" t="s">
        <v>181</v>
      </c>
      <c r="E17" s="28"/>
      <c r="F17" s="28"/>
      <c r="G17" s="28" t="s">
        <v>181</v>
      </c>
      <c r="H17" s="28" t="s">
        <v>181</v>
      </c>
      <c r="I17" s="28" t="s">
        <v>181</v>
      </c>
      <c r="J17" s="28"/>
      <c r="K17" s="28" t="s">
        <v>181</v>
      </c>
      <c r="L17" s="28" t="s">
        <v>200</v>
      </c>
      <c r="M17" s="28" t="s">
        <v>181</v>
      </c>
      <c r="N17" s="28"/>
      <c r="O17" s="28"/>
      <c r="P17" s="28" t="s">
        <v>181</v>
      </c>
      <c r="Q17" s="28" t="s">
        <v>181</v>
      </c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1012</v>
      </c>
      <c r="AB17" s="28"/>
      <c r="AC17" s="28"/>
      <c r="AD17" s="28"/>
      <c r="AE17" s="28"/>
      <c r="AF17" s="28"/>
      <c r="AG17" s="28"/>
      <c r="AH17" s="28" t="s">
        <v>200</v>
      </c>
    </row>
    <row r="18" spans="1:34" x14ac:dyDescent="0.25">
      <c r="A18" s="26" t="s">
        <v>182</v>
      </c>
      <c r="B18" s="30">
        <v>5</v>
      </c>
      <c r="C18" s="30">
        <v>2</v>
      </c>
      <c r="D18" s="30">
        <v>2</v>
      </c>
      <c r="E18" s="30"/>
      <c r="F18" s="30"/>
      <c r="G18" s="30">
        <v>2</v>
      </c>
      <c r="H18" s="30">
        <v>2</v>
      </c>
      <c r="I18" s="30">
        <v>2</v>
      </c>
      <c r="J18" s="30"/>
      <c r="K18" s="30">
        <v>2</v>
      </c>
      <c r="L18" s="30">
        <v>3</v>
      </c>
      <c r="M18" s="30">
        <v>2</v>
      </c>
      <c r="N18" s="30"/>
      <c r="O18" s="30"/>
      <c r="P18" s="30">
        <v>2</v>
      </c>
      <c r="Q18" s="30">
        <v>2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v>3.75</v>
      </c>
      <c r="AB18" s="30"/>
      <c r="AC18" s="30"/>
      <c r="AD18" s="30"/>
      <c r="AE18" s="30"/>
      <c r="AF18" s="30"/>
      <c r="AG18" s="30"/>
      <c r="AH18" s="30">
        <v>3</v>
      </c>
    </row>
    <row r="20" spans="1:34" x14ac:dyDescent="0.25">
      <c r="A20" s="31" t="s">
        <v>183</v>
      </c>
    </row>
    <row r="21" spans="1:34" x14ac:dyDescent="0.25">
      <c r="A21" s="26" t="s">
        <v>1489</v>
      </c>
      <c r="B21" s="56" t="s">
        <v>1490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823B4-061E-4F35-B3E1-29C02E7859A7}">
  <dimension ref="A1:AH21"/>
  <sheetViews>
    <sheetView workbookViewId="0">
      <selection activeCell="B7" sqref="B7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895</v>
      </c>
      <c r="I1" s="25" t="s">
        <v>1441</v>
      </c>
    </row>
    <row r="3" spans="1:34" ht="18" x14ac:dyDescent="0.25">
      <c r="A3" s="25" t="s">
        <v>119</v>
      </c>
      <c r="B3" s="215">
        <v>98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1491</v>
      </c>
      <c r="C4" s="215"/>
      <c r="D4" s="215"/>
      <c r="F4" s="216" t="s">
        <v>1492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899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28" t="s">
        <v>1493</v>
      </c>
      <c r="C8" s="28" t="s">
        <v>379</v>
      </c>
      <c r="D8" s="28" t="s">
        <v>379</v>
      </c>
      <c r="E8" s="28" t="s">
        <v>379</v>
      </c>
      <c r="F8" s="29" t="s">
        <v>379</v>
      </c>
      <c r="G8" s="28" t="s">
        <v>379</v>
      </c>
      <c r="H8" s="28" t="s">
        <v>379</v>
      </c>
      <c r="I8" s="28" t="s">
        <v>379</v>
      </c>
      <c r="J8" s="28" t="s">
        <v>379</v>
      </c>
      <c r="K8" s="28" t="s">
        <v>379</v>
      </c>
      <c r="L8" s="28" t="s">
        <v>379</v>
      </c>
      <c r="M8" s="28" t="s">
        <v>379</v>
      </c>
      <c r="N8" s="28" t="s">
        <v>379</v>
      </c>
      <c r="O8" s="28" t="s">
        <v>379</v>
      </c>
      <c r="P8" s="28" t="s">
        <v>1403</v>
      </c>
      <c r="Q8" s="28" t="s">
        <v>1403</v>
      </c>
      <c r="R8" s="28"/>
      <c r="S8" s="28"/>
      <c r="T8" s="28"/>
      <c r="U8" s="28"/>
      <c r="V8" s="28"/>
      <c r="W8" s="28"/>
      <c r="X8" s="28"/>
      <c r="Y8" s="28"/>
      <c r="Z8" s="28"/>
      <c r="AA8" s="28" t="s">
        <v>1403</v>
      </c>
      <c r="AB8" s="28"/>
      <c r="AC8" s="28"/>
      <c r="AD8" s="28"/>
      <c r="AE8" s="28"/>
      <c r="AF8" s="28"/>
      <c r="AG8" s="28" t="s">
        <v>379</v>
      </c>
      <c r="AH8" s="28" t="s">
        <v>379</v>
      </c>
    </row>
    <row r="9" spans="1:34" x14ac:dyDescent="0.25">
      <c r="A9" s="26" t="s">
        <v>165</v>
      </c>
      <c r="B9" s="28" t="s">
        <v>1403</v>
      </c>
      <c r="C9" s="28" t="s">
        <v>379</v>
      </c>
      <c r="D9" s="28" t="s">
        <v>379</v>
      </c>
      <c r="E9" s="28" t="s">
        <v>379</v>
      </c>
      <c r="F9" s="28" t="s">
        <v>379</v>
      </c>
      <c r="G9" s="28" t="s">
        <v>379</v>
      </c>
      <c r="H9" s="28" t="s">
        <v>379</v>
      </c>
      <c r="I9" s="28" t="s">
        <v>379</v>
      </c>
      <c r="J9" s="28" t="s">
        <v>379</v>
      </c>
      <c r="K9" s="28" t="s">
        <v>379</v>
      </c>
      <c r="L9" s="28" t="s">
        <v>379</v>
      </c>
      <c r="M9" s="28" t="s">
        <v>379</v>
      </c>
      <c r="N9" s="28" t="s">
        <v>379</v>
      </c>
      <c r="O9" s="28" t="s">
        <v>379</v>
      </c>
      <c r="P9" s="28" t="s">
        <v>379</v>
      </c>
      <c r="Q9" s="28" t="s">
        <v>379</v>
      </c>
      <c r="R9" s="29"/>
      <c r="S9" s="29"/>
      <c r="T9" s="29"/>
      <c r="U9" s="29"/>
      <c r="V9" s="29"/>
      <c r="W9" s="29"/>
      <c r="X9" s="29"/>
      <c r="Y9" s="29"/>
      <c r="Z9" s="29"/>
      <c r="AA9" s="28" t="s">
        <v>1403</v>
      </c>
      <c r="AB9" s="29"/>
      <c r="AC9" s="29"/>
      <c r="AD9" s="29"/>
      <c r="AE9" s="29"/>
      <c r="AF9" s="29"/>
      <c r="AG9" s="28" t="s">
        <v>379</v>
      </c>
      <c r="AH9" s="28" t="s">
        <v>379</v>
      </c>
    </row>
    <row r="10" spans="1:34" x14ac:dyDescent="0.25">
      <c r="A10" s="131" t="s">
        <v>168</v>
      </c>
      <c r="B10" s="157">
        <v>229</v>
      </c>
      <c r="C10" s="157">
        <v>70</v>
      </c>
      <c r="D10" s="157">
        <v>70</v>
      </c>
      <c r="E10" s="157">
        <v>70</v>
      </c>
      <c r="F10" s="157">
        <v>70</v>
      </c>
      <c r="G10" s="157">
        <v>70</v>
      </c>
      <c r="H10" s="157">
        <v>70</v>
      </c>
      <c r="I10" s="157">
        <v>70</v>
      </c>
      <c r="J10" s="157">
        <v>70</v>
      </c>
      <c r="K10" s="157">
        <v>70</v>
      </c>
      <c r="L10" s="157">
        <v>70</v>
      </c>
      <c r="M10" s="157">
        <v>70</v>
      </c>
      <c r="N10" s="157">
        <v>70</v>
      </c>
      <c r="O10" s="157">
        <v>70</v>
      </c>
      <c r="P10" s="157">
        <v>70</v>
      </c>
      <c r="Q10" s="157">
        <v>70</v>
      </c>
      <c r="R10" s="157"/>
      <c r="S10" s="157"/>
      <c r="T10" s="157"/>
      <c r="U10" s="157"/>
      <c r="V10" s="157"/>
      <c r="W10" s="157"/>
      <c r="X10" s="157"/>
      <c r="Y10" s="157"/>
      <c r="Z10" s="157"/>
      <c r="AA10" s="157">
        <v>229</v>
      </c>
      <c r="AB10" s="157"/>
      <c r="AC10" s="157"/>
      <c r="AD10" s="157"/>
      <c r="AE10" s="157"/>
      <c r="AF10" s="157"/>
      <c r="AG10" s="157">
        <v>70</v>
      </c>
      <c r="AH10" s="157">
        <v>70</v>
      </c>
    </row>
    <row r="11" spans="1:34" x14ac:dyDescent="0.25">
      <c r="A11" s="26" t="s">
        <v>169</v>
      </c>
      <c r="B11" s="29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28" t="s">
        <v>170</v>
      </c>
      <c r="O11" s="28" t="s">
        <v>170</v>
      </c>
      <c r="P11" s="28" t="s">
        <v>170</v>
      </c>
      <c r="Q11" s="28" t="s">
        <v>170</v>
      </c>
      <c r="R11" s="28"/>
      <c r="S11" s="28"/>
      <c r="T11" s="28"/>
      <c r="U11" s="28"/>
      <c r="V11" s="28"/>
      <c r="W11" s="28"/>
      <c r="X11" s="28"/>
      <c r="Y11" s="28"/>
      <c r="Z11" s="28"/>
      <c r="AA11" s="29" t="s">
        <v>170</v>
      </c>
      <c r="AB11" s="28"/>
      <c r="AC11" s="29"/>
      <c r="AD11" s="28"/>
      <c r="AE11" s="29"/>
      <c r="AF11" s="28"/>
      <c r="AG11" s="28" t="s">
        <v>170</v>
      </c>
      <c r="AH11" s="28" t="s">
        <v>170</v>
      </c>
    </row>
    <row r="12" spans="1:34" x14ac:dyDescent="0.25">
      <c r="A12" s="26" t="s">
        <v>171</v>
      </c>
      <c r="B12" s="29" t="s">
        <v>170</v>
      </c>
      <c r="C12" s="28" t="s">
        <v>170</v>
      </c>
      <c r="D12" s="28" t="s">
        <v>170</v>
      </c>
      <c r="E12" s="28" t="s">
        <v>170</v>
      </c>
      <c r="F12" s="28" t="s">
        <v>170</v>
      </c>
      <c r="G12" s="28" t="s">
        <v>170</v>
      </c>
      <c r="H12" s="28" t="s">
        <v>170</v>
      </c>
      <c r="I12" s="28" t="s">
        <v>170</v>
      </c>
      <c r="J12" s="28" t="s">
        <v>170</v>
      </c>
      <c r="K12" s="28" t="s">
        <v>170</v>
      </c>
      <c r="L12" s="28" t="s">
        <v>170</v>
      </c>
      <c r="M12" s="28" t="s">
        <v>170</v>
      </c>
      <c r="N12" s="28" t="s">
        <v>170</v>
      </c>
      <c r="O12" s="28" t="s">
        <v>170</v>
      </c>
      <c r="P12" s="28" t="s">
        <v>170</v>
      </c>
      <c r="Q12" s="28" t="s">
        <v>170</v>
      </c>
      <c r="R12" s="28"/>
      <c r="S12" s="28"/>
      <c r="T12" s="28"/>
      <c r="U12" s="28"/>
      <c r="V12" s="28"/>
      <c r="W12" s="28"/>
      <c r="X12" s="28"/>
      <c r="Y12" s="28"/>
      <c r="Z12" s="28"/>
      <c r="AA12" s="29" t="s">
        <v>170</v>
      </c>
      <c r="AB12" s="28"/>
      <c r="AC12" s="28"/>
      <c r="AD12" s="28"/>
      <c r="AE12" s="28"/>
      <c r="AF12" s="28"/>
      <c r="AG12" s="28" t="s">
        <v>170</v>
      </c>
      <c r="AH12" s="28" t="s">
        <v>170</v>
      </c>
    </row>
    <row r="13" spans="1:34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173</v>
      </c>
      <c r="AB13" s="28"/>
      <c r="AC13" s="28"/>
      <c r="AD13" s="28"/>
      <c r="AE13" s="28"/>
      <c r="AF13" s="28"/>
      <c r="AG13" s="28" t="s">
        <v>173</v>
      </c>
      <c r="AH13" s="28" t="s">
        <v>173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173</v>
      </c>
      <c r="AB14" s="28"/>
      <c r="AC14" s="28"/>
      <c r="AD14" s="28"/>
      <c r="AE14" s="28"/>
      <c r="AF14" s="28"/>
      <c r="AG14" s="28" t="s">
        <v>173</v>
      </c>
      <c r="AH14" s="28" t="s">
        <v>173</v>
      </c>
    </row>
    <row r="15" spans="1:34" x14ac:dyDescent="0.25">
      <c r="A15" s="26" t="s">
        <v>175</v>
      </c>
      <c r="B15" s="28" t="s">
        <v>160</v>
      </c>
      <c r="C15" s="28" t="s">
        <v>160</v>
      </c>
      <c r="D15" s="28" t="s">
        <v>160</v>
      </c>
      <c r="E15" s="28" t="s">
        <v>160</v>
      </c>
      <c r="F15" s="28" t="s">
        <v>160</v>
      </c>
      <c r="G15" s="28" t="s">
        <v>160</v>
      </c>
      <c r="H15" s="28" t="s">
        <v>160</v>
      </c>
      <c r="I15" s="28" t="s">
        <v>160</v>
      </c>
      <c r="J15" s="28" t="s">
        <v>160</v>
      </c>
      <c r="K15" s="28" t="s">
        <v>160</v>
      </c>
      <c r="L15" s="28" t="s">
        <v>160</v>
      </c>
      <c r="M15" s="28" t="s">
        <v>160</v>
      </c>
      <c r="N15" s="28" t="s">
        <v>160</v>
      </c>
      <c r="O15" s="28" t="s">
        <v>160</v>
      </c>
      <c r="P15" s="28" t="s">
        <v>160</v>
      </c>
      <c r="Q15" s="28" t="s">
        <v>160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160</v>
      </c>
      <c r="AB15" s="28"/>
      <c r="AC15" s="28"/>
      <c r="AD15" s="28"/>
      <c r="AE15" s="28"/>
      <c r="AF15" s="28"/>
      <c r="AG15" s="28" t="s">
        <v>160</v>
      </c>
      <c r="AH15" s="28" t="s">
        <v>160</v>
      </c>
    </row>
    <row r="16" spans="1:34" x14ac:dyDescent="0.25">
      <c r="A16" s="26" t="s">
        <v>176</v>
      </c>
      <c r="B16" s="30">
        <v>3</v>
      </c>
      <c r="C16" s="30">
        <v>3</v>
      </c>
      <c r="D16" s="30">
        <v>3</v>
      </c>
      <c r="E16" s="30">
        <v>3</v>
      </c>
      <c r="F16" s="30">
        <v>3</v>
      </c>
      <c r="G16" s="30">
        <v>3</v>
      </c>
      <c r="H16" s="30">
        <v>3</v>
      </c>
      <c r="I16" s="30">
        <v>3</v>
      </c>
      <c r="J16" s="30">
        <v>3</v>
      </c>
      <c r="K16" s="30">
        <v>3</v>
      </c>
      <c r="L16" s="30">
        <v>3</v>
      </c>
      <c r="M16" s="30">
        <v>3</v>
      </c>
      <c r="N16" s="30">
        <v>3</v>
      </c>
      <c r="O16" s="30">
        <v>3</v>
      </c>
      <c r="P16" s="30">
        <v>3</v>
      </c>
      <c r="Q16" s="30">
        <v>3</v>
      </c>
      <c r="R16" s="30"/>
      <c r="S16" s="30"/>
      <c r="T16" s="30"/>
      <c r="U16" s="30"/>
      <c r="V16" s="30"/>
      <c r="W16" s="30"/>
      <c r="X16" s="30"/>
      <c r="Y16" s="30"/>
      <c r="Z16" s="30"/>
      <c r="AA16" s="30">
        <v>3</v>
      </c>
      <c r="AB16" s="30"/>
      <c r="AC16" s="30"/>
      <c r="AD16" s="30"/>
      <c r="AE16" s="30"/>
      <c r="AF16" s="30"/>
      <c r="AG16" s="30">
        <v>3</v>
      </c>
      <c r="AH16" s="30">
        <v>3</v>
      </c>
    </row>
    <row r="17" spans="1:34" x14ac:dyDescent="0.25">
      <c r="A17" s="26" t="s">
        <v>177</v>
      </c>
      <c r="B17" s="28" t="s">
        <v>1404</v>
      </c>
      <c r="C17" s="28" t="s">
        <v>365</v>
      </c>
      <c r="D17" s="28" t="s">
        <v>365</v>
      </c>
      <c r="E17" s="28" t="s">
        <v>365</v>
      </c>
      <c r="F17" s="28" t="s">
        <v>365</v>
      </c>
      <c r="G17" s="28" t="s">
        <v>365</v>
      </c>
      <c r="H17" s="28" t="s">
        <v>365</v>
      </c>
      <c r="I17" s="28" t="s">
        <v>365</v>
      </c>
      <c r="J17" s="28" t="s">
        <v>365</v>
      </c>
      <c r="K17" s="28" t="s">
        <v>365</v>
      </c>
      <c r="L17" s="28" t="s">
        <v>365</v>
      </c>
      <c r="M17" s="28" t="s">
        <v>365</v>
      </c>
      <c r="N17" s="28" t="s">
        <v>365</v>
      </c>
      <c r="O17" s="28" t="s">
        <v>365</v>
      </c>
      <c r="P17" s="28" t="s">
        <v>365</v>
      </c>
      <c r="Q17" s="28" t="s">
        <v>365</v>
      </c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1404</v>
      </c>
      <c r="AB17" s="28"/>
      <c r="AC17" s="28"/>
      <c r="AD17" s="28"/>
      <c r="AE17" s="28"/>
      <c r="AF17" s="28"/>
      <c r="AG17" s="28" t="s">
        <v>365</v>
      </c>
      <c r="AH17" s="28" t="s">
        <v>365</v>
      </c>
    </row>
    <row r="18" spans="1:34" x14ac:dyDescent="0.25">
      <c r="A18" s="26" t="s">
        <v>182</v>
      </c>
      <c r="B18" s="30">
        <v>1.875</v>
      </c>
      <c r="C18" s="30">
        <v>1.5</v>
      </c>
      <c r="D18" s="30">
        <v>1.5</v>
      </c>
      <c r="E18" s="30">
        <v>1.5</v>
      </c>
      <c r="F18" s="30">
        <v>1.5</v>
      </c>
      <c r="G18" s="30">
        <v>1.5</v>
      </c>
      <c r="H18" s="30">
        <v>1.5</v>
      </c>
      <c r="I18" s="30">
        <v>1.5</v>
      </c>
      <c r="J18" s="30">
        <v>1.5</v>
      </c>
      <c r="K18" s="30">
        <v>1.5</v>
      </c>
      <c r="L18" s="30">
        <v>1.5</v>
      </c>
      <c r="M18" s="30">
        <v>1.5</v>
      </c>
      <c r="N18" s="30">
        <v>1.5</v>
      </c>
      <c r="O18" s="30">
        <v>1.5</v>
      </c>
      <c r="P18" s="30">
        <v>1.5</v>
      </c>
      <c r="Q18" s="30">
        <v>1.5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v>1.875</v>
      </c>
      <c r="AB18" s="30"/>
      <c r="AC18" s="30"/>
      <c r="AD18" s="30"/>
      <c r="AE18" s="30"/>
      <c r="AF18" s="30"/>
      <c r="AG18" s="30">
        <v>1.5</v>
      </c>
      <c r="AH18" s="30">
        <v>1.5</v>
      </c>
    </row>
    <row r="20" spans="1:34" x14ac:dyDescent="0.25">
      <c r="A20" s="31" t="s">
        <v>183</v>
      </c>
    </row>
    <row r="21" spans="1:34" x14ac:dyDescent="0.25">
      <c r="A21" s="26" t="s">
        <v>1494</v>
      </c>
      <c r="B21" s="56" t="s">
        <v>1445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6015E-B904-412A-8385-9E4D2DC01670}">
  <dimension ref="A1:AH21"/>
  <sheetViews>
    <sheetView workbookViewId="0">
      <selection activeCell="G9" sqref="G9:G18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895</v>
      </c>
      <c r="I1" s="25" t="s">
        <v>1441</v>
      </c>
    </row>
    <row r="3" spans="1:34" ht="18" x14ac:dyDescent="0.25">
      <c r="A3" s="25" t="s">
        <v>119</v>
      </c>
      <c r="B3" s="215">
        <v>99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1495</v>
      </c>
      <c r="C4" s="215"/>
      <c r="D4" s="215"/>
      <c r="F4" s="216" t="s">
        <v>1496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899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28" t="s">
        <v>1404</v>
      </c>
      <c r="C8" s="28" t="s">
        <v>366</v>
      </c>
      <c r="D8" s="28" t="s">
        <v>366</v>
      </c>
      <c r="E8" s="28" t="s">
        <v>366</v>
      </c>
      <c r="F8" s="28" t="s">
        <v>1409</v>
      </c>
      <c r="G8" s="28" t="s">
        <v>1409</v>
      </c>
      <c r="H8" s="28" t="s">
        <v>1409</v>
      </c>
      <c r="I8" s="28" t="s">
        <v>1409</v>
      </c>
      <c r="J8" s="29"/>
      <c r="K8" s="28" t="s">
        <v>1410</v>
      </c>
      <c r="L8" s="28" t="s">
        <v>1410</v>
      </c>
      <c r="M8" s="28" t="s">
        <v>1410</v>
      </c>
      <c r="N8" s="28" t="s">
        <v>366</v>
      </c>
      <c r="O8" s="28" t="s">
        <v>366</v>
      </c>
      <c r="P8" s="28" t="s">
        <v>1497</v>
      </c>
      <c r="Q8" s="28" t="s">
        <v>1497</v>
      </c>
      <c r="R8" s="28"/>
      <c r="S8" s="28"/>
      <c r="T8" s="28"/>
      <c r="U8" s="28"/>
      <c r="V8" s="28"/>
      <c r="W8" s="28"/>
      <c r="X8" s="28"/>
      <c r="Y8" s="28"/>
      <c r="Z8" s="28"/>
      <c r="AA8" s="28" t="s">
        <v>1497</v>
      </c>
      <c r="AB8" s="28"/>
      <c r="AC8" s="28" t="s">
        <v>1497</v>
      </c>
      <c r="AD8" s="28"/>
      <c r="AE8" s="28" t="s">
        <v>1497</v>
      </c>
      <c r="AF8" s="28"/>
      <c r="AG8" s="28" t="s">
        <v>366</v>
      </c>
      <c r="AH8" s="28" t="s">
        <v>366</v>
      </c>
    </row>
    <row r="9" spans="1:34" x14ac:dyDescent="0.25">
      <c r="A9" s="26" t="s">
        <v>165</v>
      </c>
      <c r="B9" s="28" t="s">
        <v>1497</v>
      </c>
      <c r="C9" s="28" t="s">
        <v>366</v>
      </c>
      <c r="D9" s="28" t="s">
        <v>366</v>
      </c>
      <c r="E9" s="28" t="s">
        <v>366</v>
      </c>
      <c r="F9" s="103" t="s">
        <v>1413</v>
      </c>
      <c r="G9" s="103" t="s">
        <v>1413</v>
      </c>
      <c r="H9" s="103" t="s">
        <v>1413</v>
      </c>
      <c r="I9" s="103" t="s">
        <v>1413</v>
      </c>
      <c r="J9" s="103" t="s">
        <v>1413</v>
      </c>
      <c r="K9" s="103" t="s">
        <v>1414</v>
      </c>
      <c r="L9" s="103" t="s">
        <v>1414</v>
      </c>
      <c r="M9" s="103" t="s">
        <v>1414</v>
      </c>
      <c r="N9" s="28" t="s">
        <v>366</v>
      </c>
      <c r="O9" s="28" t="s">
        <v>366</v>
      </c>
      <c r="P9" s="28" t="s">
        <v>366</v>
      </c>
      <c r="Q9" s="28" t="s">
        <v>366</v>
      </c>
      <c r="R9" s="29"/>
      <c r="S9" s="29"/>
      <c r="T9" s="29"/>
      <c r="U9" s="29"/>
      <c r="V9" s="29"/>
      <c r="W9" s="29"/>
      <c r="X9" s="29"/>
      <c r="Y9" s="29"/>
      <c r="Z9" s="29"/>
      <c r="AA9" s="28" t="s">
        <v>1497</v>
      </c>
      <c r="AB9" s="29"/>
      <c r="AC9" s="28" t="s">
        <v>1497</v>
      </c>
      <c r="AD9" s="29"/>
      <c r="AE9" s="28" t="s">
        <v>1497</v>
      </c>
      <c r="AF9" s="29"/>
      <c r="AG9" s="28" t="s">
        <v>366</v>
      </c>
      <c r="AH9" s="28" t="s">
        <v>366</v>
      </c>
    </row>
    <row r="10" spans="1:34" x14ac:dyDescent="0.25">
      <c r="A10" s="131" t="s">
        <v>168</v>
      </c>
      <c r="B10" s="157">
        <v>232</v>
      </c>
      <c r="C10" s="157">
        <v>73</v>
      </c>
      <c r="D10" s="157">
        <v>73</v>
      </c>
      <c r="E10" s="157">
        <v>73</v>
      </c>
      <c r="F10" s="157">
        <v>266</v>
      </c>
      <c r="G10" s="157">
        <v>266</v>
      </c>
      <c r="H10" s="157">
        <v>266</v>
      </c>
      <c r="I10" s="157">
        <v>266</v>
      </c>
      <c r="J10" s="157">
        <v>266</v>
      </c>
      <c r="K10" s="157">
        <v>265</v>
      </c>
      <c r="L10" s="157">
        <v>265</v>
      </c>
      <c r="M10" s="157">
        <v>265</v>
      </c>
      <c r="N10" s="157">
        <v>73</v>
      </c>
      <c r="O10" s="157">
        <v>73</v>
      </c>
      <c r="P10" s="157">
        <v>73</v>
      </c>
      <c r="Q10" s="157">
        <v>73</v>
      </c>
      <c r="R10" s="157"/>
      <c r="S10" s="157"/>
      <c r="T10" s="157"/>
      <c r="U10" s="157"/>
      <c r="V10" s="157"/>
      <c r="W10" s="157"/>
      <c r="X10" s="157"/>
      <c r="Y10" s="157"/>
      <c r="Z10" s="157"/>
      <c r="AA10" s="157">
        <v>232</v>
      </c>
      <c r="AB10" s="157"/>
      <c r="AC10" s="157">
        <v>232</v>
      </c>
      <c r="AD10" s="157"/>
      <c r="AE10" s="157">
        <v>232</v>
      </c>
      <c r="AF10" s="157"/>
      <c r="AG10" s="157">
        <v>73</v>
      </c>
      <c r="AH10" s="157">
        <v>73</v>
      </c>
    </row>
    <row r="11" spans="1:34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28" t="s">
        <v>170</v>
      </c>
      <c r="O11" s="28" t="s">
        <v>170</v>
      </c>
      <c r="P11" s="28" t="s">
        <v>170</v>
      </c>
      <c r="Q11" s="28" t="s">
        <v>170</v>
      </c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170</v>
      </c>
      <c r="AB11" s="28"/>
      <c r="AC11" s="28" t="s">
        <v>170</v>
      </c>
      <c r="AD11" s="28"/>
      <c r="AE11" s="28" t="s">
        <v>170</v>
      </c>
      <c r="AF11" s="28"/>
      <c r="AG11" s="28" t="s">
        <v>170</v>
      </c>
      <c r="AH11" s="28" t="s">
        <v>170</v>
      </c>
    </row>
    <row r="12" spans="1:34" x14ac:dyDescent="0.25">
      <c r="A12" s="26" t="s">
        <v>171</v>
      </c>
      <c r="B12" s="28" t="s">
        <v>170</v>
      </c>
      <c r="C12" s="28" t="s">
        <v>170</v>
      </c>
      <c r="D12" s="28" t="s">
        <v>170</v>
      </c>
      <c r="E12" s="28" t="s">
        <v>170</v>
      </c>
      <c r="F12" s="28" t="s">
        <v>170</v>
      </c>
      <c r="G12" s="28" t="s">
        <v>170</v>
      </c>
      <c r="H12" s="28" t="s">
        <v>170</v>
      </c>
      <c r="I12" s="28" t="s">
        <v>170</v>
      </c>
      <c r="J12" s="28" t="s">
        <v>170</v>
      </c>
      <c r="K12" s="28" t="s">
        <v>170</v>
      </c>
      <c r="L12" s="28" t="s">
        <v>170</v>
      </c>
      <c r="M12" s="28" t="s">
        <v>170</v>
      </c>
      <c r="N12" s="28" t="s">
        <v>170</v>
      </c>
      <c r="O12" s="28" t="s">
        <v>170</v>
      </c>
      <c r="P12" s="28" t="s">
        <v>170</v>
      </c>
      <c r="Q12" s="28" t="s">
        <v>170</v>
      </c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170</v>
      </c>
      <c r="AB12" s="28"/>
      <c r="AC12" s="28" t="s">
        <v>170</v>
      </c>
      <c r="AD12" s="28"/>
      <c r="AE12" s="28" t="s">
        <v>170</v>
      </c>
      <c r="AF12" s="28"/>
      <c r="AG12" s="28" t="s">
        <v>170</v>
      </c>
      <c r="AH12" s="28" t="s">
        <v>170</v>
      </c>
    </row>
    <row r="13" spans="1:34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173</v>
      </c>
      <c r="AB13" s="28"/>
      <c r="AC13" s="28" t="s">
        <v>173</v>
      </c>
      <c r="AD13" s="28"/>
      <c r="AE13" s="28" t="s">
        <v>173</v>
      </c>
      <c r="AF13" s="28"/>
      <c r="AG13" s="28" t="s">
        <v>173</v>
      </c>
      <c r="AH13" s="28" t="s">
        <v>173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173</v>
      </c>
      <c r="AB14" s="28"/>
      <c r="AC14" s="28" t="s">
        <v>173</v>
      </c>
      <c r="AD14" s="28"/>
      <c r="AE14" s="28" t="s">
        <v>173</v>
      </c>
      <c r="AF14" s="28"/>
      <c r="AG14" s="28" t="s">
        <v>173</v>
      </c>
      <c r="AH14" s="28" t="s">
        <v>173</v>
      </c>
    </row>
    <row r="15" spans="1:34" x14ac:dyDescent="0.25">
      <c r="A15" s="26" t="s">
        <v>175</v>
      </c>
      <c r="B15" s="28" t="s">
        <v>198</v>
      </c>
      <c r="C15" s="28" t="s">
        <v>198</v>
      </c>
      <c r="D15" s="28" t="s">
        <v>198</v>
      </c>
      <c r="E15" s="28" t="s">
        <v>198</v>
      </c>
      <c r="F15" s="28" t="s">
        <v>1418</v>
      </c>
      <c r="G15" s="28" t="s">
        <v>1418</v>
      </c>
      <c r="H15" s="28" t="s">
        <v>1418</v>
      </c>
      <c r="I15" s="28" t="s">
        <v>1418</v>
      </c>
      <c r="J15" s="28" t="s">
        <v>1418</v>
      </c>
      <c r="K15" s="28" t="s">
        <v>199</v>
      </c>
      <c r="L15" s="28" t="s">
        <v>199</v>
      </c>
      <c r="M15" s="28" t="s">
        <v>199</v>
      </c>
      <c r="N15" s="28" t="s">
        <v>198</v>
      </c>
      <c r="O15" s="28" t="s">
        <v>198</v>
      </c>
      <c r="P15" s="28" t="s">
        <v>198</v>
      </c>
      <c r="Q15" s="28" t="s">
        <v>198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198</v>
      </c>
      <c r="AB15" s="28"/>
      <c r="AC15" s="28" t="s">
        <v>198</v>
      </c>
      <c r="AD15" s="28"/>
      <c r="AE15" s="28" t="s">
        <v>198</v>
      </c>
      <c r="AF15" s="28"/>
      <c r="AG15" s="28" t="s">
        <v>198</v>
      </c>
      <c r="AH15" s="28" t="s">
        <v>198</v>
      </c>
    </row>
    <row r="16" spans="1:34" x14ac:dyDescent="0.25">
      <c r="A16" s="26" t="s">
        <v>176</v>
      </c>
      <c r="B16" s="30">
        <v>0.75</v>
      </c>
      <c r="C16" s="30">
        <v>0.75</v>
      </c>
      <c r="D16" s="30">
        <v>0.75</v>
      </c>
      <c r="E16" s="30">
        <v>0.75</v>
      </c>
      <c r="F16" s="30">
        <f t="shared" ref="F16:J16" si="0">AVERAGE(1.5,0)</f>
        <v>0.75</v>
      </c>
      <c r="G16" s="30">
        <f t="shared" si="0"/>
        <v>0.75</v>
      </c>
      <c r="H16" s="30">
        <f t="shared" si="0"/>
        <v>0.75</v>
      </c>
      <c r="I16" s="30">
        <f t="shared" si="0"/>
        <v>0.75</v>
      </c>
      <c r="J16" s="30">
        <f t="shared" si="0"/>
        <v>0.75</v>
      </c>
      <c r="K16" s="30">
        <v>-1</v>
      </c>
      <c r="L16" s="30">
        <v>-1</v>
      </c>
      <c r="M16" s="30">
        <v>-1</v>
      </c>
      <c r="N16" s="30">
        <v>0.75</v>
      </c>
      <c r="O16" s="30">
        <v>0.75</v>
      </c>
      <c r="P16" s="30">
        <v>0.75</v>
      </c>
      <c r="Q16" s="30">
        <v>0.75</v>
      </c>
      <c r="R16" s="30"/>
      <c r="S16" s="30"/>
      <c r="T16" s="30"/>
      <c r="U16" s="30"/>
      <c r="V16" s="30"/>
      <c r="W16" s="30"/>
      <c r="X16" s="30"/>
      <c r="Y16" s="30"/>
      <c r="Z16" s="30"/>
      <c r="AA16" s="30">
        <v>0.75</v>
      </c>
      <c r="AB16" s="30"/>
      <c r="AC16" s="30">
        <v>0.75</v>
      </c>
      <c r="AD16" s="30"/>
      <c r="AE16" s="30">
        <v>0.75</v>
      </c>
      <c r="AF16" s="30"/>
      <c r="AG16" s="30">
        <v>0.75</v>
      </c>
      <c r="AH16" s="30">
        <v>0.75</v>
      </c>
    </row>
    <row r="17" spans="1:34" x14ac:dyDescent="0.25">
      <c r="A17" s="26" t="s">
        <v>177</v>
      </c>
      <c r="B17" s="28" t="s">
        <v>1404</v>
      </c>
      <c r="C17" s="28" t="s">
        <v>365</v>
      </c>
      <c r="D17" s="28" t="s">
        <v>365</v>
      </c>
      <c r="E17" s="28" t="s">
        <v>365</v>
      </c>
      <c r="F17" s="28" t="s">
        <v>365</v>
      </c>
      <c r="G17" s="28" t="s">
        <v>365</v>
      </c>
      <c r="H17" s="28" t="s">
        <v>365</v>
      </c>
      <c r="I17" s="28" t="s">
        <v>365</v>
      </c>
      <c r="J17" s="28" t="s">
        <v>365</v>
      </c>
      <c r="K17" s="28" t="s">
        <v>365</v>
      </c>
      <c r="L17" s="28" t="s">
        <v>365</v>
      </c>
      <c r="M17" s="28" t="s">
        <v>365</v>
      </c>
      <c r="N17" s="28" t="s">
        <v>365</v>
      </c>
      <c r="O17" s="28" t="s">
        <v>365</v>
      </c>
      <c r="P17" s="28" t="s">
        <v>365</v>
      </c>
      <c r="Q17" s="28" t="s">
        <v>365</v>
      </c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1404</v>
      </c>
      <c r="AB17" s="28"/>
      <c r="AC17" s="28" t="s">
        <v>1404</v>
      </c>
      <c r="AD17" s="28"/>
      <c r="AE17" s="28" t="s">
        <v>1404</v>
      </c>
      <c r="AF17" s="28"/>
      <c r="AG17" s="28" t="s">
        <v>365</v>
      </c>
      <c r="AH17" s="28" t="s">
        <v>365</v>
      </c>
    </row>
    <row r="18" spans="1:34" x14ac:dyDescent="0.25">
      <c r="A18" s="26" t="s">
        <v>182</v>
      </c>
      <c r="B18" s="30">
        <v>1.875</v>
      </c>
      <c r="C18" s="30">
        <v>1.5</v>
      </c>
      <c r="D18" s="30">
        <v>1.5</v>
      </c>
      <c r="E18" s="30">
        <v>1.5</v>
      </c>
      <c r="F18" s="30">
        <v>1.5</v>
      </c>
      <c r="G18" s="30">
        <v>1.5</v>
      </c>
      <c r="H18" s="30">
        <v>1.5</v>
      </c>
      <c r="I18" s="30">
        <v>1.5</v>
      </c>
      <c r="J18" s="30">
        <v>1.5</v>
      </c>
      <c r="K18" s="30">
        <v>1.5</v>
      </c>
      <c r="L18" s="30">
        <v>1.5</v>
      </c>
      <c r="M18" s="30">
        <v>1.5</v>
      </c>
      <c r="N18" s="30">
        <v>1.5</v>
      </c>
      <c r="O18" s="30">
        <v>1.5</v>
      </c>
      <c r="P18" s="30">
        <v>1.5</v>
      </c>
      <c r="Q18" s="30">
        <v>1.5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v>1.875</v>
      </c>
      <c r="AB18" s="30"/>
      <c r="AC18" s="30">
        <v>1.875</v>
      </c>
      <c r="AD18" s="30"/>
      <c r="AE18" s="30">
        <v>1.875</v>
      </c>
      <c r="AF18" s="30"/>
      <c r="AG18" s="30">
        <v>1.5</v>
      </c>
      <c r="AH18" s="30">
        <v>1.5</v>
      </c>
    </row>
    <row r="20" spans="1:34" x14ac:dyDescent="0.25">
      <c r="A20" s="31" t="s">
        <v>183</v>
      </c>
    </row>
    <row r="21" spans="1:34" x14ac:dyDescent="0.25">
      <c r="A21" s="26" t="s">
        <v>1498</v>
      </c>
      <c r="B21" s="56" t="s">
        <v>1445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8B84D-D072-49C6-9781-472612F28637}">
  <dimension ref="A1:AH21"/>
  <sheetViews>
    <sheetView workbookViewId="0">
      <selection activeCell="AB8" sqref="AB8:AD18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895</v>
      </c>
      <c r="I1" s="25" t="s">
        <v>1441</v>
      </c>
    </row>
    <row r="3" spans="1:34" ht="18" x14ac:dyDescent="0.25">
      <c r="A3" s="25" t="s">
        <v>119</v>
      </c>
      <c r="B3" s="215">
        <v>100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1499</v>
      </c>
      <c r="C4" s="215"/>
      <c r="D4" s="215"/>
      <c r="F4" s="216" t="s">
        <v>1500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899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86" t="s">
        <v>1333</v>
      </c>
      <c r="C8" s="28" t="s">
        <v>385</v>
      </c>
      <c r="D8" s="28" t="s">
        <v>385</v>
      </c>
      <c r="E8" s="28" t="s">
        <v>385</v>
      </c>
      <c r="F8" s="28" t="s">
        <v>385</v>
      </c>
      <c r="G8" s="28" t="s">
        <v>385</v>
      </c>
      <c r="H8" s="28" t="s">
        <v>385</v>
      </c>
      <c r="I8" s="28" t="s">
        <v>385</v>
      </c>
      <c r="J8" s="28" t="s">
        <v>385</v>
      </c>
      <c r="K8" s="28" t="s">
        <v>385</v>
      </c>
      <c r="L8" s="28" t="s">
        <v>385</v>
      </c>
      <c r="M8" s="28" t="s">
        <v>385</v>
      </c>
      <c r="N8" s="28"/>
      <c r="O8" s="28"/>
      <c r="P8" s="28" t="s">
        <v>1332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8" t="s">
        <v>1332</v>
      </c>
      <c r="AB8" s="28" t="s">
        <v>1332</v>
      </c>
      <c r="AC8" s="28" t="s">
        <v>1332</v>
      </c>
      <c r="AD8" s="28" t="s">
        <v>1332</v>
      </c>
      <c r="AE8" s="28" t="s">
        <v>1332</v>
      </c>
      <c r="AF8" s="28"/>
      <c r="AG8" s="28"/>
      <c r="AH8" s="28" t="s">
        <v>385</v>
      </c>
    </row>
    <row r="9" spans="1:34" x14ac:dyDescent="0.25">
      <c r="A9" s="26" t="s">
        <v>165</v>
      </c>
      <c r="B9" s="86" t="s">
        <v>1332</v>
      </c>
      <c r="C9" s="28" t="s">
        <v>385</v>
      </c>
      <c r="D9" s="28" t="s">
        <v>385</v>
      </c>
      <c r="E9" s="28" t="s">
        <v>385</v>
      </c>
      <c r="F9" s="28" t="s">
        <v>385</v>
      </c>
      <c r="G9" s="28" t="s">
        <v>385</v>
      </c>
      <c r="H9" s="28" t="s">
        <v>385</v>
      </c>
      <c r="I9" s="28" t="s">
        <v>385</v>
      </c>
      <c r="J9" s="28" t="s">
        <v>385</v>
      </c>
      <c r="K9" s="28" t="s">
        <v>385</v>
      </c>
      <c r="L9" s="28" t="s">
        <v>385</v>
      </c>
      <c r="M9" s="28" t="s">
        <v>385</v>
      </c>
      <c r="N9" s="29"/>
      <c r="O9" s="29"/>
      <c r="P9" s="28" t="s">
        <v>385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8" t="s">
        <v>1332</v>
      </c>
      <c r="AB9" s="28" t="s">
        <v>1332</v>
      </c>
      <c r="AC9" s="28" t="s">
        <v>1332</v>
      </c>
      <c r="AD9" s="28" t="s">
        <v>1332</v>
      </c>
      <c r="AE9" s="28" t="s">
        <v>1332</v>
      </c>
      <c r="AF9" s="29"/>
      <c r="AG9" s="29"/>
      <c r="AH9" s="28" t="s">
        <v>385</v>
      </c>
    </row>
    <row r="10" spans="1:34" x14ac:dyDescent="0.25">
      <c r="A10" s="131" t="s">
        <v>168</v>
      </c>
      <c r="B10" s="157">
        <v>208</v>
      </c>
      <c r="C10" s="157">
        <v>42</v>
      </c>
      <c r="D10" s="157">
        <v>42</v>
      </c>
      <c r="E10" s="157">
        <v>42</v>
      </c>
      <c r="F10" s="157">
        <v>42</v>
      </c>
      <c r="G10" s="157">
        <v>42</v>
      </c>
      <c r="H10" s="157">
        <v>42</v>
      </c>
      <c r="I10" s="157">
        <v>42</v>
      </c>
      <c r="J10" s="157">
        <v>42</v>
      </c>
      <c r="K10" s="157">
        <v>42</v>
      </c>
      <c r="L10" s="157">
        <v>42</v>
      </c>
      <c r="M10" s="157">
        <v>42</v>
      </c>
      <c r="N10" s="157"/>
      <c r="O10" s="157"/>
      <c r="P10" s="157">
        <v>42</v>
      </c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>
        <v>208</v>
      </c>
      <c r="AB10" s="157">
        <v>208</v>
      </c>
      <c r="AC10" s="157">
        <v>208</v>
      </c>
      <c r="AD10" s="157">
        <v>208</v>
      </c>
      <c r="AE10" s="157">
        <v>208</v>
      </c>
      <c r="AF10" s="157"/>
      <c r="AG10" s="157"/>
      <c r="AH10" s="157">
        <v>42</v>
      </c>
    </row>
    <row r="11" spans="1:34" x14ac:dyDescent="0.25">
      <c r="A11" s="26" t="s">
        <v>169</v>
      </c>
      <c r="B11" s="91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28"/>
      <c r="O11" s="28"/>
      <c r="P11" s="28" t="s">
        <v>170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170</v>
      </c>
      <c r="AB11" s="28" t="s">
        <v>170</v>
      </c>
      <c r="AC11" s="28" t="s">
        <v>170</v>
      </c>
      <c r="AD11" s="28" t="s">
        <v>170</v>
      </c>
      <c r="AE11" s="28" t="s">
        <v>170</v>
      </c>
      <c r="AF11" s="28"/>
      <c r="AG11" s="28"/>
      <c r="AH11" s="28" t="s">
        <v>170</v>
      </c>
    </row>
    <row r="12" spans="1:34" x14ac:dyDescent="0.25">
      <c r="A12" s="26" t="s">
        <v>171</v>
      </c>
      <c r="B12" s="86" t="s">
        <v>173</v>
      </c>
      <c r="C12" s="28" t="s">
        <v>173</v>
      </c>
      <c r="D12" s="28" t="s">
        <v>173</v>
      </c>
      <c r="E12" s="28" t="s">
        <v>173</v>
      </c>
      <c r="F12" s="28" t="s">
        <v>173</v>
      </c>
      <c r="G12" s="28" t="s">
        <v>173</v>
      </c>
      <c r="H12" s="28" t="s">
        <v>173</v>
      </c>
      <c r="I12" s="28" t="s">
        <v>173</v>
      </c>
      <c r="J12" s="28" t="s">
        <v>173</v>
      </c>
      <c r="K12" s="28" t="s">
        <v>173</v>
      </c>
      <c r="L12" s="28" t="s">
        <v>173</v>
      </c>
      <c r="M12" s="28" t="s">
        <v>173</v>
      </c>
      <c r="N12" s="28"/>
      <c r="O12" s="28"/>
      <c r="P12" s="28" t="s">
        <v>173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173</v>
      </c>
      <c r="AB12" s="28" t="s">
        <v>173</v>
      </c>
      <c r="AC12" s="28" t="s">
        <v>173</v>
      </c>
      <c r="AD12" s="28" t="s">
        <v>173</v>
      </c>
      <c r="AE12" s="28" t="s">
        <v>173</v>
      </c>
      <c r="AF12" s="28"/>
      <c r="AG12" s="28"/>
      <c r="AH12" s="28" t="s">
        <v>173</v>
      </c>
    </row>
    <row r="13" spans="1:34" x14ac:dyDescent="0.25">
      <c r="A13" s="26" t="s">
        <v>172</v>
      </c>
      <c r="B13" s="86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/>
      <c r="O13" s="28"/>
      <c r="P13" s="28" t="s">
        <v>173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173</v>
      </c>
      <c r="AB13" s="28" t="s">
        <v>173</v>
      </c>
      <c r="AC13" s="28" t="s">
        <v>173</v>
      </c>
      <c r="AD13" s="28" t="s">
        <v>173</v>
      </c>
      <c r="AE13" s="28" t="s">
        <v>173</v>
      </c>
      <c r="AF13" s="28"/>
      <c r="AG13" s="28"/>
      <c r="AH13" s="28" t="s">
        <v>173</v>
      </c>
    </row>
    <row r="14" spans="1:34" x14ac:dyDescent="0.25">
      <c r="A14" s="26" t="s">
        <v>174</v>
      </c>
      <c r="B14" s="86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/>
      <c r="O14" s="28"/>
      <c r="P14" s="28" t="s">
        <v>173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173</v>
      </c>
      <c r="AB14" s="28" t="s">
        <v>173</v>
      </c>
      <c r="AC14" s="28" t="s">
        <v>173</v>
      </c>
      <c r="AD14" s="28" t="s">
        <v>173</v>
      </c>
      <c r="AE14" s="28" t="s">
        <v>173</v>
      </c>
      <c r="AF14" s="28"/>
      <c r="AG14" s="28"/>
      <c r="AH14" s="28" t="s">
        <v>173</v>
      </c>
    </row>
    <row r="15" spans="1:34" x14ac:dyDescent="0.25">
      <c r="A15" s="26" t="s">
        <v>175</v>
      </c>
      <c r="B15" s="86" t="s">
        <v>160</v>
      </c>
      <c r="C15" s="28" t="s">
        <v>160</v>
      </c>
      <c r="D15" s="28" t="s">
        <v>160</v>
      </c>
      <c r="E15" s="28" t="s">
        <v>160</v>
      </c>
      <c r="F15" s="28" t="s">
        <v>160</v>
      </c>
      <c r="G15" s="28" t="s">
        <v>160</v>
      </c>
      <c r="H15" s="28" t="s">
        <v>160</v>
      </c>
      <c r="I15" s="28" t="s">
        <v>160</v>
      </c>
      <c r="J15" s="28" t="s">
        <v>160</v>
      </c>
      <c r="K15" s="28" t="s">
        <v>160</v>
      </c>
      <c r="L15" s="28" t="s">
        <v>160</v>
      </c>
      <c r="M15" s="28" t="s">
        <v>160</v>
      </c>
      <c r="N15" s="28"/>
      <c r="O15" s="28"/>
      <c r="P15" s="28" t="s">
        <v>160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160</v>
      </c>
      <c r="AB15" s="28" t="s">
        <v>160</v>
      </c>
      <c r="AC15" s="28" t="s">
        <v>160</v>
      </c>
      <c r="AD15" s="28" t="s">
        <v>160</v>
      </c>
      <c r="AE15" s="28" t="s">
        <v>160</v>
      </c>
      <c r="AF15" s="28"/>
      <c r="AG15" s="28"/>
      <c r="AH15" s="28" t="s">
        <v>160</v>
      </c>
    </row>
    <row r="16" spans="1:34" x14ac:dyDescent="0.25">
      <c r="A16" s="26" t="s">
        <v>176</v>
      </c>
      <c r="B16" s="92">
        <v>2.5</v>
      </c>
      <c r="C16" s="30">
        <v>2.5</v>
      </c>
      <c r="D16" s="30">
        <v>2.5</v>
      </c>
      <c r="E16" s="30">
        <v>2.5</v>
      </c>
      <c r="F16" s="30">
        <v>2.5</v>
      </c>
      <c r="G16" s="30">
        <v>2.5</v>
      </c>
      <c r="H16" s="30">
        <v>2.5</v>
      </c>
      <c r="I16" s="30">
        <v>2.5</v>
      </c>
      <c r="J16" s="30">
        <v>2.5</v>
      </c>
      <c r="K16" s="30">
        <v>2.5</v>
      </c>
      <c r="L16" s="30">
        <v>2.5</v>
      </c>
      <c r="M16" s="30">
        <v>2.5</v>
      </c>
      <c r="N16" s="30"/>
      <c r="O16" s="30"/>
      <c r="P16" s="30">
        <v>2.5</v>
      </c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v>2.5</v>
      </c>
      <c r="AB16" s="30">
        <v>2.5</v>
      </c>
      <c r="AC16" s="30">
        <v>2.5</v>
      </c>
      <c r="AD16" s="30">
        <v>2.5</v>
      </c>
      <c r="AE16" s="30">
        <v>2.5</v>
      </c>
      <c r="AF16" s="30"/>
      <c r="AG16" s="30"/>
      <c r="AH16" s="30">
        <v>2.5</v>
      </c>
    </row>
    <row r="17" spans="1:34" x14ac:dyDescent="0.25">
      <c r="A17" s="26" t="s">
        <v>177</v>
      </c>
      <c r="B17" s="86" t="s">
        <v>1333</v>
      </c>
      <c r="C17" s="28" t="s">
        <v>181</v>
      </c>
      <c r="D17" s="28" t="s">
        <v>181</v>
      </c>
      <c r="E17" s="28" t="s">
        <v>181</v>
      </c>
      <c r="F17" s="28" t="s">
        <v>181</v>
      </c>
      <c r="G17" s="28" t="s">
        <v>181</v>
      </c>
      <c r="H17" s="28" t="s">
        <v>181</v>
      </c>
      <c r="I17" s="28" t="s">
        <v>181</v>
      </c>
      <c r="J17" s="28" t="s">
        <v>181</v>
      </c>
      <c r="K17" s="28" t="s">
        <v>181</v>
      </c>
      <c r="L17" s="28" t="s">
        <v>181</v>
      </c>
      <c r="M17" s="28" t="s">
        <v>181</v>
      </c>
      <c r="N17" s="28"/>
      <c r="O17" s="28"/>
      <c r="P17" s="28" t="s">
        <v>181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1333</v>
      </c>
      <c r="AB17" s="28" t="s">
        <v>1333</v>
      </c>
      <c r="AC17" s="28" t="s">
        <v>1333</v>
      </c>
      <c r="AD17" s="28" t="s">
        <v>1333</v>
      </c>
      <c r="AE17" s="28" t="s">
        <v>1333</v>
      </c>
      <c r="AF17" s="28"/>
      <c r="AG17" s="28"/>
      <c r="AH17" s="28" t="s">
        <v>181</v>
      </c>
    </row>
    <row r="18" spans="1:34" x14ac:dyDescent="0.25">
      <c r="A18" s="26" t="s">
        <v>182</v>
      </c>
      <c r="B18" s="92">
        <v>2.5</v>
      </c>
      <c r="C18" s="30">
        <v>2</v>
      </c>
      <c r="D18" s="30">
        <v>2</v>
      </c>
      <c r="E18" s="30">
        <v>2</v>
      </c>
      <c r="F18" s="30">
        <v>2</v>
      </c>
      <c r="G18" s="30">
        <v>2</v>
      </c>
      <c r="H18" s="30">
        <v>2</v>
      </c>
      <c r="I18" s="30">
        <v>2</v>
      </c>
      <c r="J18" s="30">
        <v>2</v>
      </c>
      <c r="K18" s="30">
        <v>2</v>
      </c>
      <c r="L18" s="30">
        <v>2</v>
      </c>
      <c r="M18" s="30">
        <v>2</v>
      </c>
      <c r="N18" s="30"/>
      <c r="O18" s="30"/>
      <c r="P18" s="30">
        <v>2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v>2.5</v>
      </c>
      <c r="AB18" s="30">
        <v>2.5</v>
      </c>
      <c r="AC18" s="30">
        <v>2.5</v>
      </c>
      <c r="AD18" s="30">
        <v>2.5</v>
      </c>
      <c r="AE18" s="30">
        <v>2.5</v>
      </c>
      <c r="AF18" s="30"/>
      <c r="AG18" s="30"/>
      <c r="AH18" s="30">
        <v>2</v>
      </c>
    </row>
    <row r="20" spans="1:34" x14ac:dyDescent="0.25">
      <c r="A20" s="31" t="s">
        <v>183</v>
      </c>
    </row>
    <row r="21" spans="1:34" x14ac:dyDescent="0.25">
      <c r="A21" s="26" t="s">
        <v>1501</v>
      </c>
      <c r="B21" s="56" t="s">
        <v>1502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40C39-9F68-4167-AE10-C7793E0696FA}">
  <dimension ref="A1:AZ22"/>
  <sheetViews>
    <sheetView topLeftCell="M1" workbookViewId="0">
      <selection activeCell="AL10" sqref="AL10"/>
    </sheetView>
  </sheetViews>
  <sheetFormatPr defaultColWidth="9.140625" defaultRowHeight="15" x14ac:dyDescent="0.25"/>
  <cols>
    <col min="1" max="1" width="23.28515625" style="26" bestFit="1" customWidth="1"/>
    <col min="2" max="65" width="5.7109375" style="26" customWidth="1"/>
    <col min="66" max="16384" width="9.140625" style="26"/>
  </cols>
  <sheetData>
    <row r="1" spans="1:52" x14ac:dyDescent="0.25">
      <c r="A1" s="25" t="s">
        <v>116</v>
      </c>
      <c r="D1" s="25" t="s">
        <v>895</v>
      </c>
      <c r="I1" s="25" t="s">
        <v>1441</v>
      </c>
    </row>
    <row r="3" spans="1:52" ht="18" x14ac:dyDescent="0.25">
      <c r="A3" s="25" t="s">
        <v>119</v>
      </c>
      <c r="B3" s="215">
        <v>101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52" ht="18" x14ac:dyDescent="0.25">
      <c r="A4" s="25" t="s">
        <v>121</v>
      </c>
      <c r="B4" s="215" t="s">
        <v>1503</v>
      </c>
      <c r="C4" s="215"/>
      <c r="D4" s="215"/>
      <c r="F4" s="216" t="s">
        <v>1504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52" ht="18" x14ac:dyDescent="0.25">
      <c r="A5" s="25" t="s">
        <v>124</v>
      </c>
      <c r="B5" s="215" t="s">
        <v>917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52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  <c r="AJ7" s="32" t="s">
        <v>127</v>
      </c>
      <c r="AK7" s="32" t="s">
        <v>128</v>
      </c>
      <c r="AL7" s="33" t="s">
        <v>129</v>
      </c>
      <c r="AM7" s="34" t="s">
        <v>130</v>
      </c>
      <c r="AN7" s="35" t="s">
        <v>131</v>
      </c>
      <c r="AO7" s="35" t="s">
        <v>132</v>
      </c>
      <c r="AP7" s="36" t="s">
        <v>133</v>
      </c>
      <c r="AQ7" s="38" t="s">
        <v>134</v>
      </c>
      <c r="AR7" s="39" t="s">
        <v>135</v>
      </c>
      <c r="AS7" s="39" t="s">
        <v>136</v>
      </c>
      <c r="AT7" s="39" t="s">
        <v>137</v>
      </c>
      <c r="AU7" s="65" t="s">
        <v>139</v>
      </c>
      <c r="AV7" s="42" t="s">
        <v>140</v>
      </c>
      <c r="AW7" s="42" t="s">
        <v>141</v>
      </c>
      <c r="AX7" s="72" t="s">
        <v>151</v>
      </c>
      <c r="AY7" s="53" t="s">
        <v>157</v>
      </c>
      <c r="AZ7" s="53" t="s">
        <v>158</v>
      </c>
    </row>
    <row r="8" spans="1:52" x14ac:dyDescent="0.25">
      <c r="A8" s="26" t="s">
        <v>159</v>
      </c>
      <c r="B8" s="28" t="s">
        <v>1505</v>
      </c>
      <c r="C8" s="28" t="s">
        <v>316</v>
      </c>
      <c r="D8" s="28" t="s">
        <v>316</v>
      </c>
      <c r="E8" s="29" t="s">
        <v>316</v>
      </c>
      <c r="F8" s="29" t="s">
        <v>316</v>
      </c>
      <c r="G8" s="28" t="s">
        <v>322</v>
      </c>
      <c r="H8" s="28" t="s">
        <v>322</v>
      </c>
      <c r="I8" s="28" t="s">
        <v>322</v>
      </c>
      <c r="J8" s="29" t="s">
        <v>316</v>
      </c>
      <c r="K8" s="28" t="s">
        <v>1506</v>
      </c>
      <c r="L8" s="28" t="s">
        <v>1506</v>
      </c>
      <c r="M8" s="28" t="s">
        <v>1506</v>
      </c>
      <c r="N8" s="28" t="s">
        <v>1187</v>
      </c>
      <c r="O8" s="28" t="s">
        <v>1346</v>
      </c>
      <c r="P8" s="29" t="s">
        <v>1187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8" t="s">
        <v>1507</v>
      </c>
      <c r="AB8" s="28"/>
      <c r="AC8" s="28" t="s">
        <v>1187</v>
      </c>
      <c r="AD8" s="28"/>
      <c r="AE8" s="28"/>
      <c r="AF8" s="28" t="s">
        <v>256</v>
      </c>
      <c r="AG8" s="28" t="s">
        <v>1346</v>
      </c>
      <c r="AH8" s="28" t="s">
        <v>415</v>
      </c>
      <c r="AJ8" s="28" t="s">
        <v>1187</v>
      </c>
      <c r="AK8" s="28" t="s">
        <v>1187</v>
      </c>
      <c r="AL8" s="29" t="s">
        <v>256</v>
      </c>
      <c r="AM8" s="29" t="s">
        <v>256</v>
      </c>
      <c r="AN8" s="29" t="s">
        <v>256</v>
      </c>
      <c r="AO8" s="29" t="s">
        <v>256</v>
      </c>
      <c r="AP8" s="29" t="s">
        <v>256</v>
      </c>
      <c r="AQ8" s="29" t="s">
        <v>260</v>
      </c>
      <c r="AR8" s="28" t="s">
        <v>1187</v>
      </c>
      <c r="AS8" s="28" t="s">
        <v>1187</v>
      </c>
      <c r="AT8" s="28" t="s">
        <v>1187</v>
      </c>
      <c r="AU8" s="28" t="s">
        <v>1187</v>
      </c>
      <c r="AV8" s="28" t="s">
        <v>1187</v>
      </c>
      <c r="AW8" s="28" t="s">
        <v>1187</v>
      </c>
      <c r="AX8" s="28" t="s">
        <v>1187</v>
      </c>
      <c r="AY8" s="83" t="s">
        <v>1508</v>
      </c>
      <c r="AZ8" s="28" t="s">
        <v>1509</v>
      </c>
    </row>
    <row r="9" spans="1:52" ht="15.75" customHeight="1" x14ac:dyDescent="0.25">
      <c r="A9" s="26" t="s">
        <v>165</v>
      </c>
      <c r="B9" s="28" t="s">
        <v>1510</v>
      </c>
      <c r="C9" s="28" t="s">
        <v>283</v>
      </c>
      <c r="D9" s="28" t="s">
        <v>283</v>
      </c>
      <c r="E9" s="28" t="s">
        <v>283</v>
      </c>
      <c r="F9" s="28" t="s">
        <v>283</v>
      </c>
      <c r="G9" s="28" t="s">
        <v>316</v>
      </c>
      <c r="H9" s="28" t="s">
        <v>395</v>
      </c>
      <c r="I9" s="28" t="s">
        <v>395</v>
      </c>
      <c r="J9" s="28" t="s">
        <v>283</v>
      </c>
      <c r="K9" s="29" t="s">
        <v>1511</v>
      </c>
      <c r="L9" s="29" t="s">
        <v>1511</v>
      </c>
      <c r="M9" s="29" t="s">
        <v>1511</v>
      </c>
      <c r="N9" s="28" t="s">
        <v>260</v>
      </c>
      <c r="O9" s="28"/>
      <c r="P9" s="85" t="s">
        <v>261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8" t="s">
        <v>1512</v>
      </c>
      <c r="AB9" s="29"/>
      <c r="AC9" s="29"/>
      <c r="AD9" s="29"/>
      <c r="AE9" s="29"/>
      <c r="AF9" s="29"/>
      <c r="AG9" s="28" t="s">
        <v>283</v>
      </c>
      <c r="AH9" s="28" t="s">
        <v>283</v>
      </c>
      <c r="AJ9" s="113" t="s">
        <v>416</v>
      </c>
      <c r="AK9" s="28" t="s">
        <v>256</v>
      </c>
      <c r="AL9" s="113" t="s">
        <v>417</v>
      </c>
      <c r="AM9" s="28" t="s">
        <v>260</v>
      </c>
      <c r="AN9" s="28" t="s">
        <v>260</v>
      </c>
      <c r="AO9" s="28" t="s">
        <v>259</v>
      </c>
      <c r="AP9" s="28" t="s">
        <v>256</v>
      </c>
      <c r="AQ9" s="28" t="s">
        <v>260</v>
      </c>
      <c r="AR9" s="28" t="s">
        <v>260</v>
      </c>
      <c r="AS9" s="28" t="s">
        <v>260</v>
      </c>
      <c r="AT9" s="28" t="s">
        <v>260</v>
      </c>
      <c r="AU9" s="28" t="s">
        <v>260</v>
      </c>
      <c r="AV9" s="28" t="s">
        <v>261</v>
      </c>
      <c r="AW9" s="28" t="s">
        <v>261</v>
      </c>
      <c r="AX9" s="28" t="s">
        <v>1187</v>
      </c>
      <c r="AY9" s="83" t="s">
        <v>1513</v>
      </c>
      <c r="AZ9" s="28" t="s">
        <v>1513</v>
      </c>
    </row>
    <row r="10" spans="1:52" x14ac:dyDescent="0.25">
      <c r="A10" s="131" t="s">
        <v>168</v>
      </c>
      <c r="B10" s="157">
        <v>218</v>
      </c>
      <c r="C10" s="157">
        <v>56</v>
      </c>
      <c r="D10" s="157">
        <v>56</v>
      </c>
      <c r="E10" s="157">
        <v>56</v>
      </c>
      <c r="F10" s="157">
        <v>56</v>
      </c>
      <c r="G10" s="157">
        <v>63</v>
      </c>
      <c r="H10" s="157">
        <v>68</v>
      </c>
      <c r="I10" s="157">
        <v>68</v>
      </c>
      <c r="J10" s="157">
        <v>56</v>
      </c>
      <c r="K10" s="157">
        <v>271</v>
      </c>
      <c r="L10" s="157">
        <v>271</v>
      </c>
      <c r="M10" s="157">
        <v>271</v>
      </c>
      <c r="N10" s="157">
        <v>52</v>
      </c>
      <c r="O10" s="157"/>
      <c r="P10" s="157">
        <v>48</v>
      </c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>
        <v>222</v>
      </c>
      <c r="AB10" s="157"/>
      <c r="AC10" s="157"/>
      <c r="AD10" s="157"/>
      <c r="AE10" s="157"/>
      <c r="AF10" s="157"/>
      <c r="AG10" s="157">
        <v>56</v>
      </c>
      <c r="AH10" s="157">
        <v>56</v>
      </c>
      <c r="AJ10" s="157">
        <v>118</v>
      </c>
      <c r="AK10" s="157">
        <v>50</v>
      </c>
      <c r="AL10" s="157">
        <v>122</v>
      </c>
      <c r="AM10" s="157">
        <v>52</v>
      </c>
      <c r="AN10" s="157">
        <v>52</v>
      </c>
      <c r="AO10" s="157">
        <v>46</v>
      </c>
      <c r="AP10" s="157">
        <v>50</v>
      </c>
      <c r="AQ10" s="157">
        <v>52</v>
      </c>
      <c r="AR10" s="157">
        <v>52</v>
      </c>
      <c r="AS10" s="157">
        <v>52</v>
      </c>
      <c r="AT10" s="157">
        <v>52</v>
      </c>
      <c r="AU10" s="157">
        <v>52</v>
      </c>
      <c r="AV10" s="157">
        <v>48</v>
      </c>
      <c r="AW10" s="157">
        <v>48</v>
      </c>
      <c r="AX10" s="157">
        <v>216</v>
      </c>
      <c r="AY10" s="158">
        <v>270</v>
      </c>
      <c r="AZ10" s="157">
        <v>270</v>
      </c>
    </row>
    <row r="11" spans="1:52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28" t="s">
        <v>170</v>
      </c>
      <c r="H11" s="29" t="s">
        <v>170</v>
      </c>
      <c r="I11" s="29" t="s">
        <v>170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28" t="s">
        <v>170</v>
      </c>
      <c r="O11" s="28"/>
      <c r="P11" s="83" t="s">
        <v>170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9" t="s">
        <v>170</v>
      </c>
      <c r="AB11" s="28"/>
      <c r="AC11" s="29"/>
      <c r="AD11" s="28"/>
      <c r="AE11" s="29"/>
      <c r="AF11" s="28"/>
      <c r="AG11" s="29" t="s">
        <v>170</v>
      </c>
      <c r="AH11" s="29" t="s">
        <v>170</v>
      </c>
      <c r="AJ11" s="28" t="s">
        <v>170</v>
      </c>
      <c r="AK11" s="28" t="s">
        <v>170</v>
      </c>
      <c r="AL11" s="28" t="s">
        <v>170</v>
      </c>
      <c r="AM11" s="28" t="s">
        <v>170</v>
      </c>
      <c r="AN11" s="28" t="s">
        <v>170</v>
      </c>
      <c r="AO11" s="28" t="s">
        <v>170</v>
      </c>
      <c r="AP11" s="28" t="s">
        <v>170</v>
      </c>
      <c r="AQ11" s="28" t="s">
        <v>170</v>
      </c>
      <c r="AR11" s="28" t="s">
        <v>170</v>
      </c>
      <c r="AS11" s="28" t="s">
        <v>170</v>
      </c>
      <c r="AT11" s="28" t="s">
        <v>170</v>
      </c>
      <c r="AU11" s="28" t="s">
        <v>170</v>
      </c>
      <c r="AV11" s="28" t="s">
        <v>170</v>
      </c>
      <c r="AW11" s="28" t="s">
        <v>170</v>
      </c>
      <c r="AX11" s="28" t="s">
        <v>170</v>
      </c>
      <c r="AY11" s="85" t="s">
        <v>170</v>
      </c>
      <c r="AZ11" s="29" t="s">
        <v>170</v>
      </c>
    </row>
    <row r="12" spans="1:52" x14ac:dyDescent="0.25">
      <c r="A12" s="26" t="s">
        <v>171</v>
      </c>
      <c r="B12" s="28" t="s">
        <v>173</v>
      </c>
      <c r="C12" s="28" t="s">
        <v>173</v>
      </c>
      <c r="D12" s="28" t="s">
        <v>173</v>
      </c>
      <c r="E12" s="28" t="s">
        <v>173</v>
      </c>
      <c r="F12" s="28" t="s">
        <v>173</v>
      </c>
      <c r="G12" s="28" t="s">
        <v>173</v>
      </c>
      <c r="H12" s="29" t="s">
        <v>170</v>
      </c>
      <c r="I12" s="29" t="s">
        <v>170</v>
      </c>
      <c r="J12" s="28" t="s">
        <v>173</v>
      </c>
      <c r="K12" s="28" t="s">
        <v>173</v>
      </c>
      <c r="L12" s="28" t="s">
        <v>173</v>
      </c>
      <c r="M12" s="28" t="s">
        <v>173</v>
      </c>
      <c r="N12" s="28" t="s">
        <v>173</v>
      </c>
      <c r="O12" s="28"/>
      <c r="P12" s="85" t="s">
        <v>173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9" t="s">
        <v>173</v>
      </c>
      <c r="AB12" s="28"/>
      <c r="AC12" s="28"/>
      <c r="AD12" s="28"/>
      <c r="AE12" s="28"/>
      <c r="AF12" s="28"/>
      <c r="AG12" s="29" t="s">
        <v>173</v>
      </c>
      <c r="AH12" s="29" t="s">
        <v>173</v>
      </c>
      <c r="AJ12" s="28" t="s">
        <v>173</v>
      </c>
      <c r="AK12" s="28" t="s">
        <v>173</v>
      </c>
      <c r="AL12" s="28" t="s">
        <v>173</v>
      </c>
      <c r="AM12" s="28" t="s">
        <v>173</v>
      </c>
      <c r="AN12" s="28" t="s">
        <v>173</v>
      </c>
      <c r="AO12" s="28" t="s">
        <v>173</v>
      </c>
      <c r="AP12" s="28" t="s">
        <v>173</v>
      </c>
      <c r="AQ12" s="28" t="s">
        <v>173</v>
      </c>
      <c r="AR12" s="28" t="s">
        <v>173</v>
      </c>
      <c r="AS12" s="28" t="s">
        <v>173</v>
      </c>
      <c r="AT12" s="28" t="s">
        <v>173</v>
      </c>
      <c r="AU12" s="28" t="s">
        <v>173</v>
      </c>
      <c r="AV12" s="28" t="s">
        <v>173</v>
      </c>
      <c r="AW12" s="28" t="s">
        <v>173</v>
      </c>
      <c r="AX12" s="28" t="s">
        <v>173</v>
      </c>
      <c r="AY12" s="85" t="s">
        <v>173</v>
      </c>
      <c r="AZ12" s="29" t="s">
        <v>173</v>
      </c>
    </row>
    <row r="13" spans="1:52" x14ac:dyDescent="0.25">
      <c r="A13" s="26" t="s">
        <v>172</v>
      </c>
      <c r="B13" s="28" t="s">
        <v>170</v>
      </c>
      <c r="C13" s="28" t="s">
        <v>170</v>
      </c>
      <c r="D13" s="28" t="s">
        <v>170</v>
      </c>
      <c r="E13" s="28" t="s">
        <v>170</v>
      </c>
      <c r="F13" s="28" t="s">
        <v>170</v>
      </c>
      <c r="G13" s="28" t="s">
        <v>173</v>
      </c>
      <c r="H13" s="28" t="s">
        <v>173</v>
      </c>
      <c r="I13" s="28" t="s">
        <v>173</v>
      </c>
      <c r="J13" s="28" t="s">
        <v>170</v>
      </c>
      <c r="K13" s="28" t="s">
        <v>170</v>
      </c>
      <c r="L13" s="28" t="s">
        <v>170</v>
      </c>
      <c r="M13" s="28" t="s">
        <v>170</v>
      </c>
      <c r="N13" s="29" t="s">
        <v>170</v>
      </c>
      <c r="O13" s="28"/>
      <c r="P13" s="83" t="s">
        <v>170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170</v>
      </c>
      <c r="AB13" s="28"/>
      <c r="AC13" s="28"/>
      <c r="AD13" s="28"/>
      <c r="AE13" s="28"/>
      <c r="AF13" s="28"/>
      <c r="AG13" s="28" t="s">
        <v>170</v>
      </c>
      <c r="AH13" s="28" t="s">
        <v>170</v>
      </c>
      <c r="AJ13" s="28" t="s">
        <v>170</v>
      </c>
      <c r="AK13" s="28" t="s">
        <v>170</v>
      </c>
      <c r="AL13" s="28" t="s">
        <v>170</v>
      </c>
      <c r="AM13" s="28" t="s">
        <v>170</v>
      </c>
      <c r="AN13" s="28" t="s">
        <v>170</v>
      </c>
      <c r="AO13" s="28" t="s">
        <v>170</v>
      </c>
      <c r="AP13" s="28" t="s">
        <v>170</v>
      </c>
      <c r="AQ13" s="28" t="s">
        <v>170</v>
      </c>
      <c r="AR13" s="28" t="s">
        <v>170</v>
      </c>
      <c r="AS13" s="28" t="s">
        <v>170</v>
      </c>
      <c r="AT13" s="28" t="s">
        <v>170</v>
      </c>
      <c r="AU13" s="29" t="s">
        <v>170</v>
      </c>
      <c r="AV13" s="29" t="s">
        <v>170</v>
      </c>
      <c r="AW13" s="29" t="s">
        <v>170</v>
      </c>
      <c r="AX13" s="29" t="s">
        <v>170</v>
      </c>
      <c r="AY13" s="28" t="s">
        <v>170</v>
      </c>
      <c r="AZ13" s="28" t="s">
        <v>170</v>
      </c>
    </row>
    <row r="14" spans="1:52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/>
      <c r="P14" s="83" t="s">
        <v>173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173</v>
      </c>
      <c r="AB14" s="28"/>
      <c r="AC14" s="28"/>
      <c r="AD14" s="28"/>
      <c r="AE14" s="28"/>
      <c r="AF14" s="28"/>
      <c r="AG14" s="28" t="s">
        <v>173</v>
      </c>
      <c r="AH14" s="28" t="s">
        <v>173</v>
      </c>
      <c r="AJ14" s="28" t="s">
        <v>173</v>
      </c>
      <c r="AK14" s="28" t="s">
        <v>173</v>
      </c>
      <c r="AL14" s="28" t="s">
        <v>173</v>
      </c>
      <c r="AM14" s="28" t="s">
        <v>173</v>
      </c>
      <c r="AN14" s="28" t="s">
        <v>173</v>
      </c>
      <c r="AO14" s="28" t="s">
        <v>173</v>
      </c>
      <c r="AP14" s="28" t="s">
        <v>173</v>
      </c>
      <c r="AQ14" s="28" t="s">
        <v>173</v>
      </c>
      <c r="AR14" s="28" t="s">
        <v>173</v>
      </c>
      <c r="AS14" s="28" t="s">
        <v>173</v>
      </c>
      <c r="AT14" s="28" t="s">
        <v>173</v>
      </c>
      <c r="AU14" s="28" t="s">
        <v>173</v>
      </c>
      <c r="AV14" s="28" t="s">
        <v>173</v>
      </c>
      <c r="AW14" s="28" t="s">
        <v>173</v>
      </c>
      <c r="AX14" s="28" t="s">
        <v>173</v>
      </c>
      <c r="AY14" s="28" t="s">
        <v>173</v>
      </c>
      <c r="AZ14" s="28" t="s">
        <v>173</v>
      </c>
    </row>
    <row r="15" spans="1:52" x14ac:dyDescent="0.25">
      <c r="A15" s="26" t="s">
        <v>175</v>
      </c>
      <c r="B15" s="28" t="s">
        <v>198</v>
      </c>
      <c r="C15" s="28" t="s">
        <v>199</v>
      </c>
      <c r="D15" s="28" t="s">
        <v>199</v>
      </c>
      <c r="E15" s="28" t="s">
        <v>199</v>
      </c>
      <c r="F15" s="28" t="s">
        <v>199</v>
      </c>
      <c r="G15" s="28" t="s">
        <v>267</v>
      </c>
      <c r="H15" s="28" t="s">
        <v>397</v>
      </c>
      <c r="I15" s="28" t="s">
        <v>397</v>
      </c>
      <c r="J15" s="28" t="s">
        <v>199</v>
      </c>
      <c r="K15" s="28" t="s">
        <v>199</v>
      </c>
      <c r="L15" s="28" t="s">
        <v>199</v>
      </c>
      <c r="M15" s="28" t="s">
        <v>199</v>
      </c>
      <c r="N15" s="28" t="s">
        <v>198</v>
      </c>
      <c r="O15" s="28"/>
      <c r="P15" s="83" t="s">
        <v>198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199</v>
      </c>
      <c r="AB15" s="28"/>
      <c r="AC15" s="28"/>
      <c r="AD15" s="28"/>
      <c r="AE15" s="28"/>
      <c r="AF15" s="28"/>
      <c r="AG15" s="28" t="s">
        <v>199</v>
      </c>
      <c r="AH15" s="28" t="s">
        <v>199</v>
      </c>
      <c r="AJ15" s="28" t="s">
        <v>198</v>
      </c>
      <c r="AK15" s="28" t="s">
        <v>198</v>
      </c>
      <c r="AL15" s="28" t="s">
        <v>198</v>
      </c>
      <c r="AM15" s="28" t="s">
        <v>198</v>
      </c>
      <c r="AN15" s="28" t="s">
        <v>198</v>
      </c>
      <c r="AO15" s="28" t="s">
        <v>198</v>
      </c>
      <c r="AP15" s="28" t="s">
        <v>198</v>
      </c>
      <c r="AQ15" s="28" t="s">
        <v>198</v>
      </c>
      <c r="AR15" s="28" t="s">
        <v>198</v>
      </c>
      <c r="AS15" s="28" t="s">
        <v>198</v>
      </c>
      <c r="AT15" s="28" t="s">
        <v>198</v>
      </c>
      <c r="AU15" s="28" t="s">
        <v>198</v>
      </c>
      <c r="AV15" s="28" t="s">
        <v>198</v>
      </c>
      <c r="AW15" s="28" t="s">
        <v>198</v>
      </c>
      <c r="AX15" s="28" t="s">
        <v>198</v>
      </c>
      <c r="AY15" s="28" t="s">
        <v>268</v>
      </c>
      <c r="AZ15" s="28" t="s">
        <v>268</v>
      </c>
    </row>
    <row r="16" spans="1:52" x14ac:dyDescent="0.25">
      <c r="A16" s="26" t="s">
        <v>176</v>
      </c>
      <c r="B16" s="30">
        <v>0.5</v>
      </c>
      <c r="C16" s="30">
        <v>-0.5</v>
      </c>
      <c r="D16" s="30">
        <v>-0.5</v>
      </c>
      <c r="E16" s="30">
        <v>-0.5</v>
      </c>
      <c r="F16" s="30">
        <v>-0.5</v>
      </c>
      <c r="G16" s="30">
        <v>-3</v>
      </c>
      <c r="H16" s="30">
        <v>-6</v>
      </c>
      <c r="I16" s="30">
        <v>-6</v>
      </c>
      <c r="J16" s="30">
        <v>-0.5</v>
      </c>
      <c r="K16" s="30">
        <v>-0.25</v>
      </c>
      <c r="L16" s="30">
        <v>-0.25</v>
      </c>
      <c r="M16" s="30">
        <v>-0.25</v>
      </c>
      <c r="N16" s="30">
        <v>0.5</v>
      </c>
      <c r="O16" s="30"/>
      <c r="P16" s="88">
        <f>4/3</f>
        <v>1.3333333333333333</v>
      </c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>
        <v>-0.5</v>
      </c>
      <c r="AB16" s="30"/>
      <c r="AC16" s="30"/>
      <c r="AD16" s="30"/>
      <c r="AE16" s="30"/>
      <c r="AF16" s="30"/>
      <c r="AG16" s="30">
        <v>-0.5</v>
      </c>
      <c r="AH16" s="30">
        <v>-0.5</v>
      </c>
      <c r="AJ16" s="30">
        <f>AVERAGE(1,1,1,0.5)</f>
        <v>0.875</v>
      </c>
      <c r="AK16" s="30">
        <v>1</v>
      </c>
      <c r="AL16" s="30">
        <f>AVERAGE(0.5,0.5,0.5,1)</f>
        <v>0.625</v>
      </c>
      <c r="AM16" s="30">
        <v>0.5</v>
      </c>
      <c r="AN16" s="30">
        <v>0.5</v>
      </c>
      <c r="AO16" s="30">
        <f>5/3</f>
        <v>1.6666666666666667</v>
      </c>
      <c r="AP16" s="30">
        <v>1</v>
      </c>
      <c r="AQ16" s="30">
        <v>0.5</v>
      </c>
      <c r="AR16" s="30">
        <v>0.5</v>
      </c>
      <c r="AS16" s="30">
        <v>0.5</v>
      </c>
      <c r="AT16" s="30">
        <v>0.5</v>
      </c>
      <c r="AU16" s="30">
        <v>0.5</v>
      </c>
      <c r="AV16" s="30">
        <f>4/3</f>
        <v>1.3333333333333333</v>
      </c>
      <c r="AW16" s="30">
        <f>4/3</f>
        <v>1.3333333333333333</v>
      </c>
      <c r="AX16" s="30">
        <v>1</v>
      </c>
      <c r="AY16" s="30">
        <f>AVERAGE(-0.5,4/3)</f>
        <v>0.41666666666666663</v>
      </c>
      <c r="AZ16" s="30">
        <f>AVERAGE(-0.5,4/3)</f>
        <v>0.41666666666666663</v>
      </c>
    </row>
    <row r="17" spans="1:52" x14ac:dyDescent="0.25">
      <c r="A17" s="26" t="s">
        <v>177</v>
      </c>
      <c r="B17" s="28" t="s">
        <v>1333</v>
      </c>
      <c r="C17" s="28" t="s">
        <v>181</v>
      </c>
      <c r="D17" s="28" t="s">
        <v>181</v>
      </c>
      <c r="E17" s="28" t="s">
        <v>181</v>
      </c>
      <c r="F17" s="28" t="s">
        <v>181</v>
      </c>
      <c r="G17" s="28" t="s">
        <v>181</v>
      </c>
      <c r="H17" s="28" t="s">
        <v>181</v>
      </c>
      <c r="I17" s="28" t="s">
        <v>181</v>
      </c>
      <c r="J17" s="28" t="s">
        <v>181</v>
      </c>
      <c r="K17" s="28" t="s">
        <v>181</v>
      </c>
      <c r="L17" s="28" t="s">
        <v>181</v>
      </c>
      <c r="M17" s="28" t="s">
        <v>181</v>
      </c>
      <c r="N17" s="28" t="s">
        <v>181</v>
      </c>
      <c r="O17" s="28"/>
      <c r="P17" s="28" t="s">
        <v>181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1333</v>
      </c>
      <c r="AB17" s="28"/>
      <c r="AC17" s="28"/>
      <c r="AD17" s="28"/>
      <c r="AE17" s="28"/>
      <c r="AF17" s="28"/>
      <c r="AG17" s="28" t="s">
        <v>181</v>
      </c>
      <c r="AH17" s="28" t="s">
        <v>181</v>
      </c>
      <c r="AJ17" s="28" t="s">
        <v>181</v>
      </c>
      <c r="AK17" s="28" t="s">
        <v>181</v>
      </c>
      <c r="AL17" s="28" t="s">
        <v>181</v>
      </c>
      <c r="AM17" s="28" t="s">
        <v>181</v>
      </c>
      <c r="AN17" s="28" t="s">
        <v>181</v>
      </c>
      <c r="AO17" s="28" t="s">
        <v>181</v>
      </c>
      <c r="AP17" s="28" t="s">
        <v>181</v>
      </c>
      <c r="AQ17" s="28" t="s">
        <v>181</v>
      </c>
      <c r="AR17" s="28" t="s">
        <v>181</v>
      </c>
      <c r="AS17" s="28" t="s">
        <v>181</v>
      </c>
      <c r="AT17" s="28" t="s">
        <v>181</v>
      </c>
      <c r="AU17" s="28" t="s">
        <v>181</v>
      </c>
      <c r="AV17" s="28" t="s">
        <v>181</v>
      </c>
      <c r="AW17" s="28" t="s">
        <v>181</v>
      </c>
      <c r="AX17" s="28" t="s">
        <v>1333</v>
      </c>
      <c r="AY17" s="28" t="s">
        <v>181</v>
      </c>
      <c r="AZ17" s="28" t="s">
        <v>181</v>
      </c>
    </row>
    <row r="18" spans="1:52" x14ac:dyDescent="0.25">
      <c r="A18" s="26" t="s">
        <v>182</v>
      </c>
      <c r="B18" s="30">
        <v>2.5</v>
      </c>
      <c r="C18" s="30">
        <v>2</v>
      </c>
      <c r="D18" s="30">
        <v>2</v>
      </c>
      <c r="E18" s="30">
        <v>2</v>
      </c>
      <c r="F18" s="30">
        <v>2</v>
      </c>
      <c r="G18" s="30">
        <v>2</v>
      </c>
      <c r="H18" s="30">
        <v>2</v>
      </c>
      <c r="I18" s="30">
        <v>2</v>
      </c>
      <c r="J18" s="30">
        <v>2</v>
      </c>
      <c r="K18" s="30">
        <v>2</v>
      </c>
      <c r="L18" s="30">
        <v>2</v>
      </c>
      <c r="M18" s="30">
        <v>2</v>
      </c>
      <c r="N18" s="30">
        <v>2</v>
      </c>
      <c r="O18" s="30"/>
      <c r="P18" s="30">
        <v>2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v>2.5</v>
      </c>
      <c r="AB18" s="30"/>
      <c r="AC18" s="30"/>
      <c r="AD18" s="30"/>
      <c r="AE18" s="30"/>
      <c r="AF18" s="30"/>
      <c r="AG18" s="30">
        <v>2</v>
      </c>
      <c r="AH18" s="30">
        <v>2</v>
      </c>
      <c r="AJ18" s="30">
        <v>2</v>
      </c>
      <c r="AK18" s="30">
        <v>2</v>
      </c>
      <c r="AL18" s="30">
        <v>2</v>
      </c>
      <c r="AM18" s="30">
        <v>2</v>
      </c>
      <c r="AN18" s="30">
        <v>2</v>
      </c>
      <c r="AO18" s="30">
        <v>2</v>
      </c>
      <c r="AP18" s="30">
        <v>2</v>
      </c>
      <c r="AQ18" s="30">
        <v>2</v>
      </c>
      <c r="AR18" s="30">
        <v>2</v>
      </c>
      <c r="AS18" s="30">
        <v>2</v>
      </c>
      <c r="AT18" s="30">
        <v>2</v>
      </c>
      <c r="AU18" s="30">
        <v>2</v>
      </c>
      <c r="AV18" s="30">
        <v>2</v>
      </c>
      <c r="AW18" s="30">
        <v>2</v>
      </c>
      <c r="AX18" s="30">
        <v>2.5</v>
      </c>
      <c r="AY18" s="30">
        <v>2</v>
      </c>
      <c r="AZ18" s="30">
        <v>2</v>
      </c>
    </row>
    <row r="19" spans="1:52" x14ac:dyDescent="0.25">
      <c r="C19" s="78" t="s">
        <v>1514</v>
      </c>
      <c r="AJ19" s="78" t="s">
        <v>1515</v>
      </c>
    </row>
    <row r="20" spans="1:52" x14ac:dyDescent="0.25">
      <c r="A20" s="31" t="s">
        <v>183</v>
      </c>
    </row>
    <row r="21" spans="1:52" x14ac:dyDescent="0.25">
      <c r="A21" s="26" t="s">
        <v>1516</v>
      </c>
      <c r="B21" s="56" t="s">
        <v>1517</v>
      </c>
    </row>
    <row r="22" spans="1:52" x14ac:dyDescent="0.25">
      <c r="A22" s="26" t="s">
        <v>1518</v>
      </c>
      <c r="B22" s="56" t="s">
        <v>1445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12BF8-9928-49E9-8F51-C8ADC4649CDD}">
  <dimension ref="A1:AH22"/>
  <sheetViews>
    <sheetView workbookViewId="0">
      <selection activeCell="M22" sqref="M22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895</v>
      </c>
      <c r="I1" s="25" t="s">
        <v>1441</v>
      </c>
    </row>
    <row r="3" spans="1:34" ht="18" x14ac:dyDescent="0.25">
      <c r="A3" s="25" t="s">
        <v>119</v>
      </c>
      <c r="B3" s="215">
        <v>102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1503</v>
      </c>
      <c r="C4" s="215"/>
      <c r="D4" s="215"/>
      <c r="F4" s="216" t="s">
        <v>1519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938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28" t="s">
        <v>1505</v>
      </c>
      <c r="C8" s="28" t="s">
        <v>1187</v>
      </c>
      <c r="D8" s="28" t="s">
        <v>1187</v>
      </c>
      <c r="E8" s="29" t="s">
        <v>256</v>
      </c>
      <c r="F8" s="29" t="s">
        <v>256</v>
      </c>
      <c r="G8" s="29" t="s">
        <v>256</v>
      </c>
      <c r="H8" s="29" t="s">
        <v>256</v>
      </c>
      <c r="I8" s="29" t="s">
        <v>256</v>
      </c>
      <c r="J8" s="28" t="s">
        <v>256</v>
      </c>
      <c r="K8" s="28" t="s">
        <v>1187</v>
      </c>
      <c r="L8" s="28" t="s">
        <v>1187</v>
      </c>
      <c r="M8" s="28" t="s">
        <v>1187</v>
      </c>
      <c r="N8" s="28" t="s">
        <v>1187</v>
      </c>
      <c r="O8" s="28" t="s">
        <v>1187</v>
      </c>
      <c r="P8" s="83" t="s">
        <v>1187</v>
      </c>
      <c r="Q8" s="83" t="s">
        <v>1187</v>
      </c>
      <c r="R8" s="28"/>
      <c r="S8" s="28"/>
      <c r="T8" s="28"/>
      <c r="U8" s="28"/>
      <c r="V8" s="28"/>
      <c r="W8" s="28"/>
      <c r="X8" s="28"/>
      <c r="Y8" s="28"/>
      <c r="Z8" s="28"/>
      <c r="AA8" s="28" t="s">
        <v>1187</v>
      </c>
      <c r="AB8" s="28"/>
      <c r="AC8" s="28"/>
      <c r="AD8" s="28"/>
      <c r="AE8" s="28" t="s">
        <v>1187</v>
      </c>
      <c r="AF8" s="28" t="s">
        <v>256</v>
      </c>
      <c r="AG8" s="28" t="s">
        <v>256</v>
      </c>
      <c r="AH8" s="28" t="s">
        <v>256</v>
      </c>
    </row>
    <row r="9" spans="1:34" x14ac:dyDescent="0.25">
      <c r="A9" s="26" t="s">
        <v>165</v>
      </c>
      <c r="B9" s="28" t="s">
        <v>1510</v>
      </c>
      <c r="C9" s="28" t="s">
        <v>1520</v>
      </c>
      <c r="D9" s="29" t="s">
        <v>256</v>
      </c>
      <c r="E9" s="213" t="s">
        <v>811</v>
      </c>
      <c r="F9" s="28" t="s">
        <v>260</v>
      </c>
      <c r="G9" s="28" t="s">
        <v>260</v>
      </c>
      <c r="H9" s="29" t="s">
        <v>259</v>
      </c>
      <c r="I9" s="29" t="s">
        <v>256</v>
      </c>
      <c r="J9" s="28" t="s">
        <v>260</v>
      </c>
      <c r="K9" s="28" t="s">
        <v>260</v>
      </c>
      <c r="L9" s="28" t="s">
        <v>260</v>
      </c>
      <c r="M9" s="28" t="s">
        <v>260</v>
      </c>
      <c r="N9" s="28" t="s">
        <v>260</v>
      </c>
      <c r="O9" s="28" t="s">
        <v>260</v>
      </c>
      <c r="P9" s="85" t="s">
        <v>261</v>
      </c>
      <c r="Q9" s="85" t="s">
        <v>261</v>
      </c>
      <c r="R9" s="29"/>
      <c r="S9" s="29"/>
      <c r="T9" s="29"/>
      <c r="U9" s="29"/>
      <c r="V9" s="29"/>
      <c r="W9" s="29"/>
      <c r="X9" s="29"/>
      <c r="Y9" s="29"/>
      <c r="Z9" s="29"/>
      <c r="AA9" s="28" t="s">
        <v>1187</v>
      </c>
      <c r="AB9" s="29"/>
      <c r="AC9" s="29"/>
      <c r="AD9" s="29"/>
      <c r="AE9" s="29"/>
      <c r="AF9" s="29"/>
      <c r="AG9" s="28" t="s">
        <v>261</v>
      </c>
      <c r="AH9" s="28" t="s">
        <v>261</v>
      </c>
    </row>
    <row r="10" spans="1:34" x14ac:dyDescent="0.25">
      <c r="A10" s="131" t="s">
        <v>168</v>
      </c>
      <c r="B10" s="157">
        <v>218</v>
      </c>
      <c r="C10" s="157">
        <v>118</v>
      </c>
      <c r="D10" s="157">
        <v>50</v>
      </c>
      <c r="E10" s="157">
        <v>122</v>
      </c>
      <c r="F10" s="157">
        <v>52</v>
      </c>
      <c r="G10" s="157">
        <v>52</v>
      </c>
      <c r="H10" s="157">
        <v>46</v>
      </c>
      <c r="I10" s="157">
        <v>50</v>
      </c>
      <c r="J10" s="157">
        <v>52</v>
      </c>
      <c r="K10" s="157">
        <v>52</v>
      </c>
      <c r="L10" s="157">
        <v>52</v>
      </c>
      <c r="M10" s="157">
        <v>52</v>
      </c>
      <c r="N10" s="157">
        <v>52</v>
      </c>
      <c r="O10" s="157">
        <v>52</v>
      </c>
      <c r="P10" s="157">
        <v>48</v>
      </c>
      <c r="Q10" s="157">
        <v>48</v>
      </c>
      <c r="R10" s="157"/>
      <c r="S10" s="157"/>
      <c r="T10" s="157"/>
      <c r="U10" s="157"/>
      <c r="V10" s="157"/>
      <c r="W10" s="157"/>
      <c r="X10" s="157"/>
      <c r="Y10" s="157"/>
      <c r="Z10" s="157"/>
      <c r="AA10" s="157">
        <v>216</v>
      </c>
      <c r="AB10" s="157"/>
      <c r="AC10" s="157"/>
      <c r="AD10" s="157"/>
      <c r="AE10" s="157"/>
      <c r="AF10" s="157"/>
      <c r="AG10" s="157">
        <v>48</v>
      </c>
      <c r="AH10" s="157">
        <v>48</v>
      </c>
    </row>
    <row r="11" spans="1:34" x14ac:dyDescent="0.25">
      <c r="A11" s="26" t="s">
        <v>169</v>
      </c>
      <c r="B11" s="28" t="s">
        <v>170</v>
      </c>
      <c r="C11" s="28" t="s">
        <v>170</v>
      </c>
      <c r="D11" s="29" t="s">
        <v>170</v>
      </c>
      <c r="E11" s="28" t="s">
        <v>170</v>
      </c>
      <c r="F11" s="28" t="s">
        <v>170</v>
      </c>
      <c r="G11" s="29" t="s">
        <v>170</v>
      </c>
      <c r="H11" s="29" t="s">
        <v>170</v>
      </c>
      <c r="I11" s="29" t="s">
        <v>170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28" t="s">
        <v>170</v>
      </c>
      <c r="O11" s="28" t="s">
        <v>170</v>
      </c>
      <c r="P11" s="83" t="s">
        <v>170</v>
      </c>
      <c r="Q11" s="83" t="s">
        <v>170</v>
      </c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170</v>
      </c>
      <c r="AB11" s="28"/>
      <c r="AC11" s="29"/>
      <c r="AD11" s="28"/>
      <c r="AE11" s="29"/>
      <c r="AF11" s="28"/>
      <c r="AG11" s="28" t="s">
        <v>170</v>
      </c>
      <c r="AH11" s="28" t="s">
        <v>170</v>
      </c>
    </row>
    <row r="12" spans="1:34" x14ac:dyDescent="0.25">
      <c r="A12" s="26" t="s">
        <v>171</v>
      </c>
      <c r="B12" s="28" t="s">
        <v>173</v>
      </c>
      <c r="C12" s="28" t="s">
        <v>173</v>
      </c>
      <c r="D12" s="28" t="s">
        <v>173</v>
      </c>
      <c r="E12" s="28" t="s">
        <v>173</v>
      </c>
      <c r="F12" s="28" t="s">
        <v>173</v>
      </c>
      <c r="G12" s="28" t="s">
        <v>173</v>
      </c>
      <c r="H12" s="28" t="s">
        <v>173</v>
      </c>
      <c r="I12" s="28" t="s">
        <v>173</v>
      </c>
      <c r="J12" s="28" t="s">
        <v>173</v>
      </c>
      <c r="K12" s="28" t="s">
        <v>173</v>
      </c>
      <c r="L12" s="28" t="s">
        <v>173</v>
      </c>
      <c r="M12" s="28" t="s">
        <v>173</v>
      </c>
      <c r="N12" s="28" t="s">
        <v>173</v>
      </c>
      <c r="O12" s="28" t="s">
        <v>173</v>
      </c>
      <c r="P12" s="85" t="s">
        <v>173</v>
      </c>
      <c r="Q12" s="85" t="s">
        <v>173</v>
      </c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173</v>
      </c>
      <c r="AB12" s="28"/>
      <c r="AC12" s="28"/>
      <c r="AD12" s="28"/>
      <c r="AE12" s="28"/>
      <c r="AF12" s="28"/>
      <c r="AG12" s="28" t="s">
        <v>173</v>
      </c>
      <c r="AH12" s="28" t="s">
        <v>173</v>
      </c>
    </row>
    <row r="13" spans="1:34" x14ac:dyDescent="0.25">
      <c r="A13" s="26" t="s">
        <v>172</v>
      </c>
      <c r="B13" s="28" t="s">
        <v>170</v>
      </c>
      <c r="C13" s="28" t="s">
        <v>170</v>
      </c>
      <c r="D13" s="28" t="s">
        <v>170</v>
      </c>
      <c r="E13" s="28" t="s">
        <v>170</v>
      </c>
      <c r="F13" s="28" t="s">
        <v>170</v>
      </c>
      <c r="G13" s="28" t="s">
        <v>170</v>
      </c>
      <c r="H13" s="28" t="s">
        <v>170</v>
      </c>
      <c r="I13" s="28" t="s">
        <v>170</v>
      </c>
      <c r="J13" s="28" t="s">
        <v>170</v>
      </c>
      <c r="K13" s="28" t="s">
        <v>170</v>
      </c>
      <c r="L13" s="28" t="s">
        <v>170</v>
      </c>
      <c r="M13" s="28" t="s">
        <v>170</v>
      </c>
      <c r="N13" s="28" t="s">
        <v>170</v>
      </c>
      <c r="O13" s="28" t="s">
        <v>170</v>
      </c>
      <c r="P13" s="83" t="s">
        <v>170</v>
      </c>
      <c r="Q13" s="83" t="s">
        <v>170</v>
      </c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170</v>
      </c>
      <c r="AB13" s="28"/>
      <c r="AC13" s="28"/>
      <c r="AD13" s="28"/>
      <c r="AE13" s="28"/>
      <c r="AF13" s="28"/>
      <c r="AG13" s="28" t="s">
        <v>170</v>
      </c>
      <c r="AH13" s="28" t="s">
        <v>170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83" t="s">
        <v>173</v>
      </c>
      <c r="Q14" s="83" t="s">
        <v>173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173</v>
      </c>
      <c r="AB14" s="28"/>
      <c r="AC14" s="28"/>
      <c r="AD14" s="28"/>
      <c r="AE14" s="28"/>
      <c r="AF14" s="28"/>
      <c r="AG14" s="28" t="s">
        <v>173</v>
      </c>
      <c r="AH14" s="28" t="s">
        <v>173</v>
      </c>
    </row>
    <row r="15" spans="1:34" x14ac:dyDescent="0.25">
      <c r="A15" s="26" t="s">
        <v>175</v>
      </c>
      <c r="B15" s="28" t="s">
        <v>198</v>
      </c>
      <c r="C15" s="28" t="s">
        <v>198</v>
      </c>
      <c r="D15" s="28" t="s">
        <v>198</v>
      </c>
      <c r="E15" s="28" t="s">
        <v>198</v>
      </c>
      <c r="F15" s="28" t="s">
        <v>198</v>
      </c>
      <c r="G15" s="28" t="s">
        <v>198</v>
      </c>
      <c r="H15" s="28" t="s">
        <v>198</v>
      </c>
      <c r="I15" s="28" t="s">
        <v>198</v>
      </c>
      <c r="J15" s="28" t="s">
        <v>198</v>
      </c>
      <c r="K15" s="28" t="s">
        <v>198</v>
      </c>
      <c r="L15" s="28" t="s">
        <v>198</v>
      </c>
      <c r="M15" s="28" t="s">
        <v>198</v>
      </c>
      <c r="N15" s="28" t="s">
        <v>198</v>
      </c>
      <c r="O15" s="28" t="s">
        <v>198</v>
      </c>
      <c r="P15" s="83" t="s">
        <v>198</v>
      </c>
      <c r="Q15" s="83" t="s">
        <v>198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198</v>
      </c>
      <c r="AB15" s="28"/>
      <c r="AC15" s="28"/>
      <c r="AD15" s="28"/>
      <c r="AE15" s="28"/>
      <c r="AF15" s="28"/>
      <c r="AG15" s="28" t="s">
        <v>198</v>
      </c>
      <c r="AH15" s="28" t="s">
        <v>198</v>
      </c>
    </row>
    <row r="16" spans="1:34" x14ac:dyDescent="0.25">
      <c r="A16" s="26" t="s">
        <v>176</v>
      </c>
      <c r="B16" s="30">
        <v>0.5</v>
      </c>
      <c r="C16" s="30">
        <v>0.875</v>
      </c>
      <c r="D16" s="30">
        <v>1</v>
      </c>
      <c r="E16" s="30">
        <f>AVERAGE(0.5,0.5,0.5,1)</f>
        <v>0.625</v>
      </c>
      <c r="F16" s="30">
        <v>0.5</v>
      </c>
      <c r="G16" s="30">
        <v>0.5</v>
      </c>
      <c r="H16" s="30">
        <f>5/3</f>
        <v>1.6666666666666667</v>
      </c>
      <c r="I16" s="30">
        <v>1</v>
      </c>
      <c r="J16" s="30">
        <v>0.5</v>
      </c>
      <c r="K16" s="30">
        <v>0.5</v>
      </c>
      <c r="L16" s="30">
        <v>0.5</v>
      </c>
      <c r="M16" s="30">
        <v>0.5</v>
      </c>
      <c r="N16" s="30">
        <v>0.5</v>
      </c>
      <c r="O16" s="30">
        <v>0.5</v>
      </c>
      <c r="P16" s="88">
        <f>4/3</f>
        <v>1.3333333333333333</v>
      </c>
      <c r="Q16" s="88">
        <f>4/3</f>
        <v>1.3333333333333333</v>
      </c>
      <c r="R16" s="30"/>
      <c r="S16" s="30"/>
      <c r="T16" s="30"/>
      <c r="U16" s="30"/>
      <c r="V16" s="30"/>
      <c r="W16" s="30"/>
      <c r="X16" s="30"/>
      <c r="Y16" s="30"/>
      <c r="Z16" s="30"/>
      <c r="AA16" s="30">
        <v>1</v>
      </c>
      <c r="AB16" s="30"/>
      <c r="AC16" s="30"/>
      <c r="AD16" s="30"/>
      <c r="AE16" s="30"/>
      <c r="AF16" s="30"/>
      <c r="AG16" s="30">
        <f>4/3</f>
        <v>1.3333333333333333</v>
      </c>
      <c r="AH16" s="30">
        <f>4/3</f>
        <v>1.3333333333333333</v>
      </c>
    </row>
    <row r="17" spans="1:34" x14ac:dyDescent="0.25">
      <c r="A17" s="26" t="s">
        <v>177</v>
      </c>
      <c r="B17" s="28" t="s">
        <v>1333</v>
      </c>
      <c r="C17" s="28" t="s">
        <v>181</v>
      </c>
      <c r="D17" s="28" t="s">
        <v>181</v>
      </c>
      <c r="E17" s="28" t="s">
        <v>181</v>
      </c>
      <c r="F17" s="28" t="s">
        <v>181</v>
      </c>
      <c r="G17" s="28" t="s">
        <v>181</v>
      </c>
      <c r="H17" s="28" t="s">
        <v>181</v>
      </c>
      <c r="I17" s="28" t="s">
        <v>181</v>
      </c>
      <c r="J17" s="28" t="s">
        <v>181</v>
      </c>
      <c r="K17" s="28" t="s">
        <v>181</v>
      </c>
      <c r="L17" s="28" t="s">
        <v>181</v>
      </c>
      <c r="M17" s="28" t="s">
        <v>181</v>
      </c>
      <c r="N17" s="28" t="s">
        <v>181</v>
      </c>
      <c r="O17" s="28" t="s">
        <v>181</v>
      </c>
      <c r="P17" s="28" t="s">
        <v>181</v>
      </c>
      <c r="Q17" s="28" t="s">
        <v>181</v>
      </c>
      <c r="R17" s="28"/>
      <c r="S17" s="28"/>
      <c r="T17" s="28"/>
      <c r="U17" s="28"/>
      <c r="V17" s="28"/>
      <c r="W17" s="28"/>
      <c r="X17" s="28"/>
      <c r="Y17" s="28"/>
      <c r="Z17" s="28"/>
      <c r="AA17" s="28" t="s">
        <v>1333</v>
      </c>
      <c r="AB17" s="28"/>
      <c r="AC17" s="28"/>
      <c r="AD17" s="28"/>
      <c r="AE17" s="28"/>
      <c r="AF17" s="28"/>
      <c r="AG17" s="28" t="s">
        <v>181</v>
      </c>
      <c r="AH17" s="28" t="s">
        <v>181</v>
      </c>
    </row>
    <row r="18" spans="1:34" x14ac:dyDescent="0.25">
      <c r="A18" s="26" t="s">
        <v>182</v>
      </c>
      <c r="B18" s="30">
        <v>2.5</v>
      </c>
      <c r="C18" s="30">
        <v>2</v>
      </c>
      <c r="D18" s="30">
        <v>2</v>
      </c>
      <c r="E18" s="30">
        <v>2</v>
      </c>
      <c r="F18" s="30">
        <v>2</v>
      </c>
      <c r="G18" s="30">
        <v>2</v>
      </c>
      <c r="H18" s="30">
        <v>2</v>
      </c>
      <c r="I18" s="30">
        <v>2</v>
      </c>
      <c r="J18" s="30">
        <v>2</v>
      </c>
      <c r="K18" s="30">
        <v>2</v>
      </c>
      <c r="L18" s="30">
        <v>2</v>
      </c>
      <c r="M18" s="30">
        <v>2</v>
      </c>
      <c r="N18" s="30">
        <v>2</v>
      </c>
      <c r="O18" s="30">
        <v>2</v>
      </c>
      <c r="P18" s="30">
        <v>2</v>
      </c>
      <c r="Q18" s="30">
        <v>2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v>2.5</v>
      </c>
      <c r="AB18" s="30"/>
      <c r="AC18" s="30"/>
      <c r="AD18" s="30"/>
      <c r="AE18" s="30"/>
      <c r="AF18" s="30"/>
      <c r="AG18" s="30">
        <v>2</v>
      </c>
      <c r="AH18" s="30">
        <v>2</v>
      </c>
    </row>
    <row r="20" spans="1:34" x14ac:dyDescent="0.25">
      <c r="A20" s="31" t="s">
        <v>183</v>
      </c>
    </row>
    <row r="21" spans="1:34" x14ac:dyDescent="0.25">
      <c r="A21" s="26" t="s">
        <v>1521</v>
      </c>
      <c r="B21" s="56" t="s">
        <v>1445</v>
      </c>
    </row>
    <row r="22" spans="1:34" x14ac:dyDescent="0.25">
      <c r="A22" s="27" t="s">
        <v>1522</v>
      </c>
      <c r="B22" s="128" t="s">
        <v>1523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401FE-8322-4B6B-9950-1CCBB54BBBBB}">
  <dimension ref="A1:AH21"/>
  <sheetViews>
    <sheetView workbookViewId="0">
      <selection activeCell="D16" sqref="D16"/>
    </sheetView>
  </sheetViews>
  <sheetFormatPr defaultColWidth="9.140625" defaultRowHeight="15" x14ac:dyDescent="0.25"/>
  <cols>
    <col min="1" max="1" width="23.28515625" style="26" bestFit="1" customWidth="1"/>
    <col min="2" max="48" width="5.7109375" style="26" customWidth="1"/>
    <col min="49" max="16384" width="9.140625" style="26"/>
  </cols>
  <sheetData>
    <row r="1" spans="1:34" x14ac:dyDescent="0.25">
      <c r="A1" s="25" t="s">
        <v>116</v>
      </c>
      <c r="D1" s="25" t="s">
        <v>895</v>
      </c>
      <c r="I1" s="25" t="s">
        <v>1441</v>
      </c>
    </row>
    <row r="3" spans="1:34" ht="18" x14ac:dyDescent="0.25">
      <c r="A3" s="25" t="s">
        <v>119</v>
      </c>
      <c r="B3" s="215">
        <v>103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4" ht="18" x14ac:dyDescent="0.25">
      <c r="A4" s="25" t="s">
        <v>121</v>
      </c>
      <c r="B4" s="215" t="s">
        <v>1524</v>
      </c>
      <c r="C4" s="215"/>
      <c r="D4" s="215"/>
      <c r="F4" s="216" t="s">
        <v>1525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4" ht="18" x14ac:dyDescent="0.25">
      <c r="A5" s="25" t="s">
        <v>124</v>
      </c>
      <c r="B5" s="215" t="s">
        <v>899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4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</row>
    <row r="8" spans="1:34" x14ac:dyDescent="0.25">
      <c r="A8" s="26" t="s">
        <v>159</v>
      </c>
      <c r="B8" s="28" t="s">
        <v>1526</v>
      </c>
      <c r="C8" s="29" t="s">
        <v>1527</v>
      </c>
      <c r="D8" s="29" t="s">
        <v>1527</v>
      </c>
      <c r="E8" s="29" t="s">
        <v>1527</v>
      </c>
      <c r="F8" s="29" t="s">
        <v>1527</v>
      </c>
      <c r="G8" s="29" t="s">
        <v>1527</v>
      </c>
      <c r="H8" s="29" t="s">
        <v>1527</v>
      </c>
      <c r="I8" s="29" t="s">
        <v>1527</v>
      </c>
      <c r="J8" s="29" t="s">
        <v>1527</v>
      </c>
      <c r="K8" s="29" t="s">
        <v>1527</v>
      </c>
      <c r="L8" s="29" t="s">
        <v>1527</v>
      </c>
      <c r="M8" s="29" t="s">
        <v>1527</v>
      </c>
      <c r="N8" s="29" t="s">
        <v>1527</v>
      </c>
      <c r="O8" s="29" t="s">
        <v>1527</v>
      </c>
      <c r="P8" s="28" t="s">
        <v>1527</v>
      </c>
      <c r="Q8" s="28" t="s">
        <v>1527</v>
      </c>
      <c r="R8" s="28" t="s">
        <v>448</v>
      </c>
      <c r="S8" s="29" t="s">
        <v>1527</v>
      </c>
      <c r="T8" s="28"/>
      <c r="U8" s="29" t="s">
        <v>1527</v>
      </c>
      <c r="V8" s="28"/>
      <c r="W8" s="28"/>
      <c r="X8" s="29" t="s">
        <v>1527</v>
      </c>
      <c r="Y8" s="29" t="s">
        <v>1527</v>
      </c>
      <c r="Z8" s="28"/>
      <c r="AA8" s="29" t="s">
        <v>1527</v>
      </c>
      <c r="AB8" s="28"/>
      <c r="AC8" s="29" t="s">
        <v>1527</v>
      </c>
      <c r="AD8" s="28"/>
      <c r="AE8" s="29" t="s">
        <v>1527</v>
      </c>
      <c r="AF8" s="28"/>
      <c r="AG8" s="28" t="s">
        <v>448</v>
      </c>
      <c r="AH8" s="28" t="s">
        <v>448</v>
      </c>
    </row>
    <row r="9" spans="1:34" x14ac:dyDescent="0.25">
      <c r="A9" s="26" t="s">
        <v>165</v>
      </c>
      <c r="B9" s="28" t="s">
        <v>1528</v>
      </c>
      <c r="C9" s="113" t="s">
        <v>449</v>
      </c>
      <c r="D9" s="28" t="s">
        <v>450</v>
      </c>
      <c r="E9" s="28" t="s">
        <v>1528</v>
      </c>
      <c r="F9" s="28" t="s">
        <v>1528</v>
      </c>
      <c r="G9" s="28" t="s">
        <v>1528</v>
      </c>
      <c r="H9" s="28" t="s">
        <v>1528</v>
      </c>
      <c r="I9" s="28" t="s">
        <v>1528</v>
      </c>
      <c r="J9" s="28" t="s">
        <v>1528</v>
      </c>
      <c r="K9" s="28" t="s">
        <v>1529</v>
      </c>
      <c r="L9" s="28" t="s">
        <v>1529</v>
      </c>
      <c r="M9" s="28" t="s">
        <v>1529</v>
      </c>
      <c r="N9" s="28" t="s">
        <v>1069</v>
      </c>
      <c r="O9" s="28" t="s">
        <v>1528</v>
      </c>
      <c r="P9" s="113" t="s">
        <v>453</v>
      </c>
      <c r="Q9" s="113" t="s">
        <v>453</v>
      </c>
      <c r="R9" s="29" t="s">
        <v>454</v>
      </c>
      <c r="S9" s="28" t="s">
        <v>1069</v>
      </c>
      <c r="T9" s="29"/>
      <c r="U9" s="28"/>
      <c r="V9" s="29"/>
      <c r="W9" s="29"/>
      <c r="X9" s="28" t="s">
        <v>1528</v>
      </c>
      <c r="Y9" s="28" t="s">
        <v>1528</v>
      </c>
      <c r="Z9" s="29"/>
      <c r="AA9" s="28" t="s">
        <v>1528</v>
      </c>
      <c r="AB9" s="29"/>
      <c r="AC9" s="28" t="s">
        <v>1528</v>
      </c>
      <c r="AD9" s="29"/>
      <c r="AE9" s="94" t="s">
        <v>456</v>
      </c>
      <c r="AF9" s="29"/>
      <c r="AG9" s="28" t="s">
        <v>457</v>
      </c>
      <c r="AH9" s="28" t="s">
        <v>457</v>
      </c>
    </row>
    <row r="10" spans="1:34" x14ac:dyDescent="0.25">
      <c r="A10" s="131" t="s">
        <v>168</v>
      </c>
      <c r="B10" s="157">
        <v>125</v>
      </c>
      <c r="C10" s="157">
        <v>123</v>
      </c>
      <c r="D10" s="157">
        <v>124</v>
      </c>
      <c r="E10" s="157">
        <v>125</v>
      </c>
      <c r="F10" s="157">
        <v>125</v>
      </c>
      <c r="G10" s="157">
        <v>125</v>
      </c>
      <c r="H10" s="157">
        <v>125</v>
      </c>
      <c r="I10" s="157">
        <v>125</v>
      </c>
      <c r="J10" s="157">
        <v>125</v>
      </c>
      <c r="K10" s="157">
        <v>126</v>
      </c>
      <c r="L10" s="157">
        <v>126</v>
      </c>
      <c r="M10" s="157">
        <v>126</v>
      </c>
      <c r="N10" s="157">
        <v>127</v>
      </c>
      <c r="O10" s="157">
        <v>125</v>
      </c>
      <c r="P10" s="157">
        <v>142</v>
      </c>
      <c r="Q10" s="157">
        <v>142</v>
      </c>
      <c r="R10" s="157">
        <v>81</v>
      </c>
      <c r="S10" s="157">
        <v>127</v>
      </c>
      <c r="T10" s="157"/>
      <c r="U10" s="157"/>
      <c r="V10" s="157"/>
      <c r="W10" s="157"/>
      <c r="X10" s="157">
        <v>125</v>
      </c>
      <c r="Y10" s="157">
        <v>125</v>
      </c>
      <c r="Z10" s="157"/>
      <c r="AA10" s="157">
        <v>125</v>
      </c>
      <c r="AB10" s="157"/>
      <c r="AC10" s="157">
        <v>125</v>
      </c>
      <c r="AD10" s="157"/>
      <c r="AE10" s="157">
        <v>128</v>
      </c>
      <c r="AF10" s="157"/>
      <c r="AG10" s="157">
        <v>82</v>
      </c>
      <c r="AH10" s="157">
        <v>82</v>
      </c>
    </row>
    <row r="11" spans="1:34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 t="s">
        <v>170</v>
      </c>
      <c r="F11" s="28" t="s">
        <v>170</v>
      </c>
      <c r="G11" s="28" t="s">
        <v>170</v>
      </c>
      <c r="H11" s="28" t="s">
        <v>170</v>
      </c>
      <c r="I11" s="28" t="s">
        <v>170</v>
      </c>
      <c r="J11" s="28" t="s">
        <v>170</v>
      </c>
      <c r="K11" s="28" t="s">
        <v>170</v>
      </c>
      <c r="L11" s="28" t="s">
        <v>170</v>
      </c>
      <c r="M11" s="28" t="s">
        <v>170</v>
      </c>
      <c r="N11" s="28" t="s">
        <v>170</v>
      </c>
      <c r="O11" s="28" t="s">
        <v>170</v>
      </c>
      <c r="P11" s="28" t="s">
        <v>170</v>
      </c>
      <c r="Q11" s="28" t="s">
        <v>170</v>
      </c>
      <c r="R11" s="28" t="s">
        <v>170</v>
      </c>
      <c r="S11" s="28" t="s">
        <v>170</v>
      </c>
      <c r="T11" s="28"/>
      <c r="U11" s="28"/>
      <c r="V11" s="28"/>
      <c r="W11" s="28"/>
      <c r="X11" s="28" t="s">
        <v>170</v>
      </c>
      <c r="Y11" s="28" t="s">
        <v>170</v>
      </c>
      <c r="Z11" s="28"/>
      <c r="AA11" s="28" t="s">
        <v>170</v>
      </c>
      <c r="AB11" s="28"/>
      <c r="AC11" s="28" t="s">
        <v>170</v>
      </c>
      <c r="AD11" s="28"/>
      <c r="AE11" s="28" t="s">
        <v>170</v>
      </c>
      <c r="AF11" s="28"/>
      <c r="AG11" s="28" t="s">
        <v>170</v>
      </c>
      <c r="AH11" s="28" t="s">
        <v>170</v>
      </c>
    </row>
    <row r="12" spans="1:34" x14ac:dyDescent="0.2">
      <c r="A12" s="26" t="s">
        <v>171</v>
      </c>
      <c r="B12" s="28" t="s">
        <v>170</v>
      </c>
      <c r="C12" s="28" t="s">
        <v>170</v>
      </c>
      <c r="D12" s="212" t="s">
        <v>173</v>
      </c>
      <c r="E12" s="28" t="s">
        <v>170</v>
      </c>
      <c r="F12" s="28" t="s">
        <v>170</v>
      </c>
      <c r="G12" s="28" t="s">
        <v>170</v>
      </c>
      <c r="H12" s="28" t="s">
        <v>170</v>
      </c>
      <c r="I12" s="28" t="s">
        <v>170</v>
      </c>
      <c r="J12" s="28" t="s">
        <v>170</v>
      </c>
      <c r="K12" s="28" t="s">
        <v>170</v>
      </c>
      <c r="L12" s="28" t="s">
        <v>170</v>
      </c>
      <c r="M12" s="28" t="s">
        <v>170</v>
      </c>
      <c r="N12" s="28" t="s">
        <v>170</v>
      </c>
      <c r="O12" s="28" t="s">
        <v>170</v>
      </c>
      <c r="P12" s="28" t="s">
        <v>170</v>
      </c>
      <c r="Q12" s="28" t="s">
        <v>170</v>
      </c>
      <c r="R12" s="28" t="s">
        <v>170</v>
      </c>
      <c r="S12" s="28" t="s">
        <v>170</v>
      </c>
      <c r="T12" s="28"/>
      <c r="U12" s="28"/>
      <c r="V12" s="28"/>
      <c r="W12" s="28"/>
      <c r="X12" s="28" t="s">
        <v>170</v>
      </c>
      <c r="Y12" s="28" t="s">
        <v>170</v>
      </c>
      <c r="Z12" s="28"/>
      <c r="AA12" s="28" t="s">
        <v>170</v>
      </c>
      <c r="AB12" s="28"/>
      <c r="AC12" s="28" t="s">
        <v>170</v>
      </c>
      <c r="AD12" s="28"/>
      <c r="AE12" s="28" t="s">
        <v>170</v>
      </c>
      <c r="AF12" s="28"/>
      <c r="AG12" s="28" t="s">
        <v>170</v>
      </c>
      <c r="AH12" s="28" t="s">
        <v>170</v>
      </c>
    </row>
    <row r="13" spans="1:34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 t="s">
        <v>173</v>
      </c>
      <c r="F13" s="28" t="s">
        <v>173</v>
      </c>
      <c r="G13" s="28" t="s">
        <v>173</v>
      </c>
      <c r="H13" s="28" t="s">
        <v>173</v>
      </c>
      <c r="I13" s="28" t="s">
        <v>173</v>
      </c>
      <c r="J13" s="28" t="s">
        <v>173</v>
      </c>
      <c r="K13" s="28" t="s">
        <v>173</v>
      </c>
      <c r="L13" s="28" t="s">
        <v>173</v>
      </c>
      <c r="M13" s="28" t="s">
        <v>173</v>
      </c>
      <c r="N13" s="28" t="s">
        <v>173</v>
      </c>
      <c r="O13" s="28" t="s">
        <v>173</v>
      </c>
      <c r="P13" s="28" t="s">
        <v>173</v>
      </c>
      <c r="Q13" s="28" t="s">
        <v>173</v>
      </c>
      <c r="R13" s="28" t="s">
        <v>173</v>
      </c>
      <c r="S13" s="28" t="s">
        <v>173</v>
      </c>
      <c r="T13" s="28"/>
      <c r="U13" s="28"/>
      <c r="V13" s="28"/>
      <c r="W13" s="28"/>
      <c r="X13" s="28" t="s">
        <v>173</v>
      </c>
      <c r="Y13" s="28" t="s">
        <v>173</v>
      </c>
      <c r="Z13" s="28"/>
      <c r="AA13" s="28" t="s">
        <v>173</v>
      </c>
      <c r="AB13" s="28"/>
      <c r="AC13" s="28" t="s">
        <v>173</v>
      </c>
      <c r="AD13" s="28"/>
      <c r="AE13" s="28" t="s">
        <v>266</v>
      </c>
      <c r="AF13" s="28"/>
      <c r="AG13" s="28" t="s">
        <v>173</v>
      </c>
      <c r="AH13" s="28" t="s">
        <v>173</v>
      </c>
    </row>
    <row r="14" spans="1:34" x14ac:dyDescent="0.25">
      <c r="A14" s="26" t="s">
        <v>174</v>
      </c>
      <c r="B14" s="28" t="s">
        <v>173</v>
      </c>
      <c r="C14" s="28" t="s">
        <v>173</v>
      </c>
      <c r="D14" s="28" t="s">
        <v>173</v>
      </c>
      <c r="E14" s="28" t="s">
        <v>173</v>
      </c>
      <c r="F14" s="28" t="s">
        <v>173</v>
      </c>
      <c r="G14" s="28" t="s">
        <v>173</v>
      </c>
      <c r="H14" s="28" t="s">
        <v>173</v>
      </c>
      <c r="I14" s="28" t="s">
        <v>173</v>
      </c>
      <c r="J14" s="28" t="s">
        <v>173</v>
      </c>
      <c r="K14" s="28" t="s">
        <v>173</v>
      </c>
      <c r="L14" s="28" t="s">
        <v>173</v>
      </c>
      <c r="M14" s="28" t="s">
        <v>173</v>
      </c>
      <c r="N14" s="28" t="s">
        <v>173</v>
      </c>
      <c r="O14" s="28" t="s">
        <v>173</v>
      </c>
      <c r="P14" s="28" t="s">
        <v>173</v>
      </c>
      <c r="Q14" s="28" t="s">
        <v>173</v>
      </c>
      <c r="R14" s="28" t="s">
        <v>173</v>
      </c>
      <c r="S14" s="28" t="s">
        <v>173</v>
      </c>
      <c r="T14" s="28"/>
      <c r="U14" s="28"/>
      <c r="V14" s="28"/>
      <c r="W14" s="28"/>
      <c r="X14" s="28" t="s">
        <v>173</v>
      </c>
      <c r="Y14" s="28" t="s">
        <v>173</v>
      </c>
      <c r="Z14" s="28"/>
      <c r="AA14" s="28" t="s">
        <v>173</v>
      </c>
      <c r="AB14" s="28"/>
      <c r="AC14" s="28" t="s">
        <v>173</v>
      </c>
      <c r="AD14" s="28"/>
      <c r="AE14" s="28" t="s">
        <v>173</v>
      </c>
      <c r="AF14" s="28"/>
      <c r="AG14" s="28" t="s">
        <v>173</v>
      </c>
      <c r="AH14" s="28" t="s">
        <v>173</v>
      </c>
    </row>
    <row r="15" spans="1:34" x14ac:dyDescent="0.25">
      <c r="A15" s="26" t="s">
        <v>175</v>
      </c>
      <c r="B15" s="28" t="s">
        <v>198</v>
      </c>
      <c r="C15" s="113" t="s">
        <v>458</v>
      </c>
      <c r="D15" s="28" t="s">
        <v>459</v>
      </c>
      <c r="E15" s="28" t="s">
        <v>198</v>
      </c>
      <c r="F15" s="28" t="s">
        <v>198</v>
      </c>
      <c r="G15" s="28" t="s">
        <v>198</v>
      </c>
      <c r="H15" s="28" t="s">
        <v>198</v>
      </c>
      <c r="I15" s="28" t="s">
        <v>198</v>
      </c>
      <c r="J15" s="28" t="s">
        <v>198</v>
      </c>
      <c r="K15" s="28" t="s">
        <v>199</v>
      </c>
      <c r="L15" s="28" t="s">
        <v>199</v>
      </c>
      <c r="M15" s="28" t="s">
        <v>199</v>
      </c>
      <c r="N15" s="113" t="s">
        <v>460</v>
      </c>
      <c r="O15" s="28" t="s">
        <v>198</v>
      </c>
      <c r="P15" s="28" t="s">
        <v>461</v>
      </c>
      <c r="Q15" s="28" t="s">
        <v>461</v>
      </c>
      <c r="R15" s="28" t="s">
        <v>461</v>
      </c>
      <c r="S15" s="113" t="s">
        <v>460</v>
      </c>
      <c r="T15" s="28"/>
      <c r="U15" s="28"/>
      <c r="V15" s="28"/>
      <c r="W15" s="28"/>
      <c r="X15" s="28" t="s">
        <v>198</v>
      </c>
      <c r="Y15" s="28" t="s">
        <v>198</v>
      </c>
      <c r="Z15" s="28"/>
      <c r="AA15" s="28" t="s">
        <v>198</v>
      </c>
      <c r="AB15" s="28"/>
      <c r="AC15" s="28" t="s">
        <v>198</v>
      </c>
      <c r="AD15" s="28"/>
      <c r="AE15" s="28" t="s">
        <v>268</v>
      </c>
      <c r="AF15" s="28"/>
      <c r="AG15" s="28" t="s">
        <v>198</v>
      </c>
      <c r="AH15" s="28" t="s">
        <v>198</v>
      </c>
    </row>
    <row r="16" spans="1:34" x14ac:dyDescent="0.25">
      <c r="A16" s="26" t="s">
        <v>176</v>
      </c>
      <c r="B16" s="30">
        <v>0.75</v>
      </c>
      <c r="C16" s="30">
        <f>AVERAGE(-4,-4,0.75)</f>
        <v>-2.4166666666666665</v>
      </c>
      <c r="D16" s="30">
        <v>-4.5</v>
      </c>
      <c r="E16" s="30">
        <v>0.75</v>
      </c>
      <c r="F16" s="30">
        <v>0.75</v>
      </c>
      <c r="G16" s="30">
        <v>0.75</v>
      </c>
      <c r="H16" s="30">
        <v>0.75</v>
      </c>
      <c r="I16" s="30">
        <v>0.75</v>
      </c>
      <c r="J16" s="30">
        <v>0.75</v>
      </c>
      <c r="K16" s="30">
        <v>-0.5</v>
      </c>
      <c r="L16" s="30">
        <v>-0.5</v>
      </c>
      <c r="M16" s="30">
        <v>-0.5</v>
      </c>
      <c r="N16" s="30">
        <f>AVERAGE(0.75,0.75,-4)</f>
        <v>-0.83333333333333337</v>
      </c>
      <c r="O16" s="30">
        <v>0.75</v>
      </c>
      <c r="P16" s="30">
        <v>-4</v>
      </c>
      <c r="Q16" s="30">
        <v>-4</v>
      </c>
      <c r="R16" s="30">
        <v>-4</v>
      </c>
      <c r="S16" s="30">
        <f>AVERAGE(0.75,0.75,-4)</f>
        <v>-0.83333333333333337</v>
      </c>
      <c r="T16" s="30"/>
      <c r="U16" s="30"/>
      <c r="V16" s="30"/>
      <c r="W16" s="30"/>
      <c r="X16" s="30">
        <v>0.75</v>
      </c>
      <c r="Y16" s="30">
        <v>0.75</v>
      </c>
      <c r="Z16" s="30"/>
      <c r="AA16" s="30">
        <v>0.75</v>
      </c>
      <c r="AB16" s="30"/>
      <c r="AC16" s="30">
        <v>0.75</v>
      </c>
      <c r="AD16" s="30"/>
      <c r="AE16" s="30">
        <f>AVERAGE(-1.25,0.75)</f>
        <v>-0.25</v>
      </c>
      <c r="AF16" s="30"/>
      <c r="AG16" s="30">
        <f>5/3</f>
        <v>1.6666666666666667</v>
      </c>
      <c r="AH16" s="30">
        <f>5/3</f>
        <v>1.6666666666666667</v>
      </c>
    </row>
    <row r="17" spans="1:34" x14ac:dyDescent="0.25">
      <c r="A17" s="26" t="s">
        <v>177</v>
      </c>
      <c r="B17" s="28" t="s">
        <v>1530</v>
      </c>
      <c r="C17" s="113" t="s">
        <v>463</v>
      </c>
      <c r="D17" s="28" t="s">
        <v>181</v>
      </c>
      <c r="E17" s="28" t="s">
        <v>1530</v>
      </c>
      <c r="F17" s="28" t="s">
        <v>1530</v>
      </c>
      <c r="G17" s="28" t="s">
        <v>1530</v>
      </c>
      <c r="H17" s="28" t="s">
        <v>1530</v>
      </c>
      <c r="I17" s="28" t="s">
        <v>1530</v>
      </c>
      <c r="J17" s="28" t="s">
        <v>1530</v>
      </c>
      <c r="K17" s="28" t="s">
        <v>1530</v>
      </c>
      <c r="L17" s="28" t="s">
        <v>1530</v>
      </c>
      <c r="M17" s="28" t="s">
        <v>1530</v>
      </c>
      <c r="N17" s="113" t="s">
        <v>1070</v>
      </c>
      <c r="O17" s="28" t="s">
        <v>1530</v>
      </c>
      <c r="P17" s="113" t="s">
        <v>464</v>
      </c>
      <c r="Q17" s="113" t="s">
        <v>464</v>
      </c>
      <c r="R17" s="28" t="s">
        <v>462</v>
      </c>
      <c r="S17" s="113" t="s">
        <v>1070</v>
      </c>
      <c r="T17" s="28"/>
      <c r="U17" s="28"/>
      <c r="V17" s="28"/>
      <c r="W17" s="28"/>
      <c r="X17" s="28" t="s">
        <v>1530</v>
      </c>
      <c r="Y17" s="28" t="s">
        <v>1530</v>
      </c>
      <c r="Z17" s="28"/>
      <c r="AA17" s="28" t="s">
        <v>1530</v>
      </c>
      <c r="AB17" s="28"/>
      <c r="AC17" s="28" t="s">
        <v>1530</v>
      </c>
      <c r="AD17" s="28"/>
      <c r="AE17" s="124" t="s">
        <v>466</v>
      </c>
      <c r="AF17" s="28"/>
      <c r="AG17" s="28" t="s">
        <v>462</v>
      </c>
      <c r="AH17" s="28" t="s">
        <v>462</v>
      </c>
    </row>
    <row r="18" spans="1:34" x14ac:dyDescent="0.25">
      <c r="A18" s="26" t="s">
        <v>182</v>
      </c>
      <c r="B18" s="30">
        <f>1.25*1.25</f>
        <v>1.5625</v>
      </c>
      <c r="C18" s="30">
        <f>AVERAGE(2,2,1.25)</f>
        <v>1.75</v>
      </c>
      <c r="D18" s="30">
        <v>2</v>
      </c>
      <c r="E18" s="30">
        <f t="shared" ref="E18:J18" si="0">1.25*1.25</f>
        <v>1.5625</v>
      </c>
      <c r="F18" s="30">
        <f t="shared" si="0"/>
        <v>1.5625</v>
      </c>
      <c r="G18" s="30">
        <f t="shared" si="0"/>
        <v>1.5625</v>
      </c>
      <c r="H18" s="30">
        <f t="shared" si="0"/>
        <v>1.5625</v>
      </c>
      <c r="I18" s="30">
        <f t="shared" si="0"/>
        <v>1.5625</v>
      </c>
      <c r="J18" s="30">
        <f t="shared" si="0"/>
        <v>1.5625</v>
      </c>
      <c r="K18" s="30">
        <f t="shared" ref="K18:M18" si="1">1.25*1.25</f>
        <v>1.5625</v>
      </c>
      <c r="L18" s="30">
        <f t="shared" si="1"/>
        <v>1.5625</v>
      </c>
      <c r="M18" s="30">
        <f t="shared" si="1"/>
        <v>1.5625</v>
      </c>
      <c r="N18" s="30">
        <f>AVERAGE(25/16,25/16,1.25)</f>
        <v>1.4583333333333333</v>
      </c>
      <c r="O18" s="30">
        <f t="shared" ref="O18" si="2">1.25*1.25</f>
        <v>1.5625</v>
      </c>
      <c r="P18" s="30">
        <v>1.75</v>
      </c>
      <c r="Q18" s="30">
        <v>1.75</v>
      </c>
      <c r="R18" s="30">
        <v>1.25</v>
      </c>
      <c r="S18" s="30">
        <f>AVERAGE(25/16,25/16,1.25)</f>
        <v>1.4583333333333333</v>
      </c>
      <c r="T18" s="30"/>
      <c r="U18" s="30"/>
      <c r="V18" s="30"/>
      <c r="W18" s="30"/>
      <c r="X18" s="30">
        <f t="shared" ref="X18:Y18" si="3">1.25*1.25</f>
        <v>1.5625</v>
      </c>
      <c r="Y18" s="30">
        <f t="shared" si="3"/>
        <v>1.5625</v>
      </c>
      <c r="Z18" s="30"/>
      <c r="AA18" s="30">
        <f>1.25*1.25</f>
        <v>1.5625</v>
      </c>
      <c r="AB18" s="30"/>
      <c r="AC18" s="30">
        <f t="shared" ref="AC18" si="4">1.25*1.25</f>
        <v>1.5625</v>
      </c>
      <c r="AD18" s="30"/>
      <c r="AE18" s="30">
        <f>AVERAGE(2.5,25/16)</f>
        <v>2.03125</v>
      </c>
      <c r="AF18" s="30"/>
      <c r="AG18" s="30">
        <v>1</v>
      </c>
      <c r="AH18" s="30">
        <v>1</v>
      </c>
    </row>
    <row r="20" spans="1:34" x14ac:dyDescent="0.25">
      <c r="A20" s="31" t="s">
        <v>183</v>
      </c>
    </row>
    <row r="21" spans="1:34" x14ac:dyDescent="0.25">
      <c r="A21" s="26" t="s">
        <v>1531</v>
      </c>
      <c r="B21" s="56" t="s">
        <v>1532</v>
      </c>
    </row>
  </sheetData>
  <mergeCells count="5">
    <mergeCell ref="F3:O3"/>
    <mergeCell ref="F4:O5"/>
    <mergeCell ref="B3:D3"/>
    <mergeCell ref="B4:D4"/>
    <mergeCell ref="B5:D5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08560-D6A3-46AC-95B0-0EB8E3B64B04}">
  <dimension ref="A1:AK22"/>
  <sheetViews>
    <sheetView workbookViewId="0">
      <selection activeCell="B7" sqref="B7"/>
    </sheetView>
  </sheetViews>
  <sheetFormatPr defaultColWidth="9.140625" defaultRowHeight="15" x14ac:dyDescent="0.25"/>
  <cols>
    <col min="1" max="1" width="23.28515625" style="26" bestFit="1" customWidth="1"/>
    <col min="2" max="51" width="5.7109375" style="26" customWidth="1"/>
    <col min="52" max="16384" width="9.140625" style="26"/>
  </cols>
  <sheetData>
    <row r="1" spans="1:37" x14ac:dyDescent="0.25">
      <c r="A1" s="25" t="s">
        <v>116</v>
      </c>
      <c r="D1" s="25" t="s">
        <v>895</v>
      </c>
      <c r="I1" s="25" t="s">
        <v>1441</v>
      </c>
    </row>
    <row r="3" spans="1:37" ht="18" x14ac:dyDescent="0.25">
      <c r="A3" s="25" t="s">
        <v>119</v>
      </c>
      <c r="B3" s="215">
        <v>104</v>
      </c>
      <c r="C3" s="215"/>
      <c r="D3" s="215"/>
      <c r="E3" s="25"/>
      <c r="F3" s="222" t="s">
        <v>120</v>
      </c>
      <c r="G3" s="222"/>
      <c r="H3" s="222"/>
      <c r="I3" s="222"/>
      <c r="J3" s="222"/>
      <c r="K3" s="222"/>
      <c r="L3" s="222"/>
      <c r="M3" s="222"/>
      <c r="N3" s="222"/>
      <c r="O3" s="222"/>
    </row>
    <row r="4" spans="1:37" ht="18" x14ac:dyDescent="0.25">
      <c r="A4" s="25" t="s">
        <v>121</v>
      </c>
      <c r="B4" s="215" t="s">
        <v>1533</v>
      </c>
      <c r="C4" s="215"/>
      <c r="D4" s="215"/>
      <c r="F4" s="216" t="s">
        <v>1534</v>
      </c>
      <c r="G4" s="217"/>
      <c r="H4" s="217"/>
      <c r="I4" s="217"/>
      <c r="J4" s="217"/>
      <c r="K4" s="217"/>
      <c r="L4" s="217"/>
      <c r="M4" s="217"/>
      <c r="N4" s="217"/>
      <c r="O4" s="218"/>
    </row>
    <row r="5" spans="1:37" ht="18" x14ac:dyDescent="0.25">
      <c r="A5" s="25" t="s">
        <v>124</v>
      </c>
      <c r="B5" s="215" t="s">
        <v>899</v>
      </c>
      <c r="C5" s="215"/>
      <c r="D5" s="215"/>
      <c r="F5" s="219"/>
      <c r="G5" s="220"/>
      <c r="H5" s="220"/>
      <c r="I5" s="220"/>
      <c r="J5" s="220"/>
      <c r="K5" s="220"/>
      <c r="L5" s="220"/>
      <c r="M5" s="220"/>
      <c r="N5" s="220"/>
      <c r="O5" s="221"/>
    </row>
    <row r="7" spans="1:37" ht="45" x14ac:dyDescent="0.25">
      <c r="A7" s="27" t="s">
        <v>126</v>
      </c>
      <c r="B7" s="43" t="s">
        <v>17</v>
      </c>
      <c r="C7" s="32" t="s">
        <v>127</v>
      </c>
      <c r="D7" s="32" t="s">
        <v>128</v>
      </c>
      <c r="E7" s="33" t="s">
        <v>129</v>
      </c>
      <c r="F7" s="34" t="s">
        <v>130</v>
      </c>
      <c r="G7" s="35" t="s">
        <v>131</v>
      </c>
      <c r="H7" s="35" t="s">
        <v>132</v>
      </c>
      <c r="I7" s="36" t="s">
        <v>133</v>
      </c>
      <c r="J7" s="38" t="s">
        <v>134</v>
      </c>
      <c r="K7" s="39" t="s">
        <v>135</v>
      </c>
      <c r="L7" s="39" t="s">
        <v>136</v>
      </c>
      <c r="M7" s="39" t="s">
        <v>137</v>
      </c>
      <c r="N7" s="40" t="s">
        <v>138</v>
      </c>
      <c r="O7" s="40" t="s">
        <v>139</v>
      </c>
      <c r="P7" s="42" t="s">
        <v>140</v>
      </c>
      <c r="Q7" s="42" t="s">
        <v>141</v>
      </c>
      <c r="R7" s="41" t="s">
        <v>142</v>
      </c>
      <c r="S7" s="44" t="s">
        <v>143</v>
      </c>
      <c r="T7" s="45" t="s">
        <v>144</v>
      </c>
      <c r="U7" s="45" t="s">
        <v>145</v>
      </c>
      <c r="V7" s="46" t="s">
        <v>146</v>
      </c>
      <c r="W7" s="46" t="s">
        <v>147</v>
      </c>
      <c r="X7" s="47" t="s">
        <v>148</v>
      </c>
      <c r="Y7" s="47" t="s">
        <v>149</v>
      </c>
      <c r="Z7" s="48" t="s">
        <v>150</v>
      </c>
      <c r="AA7" s="48" t="s">
        <v>151</v>
      </c>
      <c r="AB7" s="49" t="s">
        <v>152</v>
      </c>
      <c r="AC7" s="49" t="s">
        <v>153</v>
      </c>
      <c r="AD7" s="49" t="s">
        <v>154</v>
      </c>
      <c r="AE7" s="50" t="s">
        <v>155</v>
      </c>
      <c r="AF7" s="51" t="s">
        <v>156</v>
      </c>
      <c r="AG7" s="53" t="s">
        <v>157</v>
      </c>
      <c r="AH7" s="53" t="s">
        <v>158</v>
      </c>
      <c r="AJ7" s="53" t="s">
        <v>157</v>
      </c>
      <c r="AK7" s="53" t="s">
        <v>158</v>
      </c>
    </row>
    <row r="8" spans="1:37" x14ac:dyDescent="0.25">
      <c r="A8" s="26" t="s">
        <v>159</v>
      </c>
      <c r="B8" s="28" t="s">
        <v>1530</v>
      </c>
      <c r="C8" s="28" t="s">
        <v>473</v>
      </c>
      <c r="D8" s="28" t="s">
        <v>473</v>
      </c>
      <c r="E8" s="29"/>
      <c r="F8" s="29"/>
      <c r="G8" s="28" t="s">
        <v>476</v>
      </c>
      <c r="H8" s="28" t="s">
        <v>476</v>
      </c>
      <c r="I8" s="28" t="s">
        <v>476</v>
      </c>
      <c r="J8" s="28"/>
      <c r="K8" s="29" t="s">
        <v>476</v>
      </c>
      <c r="L8" s="29" t="s">
        <v>476</v>
      </c>
      <c r="M8" s="29" t="s">
        <v>476</v>
      </c>
      <c r="N8" s="28"/>
      <c r="O8" s="28"/>
      <c r="P8" s="29" t="s">
        <v>1535</v>
      </c>
      <c r="Q8" s="29" t="s">
        <v>1535</v>
      </c>
      <c r="R8" s="184" t="s">
        <v>473</v>
      </c>
      <c r="S8" s="28"/>
      <c r="T8" s="28"/>
      <c r="U8" s="28"/>
      <c r="V8" s="28"/>
      <c r="W8" s="28"/>
      <c r="X8" s="28" t="s">
        <v>1466</v>
      </c>
      <c r="Y8" s="28" t="s">
        <v>1466</v>
      </c>
      <c r="Z8" s="28"/>
      <c r="AA8" s="83" t="s">
        <v>476</v>
      </c>
      <c r="AB8" s="113" t="s">
        <v>1536</v>
      </c>
      <c r="AC8" s="83" t="s">
        <v>476</v>
      </c>
      <c r="AD8" s="28" t="s">
        <v>1466</v>
      </c>
      <c r="AE8" s="28" t="s">
        <v>1537</v>
      </c>
      <c r="AF8" s="28"/>
      <c r="AG8" s="28"/>
      <c r="AH8" s="28" t="s">
        <v>473</v>
      </c>
      <c r="AJ8" s="28"/>
      <c r="AK8" s="28" t="s">
        <v>556</v>
      </c>
    </row>
    <row r="9" spans="1:37" x14ac:dyDescent="0.25">
      <c r="A9" s="26" t="s">
        <v>165</v>
      </c>
      <c r="B9" s="28" t="s">
        <v>1538</v>
      </c>
      <c r="C9" s="28" t="s">
        <v>479</v>
      </c>
      <c r="D9" s="28" t="s">
        <v>473</v>
      </c>
      <c r="E9" s="29"/>
      <c r="F9" s="29"/>
      <c r="G9" s="28" t="s">
        <v>1539</v>
      </c>
      <c r="H9" s="28" t="s">
        <v>1008</v>
      </c>
      <c r="I9" s="28" t="s">
        <v>1008</v>
      </c>
      <c r="J9" s="29"/>
      <c r="K9" s="29" t="s">
        <v>1540</v>
      </c>
      <c r="L9" s="29" t="s">
        <v>1540</v>
      </c>
      <c r="M9" s="29" t="s">
        <v>1540</v>
      </c>
      <c r="N9" s="29"/>
      <c r="O9" s="29"/>
      <c r="P9" s="28" t="s">
        <v>473</v>
      </c>
      <c r="Q9" s="28" t="s">
        <v>473</v>
      </c>
      <c r="R9" s="28" t="s">
        <v>473</v>
      </c>
      <c r="S9" s="29"/>
      <c r="T9" s="29"/>
      <c r="U9" s="29"/>
      <c r="V9" s="29"/>
      <c r="W9" s="29"/>
      <c r="X9" s="184" t="s">
        <v>1541</v>
      </c>
      <c r="Y9" s="184" t="s">
        <v>1541</v>
      </c>
      <c r="Z9" s="29"/>
      <c r="AA9" s="85" t="s">
        <v>476</v>
      </c>
      <c r="AB9" s="111" t="s">
        <v>1542</v>
      </c>
      <c r="AC9" s="29"/>
      <c r="AD9" s="29" t="s">
        <v>1541</v>
      </c>
      <c r="AE9" s="29" t="s">
        <v>1541</v>
      </c>
      <c r="AF9" s="29"/>
      <c r="AG9" s="28"/>
      <c r="AH9" s="29" t="s">
        <v>473</v>
      </c>
      <c r="AJ9" s="28"/>
      <c r="AK9" s="28" t="s">
        <v>322</v>
      </c>
    </row>
    <row r="10" spans="1:37" x14ac:dyDescent="0.25">
      <c r="A10" s="131" t="s">
        <v>168</v>
      </c>
      <c r="B10" s="157">
        <v>249</v>
      </c>
      <c r="C10" s="157">
        <v>87</v>
      </c>
      <c r="D10" s="157">
        <v>85</v>
      </c>
      <c r="E10" s="157"/>
      <c r="F10" s="157"/>
      <c r="G10" s="157">
        <v>252</v>
      </c>
      <c r="H10" s="157">
        <v>61</v>
      </c>
      <c r="I10" s="157">
        <v>61</v>
      </c>
      <c r="J10" s="157"/>
      <c r="K10" s="157">
        <v>86</v>
      </c>
      <c r="L10" s="157">
        <v>86</v>
      </c>
      <c r="M10" s="157">
        <v>86</v>
      </c>
      <c r="N10" s="157"/>
      <c r="O10" s="157"/>
      <c r="P10" s="157">
        <v>85</v>
      </c>
      <c r="Q10" s="157">
        <v>85</v>
      </c>
      <c r="R10" s="157">
        <v>85</v>
      </c>
      <c r="S10" s="157"/>
      <c r="T10" s="157"/>
      <c r="U10" s="157"/>
      <c r="V10" s="157"/>
      <c r="W10" s="157"/>
      <c r="X10" s="157">
        <v>201</v>
      </c>
      <c r="Y10" s="157">
        <v>201</v>
      </c>
      <c r="Z10" s="157"/>
      <c r="AA10" s="157">
        <v>243</v>
      </c>
      <c r="AB10" s="157">
        <v>241</v>
      </c>
      <c r="AC10" s="157"/>
      <c r="AD10" s="157">
        <v>201</v>
      </c>
      <c r="AE10" s="157">
        <v>201</v>
      </c>
      <c r="AF10" s="157"/>
      <c r="AG10" s="157"/>
      <c r="AH10" s="157">
        <v>85</v>
      </c>
      <c r="AJ10" s="157"/>
      <c r="AK10" s="157">
        <v>98</v>
      </c>
    </row>
    <row r="11" spans="1:37" x14ac:dyDescent="0.25">
      <c r="A11" s="26" t="s">
        <v>169</v>
      </c>
      <c r="B11" s="28" t="s">
        <v>170</v>
      </c>
      <c r="C11" s="28" t="s">
        <v>170</v>
      </c>
      <c r="D11" s="28" t="s">
        <v>170</v>
      </c>
      <c r="E11" s="28"/>
      <c r="F11" s="28"/>
      <c r="G11" s="28" t="s">
        <v>170</v>
      </c>
      <c r="H11" s="28" t="s">
        <v>170</v>
      </c>
      <c r="I11" s="28" t="s">
        <v>170</v>
      </c>
      <c r="J11" s="28"/>
      <c r="K11" s="28" t="s">
        <v>170</v>
      </c>
      <c r="L11" s="28" t="s">
        <v>170</v>
      </c>
      <c r="M11" s="28" t="s">
        <v>170</v>
      </c>
      <c r="N11" s="28"/>
      <c r="O11" s="28"/>
      <c r="P11" s="28" t="s">
        <v>170</v>
      </c>
      <c r="Q11" s="28" t="s">
        <v>170</v>
      </c>
      <c r="R11" s="28" t="s">
        <v>170</v>
      </c>
      <c r="S11" s="28"/>
      <c r="T11" s="28"/>
      <c r="U11" s="28"/>
      <c r="V11" s="28"/>
      <c r="W11" s="28"/>
      <c r="X11" s="83" t="s">
        <v>170</v>
      </c>
      <c r="Y11" s="83" t="s">
        <v>170</v>
      </c>
      <c r="Z11" s="28"/>
      <c r="AA11" s="83" t="s">
        <v>170</v>
      </c>
      <c r="AB11" s="28" t="s">
        <v>170</v>
      </c>
      <c r="AC11" s="29"/>
      <c r="AD11" s="83" t="s">
        <v>170</v>
      </c>
      <c r="AE11" s="83" t="s">
        <v>170</v>
      </c>
      <c r="AF11" s="28"/>
      <c r="AG11" s="28"/>
      <c r="AH11" s="28" t="s">
        <v>170</v>
      </c>
      <c r="AJ11" s="28"/>
      <c r="AK11" s="28" t="s">
        <v>170</v>
      </c>
    </row>
    <row r="12" spans="1:37" x14ac:dyDescent="0.25">
      <c r="A12" s="26" t="s">
        <v>171</v>
      </c>
      <c r="B12" s="28" t="s">
        <v>170</v>
      </c>
      <c r="C12" s="28" t="s">
        <v>170</v>
      </c>
      <c r="D12" s="28" t="s">
        <v>170</v>
      </c>
      <c r="E12" s="28"/>
      <c r="F12" s="28"/>
      <c r="G12" s="28" t="s">
        <v>170</v>
      </c>
      <c r="H12" s="28" t="s">
        <v>170</v>
      </c>
      <c r="I12" s="28" t="s">
        <v>170</v>
      </c>
      <c r="J12" s="28"/>
      <c r="K12" s="28" t="s">
        <v>170</v>
      </c>
      <c r="L12" s="28" t="s">
        <v>170</v>
      </c>
      <c r="M12" s="28" t="s">
        <v>170</v>
      </c>
      <c r="N12" s="28"/>
      <c r="O12" s="28"/>
      <c r="P12" s="28" t="s">
        <v>170</v>
      </c>
      <c r="Q12" s="28" t="s">
        <v>170</v>
      </c>
      <c r="R12" s="28" t="s">
        <v>170</v>
      </c>
      <c r="S12" s="28"/>
      <c r="T12" s="28"/>
      <c r="U12" s="28"/>
      <c r="V12" s="28"/>
      <c r="W12" s="28"/>
      <c r="X12" s="83" t="s">
        <v>170</v>
      </c>
      <c r="Y12" s="83" t="s">
        <v>170</v>
      </c>
      <c r="Z12" s="28"/>
      <c r="AA12" s="83" t="s">
        <v>170</v>
      </c>
      <c r="AB12" s="28" t="s">
        <v>170</v>
      </c>
      <c r="AC12" s="28"/>
      <c r="AD12" s="83" t="s">
        <v>170</v>
      </c>
      <c r="AE12" s="83" t="s">
        <v>170</v>
      </c>
      <c r="AF12" s="28"/>
      <c r="AG12" s="28"/>
      <c r="AH12" s="28" t="s">
        <v>170</v>
      </c>
      <c r="AJ12" s="28"/>
      <c r="AK12" s="28" t="s">
        <v>170</v>
      </c>
    </row>
    <row r="13" spans="1:37" x14ac:dyDescent="0.25">
      <c r="A13" s="26" t="s">
        <v>172</v>
      </c>
      <c r="B13" s="28" t="s">
        <v>173</v>
      </c>
      <c r="C13" s="28" t="s">
        <v>173</v>
      </c>
      <c r="D13" s="28" t="s">
        <v>173</v>
      </c>
      <c r="E13" s="28"/>
      <c r="F13" s="28"/>
      <c r="G13" s="28" t="s">
        <v>173</v>
      </c>
      <c r="H13" s="28" t="s">
        <v>173</v>
      </c>
      <c r="I13" s="28" t="s">
        <v>173</v>
      </c>
      <c r="J13" s="28"/>
      <c r="K13" s="28" t="s">
        <v>173</v>
      </c>
      <c r="L13" s="28" t="s">
        <v>173</v>
      </c>
      <c r="M13" s="28" t="s">
        <v>173</v>
      </c>
      <c r="N13" s="28"/>
      <c r="O13" s="28"/>
      <c r="P13" s="28" t="s">
        <v>173</v>
      </c>
      <c r="Q13" s="28" t="s">
        <v>173</v>
      </c>
      <c r="R13" s="28" t="s">
        <v>173</v>
      </c>
      <c r="S13" s="28"/>
      <c r="T13" s="28"/>
      <c r="U13" s="28"/>
      <c r="V13" s="28"/>
      <c r="W13" s="28"/>
      <c r="X13" s="83" t="s">
        <v>173</v>
      </c>
      <c r="Y13" s="83" t="s">
        <v>173</v>
      </c>
      <c r="Z13" s="28"/>
      <c r="AA13" s="83" t="s">
        <v>173</v>
      </c>
      <c r="AB13" s="28" t="s">
        <v>173</v>
      </c>
      <c r="AC13" s="28"/>
      <c r="AD13" s="83" t="s">
        <v>173</v>
      </c>
      <c r="AE13" s="83" t="s">
        <v>173</v>
      </c>
      <c r="AF13" s="28"/>
      <c r="AG13" s="28"/>
      <c r="AH13" s="28" t="s">
        <v>173</v>
      </c>
      <c r="AJ13" s="28"/>
      <c r="AK13" s="28" t="s">
        <v>173</v>
      </c>
    </row>
    <row r="14" spans="1:37" x14ac:dyDescent="0.25">
      <c r="A14" s="26" t="s">
        <v>174</v>
      </c>
      <c r="B14" s="28" t="s">
        <v>170</v>
      </c>
      <c r="C14" s="28" t="s">
        <v>170</v>
      </c>
      <c r="D14" s="28" t="s">
        <v>170</v>
      </c>
      <c r="E14" s="28"/>
      <c r="F14" s="28"/>
      <c r="G14" s="28" t="s">
        <v>266</v>
      </c>
      <c r="H14" s="28" t="s">
        <v>173</v>
      </c>
      <c r="I14" s="28" t="s">
        <v>173</v>
      </c>
      <c r="J14" s="28"/>
      <c r="K14" s="28" t="s">
        <v>170</v>
      </c>
      <c r="L14" s="28" t="s">
        <v>170</v>
      </c>
      <c r="M14" s="28" t="s">
        <v>170</v>
      </c>
      <c r="N14" s="28"/>
      <c r="O14" s="28"/>
      <c r="P14" s="28" t="s">
        <v>170</v>
      </c>
      <c r="Q14" s="28" t="s">
        <v>170</v>
      </c>
      <c r="R14" s="28" t="s">
        <v>170</v>
      </c>
      <c r="S14" s="28"/>
      <c r="T14" s="28"/>
      <c r="U14" s="28"/>
      <c r="V14" s="28"/>
      <c r="W14" s="28"/>
      <c r="X14" s="83" t="s">
        <v>173</v>
      </c>
      <c r="Y14" s="83" t="s">
        <v>173</v>
      </c>
      <c r="Z14" s="28"/>
      <c r="AA14" s="83" t="s">
        <v>170</v>
      </c>
      <c r="AB14" s="28" t="s">
        <v>170</v>
      </c>
      <c r="AC14" s="28"/>
      <c r="AD14" s="83" t="s">
        <v>173</v>
      </c>
      <c r="AE14" s="83" t="s">
        <v>173</v>
      </c>
      <c r="AF14" s="28"/>
      <c r="AG14" s="28"/>
      <c r="AH14" s="28" t="s">
        <v>170</v>
      </c>
      <c r="AJ14" s="28"/>
      <c r="AK14" s="28" t="s">
        <v>173</v>
      </c>
    </row>
    <row r="15" spans="1:37" x14ac:dyDescent="0.25">
      <c r="A15" s="26" t="s">
        <v>175</v>
      </c>
      <c r="B15" s="28" t="s">
        <v>370</v>
      </c>
      <c r="C15" s="29" t="s">
        <v>486</v>
      </c>
      <c r="D15" s="29" t="s">
        <v>198</v>
      </c>
      <c r="E15" s="28"/>
      <c r="F15" s="28"/>
      <c r="G15" s="28" t="s">
        <v>199</v>
      </c>
      <c r="H15" s="28" t="s">
        <v>199</v>
      </c>
      <c r="I15" s="28" t="s">
        <v>199</v>
      </c>
      <c r="J15" s="28"/>
      <c r="K15" s="28" t="s">
        <v>199</v>
      </c>
      <c r="L15" s="28" t="s">
        <v>199</v>
      </c>
      <c r="M15" s="28" t="s">
        <v>199</v>
      </c>
      <c r="N15" s="28"/>
      <c r="O15" s="28"/>
      <c r="P15" s="28" t="s">
        <v>198</v>
      </c>
      <c r="Q15" s="28" t="s">
        <v>198</v>
      </c>
      <c r="R15" s="28" t="s">
        <v>198</v>
      </c>
      <c r="S15" s="28"/>
      <c r="T15" s="28"/>
      <c r="U15" s="28"/>
      <c r="V15" s="28"/>
      <c r="W15" s="28"/>
      <c r="X15" s="28" t="s">
        <v>199</v>
      </c>
      <c r="Y15" s="28" t="s">
        <v>199</v>
      </c>
      <c r="Z15" s="28"/>
      <c r="AA15" s="83" t="s">
        <v>198</v>
      </c>
      <c r="AB15" s="28" t="s">
        <v>1543</v>
      </c>
      <c r="AC15" s="28"/>
      <c r="AD15" s="28" t="s">
        <v>199</v>
      </c>
      <c r="AE15" s="28" t="s">
        <v>199</v>
      </c>
      <c r="AF15" s="28"/>
      <c r="AG15" s="28"/>
      <c r="AH15" s="28" t="s">
        <v>198</v>
      </c>
      <c r="AJ15" s="28"/>
      <c r="AK15" s="28" t="s">
        <v>199</v>
      </c>
    </row>
    <row r="16" spans="1:37" x14ac:dyDescent="0.25">
      <c r="A16" s="26" t="s">
        <v>176</v>
      </c>
      <c r="B16" s="30">
        <f>AVERAGE(0.75,-1.25)</f>
        <v>-0.25</v>
      </c>
      <c r="C16" s="30">
        <f>-7/6</f>
        <v>-1.1666666666666667</v>
      </c>
      <c r="D16" s="30">
        <v>0.75</v>
      </c>
      <c r="E16" s="30"/>
      <c r="F16" s="30"/>
      <c r="G16" s="30">
        <v>-2</v>
      </c>
      <c r="H16" s="30">
        <v>-2</v>
      </c>
      <c r="I16" s="30">
        <v>-2</v>
      </c>
      <c r="J16" s="30"/>
      <c r="K16" s="30">
        <v>0</v>
      </c>
      <c r="L16" s="30">
        <v>0</v>
      </c>
      <c r="M16" s="30">
        <v>0</v>
      </c>
      <c r="N16" s="30"/>
      <c r="O16" s="30"/>
      <c r="P16" s="30">
        <v>0.75</v>
      </c>
      <c r="Q16" s="30">
        <v>0.75</v>
      </c>
      <c r="R16" s="30">
        <v>0.75</v>
      </c>
      <c r="S16" s="30"/>
      <c r="T16" s="30"/>
      <c r="U16" s="30"/>
      <c r="V16" s="30"/>
      <c r="W16" s="30"/>
      <c r="X16" s="30">
        <v>-1.25</v>
      </c>
      <c r="Y16" s="30">
        <v>-1.25</v>
      </c>
      <c r="Z16" s="30"/>
      <c r="AA16" s="88">
        <v>0.75</v>
      </c>
      <c r="AB16" s="30">
        <f>AVERAGE(0.75,0.75,0)</f>
        <v>0.5</v>
      </c>
      <c r="AC16" s="30"/>
      <c r="AD16" s="30">
        <v>-1.25</v>
      </c>
      <c r="AE16" s="30">
        <v>-1.25</v>
      </c>
      <c r="AF16" s="30"/>
      <c r="AG16" s="30"/>
      <c r="AH16" s="30">
        <v>0.75</v>
      </c>
      <c r="AJ16" s="30"/>
      <c r="AK16" s="30">
        <v>-2</v>
      </c>
    </row>
    <row r="17" spans="1:37" x14ac:dyDescent="0.25">
      <c r="A17" s="26" t="s">
        <v>177</v>
      </c>
      <c r="B17" s="119" t="s">
        <v>1436</v>
      </c>
      <c r="C17" s="28" t="s">
        <v>489</v>
      </c>
      <c r="D17" s="28" t="s">
        <v>489</v>
      </c>
      <c r="E17" s="28"/>
      <c r="F17" s="28"/>
      <c r="G17" s="94" t="s">
        <v>1544</v>
      </c>
      <c r="H17" s="28" t="s">
        <v>181</v>
      </c>
      <c r="I17" s="28" t="s">
        <v>181</v>
      </c>
      <c r="J17" s="28"/>
      <c r="K17" s="28" t="s">
        <v>489</v>
      </c>
      <c r="L17" s="28" t="s">
        <v>489</v>
      </c>
      <c r="M17" s="28" t="s">
        <v>489</v>
      </c>
      <c r="N17" s="28"/>
      <c r="O17" s="28"/>
      <c r="P17" s="28" t="s">
        <v>489</v>
      </c>
      <c r="Q17" s="28" t="s">
        <v>489</v>
      </c>
      <c r="R17" s="28" t="s">
        <v>489</v>
      </c>
      <c r="S17" s="28"/>
      <c r="T17" s="28"/>
      <c r="U17" s="28"/>
      <c r="V17" s="28"/>
      <c r="W17" s="28"/>
      <c r="X17" s="28" t="s">
        <v>1125</v>
      </c>
      <c r="Y17" s="28" t="s">
        <v>1125</v>
      </c>
      <c r="Z17" s="28"/>
      <c r="AA17" s="119" t="s">
        <v>1436</v>
      </c>
      <c r="AB17" s="119" t="s">
        <v>1436</v>
      </c>
      <c r="AC17" s="28"/>
      <c r="AD17" s="28" t="s">
        <v>1125</v>
      </c>
      <c r="AE17" s="28" t="s">
        <v>1125</v>
      </c>
      <c r="AF17" s="28"/>
      <c r="AG17" s="28"/>
      <c r="AH17" s="28" t="s">
        <v>489</v>
      </c>
      <c r="AJ17" s="28"/>
      <c r="AK17" s="28" t="s">
        <v>334</v>
      </c>
    </row>
    <row r="18" spans="1:37" x14ac:dyDescent="0.25">
      <c r="A18" s="26" t="s">
        <v>182</v>
      </c>
      <c r="B18" s="30">
        <v>0.9375</v>
      </c>
      <c r="C18" s="30">
        <v>0.75</v>
      </c>
      <c r="D18" s="30">
        <v>0.75</v>
      </c>
      <c r="E18" s="30"/>
      <c r="F18" s="30"/>
      <c r="G18" s="30">
        <f>AVERAGE(0.75,2)</f>
        <v>1.375</v>
      </c>
      <c r="H18" s="30">
        <v>2</v>
      </c>
      <c r="I18" s="30">
        <v>2</v>
      </c>
      <c r="J18" s="30"/>
      <c r="K18" s="30">
        <v>0.75</v>
      </c>
      <c r="L18" s="30">
        <v>0.75</v>
      </c>
      <c r="M18" s="30">
        <v>0.75</v>
      </c>
      <c r="N18" s="30"/>
      <c r="O18" s="30"/>
      <c r="P18" s="30">
        <v>0.75</v>
      </c>
      <c r="Q18" s="30">
        <v>0.75</v>
      </c>
      <c r="R18" s="30">
        <v>0.75</v>
      </c>
      <c r="S18" s="30"/>
      <c r="T18" s="30"/>
      <c r="U18" s="30"/>
      <c r="V18" s="30"/>
      <c r="W18" s="30"/>
      <c r="X18" s="30">
        <v>5</v>
      </c>
      <c r="Y18" s="30">
        <v>5</v>
      </c>
      <c r="Z18" s="30"/>
      <c r="AA18" s="30">
        <f>0.75*1.25</f>
        <v>0.9375</v>
      </c>
      <c r="AB18" s="30">
        <f>0.75*1.25</f>
        <v>0.9375</v>
      </c>
      <c r="AC18" s="30"/>
      <c r="AD18" s="30">
        <v>5</v>
      </c>
      <c r="AE18" s="30">
        <v>5</v>
      </c>
      <c r="AF18" s="30"/>
      <c r="AG18" s="30"/>
      <c r="AH18" s="30">
        <v>0.75</v>
      </c>
      <c r="AJ18" s="30"/>
      <c r="AK18" s="30">
        <f>1/3</f>
        <v>0.33333333333333331</v>
      </c>
    </row>
    <row r="19" spans="1:37" x14ac:dyDescent="0.25">
      <c r="AG19" s="223" t="s">
        <v>1545</v>
      </c>
      <c r="AH19" s="223"/>
      <c r="AJ19" s="223" t="s">
        <v>1546</v>
      </c>
      <c r="AK19" s="223"/>
    </row>
    <row r="20" spans="1:37" x14ac:dyDescent="0.25">
      <c r="A20" s="31" t="s">
        <v>183</v>
      </c>
    </row>
    <row r="21" spans="1:37" x14ac:dyDescent="0.25">
      <c r="A21" s="96" t="s">
        <v>1547</v>
      </c>
      <c r="B21" s="56"/>
    </row>
    <row r="22" spans="1:37" x14ac:dyDescent="0.25">
      <c r="A22" s="93" t="s">
        <v>1548</v>
      </c>
      <c r="B22" s="93" t="s">
        <v>1549</v>
      </c>
    </row>
  </sheetData>
  <mergeCells count="7">
    <mergeCell ref="F3:O3"/>
    <mergeCell ref="F4:O5"/>
    <mergeCell ref="AG19:AH19"/>
    <mergeCell ref="AJ19:AK19"/>
    <mergeCell ref="B3:D3"/>
    <mergeCell ref="B4:D4"/>
    <mergeCell ref="B5:D5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C8094-48AE-43BE-838E-6D7B6D9CFC16}">
  <dimension ref="A1:AV35"/>
  <sheetViews>
    <sheetView topLeftCell="A11" workbookViewId="0">
      <selection activeCell="A23" sqref="A23:XFD23"/>
    </sheetView>
  </sheetViews>
  <sheetFormatPr defaultColWidth="9.140625" defaultRowHeight="15" x14ac:dyDescent="0.25"/>
  <cols>
    <col min="1" max="1" width="23.28515625" style="26" bestFit="1" customWidth="1"/>
    <col min="2" max="16" width="5.7109375" style="26" customWidth="1"/>
    <col min="17" max="21" width="5.7109375" style="26" hidden="1" customWidth="1"/>
    <col min="22" max="23" width="5.7109375" style="26" customWidth="1"/>
    <col min="24" max="35" width="5.7109375" style="26" hidden="1" customWidth="1"/>
    <col min="36" max="36" width="5.7109375" style="26" customWidth="1"/>
    <col min="37" max="46" width="5.7109375" style="26" hidden="1" customWidth="1"/>
    <col min="47" max="48" width="5.7109375" style="26" customWidth="1"/>
    <col min="49" max="16384" width="9.140625" style="26"/>
  </cols>
  <sheetData>
    <row r="1" spans="1:48" x14ac:dyDescent="0.25">
      <c r="A1" s="25" t="s">
        <v>116</v>
      </c>
      <c r="D1" s="25" t="s">
        <v>895</v>
      </c>
      <c r="I1" s="25" t="s">
        <v>1120</v>
      </c>
    </row>
    <row r="3" spans="1:48" ht="18" x14ac:dyDescent="0.25">
      <c r="A3" s="25" t="s">
        <v>119</v>
      </c>
      <c r="B3" s="215">
        <v>105</v>
      </c>
      <c r="C3" s="215"/>
      <c r="D3" s="215"/>
      <c r="E3" s="25"/>
      <c r="F3" s="234" t="s">
        <v>120</v>
      </c>
      <c r="G3" s="234"/>
      <c r="H3" s="234"/>
      <c r="I3" s="234"/>
      <c r="J3" s="234"/>
      <c r="K3" s="234"/>
      <c r="L3" s="234"/>
      <c r="M3" s="234"/>
    </row>
    <row r="4" spans="1:48" ht="18" x14ac:dyDescent="0.25">
      <c r="A4" s="25" t="s">
        <v>121</v>
      </c>
      <c r="B4" s="215" t="s">
        <v>1550</v>
      </c>
      <c r="C4" s="215"/>
      <c r="D4" s="215"/>
      <c r="F4" s="244"/>
      <c r="G4" s="244"/>
      <c r="H4" s="244"/>
      <c r="I4" s="244"/>
      <c r="J4" s="244"/>
      <c r="K4" s="244"/>
      <c r="L4" s="244"/>
      <c r="M4" s="244"/>
    </row>
    <row r="5" spans="1:48" ht="18" x14ac:dyDescent="0.25">
      <c r="A5" s="25" t="s">
        <v>124</v>
      </c>
      <c r="B5" s="215" t="s">
        <v>899</v>
      </c>
      <c r="C5" s="215"/>
      <c r="D5" s="215"/>
      <c r="F5" s="244"/>
      <c r="G5" s="244"/>
      <c r="H5" s="244"/>
      <c r="I5" s="244"/>
      <c r="J5" s="244"/>
      <c r="K5" s="244"/>
      <c r="L5" s="244"/>
      <c r="M5" s="244"/>
    </row>
    <row r="7" spans="1:48" s="1" customFormat="1" ht="14.25" x14ac:dyDescent="0.25">
      <c r="B7" s="1">
        <v>0</v>
      </c>
      <c r="C7" s="2" t="s">
        <v>1551</v>
      </c>
      <c r="D7" s="4" t="s">
        <v>1552</v>
      </c>
      <c r="E7" s="2" t="s">
        <v>1553</v>
      </c>
      <c r="F7" s="2" t="s">
        <v>1554</v>
      </c>
      <c r="G7" s="2" t="s">
        <v>1555</v>
      </c>
      <c r="H7" s="4" t="s">
        <v>1556</v>
      </c>
      <c r="I7" s="4" t="s">
        <v>1557</v>
      </c>
      <c r="J7" s="4" t="s">
        <v>1558</v>
      </c>
      <c r="K7" s="2" t="s">
        <v>1559</v>
      </c>
      <c r="L7" s="2" t="s">
        <v>1560</v>
      </c>
      <c r="M7" s="4" t="s">
        <v>1561</v>
      </c>
      <c r="N7" s="4" t="s">
        <v>1562</v>
      </c>
      <c r="O7" s="2" t="s">
        <v>1563</v>
      </c>
      <c r="P7" s="4" t="s">
        <v>1564</v>
      </c>
      <c r="Q7" s="4" t="s">
        <v>1565</v>
      </c>
      <c r="R7" s="4" t="s">
        <v>1566</v>
      </c>
      <c r="S7" s="2" t="s">
        <v>1567</v>
      </c>
      <c r="T7" s="4" t="s">
        <v>1568</v>
      </c>
      <c r="U7" s="4" t="s">
        <v>1569</v>
      </c>
      <c r="V7" s="2" t="s">
        <v>1570</v>
      </c>
      <c r="W7" s="4" t="s">
        <v>1571</v>
      </c>
      <c r="X7" s="4" t="s">
        <v>1572</v>
      </c>
      <c r="Y7" s="4" t="s">
        <v>1573</v>
      </c>
      <c r="Z7" s="4" t="s">
        <v>1574</v>
      </c>
      <c r="AA7" s="4" t="s">
        <v>1575</v>
      </c>
      <c r="AB7" s="4" t="s">
        <v>1576</v>
      </c>
      <c r="AC7" s="2" t="s">
        <v>1577</v>
      </c>
      <c r="AD7" s="2" t="s">
        <v>1578</v>
      </c>
      <c r="AE7" s="4" t="s">
        <v>1579</v>
      </c>
      <c r="AF7" s="2" t="s">
        <v>1580</v>
      </c>
      <c r="AG7" s="2" t="s">
        <v>1581</v>
      </c>
      <c r="AH7" s="2" t="s">
        <v>1582</v>
      </c>
      <c r="AI7" s="4">
        <v>23</v>
      </c>
      <c r="AJ7" s="2">
        <v>24</v>
      </c>
      <c r="AK7" s="4">
        <v>25</v>
      </c>
      <c r="AL7" s="4">
        <v>26</v>
      </c>
      <c r="AM7" s="2">
        <v>27</v>
      </c>
      <c r="AN7" s="4">
        <v>28</v>
      </c>
      <c r="AO7" s="4">
        <v>29</v>
      </c>
      <c r="AP7" s="4">
        <v>30</v>
      </c>
      <c r="AQ7" s="2">
        <v>31</v>
      </c>
      <c r="AR7" s="4">
        <v>32</v>
      </c>
      <c r="AS7" s="2">
        <v>33</v>
      </c>
      <c r="AT7" s="4">
        <v>34</v>
      </c>
      <c r="AU7" s="2">
        <v>35</v>
      </c>
      <c r="AV7" s="2">
        <v>36</v>
      </c>
    </row>
    <row r="8" spans="1:48" ht="45" x14ac:dyDescent="0.25">
      <c r="A8" s="27" t="s">
        <v>126</v>
      </c>
      <c r="B8" s="43" t="s">
        <v>17</v>
      </c>
      <c r="C8" s="32" t="s">
        <v>127</v>
      </c>
      <c r="D8" s="32" t="s">
        <v>128</v>
      </c>
      <c r="E8" s="33" t="s">
        <v>129</v>
      </c>
      <c r="F8" s="34" t="s">
        <v>130</v>
      </c>
      <c r="G8" s="35" t="s">
        <v>131</v>
      </c>
      <c r="H8" s="35" t="s">
        <v>132</v>
      </c>
      <c r="I8" s="36" t="s">
        <v>133</v>
      </c>
      <c r="J8" s="37" t="s">
        <v>1583</v>
      </c>
      <c r="K8" s="38" t="s">
        <v>134</v>
      </c>
      <c r="L8" s="39" t="s">
        <v>135</v>
      </c>
      <c r="M8" s="39" t="s">
        <v>136</v>
      </c>
      <c r="N8" s="39" t="s">
        <v>137</v>
      </c>
      <c r="O8" s="40" t="s">
        <v>138</v>
      </c>
      <c r="P8" s="40" t="s">
        <v>139</v>
      </c>
      <c r="Q8" s="41" t="s">
        <v>1584</v>
      </c>
      <c r="R8" s="41" t="s">
        <v>1585</v>
      </c>
      <c r="S8" s="41" t="s">
        <v>1586</v>
      </c>
      <c r="T8" s="41" t="s">
        <v>1587</v>
      </c>
      <c r="U8" s="41" t="s">
        <v>142</v>
      </c>
      <c r="V8" s="42" t="s">
        <v>140</v>
      </c>
      <c r="W8" s="42" t="s">
        <v>141</v>
      </c>
      <c r="X8" s="44" t="s">
        <v>143</v>
      </c>
      <c r="Y8" s="45" t="s">
        <v>1588</v>
      </c>
      <c r="Z8" s="45" t="s">
        <v>144</v>
      </c>
      <c r="AA8" s="45" t="s">
        <v>1589</v>
      </c>
      <c r="AB8" s="45" t="s">
        <v>1590</v>
      </c>
      <c r="AC8" s="45" t="s">
        <v>145</v>
      </c>
      <c r="AD8" s="46" t="s">
        <v>146</v>
      </c>
      <c r="AE8" s="46" t="s">
        <v>1591</v>
      </c>
      <c r="AF8" s="46" t="s">
        <v>147</v>
      </c>
      <c r="AG8" s="47" t="s">
        <v>148</v>
      </c>
      <c r="AH8" s="47" t="s">
        <v>149</v>
      </c>
      <c r="AI8" s="48" t="s">
        <v>150</v>
      </c>
      <c r="AJ8" s="48" t="s">
        <v>151</v>
      </c>
      <c r="AK8" s="48" t="s">
        <v>1592</v>
      </c>
      <c r="AL8" s="49" t="s">
        <v>152</v>
      </c>
      <c r="AM8" s="49" t="s">
        <v>1593</v>
      </c>
      <c r="AN8" s="49" t="s">
        <v>154</v>
      </c>
      <c r="AO8" s="49" t="s">
        <v>1594</v>
      </c>
      <c r="AP8" s="50" t="s">
        <v>1595</v>
      </c>
      <c r="AQ8" s="50" t="s">
        <v>155</v>
      </c>
      <c r="AR8" s="50" t="s">
        <v>1596</v>
      </c>
      <c r="AS8" s="51" t="s">
        <v>156</v>
      </c>
      <c r="AT8" s="52" t="s">
        <v>1597</v>
      </c>
      <c r="AU8" s="53" t="s">
        <v>157</v>
      </c>
      <c r="AV8" s="53" t="s">
        <v>158</v>
      </c>
    </row>
    <row r="9" spans="1:48" x14ac:dyDescent="0.25">
      <c r="A9" s="26" t="s">
        <v>159</v>
      </c>
      <c r="B9" s="28" t="s">
        <v>178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</row>
    <row r="10" spans="1:48" x14ac:dyDescent="0.25">
      <c r="A10" s="26" t="s">
        <v>165</v>
      </c>
      <c r="B10" s="28" t="s">
        <v>552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</row>
    <row r="11" spans="1:48" x14ac:dyDescent="0.25">
      <c r="A11" s="131" t="s">
        <v>168</v>
      </c>
      <c r="B11" s="157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</row>
    <row r="12" spans="1:48" x14ac:dyDescent="0.25">
      <c r="A12" s="26" t="s">
        <v>169</v>
      </c>
      <c r="B12" s="28" t="s">
        <v>170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</row>
    <row r="13" spans="1:48" x14ac:dyDescent="0.25">
      <c r="A13" s="26" t="s">
        <v>171</v>
      </c>
      <c r="B13" s="28" t="s">
        <v>173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</row>
    <row r="14" spans="1:48" x14ac:dyDescent="0.25">
      <c r="A14" s="26" t="s">
        <v>172</v>
      </c>
      <c r="B14" s="29" t="s">
        <v>173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</row>
    <row r="15" spans="1:48" x14ac:dyDescent="0.25">
      <c r="A15" s="26" t="s">
        <v>174</v>
      </c>
      <c r="B15" s="28" t="s">
        <v>173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</row>
    <row r="16" spans="1:48" x14ac:dyDescent="0.25">
      <c r="A16" s="26" t="s">
        <v>175</v>
      </c>
      <c r="B16" s="28" t="s">
        <v>160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</row>
    <row r="17" spans="1:48" x14ac:dyDescent="0.25">
      <c r="A17" s="26" t="s">
        <v>176</v>
      </c>
      <c r="B17" s="30">
        <v>3</v>
      </c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</row>
    <row r="18" spans="1:48" x14ac:dyDescent="0.25">
      <c r="A18" s="26" t="s">
        <v>177</v>
      </c>
      <c r="B18" s="28" t="s">
        <v>178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</row>
    <row r="19" spans="1:48" x14ac:dyDescent="0.25">
      <c r="A19" s="26" t="s">
        <v>182</v>
      </c>
      <c r="B19" s="30">
        <v>4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</row>
    <row r="20" spans="1:48" x14ac:dyDescent="0.25">
      <c r="A20" s="31"/>
    </row>
    <row r="21" spans="1:48" x14ac:dyDescent="0.25">
      <c r="A21" s="26" t="s">
        <v>159</v>
      </c>
      <c r="B21" s="28" t="s">
        <v>191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</row>
    <row r="22" spans="1:48" x14ac:dyDescent="0.25">
      <c r="A22" s="26" t="s">
        <v>165</v>
      </c>
      <c r="B22" s="29" t="s">
        <v>195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</row>
    <row r="23" spans="1:48" x14ac:dyDescent="0.25">
      <c r="A23" s="131" t="s">
        <v>168</v>
      </c>
      <c r="B23" s="157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</row>
    <row r="24" spans="1:48" x14ac:dyDescent="0.25">
      <c r="A24" s="26" t="s">
        <v>169</v>
      </c>
      <c r="B24" s="28" t="s">
        <v>170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</row>
    <row r="25" spans="1:48" x14ac:dyDescent="0.25">
      <c r="A25" s="26" t="s">
        <v>171</v>
      </c>
      <c r="B25" s="28" t="s">
        <v>173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</row>
    <row r="26" spans="1:48" x14ac:dyDescent="0.25">
      <c r="A26" s="26" t="s">
        <v>172</v>
      </c>
      <c r="B26" s="28" t="s">
        <v>173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</row>
    <row r="27" spans="1:48" x14ac:dyDescent="0.25">
      <c r="A27" s="26" t="s">
        <v>174</v>
      </c>
      <c r="B27" s="28" t="s">
        <v>173</v>
      </c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</row>
    <row r="28" spans="1:48" x14ac:dyDescent="0.25">
      <c r="A28" s="26" t="s">
        <v>175</v>
      </c>
      <c r="B28" s="28" t="s">
        <v>198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</row>
    <row r="29" spans="1:48" x14ac:dyDescent="0.25">
      <c r="A29" s="26" t="s">
        <v>176</v>
      </c>
      <c r="B29" s="30">
        <f>5/3</f>
        <v>1.6666666666666667</v>
      </c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</row>
    <row r="30" spans="1:48" x14ac:dyDescent="0.25">
      <c r="A30" s="26" t="s">
        <v>177</v>
      </c>
      <c r="B30" s="28" t="s">
        <v>178</v>
      </c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</row>
    <row r="31" spans="1:48" x14ac:dyDescent="0.25">
      <c r="A31" s="26" t="s">
        <v>182</v>
      </c>
      <c r="B31" s="30">
        <v>4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</row>
    <row r="33" spans="1:2" x14ac:dyDescent="0.25">
      <c r="A33" s="31" t="s">
        <v>183</v>
      </c>
    </row>
    <row r="34" spans="1:2" x14ac:dyDescent="0.25">
      <c r="A34" s="26" t="s">
        <v>1598</v>
      </c>
      <c r="B34" s="56"/>
    </row>
    <row r="35" spans="1:2" x14ac:dyDescent="0.25">
      <c r="B35" s="56"/>
    </row>
  </sheetData>
  <mergeCells count="5">
    <mergeCell ref="B3:D3"/>
    <mergeCell ref="F3:M3"/>
    <mergeCell ref="B4:D4"/>
    <mergeCell ref="F4:M5"/>
    <mergeCell ref="B5:D5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D4129-523B-4E7A-B873-2A9B012C92C0}">
  <dimension ref="A1:AV46"/>
  <sheetViews>
    <sheetView workbookViewId="0">
      <selection activeCell="A11" sqref="A11:XFD11"/>
    </sheetView>
  </sheetViews>
  <sheetFormatPr defaultColWidth="9.140625" defaultRowHeight="15" x14ac:dyDescent="0.25"/>
  <cols>
    <col min="1" max="1" width="23.28515625" style="26" bestFit="1" customWidth="1"/>
    <col min="2" max="16" width="5.7109375" style="26" customWidth="1"/>
    <col min="17" max="21" width="5.7109375" style="26" hidden="1" customWidth="1"/>
    <col min="22" max="23" width="5.7109375" style="26" customWidth="1"/>
    <col min="24" max="35" width="5.7109375" style="26" hidden="1" customWidth="1"/>
    <col min="36" max="36" width="5.7109375" style="26" customWidth="1"/>
    <col min="37" max="46" width="5.7109375" style="26" hidden="1" customWidth="1"/>
    <col min="47" max="48" width="5.7109375" style="26" customWidth="1"/>
    <col min="49" max="16384" width="9.140625" style="26"/>
  </cols>
  <sheetData>
    <row r="1" spans="1:48" x14ac:dyDescent="0.25">
      <c r="A1" s="25" t="s">
        <v>116</v>
      </c>
      <c r="D1" s="25" t="s">
        <v>895</v>
      </c>
      <c r="J1" s="25" t="s">
        <v>1599</v>
      </c>
    </row>
    <row r="3" spans="1:48" ht="18" x14ac:dyDescent="0.25">
      <c r="A3" s="25" t="s">
        <v>119</v>
      </c>
      <c r="B3" s="215">
        <v>172</v>
      </c>
      <c r="C3" s="215"/>
      <c r="D3" s="215"/>
      <c r="E3" s="25"/>
      <c r="F3" s="234" t="s">
        <v>120</v>
      </c>
      <c r="G3" s="234"/>
      <c r="H3" s="234"/>
      <c r="I3" s="234"/>
      <c r="J3" s="234"/>
      <c r="K3" s="234"/>
      <c r="L3" s="234"/>
      <c r="M3" s="234"/>
    </row>
    <row r="4" spans="1:48" ht="18" x14ac:dyDescent="0.25">
      <c r="A4" s="25" t="s">
        <v>121</v>
      </c>
      <c r="B4" s="215" t="s">
        <v>1600</v>
      </c>
      <c r="C4" s="215"/>
      <c r="D4" s="215"/>
      <c r="F4" s="244" t="s">
        <v>1601</v>
      </c>
      <c r="G4" s="244"/>
      <c r="H4" s="244"/>
      <c r="I4" s="244"/>
      <c r="J4" s="244"/>
      <c r="K4" s="244"/>
      <c r="L4" s="244"/>
      <c r="M4" s="244"/>
    </row>
    <row r="5" spans="1:48" ht="18" x14ac:dyDescent="0.25">
      <c r="A5" s="25" t="s">
        <v>124</v>
      </c>
      <c r="B5" s="215" t="s">
        <v>899</v>
      </c>
      <c r="C5" s="215"/>
      <c r="D5" s="215"/>
      <c r="F5" s="244"/>
      <c r="G5" s="244"/>
      <c r="H5" s="244"/>
      <c r="I5" s="244"/>
      <c r="J5" s="244"/>
      <c r="K5" s="244"/>
      <c r="L5" s="244"/>
      <c r="M5" s="244"/>
    </row>
    <row r="7" spans="1:48" s="1" customFormat="1" ht="14.25" x14ac:dyDescent="0.25">
      <c r="B7" s="1">
        <v>0</v>
      </c>
      <c r="C7" s="2" t="s">
        <v>1551</v>
      </c>
      <c r="D7" s="4" t="s">
        <v>1552</v>
      </c>
      <c r="E7" s="2" t="s">
        <v>1553</v>
      </c>
      <c r="F7" s="2" t="s">
        <v>1554</v>
      </c>
      <c r="G7" s="2" t="s">
        <v>1555</v>
      </c>
      <c r="H7" s="4" t="s">
        <v>1556</v>
      </c>
      <c r="I7" s="4" t="s">
        <v>1557</v>
      </c>
      <c r="J7" s="4" t="s">
        <v>1558</v>
      </c>
      <c r="K7" s="2" t="s">
        <v>1559</v>
      </c>
      <c r="L7" s="2" t="s">
        <v>1560</v>
      </c>
      <c r="M7" s="4" t="s">
        <v>1561</v>
      </c>
      <c r="N7" s="4" t="s">
        <v>1562</v>
      </c>
      <c r="O7" s="2" t="s">
        <v>1563</v>
      </c>
      <c r="P7" s="4" t="s">
        <v>1564</v>
      </c>
      <c r="Q7" s="4" t="s">
        <v>1565</v>
      </c>
      <c r="R7" s="4" t="s">
        <v>1566</v>
      </c>
      <c r="S7" s="2" t="s">
        <v>1567</v>
      </c>
      <c r="T7" s="4" t="s">
        <v>1568</v>
      </c>
      <c r="U7" s="4" t="s">
        <v>1569</v>
      </c>
      <c r="V7" s="2" t="s">
        <v>1570</v>
      </c>
      <c r="W7" s="4" t="s">
        <v>1571</v>
      </c>
      <c r="X7" s="4" t="s">
        <v>1572</v>
      </c>
      <c r="Y7" s="4" t="s">
        <v>1573</v>
      </c>
      <c r="Z7" s="4" t="s">
        <v>1574</v>
      </c>
      <c r="AA7" s="4" t="s">
        <v>1575</v>
      </c>
      <c r="AB7" s="4" t="s">
        <v>1576</v>
      </c>
      <c r="AC7" s="2" t="s">
        <v>1577</v>
      </c>
      <c r="AD7" s="2" t="s">
        <v>1578</v>
      </c>
      <c r="AE7" s="4" t="s">
        <v>1579</v>
      </c>
      <c r="AF7" s="2" t="s">
        <v>1580</v>
      </c>
      <c r="AG7" s="2" t="s">
        <v>1581</v>
      </c>
      <c r="AH7" s="2" t="s">
        <v>1582</v>
      </c>
      <c r="AI7" s="4">
        <v>23</v>
      </c>
      <c r="AJ7" s="2">
        <v>24</v>
      </c>
      <c r="AK7" s="4">
        <v>25</v>
      </c>
      <c r="AL7" s="4">
        <v>26</v>
      </c>
      <c r="AM7" s="2">
        <v>27</v>
      </c>
      <c r="AN7" s="4">
        <v>28</v>
      </c>
      <c r="AO7" s="4">
        <v>29</v>
      </c>
      <c r="AP7" s="4">
        <v>30</v>
      </c>
      <c r="AQ7" s="2">
        <v>31</v>
      </c>
      <c r="AR7" s="4">
        <v>32</v>
      </c>
      <c r="AS7" s="2">
        <v>33</v>
      </c>
      <c r="AT7" s="4">
        <v>34</v>
      </c>
      <c r="AU7" s="2">
        <v>35</v>
      </c>
      <c r="AV7" s="2">
        <v>36</v>
      </c>
    </row>
    <row r="8" spans="1:48" ht="45" x14ac:dyDescent="0.25">
      <c r="A8" s="27" t="s">
        <v>126</v>
      </c>
      <c r="B8" s="43" t="s">
        <v>17</v>
      </c>
      <c r="C8" s="32" t="s">
        <v>127</v>
      </c>
      <c r="D8" s="32" t="s">
        <v>128</v>
      </c>
      <c r="E8" s="33" t="s">
        <v>129</v>
      </c>
      <c r="F8" s="34" t="s">
        <v>130</v>
      </c>
      <c r="G8" s="35" t="s">
        <v>131</v>
      </c>
      <c r="H8" s="35" t="s">
        <v>132</v>
      </c>
      <c r="I8" s="36" t="s">
        <v>133</v>
      </c>
      <c r="J8" s="37" t="s">
        <v>1583</v>
      </c>
      <c r="K8" s="38" t="s">
        <v>134</v>
      </c>
      <c r="L8" s="39" t="s">
        <v>135</v>
      </c>
      <c r="M8" s="39" t="s">
        <v>136</v>
      </c>
      <c r="N8" s="39" t="s">
        <v>137</v>
      </c>
      <c r="O8" s="40" t="s">
        <v>138</v>
      </c>
      <c r="P8" s="40" t="s">
        <v>139</v>
      </c>
      <c r="Q8" s="41" t="s">
        <v>1584</v>
      </c>
      <c r="R8" s="41" t="s">
        <v>1585</v>
      </c>
      <c r="S8" s="41" t="s">
        <v>1586</v>
      </c>
      <c r="T8" s="41" t="s">
        <v>1587</v>
      </c>
      <c r="U8" s="41" t="s">
        <v>142</v>
      </c>
      <c r="V8" s="42" t="s">
        <v>140</v>
      </c>
      <c r="W8" s="42" t="s">
        <v>141</v>
      </c>
      <c r="X8" s="44" t="s">
        <v>143</v>
      </c>
      <c r="Y8" s="45" t="s">
        <v>1588</v>
      </c>
      <c r="Z8" s="45" t="s">
        <v>144</v>
      </c>
      <c r="AA8" s="45" t="s">
        <v>1589</v>
      </c>
      <c r="AB8" s="45" t="s">
        <v>1590</v>
      </c>
      <c r="AC8" s="45" t="s">
        <v>145</v>
      </c>
      <c r="AD8" s="46" t="s">
        <v>146</v>
      </c>
      <c r="AE8" s="46" t="s">
        <v>1591</v>
      </c>
      <c r="AF8" s="46" t="s">
        <v>147</v>
      </c>
      <c r="AG8" s="47" t="s">
        <v>148</v>
      </c>
      <c r="AH8" s="47" t="s">
        <v>149</v>
      </c>
      <c r="AI8" s="48" t="s">
        <v>150</v>
      </c>
      <c r="AJ8" s="48" t="s">
        <v>151</v>
      </c>
      <c r="AK8" s="48" t="s">
        <v>1592</v>
      </c>
      <c r="AL8" s="49" t="s">
        <v>152</v>
      </c>
      <c r="AM8" s="49" t="s">
        <v>1593</v>
      </c>
      <c r="AN8" s="49" t="s">
        <v>154</v>
      </c>
      <c r="AO8" s="49" t="s">
        <v>1594</v>
      </c>
      <c r="AP8" s="50" t="s">
        <v>1595</v>
      </c>
      <c r="AQ8" s="50" t="s">
        <v>155</v>
      </c>
      <c r="AR8" s="50" t="s">
        <v>1596</v>
      </c>
      <c r="AS8" s="51" t="s">
        <v>156</v>
      </c>
      <c r="AT8" s="52" t="s">
        <v>1597</v>
      </c>
      <c r="AU8" s="53" t="s">
        <v>157</v>
      </c>
      <c r="AV8" s="53" t="s">
        <v>158</v>
      </c>
    </row>
    <row r="9" spans="1:48" x14ac:dyDescent="0.25">
      <c r="A9" s="26" t="s">
        <v>159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</row>
    <row r="10" spans="1:48" x14ac:dyDescent="0.25">
      <c r="A10" s="26" t="s">
        <v>165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</row>
    <row r="11" spans="1:48" x14ac:dyDescent="0.25">
      <c r="A11" s="131" t="s">
        <v>168</v>
      </c>
      <c r="B11" s="157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</row>
    <row r="12" spans="1:48" x14ac:dyDescent="0.25">
      <c r="A12" s="26" t="s">
        <v>169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</row>
    <row r="13" spans="1:48" x14ac:dyDescent="0.25">
      <c r="A13" s="26" t="s">
        <v>171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</row>
    <row r="14" spans="1:48" x14ac:dyDescent="0.25">
      <c r="A14" s="26" t="s">
        <v>172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</row>
    <row r="15" spans="1:48" x14ac:dyDescent="0.25">
      <c r="A15" s="26" t="s">
        <v>174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</row>
    <row r="16" spans="1:48" x14ac:dyDescent="0.25">
      <c r="A16" s="26" t="s">
        <v>175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</row>
    <row r="17" spans="1:48" x14ac:dyDescent="0.25">
      <c r="A17" s="26" t="s">
        <v>176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</row>
    <row r="18" spans="1:48" x14ac:dyDescent="0.25">
      <c r="A18" s="26" t="s">
        <v>177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</row>
    <row r="19" spans="1:48" x14ac:dyDescent="0.25">
      <c r="A19" s="26" t="s">
        <v>182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</row>
    <row r="20" spans="1:48" x14ac:dyDescent="0.25">
      <c r="A20" s="31"/>
    </row>
    <row r="21" spans="1:48" x14ac:dyDescent="0.25">
      <c r="A21" s="26" t="s">
        <v>159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</row>
    <row r="22" spans="1:48" x14ac:dyDescent="0.25">
      <c r="A22" s="26" t="s">
        <v>165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</row>
    <row r="23" spans="1:48" x14ac:dyDescent="0.25">
      <c r="A23" s="131" t="s">
        <v>168</v>
      </c>
      <c r="B23" s="157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</row>
    <row r="24" spans="1:48" x14ac:dyDescent="0.25">
      <c r="A24" s="26" t="s">
        <v>169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</row>
    <row r="25" spans="1:48" x14ac:dyDescent="0.25">
      <c r="A25" s="26" t="s">
        <v>171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</row>
    <row r="26" spans="1:48" x14ac:dyDescent="0.25">
      <c r="A26" s="26" t="s">
        <v>172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</row>
    <row r="27" spans="1:48" x14ac:dyDescent="0.25">
      <c r="A27" s="26" t="s">
        <v>174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</row>
    <row r="28" spans="1:48" x14ac:dyDescent="0.25">
      <c r="A28" s="26" t="s">
        <v>175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</row>
    <row r="29" spans="1:48" x14ac:dyDescent="0.25">
      <c r="A29" s="26" t="s">
        <v>176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</row>
    <row r="30" spans="1:48" x14ac:dyDescent="0.25">
      <c r="A30" s="26" t="s">
        <v>177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</row>
    <row r="31" spans="1:48" x14ac:dyDescent="0.25">
      <c r="A31" s="26" t="s">
        <v>182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</row>
    <row r="32" spans="1:48" x14ac:dyDescent="0.25">
      <c r="B32" s="56"/>
    </row>
    <row r="33" spans="1:48" x14ac:dyDescent="0.25">
      <c r="A33" s="26" t="s">
        <v>159</v>
      </c>
      <c r="B33" s="28" t="s">
        <v>1126</v>
      </c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</row>
    <row r="34" spans="1:48" x14ac:dyDescent="0.25">
      <c r="A34" s="26" t="s">
        <v>165</v>
      </c>
      <c r="B34" s="28" t="s">
        <v>322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</row>
    <row r="35" spans="1:48" x14ac:dyDescent="0.25">
      <c r="A35" s="131" t="s">
        <v>168</v>
      </c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</row>
    <row r="36" spans="1:48" x14ac:dyDescent="0.25">
      <c r="A36" s="26" t="s">
        <v>169</v>
      </c>
      <c r="B36" s="28" t="s">
        <v>170</v>
      </c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</row>
    <row r="37" spans="1:48" x14ac:dyDescent="0.25">
      <c r="A37" s="26" t="s">
        <v>171</v>
      </c>
      <c r="B37" s="28" t="s">
        <v>170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</row>
    <row r="38" spans="1:48" x14ac:dyDescent="0.25">
      <c r="A38" s="26" t="s">
        <v>172</v>
      </c>
      <c r="B38" s="28" t="s">
        <v>173</v>
      </c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</row>
    <row r="39" spans="1:48" x14ac:dyDescent="0.25">
      <c r="A39" s="26" t="s">
        <v>174</v>
      </c>
      <c r="B39" s="28" t="s">
        <v>173</v>
      </c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</row>
    <row r="40" spans="1:48" x14ac:dyDescent="0.25">
      <c r="A40" s="26" t="s">
        <v>175</v>
      </c>
      <c r="B40" s="28" t="s">
        <v>199</v>
      </c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</row>
    <row r="41" spans="1:48" x14ac:dyDescent="0.25">
      <c r="A41" s="26" t="s">
        <v>176</v>
      </c>
      <c r="B41" s="30">
        <v>-2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</row>
    <row r="42" spans="1:48" x14ac:dyDescent="0.25">
      <c r="A42" s="26" t="s">
        <v>177</v>
      </c>
      <c r="B42" s="28" t="s">
        <v>334</v>
      </c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</row>
    <row r="43" spans="1:48" x14ac:dyDescent="0.25">
      <c r="A43" s="26" t="s">
        <v>182</v>
      </c>
      <c r="B43" s="30">
        <v>0.5</v>
      </c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</row>
    <row r="45" spans="1:48" x14ac:dyDescent="0.25">
      <c r="A45" s="31" t="s">
        <v>183</v>
      </c>
    </row>
    <row r="46" spans="1:48" x14ac:dyDescent="0.25">
      <c r="A46" s="26" t="s">
        <v>885</v>
      </c>
      <c r="B46" s="56"/>
    </row>
  </sheetData>
  <mergeCells count="5">
    <mergeCell ref="B3:D3"/>
    <mergeCell ref="F3:M3"/>
    <mergeCell ref="B4:D4"/>
    <mergeCell ref="F4:M5"/>
    <mergeCell ref="B5:D5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3617C-5ECD-469C-80E8-59B18CB96545}">
  <dimension ref="A1:AH23"/>
  <sheetViews>
    <sheetView workbookViewId="0">
      <selection activeCell="A10" sqref="A10:XFD10"/>
    </sheetView>
  </sheetViews>
  <sheetFormatPr defaultColWidth="9.140625" defaultRowHeight="15" x14ac:dyDescent="0.25"/>
  <cols>
    <col min="1" max="1" width="23.28515625" style="26" bestFit="1" customWidth="1"/>
    <col min="2" max="35" width="5.7109375" style="26" customWidth="1"/>
    <col min="36" max="16384" width="9.140625" style="26"/>
  </cols>
  <sheetData>
    <row r="1" spans="1:34" x14ac:dyDescent="0.25">
      <c r="A1" s="25" t="s">
        <v>1602</v>
      </c>
      <c r="D1" s="25" t="s">
        <v>1603</v>
      </c>
      <c r="I1" s="25"/>
    </row>
    <row r="3" spans="1:34" ht="18" x14ac:dyDescent="0.25">
      <c r="A3" s="25" t="s">
        <v>119</v>
      </c>
      <c r="B3" s="215">
        <v>205</v>
      </c>
      <c r="C3" s="215"/>
      <c r="D3" s="215"/>
      <c r="E3" s="25"/>
      <c r="F3" s="234" t="s">
        <v>120</v>
      </c>
      <c r="G3" s="234"/>
      <c r="H3" s="234"/>
      <c r="I3" s="234"/>
      <c r="J3" s="234"/>
      <c r="K3" s="234"/>
      <c r="L3" s="234"/>
      <c r="M3" s="234"/>
    </row>
    <row r="4" spans="1:34" ht="18" x14ac:dyDescent="0.25">
      <c r="A4" s="25" t="s">
        <v>121</v>
      </c>
      <c r="B4" s="215" t="s">
        <v>1604</v>
      </c>
      <c r="C4" s="215"/>
      <c r="D4" s="215"/>
      <c r="F4" s="244" t="s">
        <v>1605</v>
      </c>
      <c r="G4" s="244"/>
      <c r="H4" s="244"/>
      <c r="I4" s="244"/>
      <c r="J4" s="244"/>
      <c r="K4" s="244"/>
      <c r="L4" s="244"/>
      <c r="M4" s="244"/>
    </row>
    <row r="5" spans="1:34" ht="18" x14ac:dyDescent="0.25">
      <c r="A5" s="25" t="s">
        <v>124</v>
      </c>
      <c r="B5" s="215" t="s">
        <v>1606</v>
      </c>
      <c r="C5" s="215"/>
      <c r="D5" s="215"/>
      <c r="F5" s="244"/>
      <c r="G5" s="244"/>
      <c r="H5" s="244"/>
      <c r="I5" s="244"/>
      <c r="J5" s="244"/>
      <c r="K5" s="244"/>
      <c r="L5" s="244"/>
      <c r="M5" s="244"/>
    </row>
    <row r="7" spans="1:34" ht="45" x14ac:dyDescent="0.25">
      <c r="A7" s="27" t="s">
        <v>126</v>
      </c>
      <c r="B7" s="57" t="s">
        <v>17</v>
      </c>
      <c r="C7" s="58" t="s">
        <v>127</v>
      </c>
      <c r="D7" s="58" t="s">
        <v>128</v>
      </c>
      <c r="E7" s="59" t="s">
        <v>129</v>
      </c>
      <c r="F7" s="60" t="s">
        <v>130</v>
      </c>
      <c r="G7" s="61" t="s">
        <v>131</v>
      </c>
      <c r="H7" s="61" t="s">
        <v>132</v>
      </c>
      <c r="I7" s="62" t="s">
        <v>133</v>
      </c>
      <c r="J7" s="63" t="s">
        <v>134</v>
      </c>
      <c r="K7" s="64" t="s">
        <v>135</v>
      </c>
      <c r="L7" s="64" t="s">
        <v>136</v>
      </c>
      <c r="M7" s="64" t="s">
        <v>137</v>
      </c>
      <c r="N7" s="65" t="s">
        <v>138</v>
      </c>
      <c r="O7" s="65" t="s">
        <v>139</v>
      </c>
      <c r="P7" s="67" t="s">
        <v>140</v>
      </c>
      <c r="Q7" s="67" t="s">
        <v>141</v>
      </c>
      <c r="R7" s="66" t="s">
        <v>142</v>
      </c>
      <c r="S7" s="68" t="s">
        <v>143</v>
      </c>
      <c r="T7" s="69" t="s">
        <v>144</v>
      </c>
      <c r="U7" s="69" t="s">
        <v>145</v>
      </c>
      <c r="V7" s="70" t="s">
        <v>146</v>
      </c>
      <c r="W7" s="70" t="s">
        <v>147</v>
      </c>
      <c r="X7" s="71" t="s">
        <v>148</v>
      </c>
      <c r="Y7" s="71" t="s">
        <v>149</v>
      </c>
      <c r="Z7" s="72" t="s">
        <v>150</v>
      </c>
      <c r="AA7" s="72" t="s">
        <v>151</v>
      </c>
      <c r="AB7" s="73" t="s">
        <v>152</v>
      </c>
      <c r="AC7" s="73" t="s">
        <v>153</v>
      </c>
      <c r="AD7" s="73" t="s">
        <v>154</v>
      </c>
      <c r="AE7" s="74" t="s">
        <v>155</v>
      </c>
      <c r="AF7" s="75" t="s">
        <v>156</v>
      </c>
      <c r="AG7" s="76" t="s">
        <v>157</v>
      </c>
      <c r="AH7" s="76" t="s">
        <v>158</v>
      </c>
    </row>
    <row r="8" spans="1:34" x14ac:dyDescent="0.25">
      <c r="A8" s="26" t="s">
        <v>159</v>
      </c>
      <c r="B8" s="28" t="s">
        <v>509</v>
      </c>
      <c r="C8" s="28" t="s">
        <v>556</v>
      </c>
      <c r="D8" s="28" t="s">
        <v>556</v>
      </c>
      <c r="E8" s="28" t="s">
        <v>556</v>
      </c>
      <c r="F8" s="28" t="s">
        <v>556</v>
      </c>
      <c r="G8" s="28" t="s">
        <v>556</v>
      </c>
      <c r="H8" s="28" t="s">
        <v>556</v>
      </c>
      <c r="I8" s="28" t="s">
        <v>556</v>
      </c>
      <c r="J8" s="28" t="s">
        <v>556</v>
      </c>
      <c r="K8" s="28" t="s">
        <v>556</v>
      </c>
      <c r="L8" s="28" t="s">
        <v>556</v>
      </c>
      <c r="M8" s="28" t="s">
        <v>556</v>
      </c>
      <c r="N8" s="28" t="s">
        <v>556</v>
      </c>
      <c r="O8" s="28" t="s">
        <v>556</v>
      </c>
      <c r="P8" s="28" t="s">
        <v>556</v>
      </c>
      <c r="Q8" s="28" t="s">
        <v>556</v>
      </c>
      <c r="R8" s="28" t="s">
        <v>556</v>
      </c>
      <c r="S8" s="28" t="s">
        <v>556</v>
      </c>
      <c r="T8" s="28" t="s">
        <v>556</v>
      </c>
      <c r="U8" s="28" t="s">
        <v>556</v>
      </c>
      <c r="V8" s="28"/>
      <c r="W8" s="28" t="s">
        <v>556</v>
      </c>
      <c r="X8" s="28" t="s">
        <v>556</v>
      </c>
      <c r="Y8" s="28" t="s">
        <v>556</v>
      </c>
      <c r="Z8" s="28" t="s">
        <v>556</v>
      </c>
      <c r="AA8" s="28" t="s">
        <v>556</v>
      </c>
      <c r="AB8" s="28" t="s">
        <v>556</v>
      </c>
      <c r="AC8" s="28" t="s">
        <v>556</v>
      </c>
      <c r="AD8" s="28" t="s">
        <v>556</v>
      </c>
      <c r="AE8" s="28" t="s">
        <v>556</v>
      </c>
      <c r="AF8" s="28" t="s">
        <v>556</v>
      </c>
      <c r="AG8" s="28" t="s">
        <v>556</v>
      </c>
      <c r="AH8" s="28" t="s">
        <v>556</v>
      </c>
    </row>
    <row r="9" spans="1:34" x14ac:dyDescent="0.25">
      <c r="A9" s="26" t="s">
        <v>165</v>
      </c>
      <c r="B9" s="29" t="s">
        <v>1607</v>
      </c>
      <c r="C9" s="29" t="s">
        <v>556</v>
      </c>
      <c r="D9" s="29" t="s">
        <v>556</v>
      </c>
      <c r="E9" s="29" t="s">
        <v>556</v>
      </c>
      <c r="F9" s="29" t="s">
        <v>556</v>
      </c>
      <c r="G9" s="29" t="s">
        <v>556</v>
      </c>
      <c r="H9" s="29" t="s">
        <v>556</v>
      </c>
      <c r="I9" s="29" t="s">
        <v>556</v>
      </c>
      <c r="J9" s="29"/>
      <c r="K9" s="29" t="s">
        <v>556</v>
      </c>
      <c r="L9" s="29" t="s">
        <v>556</v>
      </c>
      <c r="M9" s="29" t="s">
        <v>556</v>
      </c>
      <c r="N9" s="29"/>
      <c r="O9" s="29"/>
      <c r="P9" s="29" t="s">
        <v>556</v>
      </c>
      <c r="Q9" s="29" t="s">
        <v>556</v>
      </c>
      <c r="R9" s="29"/>
      <c r="S9" s="29"/>
      <c r="T9" s="29"/>
      <c r="U9" s="29"/>
      <c r="V9" s="29"/>
      <c r="W9" s="29"/>
      <c r="X9" s="29"/>
      <c r="Y9" s="29"/>
      <c r="Z9" s="29"/>
      <c r="AA9" s="29" t="s">
        <v>1607</v>
      </c>
      <c r="AB9" s="29"/>
      <c r="AC9" s="29"/>
      <c r="AD9" s="29"/>
      <c r="AE9" s="29"/>
      <c r="AF9" s="29"/>
      <c r="AG9" s="29" t="s">
        <v>556</v>
      </c>
      <c r="AH9" s="29" t="s">
        <v>556</v>
      </c>
    </row>
    <row r="10" spans="1:34" x14ac:dyDescent="0.25">
      <c r="A10" s="131" t="s">
        <v>168</v>
      </c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</row>
    <row r="11" spans="1:34" x14ac:dyDescent="0.25">
      <c r="A11" s="26" t="s">
        <v>753</v>
      </c>
      <c r="B11" s="28" t="s">
        <v>173</v>
      </c>
      <c r="C11" s="28" t="s">
        <v>173</v>
      </c>
      <c r="D11" s="28" t="s">
        <v>173</v>
      </c>
      <c r="E11" s="28" t="s">
        <v>173</v>
      </c>
      <c r="F11" s="28" t="s">
        <v>173</v>
      </c>
      <c r="G11" s="28" t="s">
        <v>173</v>
      </c>
      <c r="H11" s="28" t="s">
        <v>173</v>
      </c>
      <c r="I11" s="28" t="s">
        <v>173</v>
      </c>
      <c r="J11" s="28"/>
      <c r="K11" s="28" t="s">
        <v>173</v>
      </c>
      <c r="L11" s="28" t="s">
        <v>173</v>
      </c>
      <c r="M11" s="28" t="s">
        <v>173</v>
      </c>
      <c r="N11" s="28"/>
      <c r="O11" s="28"/>
      <c r="P11" s="28" t="s">
        <v>173</v>
      </c>
      <c r="Q11" s="28" t="s">
        <v>173</v>
      </c>
      <c r="R11" s="28"/>
      <c r="S11" s="28"/>
      <c r="T11" s="28"/>
      <c r="U11" s="28"/>
      <c r="V11" s="28"/>
      <c r="W11" s="28"/>
      <c r="X11" s="28"/>
      <c r="Y11" s="28"/>
      <c r="Z11" s="28"/>
      <c r="AA11" s="28" t="s">
        <v>173</v>
      </c>
      <c r="AB11" s="28"/>
      <c r="AC11" s="28"/>
      <c r="AD11" s="28"/>
      <c r="AE11" s="28"/>
      <c r="AF11" s="28"/>
      <c r="AG11" s="28" t="s">
        <v>173</v>
      </c>
      <c r="AH11" s="28" t="s">
        <v>173</v>
      </c>
    </row>
    <row r="12" spans="1:34" x14ac:dyDescent="0.25">
      <c r="A12" s="26" t="s">
        <v>754</v>
      </c>
      <c r="B12" s="28" t="s">
        <v>173</v>
      </c>
      <c r="C12" s="28" t="s">
        <v>173</v>
      </c>
      <c r="D12" s="28" t="s">
        <v>173</v>
      </c>
      <c r="E12" s="28" t="s">
        <v>173</v>
      </c>
      <c r="F12" s="28" t="s">
        <v>173</v>
      </c>
      <c r="G12" s="28" t="s">
        <v>173</v>
      </c>
      <c r="H12" s="28" t="s">
        <v>173</v>
      </c>
      <c r="I12" s="28" t="s">
        <v>173</v>
      </c>
      <c r="J12" s="28"/>
      <c r="K12" s="28" t="s">
        <v>173</v>
      </c>
      <c r="L12" s="28" t="s">
        <v>173</v>
      </c>
      <c r="M12" s="28" t="s">
        <v>173</v>
      </c>
      <c r="N12" s="28"/>
      <c r="O12" s="28"/>
      <c r="P12" s="28" t="s">
        <v>173</v>
      </c>
      <c r="Q12" s="28" t="s">
        <v>173</v>
      </c>
      <c r="R12" s="28"/>
      <c r="S12" s="28"/>
      <c r="T12" s="28"/>
      <c r="U12" s="28"/>
      <c r="V12" s="28"/>
      <c r="W12" s="28"/>
      <c r="X12" s="28"/>
      <c r="Y12" s="28"/>
      <c r="Z12" s="28"/>
      <c r="AA12" s="28" t="s">
        <v>173</v>
      </c>
      <c r="AB12" s="28"/>
      <c r="AC12" s="28"/>
      <c r="AD12" s="28"/>
      <c r="AE12" s="28"/>
      <c r="AF12" s="28"/>
      <c r="AG12" s="28" t="s">
        <v>173</v>
      </c>
      <c r="AH12" s="28" t="s">
        <v>173</v>
      </c>
    </row>
    <row r="13" spans="1:34" x14ac:dyDescent="0.25">
      <c r="A13" s="26" t="s">
        <v>755</v>
      </c>
      <c r="B13" s="28" t="s">
        <v>170</v>
      </c>
      <c r="C13" s="28" t="s">
        <v>170</v>
      </c>
      <c r="D13" s="28" t="s">
        <v>170</v>
      </c>
      <c r="E13" s="28" t="s">
        <v>170</v>
      </c>
      <c r="F13" s="28" t="s">
        <v>170</v>
      </c>
      <c r="G13" s="28" t="s">
        <v>170</v>
      </c>
      <c r="H13" s="28" t="s">
        <v>170</v>
      </c>
      <c r="I13" s="28" t="s">
        <v>170</v>
      </c>
      <c r="J13" s="28"/>
      <c r="K13" s="28" t="s">
        <v>170</v>
      </c>
      <c r="L13" s="28" t="s">
        <v>170</v>
      </c>
      <c r="M13" s="28" t="s">
        <v>170</v>
      </c>
      <c r="N13" s="28"/>
      <c r="O13" s="28"/>
      <c r="P13" s="28" t="s">
        <v>170</v>
      </c>
      <c r="Q13" s="28" t="s">
        <v>170</v>
      </c>
      <c r="R13" s="28"/>
      <c r="S13" s="28"/>
      <c r="T13" s="28"/>
      <c r="U13" s="28"/>
      <c r="V13" s="28"/>
      <c r="W13" s="28"/>
      <c r="X13" s="28"/>
      <c r="Y13" s="28"/>
      <c r="Z13" s="28"/>
      <c r="AA13" s="28" t="s">
        <v>170</v>
      </c>
      <c r="AB13" s="28"/>
      <c r="AC13" s="28"/>
      <c r="AD13" s="28"/>
      <c r="AE13" s="28"/>
      <c r="AF13" s="28"/>
      <c r="AG13" s="28" t="s">
        <v>170</v>
      </c>
      <c r="AH13" s="28" t="s">
        <v>170</v>
      </c>
    </row>
    <row r="14" spans="1:34" x14ac:dyDescent="0.25">
      <c r="A14" s="26" t="s">
        <v>756</v>
      </c>
      <c r="B14" s="28" t="s">
        <v>170</v>
      </c>
      <c r="C14" s="28" t="s">
        <v>170</v>
      </c>
      <c r="D14" s="28" t="s">
        <v>170</v>
      </c>
      <c r="E14" s="28" t="s">
        <v>170</v>
      </c>
      <c r="F14" s="28" t="s">
        <v>170</v>
      </c>
      <c r="G14" s="28" t="s">
        <v>170</v>
      </c>
      <c r="H14" s="28" t="s">
        <v>170</v>
      </c>
      <c r="I14" s="28" t="s">
        <v>170</v>
      </c>
      <c r="J14" s="28"/>
      <c r="K14" s="28" t="s">
        <v>170</v>
      </c>
      <c r="L14" s="28" t="s">
        <v>170</v>
      </c>
      <c r="M14" s="28" t="s">
        <v>170</v>
      </c>
      <c r="N14" s="28"/>
      <c r="O14" s="28"/>
      <c r="P14" s="28" t="s">
        <v>170</v>
      </c>
      <c r="Q14" s="28" t="s">
        <v>170</v>
      </c>
      <c r="R14" s="28"/>
      <c r="S14" s="28"/>
      <c r="T14" s="28"/>
      <c r="U14" s="28"/>
      <c r="V14" s="28"/>
      <c r="W14" s="28"/>
      <c r="X14" s="28"/>
      <c r="Y14" s="28"/>
      <c r="Z14" s="28"/>
      <c r="AA14" s="28" t="s">
        <v>170</v>
      </c>
      <c r="AB14" s="28"/>
      <c r="AC14" s="28"/>
      <c r="AD14" s="28"/>
      <c r="AE14" s="28"/>
      <c r="AF14" s="28"/>
      <c r="AG14" s="28" t="s">
        <v>170</v>
      </c>
      <c r="AH14" s="28" t="s">
        <v>170</v>
      </c>
    </row>
    <row r="15" spans="1:34" x14ac:dyDescent="0.25">
      <c r="A15" s="26" t="s">
        <v>757</v>
      </c>
      <c r="B15" s="28" t="s">
        <v>173</v>
      </c>
      <c r="C15" s="28" t="s">
        <v>173</v>
      </c>
      <c r="D15" s="28" t="s">
        <v>173</v>
      </c>
      <c r="E15" s="28" t="s">
        <v>173</v>
      </c>
      <c r="F15" s="28" t="s">
        <v>173</v>
      </c>
      <c r="G15" s="28" t="s">
        <v>173</v>
      </c>
      <c r="H15" s="28" t="s">
        <v>173</v>
      </c>
      <c r="I15" s="28" t="s">
        <v>173</v>
      </c>
      <c r="J15" s="28"/>
      <c r="K15" s="28" t="s">
        <v>173</v>
      </c>
      <c r="L15" s="28" t="s">
        <v>173</v>
      </c>
      <c r="M15" s="28" t="s">
        <v>173</v>
      </c>
      <c r="N15" s="28"/>
      <c r="O15" s="28"/>
      <c r="P15" s="28" t="s">
        <v>173</v>
      </c>
      <c r="Q15" s="28" t="s">
        <v>173</v>
      </c>
      <c r="R15" s="28"/>
      <c r="S15" s="28"/>
      <c r="T15" s="28"/>
      <c r="U15" s="28"/>
      <c r="V15" s="28"/>
      <c r="W15" s="28"/>
      <c r="X15" s="28"/>
      <c r="Y15" s="28"/>
      <c r="Z15" s="28"/>
      <c r="AA15" s="28" t="s">
        <v>173</v>
      </c>
      <c r="AB15" s="28"/>
      <c r="AC15" s="28"/>
      <c r="AD15" s="28"/>
      <c r="AE15" s="28"/>
      <c r="AF15" s="28"/>
      <c r="AG15" s="28" t="s">
        <v>173</v>
      </c>
      <c r="AH15" s="28" t="s">
        <v>173</v>
      </c>
    </row>
    <row r="16" spans="1:34" x14ac:dyDescent="0.25">
      <c r="A16" s="26" t="s">
        <v>759</v>
      </c>
      <c r="B16" s="28" t="s">
        <v>761</v>
      </c>
      <c r="C16" s="28" t="s">
        <v>761</v>
      </c>
      <c r="D16" s="28" t="s">
        <v>761</v>
      </c>
      <c r="E16" s="28" t="s">
        <v>761</v>
      </c>
      <c r="F16" s="28" t="s">
        <v>761</v>
      </c>
      <c r="G16" s="28" t="s">
        <v>761</v>
      </c>
      <c r="H16" s="28" t="s">
        <v>761</v>
      </c>
      <c r="I16" s="28" t="s">
        <v>761</v>
      </c>
      <c r="J16" s="28"/>
      <c r="K16" s="28" t="s">
        <v>761</v>
      </c>
      <c r="L16" s="28" t="s">
        <v>761</v>
      </c>
      <c r="M16" s="28" t="s">
        <v>761</v>
      </c>
      <c r="N16" s="28"/>
      <c r="O16" s="28"/>
      <c r="P16" s="28" t="s">
        <v>761</v>
      </c>
      <c r="Q16" s="28" t="s">
        <v>761</v>
      </c>
      <c r="R16" s="28"/>
      <c r="S16" s="28"/>
      <c r="T16" s="28"/>
      <c r="U16" s="28"/>
      <c r="V16" s="28"/>
      <c r="W16" s="28"/>
      <c r="X16" s="28"/>
      <c r="Y16" s="28"/>
      <c r="Z16" s="28"/>
      <c r="AA16" s="28" t="s">
        <v>761</v>
      </c>
      <c r="AB16" s="28"/>
      <c r="AC16" s="28"/>
      <c r="AD16" s="28"/>
      <c r="AE16" s="28"/>
      <c r="AF16" s="28"/>
      <c r="AG16" s="28" t="s">
        <v>761</v>
      </c>
      <c r="AH16" s="28" t="s">
        <v>761</v>
      </c>
    </row>
    <row r="17" spans="1:34" x14ac:dyDescent="0.25">
      <c r="A17" s="26" t="s">
        <v>762</v>
      </c>
      <c r="B17" s="28" t="s">
        <v>763</v>
      </c>
      <c r="C17" s="28" t="s">
        <v>763</v>
      </c>
      <c r="D17" s="28" t="s">
        <v>763</v>
      </c>
      <c r="E17" s="28" t="s">
        <v>763</v>
      </c>
      <c r="F17" s="28" t="s">
        <v>763</v>
      </c>
      <c r="G17" s="28" t="s">
        <v>763</v>
      </c>
      <c r="H17" s="28" t="s">
        <v>763</v>
      </c>
      <c r="I17" s="28" t="s">
        <v>763</v>
      </c>
      <c r="J17" s="28"/>
      <c r="K17" s="28" t="s">
        <v>763</v>
      </c>
      <c r="L17" s="28" t="s">
        <v>763</v>
      </c>
      <c r="M17" s="28" t="s">
        <v>763</v>
      </c>
      <c r="N17" s="28"/>
      <c r="O17" s="28"/>
      <c r="P17" s="28" t="s">
        <v>763</v>
      </c>
      <c r="Q17" s="28" t="s">
        <v>763</v>
      </c>
      <c r="R17" s="28"/>
      <c r="S17" s="28"/>
      <c r="T17" s="28"/>
      <c r="U17" s="28"/>
      <c r="V17" s="28"/>
      <c r="W17" s="28"/>
      <c r="X17" s="28"/>
      <c r="Y17" s="28"/>
      <c r="Z17" s="28"/>
      <c r="AA17" s="28" t="s">
        <v>763</v>
      </c>
      <c r="AB17" s="28"/>
      <c r="AC17" s="28"/>
      <c r="AD17" s="28"/>
      <c r="AE17" s="28"/>
      <c r="AF17" s="28"/>
      <c r="AG17" s="28" t="s">
        <v>763</v>
      </c>
      <c r="AH17" s="28" t="s">
        <v>763</v>
      </c>
    </row>
    <row r="18" spans="1:34" x14ac:dyDescent="0.25">
      <c r="A18" s="26" t="s">
        <v>765</v>
      </c>
      <c r="B18" s="30">
        <v>6</v>
      </c>
      <c r="C18" s="30">
        <v>6</v>
      </c>
      <c r="D18" s="30">
        <v>6</v>
      </c>
      <c r="E18" s="30">
        <v>6</v>
      </c>
      <c r="F18" s="30">
        <v>6</v>
      </c>
      <c r="G18" s="30">
        <v>6</v>
      </c>
      <c r="H18" s="30">
        <v>6</v>
      </c>
      <c r="I18" s="30">
        <v>6</v>
      </c>
      <c r="J18" s="30"/>
      <c r="K18" s="30">
        <v>6</v>
      </c>
      <c r="L18" s="30">
        <v>6</v>
      </c>
      <c r="M18" s="30">
        <v>6</v>
      </c>
      <c r="N18" s="30"/>
      <c r="O18" s="30"/>
      <c r="P18" s="30">
        <v>6</v>
      </c>
      <c r="Q18" s="30">
        <v>6</v>
      </c>
      <c r="R18" s="30"/>
      <c r="S18" s="30"/>
      <c r="T18" s="30"/>
      <c r="U18" s="30"/>
      <c r="V18" s="30"/>
      <c r="W18" s="30"/>
      <c r="X18" s="30"/>
      <c r="Y18" s="30"/>
      <c r="Z18" s="30"/>
      <c r="AA18" s="30">
        <v>6</v>
      </c>
      <c r="AB18" s="30"/>
      <c r="AC18" s="30"/>
      <c r="AD18" s="30"/>
      <c r="AE18" s="30"/>
      <c r="AF18" s="30"/>
      <c r="AG18" s="30">
        <v>6</v>
      </c>
      <c r="AH18" s="30">
        <v>6</v>
      </c>
    </row>
    <row r="19" spans="1:34" x14ac:dyDescent="0.25">
      <c r="A19" s="26" t="s">
        <v>766</v>
      </c>
      <c r="B19" s="28" t="s">
        <v>767</v>
      </c>
      <c r="C19" s="28" t="s">
        <v>767</v>
      </c>
      <c r="D19" s="28" t="s">
        <v>767</v>
      </c>
      <c r="E19" s="28" t="s">
        <v>767</v>
      </c>
      <c r="F19" s="28" t="s">
        <v>767</v>
      </c>
      <c r="G19" s="28" t="s">
        <v>767</v>
      </c>
      <c r="H19" s="28" t="s">
        <v>767</v>
      </c>
      <c r="I19" s="28" t="s">
        <v>767</v>
      </c>
      <c r="J19" s="28"/>
      <c r="K19" s="28" t="s">
        <v>767</v>
      </c>
      <c r="L19" s="28" t="s">
        <v>767</v>
      </c>
      <c r="M19" s="28" t="s">
        <v>767</v>
      </c>
      <c r="N19" s="28"/>
      <c r="O19" s="28"/>
      <c r="P19" s="28" t="s">
        <v>767</v>
      </c>
      <c r="Q19" s="28" t="s">
        <v>767</v>
      </c>
      <c r="R19" s="28"/>
      <c r="S19" s="28"/>
      <c r="T19" s="28"/>
      <c r="U19" s="28"/>
      <c r="V19" s="28"/>
      <c r="W19" s="28"/>
      <c r="X19" s="28"/>
      <c r="Y19" s="28"/>
      <c r="Z19" s="28"/>
      <c r="AA19" s="28" t="s">
        <v>767</v>
      </c>
      <c r="AB19" s="28"/>
      <c r="AC19" s="28"/>
      <c r="AD19" s="28"/>
      <c r="AE19" s="28"/>
      <c r="AF19" s="28"/>
      <c r="AG19" s="28" t="s">
        <v>767</v>
      </c>
      <c r="AH19" s="28" t="s">
        <v>767</v>
      </c>
    </row>
    <row r="20" spans="1:34" x14ac:dyDescent="0.25">
      <c r="A20" s="26" t="s">
        <v>769</v>
      </c>
      <c r="B20" s="30">
        <v>1</v>
      </c>
      <c r="C20" s="30">
        <v>1</v>
      </c>
      <c r="D20" s="30">
        <v>1</v>
      </c>
      <c r="E20" s="30">
        <v>1</v>
      </c>
      <c r="F20" s="30">
        <v>1</v>
      </c>
      <c r="G20" s="30">
        <v>1</v>
      </c>
      <c r="H20" s="30">
        <v>1</v>
      </c>
      <c r="I20" s="30">
        <v>1</v>
      </c>
      <c r="J20" s="30"/>
      <c r="K20" s="30">
        <v>1</v>
      </c>
      <c r="L20" s="30">
        <v>1</v>
      </c>
      <c r="M20" s="30">
        <v>1</v>
      </c>
      <c r="N20" s="30"/>
      <c r="O20" s="30"/>
      <c r="P20" s="30">
        <v>1</v>
      </c>
      <c r="Q20" s="30">
        <v>1</v>
      </c>
      <c r="R20" s="30"/>
      <c r="S20" s="30"/>
      <c r="T20" s="30"/>
      <c r="U20" s="30"/>
      <c r="V20" s="30"/>
      <c r="W20" s="30"/>
      <c r="X20" s="30"/>
      <c r="Y20" s="30"/>
      <c r="Z20" s="30"/>
      <c r="AA20" s="30">
        <v>1</v>
      </c>
      <c r="AB20" s="30"/>
      <c r="AC20" s="30"/>
      <c r="AD20" s="30"/>
      <c r="AE20" s="30"/>
      <c r="AF20" s="30"/>
      <c r="AG20" s="30">
        <v>1</v>
      </c>
      <c r="AH20" s="30">
        <v>1</v>
      </c>
    </row>
    <row r="22" spans="1:34" x14ac:dyDescent="0.25">
      <c r="A22" s="31" t="s">
        <v>183</v>
      </c>
    </row>
    <row r="23" spans="1:34" x14ac:dyDescent="0.25">
      <c r="A23" s="26" t="s">
        <v>1608</v>
      </c>
      <c r="B23" s="93" t="s">
        <v>1609</v>
      </c>
    </row>
  </sheetData>
  <mergeCells count="5">
    <mergeCell ref="B3:D3"/>
    <mergeCell ref="F3:M3"/>
    <mergeCell ref="B4:D4"/>
    <mergeCell ref="F4:M5"/>
    <mergeCell ref="B5:D5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F701E-5C49-44CD-ADDD-62C3127F6D80}">
  <dimension ref="A1:AH26"/>
  <sheetViews>
    <sheetView workbookViewId="0">
      <selection activeCell="B7" sqref="B7"/>
    </sheetView>
  </sheetViews>
  <sheetFormatPr defaultColWidth="9.140625" defaultRowHeight="15" x14ac:dyDescent="0.25"/>
  <cols>
    <col min="1" max="1" width="23.28515625" style="26" bestFit="1" customWidth="1"/>
    <col min="2" max="35" width="5.7109375" style="26" customWidth="1"/>
    <col min="36" max="16384" width="9.140625" style="26"/>
  </cols>
  <sheetData>
    <row r="1" spans="1:34" x14ac:dyDescent="0.25">
      <c r="A1" s="25" t="s">
        <v>1602</v>
      </c>
      <c r="D1" s="25" t="s">
        <v>1603</v>
      </c>
      <c r="I1" s="25"/>
    </row>
    <row r="3" spans="1:34" ht="18" x14ac:dyDescent="0.25">
      <c r="A3" s="25" t="s">
        <v>119</v>
      </c>
      <c r="B3" s="215">
        <v>205</v>
      </c>
      <c r="C3" s="215"/>
      <c r="D3" s="215"/>
      <c r="E3" s="25"/>
      <c r="F3" s="234" t="s">
        <v>120</v>
      </c>
      <c r="G3" s="234"/>
      <c r="H3" s="234"/>
      <c r="I3" s="234"/>
      <c r="J3" s="234"/>
      <c r="K3" s="234"/>
      <c r="L3" s="234"/>
      <c r="M3" s="234"/>
    </row>
    <row r="4" spans="1:34" ht="18" customHeight="1" x14ac:dyDescent="0.25">
      <c r="A4" s="25" t="s">
        <v>121</v>
      </c>
      <c r="B4" s="215" t="s">
        <v>1604</v>
      </c>
      <c r="C4" s="215"/>
      <c r="D4" s="215"/>
      <c r="F4" s="244" t="s">
        <v>1605</v>
      </c>
      <c r="G4" s="244"/>
      <c r="H4" s="244"/>
      <c r="I4" s="244"/>
      <c r="J4" s="244"/>
      <c r="K4" s="244"/>
      <c r="L4" s="244"/>
      <c r="M4" s="244"/>
    </row>
    <row r="5" spans="1:34" ht="18" x14ac:dyDescent="0.25">
      <c r="A5" s="25" t="s">
        <v>124</v>
      </c>
      <c r="B5" s="215" t="s">
        <v>1606</v>
      </c>
      <c r="C5" s="215"/>
      <c r="D5" s="215"/>
      <c r="F5" s="244"/>
      <c r="G5" s="244"/>
      <c r="H5" s="244"/>
      <c r="I5" s="244"/>
      <c r="J5" s="244"/>
      <c r="K5" s="244"/>
      <c r="L5" s="244"/>
      <c r="M5" s="244"/>
    </row>
    <row r="7" spans="1:34" ht="45" customHeight="1" x14ac:dyDescent="0.25">
      <c r="A7" s="27" t="s">
        <v>126</v>
      </c>
      <c r="B7" s="57" t="s">
        <v>17</v>
      </c>
      <c r="C7" s="58" t="s">
        <v>127</v>
      </c>
      <c r="D7" s="58" t="s">
        <v>128</v>
      </c>
      <c r="E7" s="59" t="s">
        <v>129</v>
      </c>
      <c r="F7" s="60" t="s">
        <v>130</v>
      </c>
      <c r="G7" s="61" t="s">
        <v>131</v>
      </c>
      <c r="H7" s="61" t="s">
        <v>132</v>
      </c>
      <c r="I7" s="62" t="s">
        <v>133</v>
      </c>
      <c r="J7" s="63" t="s">
        <v>134</v>
      </c>
      <c r="K7" s="64" t="s">
        <v>135</v>
      </c>
      <c r="L7" s="64" t="s">
        <v>136</v>
      </c>
      <c r="M7" s="64" t="s">
        <v>137</v>
      </c>
      <c r="N7" s="65" t="s">
        <v>138</v>
      </c>
      <c r="O7" s="65" t="s">
        <v>139</v>
      </c>
      <c r="P7" s="67" t="s">
        <v>140</v>
      </c>
      <c r="Q7" s="67" t="s">
        <v>141</v>
      </c>
      <c r="R7" s="66" t="s">
        <v>142</v>
      </c>
      <c r="S7" s="68" t="s">
        <v>143</v>
      </c>
      <c r="T7" s="69" t="s">
        <v>144</v>
      </c>
      <c r="U7" s="69" t="s">
        <v>145</v>
      </c>
      <c r="V7" s="70" t="s">
        <v>146</v>
      </c>
      <c r="W7" s="70" t="s">
        <v>147</v>
      </c>
      <c r="X7" s="71" t="s">
        <v>148</v>
      </c>
      <c r="Y7" s="71" t="s">
        <v>149</v>
      </c>
      <c r="Z7" s="72" t="s">
        <v>150</v>
      </c>
      <c r="AA7" s="72" t="s">
        <v>151</v>
      </c>
      <c r="AB7" s="73" t="s">
        <v>152</v>
      </c>
      <c r="AC7" s="73" t="s">
        <v>153</v>
      </c>
      <c r="AD7" s="73" t="s">
        <v>154</v>
      </c>
      <c r="AE7" s="74" t="s">
        <v>155</v>
      </c>
      <c r="AF7" s="75" t="s">
        <v>156</v>
      </c>
      <c r="AG7" s="76" t="s">
        <v>157</v>
      </c>
      <c r="AH7" s="76" t="s">
        <v>158</v>
      </c>
    </row>
    <row r="8" spans="1:34" x14ac:dyDescent="0.25">
      <c r="A8" s="26" t="s">
        <v>159</v>
      </c>
      <c r="B8" s="28" t="s">
        <v>509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</row>
    <row r="9" spans="1:34" x14ac:dyDescent="0.25">
      <c r="A9" s="26" t="s">
        <v>165</v>
      </c>
      <c r="B9" s="29" t="s">
        <v>1607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</row>
    <row r="10" spans="1:34" x14ac:dyDescent="0.25">
      <c r="A10" s="131" t="s">
        <v>168</v>
      </c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</row>
    <row r="11" spans="1:34" x14ac:dyDescent="0.25">
      <c r="A11" s="26" t="s">
        <v>753</v>
      </c>
      <c r="B11" s="28" t="s">
        <v>173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</row>
    <row r="12" spans="1:34" x14ac:dyDescent="0.25">
      <c r="A12" s="26" t="s">
        <v>754</v>
      </c>
      <c r="B12" s="28" t="s">
        <v>173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</row>
    <row r="13" spans="1:34" x14ac:dyDescent="0.25">
      <c r="A13" s="26" t="s">
        <v>755</v>
      </c>
      <c r="B13" s="28" t="s">
        <v>170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</row>
    <row r="14" spans="1:34" x14ac:dyDescent="0.25">
      <c r="A14" s="26" t="s">
        <v>756</v>
      </c>
      <c r="B14" s="28" t="s">
        <v>170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</row>
    <row r="15" spans="1:34" x14ac:dyDescent="0.25">
      <c r="A15" s="26" t="s">
        <v>757</v>
      </c>
      <c r="B15" s="28" t="s">
        <v>173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</row>
    <row r="16" spans="1:34" x14ac:dyDescent="0.25">
      <c r="A16" s="26" t="s">
        <v>758</v>
      </c>
      <c r="B16" s="28" t="s">
        <v>170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</row>
    <row r="17" spans="1:34" x14ac:dyDescent="0.25">
      <c r="A17" s="26" t="s">
        <v>759</v>
      </c>
      <c r="B17" s="28" t="s">
        <v>761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</row>
    <row r="18" spans="1:34" x14ac:dyDescent="0.25">
      <c r="A18" s="26" t="s">
        <v>762</v>
      </c>
      <c r="B18" s="28" t="s">
        <v>763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</row>
    <row r="19" spans="1:34" x14ac:dyDescent="0.25">
      <c r="A19" s="26" t="s">
        <v>765</v>
      </c>
      <c r="B19" s="30">
        <v>6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</row>
    <row r="20" spans="1:34" x14ac:dyDescent="0.25">
      <c r="A20" s="26" t="s">
        <v>766</v>
      </c>
      <c r="B20" s="28" t="s">
        <v>767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</row>
    <row r="21" spans="1:34" x14ac:dyDescent="0.25">
      <c r="A21" s="26" t="s">
        <v>769</v>
      </c>
      <c r="B21" s="30">
        <v>1</v>
      </c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</row>
    <row r="23" spans="1:34" x14ac:dyDescent="0.25">
      <c r="A23" s="31" t="s">
        <v>183</v>
      </c>
    </row>
    <row r="24" spans="1:34" x14ac:dyDescent="0.25">
      <c r="A24" s="54" t="s">
        <v>1608</v>
      </c>
      <c r="B24" s="56" t="s">
        <v>1610</v>
      </c>
    </row>
    <row r="26" spans="1:34" x14ac:dyDescent="0.25">
      <c r="A26" s="79" t="s">
        <v>1611</v>
      </c>
    </row>
  </sheetData>
  <mergeCells count="5">
    <mergeCell ref="B3:D3"/>
    <mergeCell ref="F3:M3"/>
    <mergeCell ref="B4:D4"/>
    <mergeCell ref="F4:M5"/>
    <mergeCell ref="B5:D5"/>
  </mergeCells>
  <hyperlinks>
    <hyperlink ref="A26" r:id="rId1" location="/media/File:Esling_vowel_chart.png" xr:uid="{78EA8D14-2EF2-4EBF-90A1-50DF6C20AD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113</vt:i4>
      </vt:variant>
    </vt:vector>
  </HeadingPairs>
  <TitlesOfParts>
    <vt:vector size="113" baseType="lpstr">
      <vt:lpstr>Languages Overview</vt:lpstr>
      <vt:lpstr>001 B-</vt:lpstr>
      <vt:lpstr>002 B-</vt:lpstr>
      <vt:lpstr>003 T-</vt:lpstr>
      <vt:lpstr>004 T-</vt:lpstr>
      <vt:lpstr>005 D-</vt:lpstr>
      <vt:lpstr>006 D-</vt:lpstr>
      <vt:lpstr>007 C-</vt:lpstr>
      <vt:lpstr>008 C-</vt:lpstr>
      <vt:lpstr>009 C-</vt:lpstr>
      <vt:lpstr>010 C-</vt:lpstr>
      <vt:lpstr>011 G-</vt:lpstr>
      <vt:lpstr>012 G-</vt:lpstr>
      <vt:lpstr>013 G-</vt:lpstr>
      <vt:lpstr>014 G-</vt:lpstr>
      <vt:lpstr>015 N-</vt:lpstr>
      <vt:lpstr>016 N-</vt:lpstr>
      <vt:lpstr>016.5 M-</vt:lpstr>
      <vt:lpstr>017 F-</vt:lpstr>
      <vt:lpstr>018 F-</vt:lpstr>
      <vt:lpstr>019 V-</vt:lpstr>
      <vt:lpstr>020 V-</vt:lpstr>
      <vt:lpstr>021 S-</vt:lpstr>
      <vt:lpstr>022 S-</vt:lpstr>
      <vt:lpstr>023 S-</vt:lpstr>
      <vt:lpstr>024 H-</vt:lpstr>
      <vt:lpstr>025 R-</vt:lpstr>
      <vt:lpstr>026 L-</vt:lpstr>
      <vt:lpstr>027 L-</vt:lpstr>
      <vt:lpstr>028 J-</vt:lpstr>
      <vt:lpstr>029 J-</vt:lpstr>
      <vt:lpstr>030 J-</vt:lpstr>
      <vt:lpstr>031a W-</vt:lpstr>
      <vt:lpstr>031b W-</vt:lpstr>
      <vt:lpstr>032 PL-</vt:lpstr>
      <vt:lpstr>033 BR-</vt:lpstr>
      <vt:lpstr>034 BL-</vt:lpstr>
      <vt:lpstr>035 TR-</vt:lpstr>
      <vt:lpstr>036 DR-</vt:lpstr>
      <vt:lpstr>037 CR-</vt:lpstr>
      <vt:lpstr>038 CL-</vt:lpstr>
      <vt:lpstr>039 QU-</vt:lpstr>
      <vt:lpstr>040 QU-</vt:lpstr>
      <vt:lpstr>041 QU-</vt:lpstr>
      <vt:lpstr>042 QU-</vt:lpstr>
      <vt:lpstr>043 GL-</vt:lpstr>
      <vt:lpstr>044 FR-</vt:lpstr>
      <vt:lpstr>045 FL-</vt:lpstr>
      <vt:lpstr>046 SP-</vt:lpstr>
      <vt:lpstr>047 ST-</vt:lpstr>
      <vt:lpstr>048 ST-</vt:lpstr>
      <vt:lpstr>049a SC-</vt:lpstr>
      <vt:lpstr>049b SC-</vt:lpstr>
      <vt:lpstr>050 SC-</vt:lpstr>
      <vt:lpstr>051 STR-</vt:lpstr>
      <vt:lpstr>052 SCR-</vt:lpstr>
      <vt:lpstr>053 -P-</vt:lpstr>
      <vt:lpstr>054 -B-</vt:lpstr>
      <vt:lpstr>055 -T-</vt:lpstr>
      <vt:lpstr>056 -T-</vt:lpstr>
      <vt:lpstr>057 -D-</vt:lpstr>
      <vt:lpstr>058 -D-</vt:lpstr>
      <vt:lpstr>059 -C-</vt:lpstr>
      <vt:lpstr>060 -C-</vt:lpstr>
      <vt:lpstr>061 -C-</vt:lpstr>
      <vt:lpstr>062 -G-</vt:lpstr>
      <vt:lpstr>063 -G-</vt:lpstr>
      <vt:lpstr>064 -G-</vt:lpstr>
      <vt:lpstr>065 -M-</vt:lpstr>
      <vt:lpstr>066 -N-</vt:lpstr>
      <vt:lpstr>067 -F-</vt:lpstr>
      <vt:lpstr>068 -V-</vt:lpstr>
      <vt:lpstr>069 -S-</vt:lpstr>
      <vt:lpstr>070 -S-</vt:lpstr>
      <vt:lpstr>071 -R-</vt:lpstr>
      <vt:lpstr>072 -L-</vt:lpstr>
      <vt:lpstr>073 -J-</vt:lpstr>
      <vt:lpstr>074 -J-</vt:lpstr>
      <vt:lpstr>075 -PJ-</vt:lpstr>
      <vt:lpstr>076 -BJ-</vt:lpstr>
      <vt:lpstr>077 -TJ-</vt:lpstr>
      <vt:lpstr>078 -TJ-</vt:lpstr>
      <vt:lpstr>079 -DJ-</vt:lpstr>
      <vt:lpstr>080 -CJ-</vt:lpstr>
      <vt:lpstr>081 -CJ-</vt:lpstr>
      <vt:lpstr>082 -GJ-</vt:lpstr>
      <vt:lpstr>083 -VJ-</vt:lpstr>
      <vt:lpstr>083.5 -FJ-</vt:lpstr>
      <vt:lpstr>084 -SJ-</vt:lpstr>
      <vt:lpstr>085 -MJ-</vt:lpstr>
      <vt:lpstr>086 -NJ-</vt:lpstr>
      <vt:lpstr>087 -RJ-</vt:lpstr>
      <vt:lpstr>088 -LJ-</vt:lpstr>
      <vt:lpstr>089 -LJ-</vt:lpstr>
      <vt:lpstr>090 -PP-</vt:lpstr>
      <vt:lpstr>091 -BB-</vt:lpstr>
      <vt:lpstr>092 -TT-</vt:lpstr>
      <vt:lpstr>093 -DD-</vt:lpstr>
      <vt:lpstr>094 -CC-</vt:lpstr>
      <vt:lpstr>095 -CC-</vt:lpstr>
      <vt:lpstr>096 -CC-</vt:lpstr>
      <vt:lpstr>097 -GG-</vt:lpstr>
      <vt:lpstr>098 -MM-</vt:lpstr>
      <vt:lpstr>099 -NN-</vt:lpstr>
      <vt:lpstr>100 -FF-</vt:lpstr>
      <vt:lpstr>101 -SS-</vt:lpstr>
      <vt:lpstr>102 -SS-</vt:lpstr>
      <vt:lpstr>103 -RR-</vt:lpstr>
      <vt:lpstr>104 -LL-</vt:lpstr>
      <vt:lpstr>twoCons.s</vt:lpstr>
      <vt:lpstr>threeCons.s</vt:lpstr>
      <vt:lpstr>250 Ī</vt:lpstr>
      <vt:lpstr>000V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Leigha DeRango</cp:lastModifiedBy>
  <cp:revision/>
  <dcterms:created xsi:type="dcterms:W3CDTF">2025-02-02T04:01:47Z</dcterms:created>
  <dcterms:modified xsi:type="dcterms:W3CDTF">2026-03-08T19:44:01Z</dcterms:modified>
  <cp:category/>
  <cp:contentStatus/>
</cp:coreProperties>
</file>